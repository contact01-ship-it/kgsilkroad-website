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дсн\"/>
    </mc:Choice>
  </mc:AlternateContent>
  <xr:revisionPtr revIDLastSave="0" documentId="8_{1984D6C4-F7A4-4E1D-BEAB-928B669A2A68}" xr6:coauthVersionLast="47" xr6:coauthVersionMax="47" xr10:uidLastSave="{00000000-0000-0000-0000-000000000000}"/>
  <bookViews>
    <workbookView xWindow="-108" yWindow="-108" windowWidth="23256" windowHeight="12456" xr2:uid="{DFA0A235-557B-425B-8EEC-2171C3A592A7}"/>
  </bookViews>
  <sheets>
    <sheet name="DSN GROUP (Double Wood)" sheetId="1" r:id="rId1"/>
  </sheets>
  <definedNames>
    <definedName name="_xlnm._FilterDatabase" localSheetId="0" hidden="1">'DSN GROUP (Double Wood)'!$B$2:$G$122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11" i="1"/>
  <c r="F15" i="1"/>
  <c r="G19" i="1"/>
  <c r="F23" i="1"/>
  <c r="G27" i="1"/>
  <c r="F31" i="1"/>
  <c r="G34" i="1"/>
  <c r="G35" i="1"/>
  <c r="G38" i="1"/>
  <c r="F39" i="1"/>
  <c r="G42" i="1"/>
  <c r="G43" i="1"/>
  <c r="G46" i="1"/>
  <c r="G47" i="1"/>
  <c r="G50" i="1"/>
  <c r="F51" i="1"/>
  <c r="F54" i="1"/>
  <c r="F55" i="1"/>
  <c r="F58" i="1"/>
  <c r="G59" i="1"/>
  <c r="F62" i="1"/>
  <c r="F63" i="1"/>
  <c r="F66" i="1"/>
  <c r="G67" i="1"/>
  <c r="F70" i="1"/>
  <c r="F71" i="1"/>
  <c r="F74" i="1"/>
  <c r="F75" i="1"/>
  <c r="F78" i="1"/>
  <c r="G79" i="1"/>
  <c r="F82" i="1"/>
  <c r="F83" i="1"/>
  <c r="F86" i="1"/>
  <c r="F87" i="1"/>
  <c r="F90" i="1"/>
  <c r="G91" i="1"/>
  <c r="F94" i="1"/>
  <c r="F95" i="1"/>
  <c r="F98" i="1"/>
  <c r="F99" i="1"/>
  <c r="F102" i="1"/>
  <c r="G103" i="1"/>
  <c r="F106" i="1"/>
  <c r="F107" i="1"/>
  <c r="F110" i="1"/>
  <c r="G111" i="1"/>
  <c r="F114" i="1"/>
  <c r="G115" i="1"/>
  <c r="F118" i="1"/>
  <c r="F119" i="1"/>
  <c r="F123" i="1"/>
  <c r="F127" i="1"/>
  <c r="F131" i="1"/>
  <c r="F135" i="1"/>
  <c r="F136" i="1"/>
  <c r="F139" i="1"/>
  <c r="F140" i="1"/>
  <c r="F143" i="1"/>
  <c r="F144" i="1"/>
  <c r="G3" i="1"/>
  <c r="G30" i="1"/>
  <c r="F30" i="1"/>
  <c r="F122" i="1"/>
  <c r="G122" i="1"/>
  <c r="F124" i="1"/>
  <c r="G124" i="1"/>
  <c r="F125" i="1"/>
  <c r="G125" i="1"/>
  <c r="F126" i="1"/>
  <c r="G126" i="1"/>
  <c r="F128" i="1"/>
  <c r="G128" i="1"/>
  <c r="F129" i="1"/>
  <c r="G129" i="1"/>
  <c r="F130" i="1"/>
  <c r="G130" i="1"/>
  <c r="F132" i="1"/>
  <c r="G132" i="1"/>
  <c r="F133" i="1"/>
  <c r="G133" i="1"/>
  <c r="F134" i="1"/>
  <c r="G134" i="1"/>
  <c r="G136" i="1"/>
  <c r="F137" i="1"/>
  <c r="G137" i="1"/>
  <c r="F138" i="1"/>
  <c r="G138" i="1"/>
  <c r="G140" i="1"/>
  <c r="F141" i="1"/>
  <c r="G141" i="1"/>
  <c r="F142" i="1"/>
  <c r="G142" i="1"/>
  <c r="G144" i="1"/>
  <c r="F145" i="1"/>
  <c r="G145" i="1"/>
  <c r="F4" i="1"/>
  <c r="G4" i="1"/>
  <c r="F5" i="1"/>
  <c r="G5" i="1"/>
  <c r="F6" i="1"/>
  <c r="G6" i="1"/>
  <c r="F8" i="1"/>
  <c r="G8" i="1"/>
  <c r="F9" i="1"/>
  <c r="G9" i="1"/>
  <c r="F10" i="1"/>
  <c r="G10" i="1"/>
  <c r="F12" i="1"/>
  <c r="G12" i="1"/>
  <c r="F13" i="1"/>
  <c r="G13" i="1"/>
  <c r="F14" i="1"/>
  <c r="G14" i="1"/>
  <c r="F16" i="1"/>
  <c r="G16" i="1"/>
  <c r="F17" i="1"/>
  <c r="G17" i="1"/>
  <c r="F18" i="1"/>
  <c r="G18" i="1"/>
  <c r="F20" i="1"/>
  <c r="G20" i="1"/>
  <c r="F21" i="1"/>
  <c r="G21" i="1"/>
  <c r="F22" i="1"/>
  <c r="G22" i="1"/>
  <c r="F24" i="1"/>
  <c r="G24" i="1"/>
  <c r="F25" i="1"/>
  <c r="G25" i="1"/>
  <c r="F26" i="1"/>
  <c r="G26" i="1"/>
  <c r="F28" i="1"/>
  <c r="G28" i="1"/>
  <c r="F29" i="1"/>
  <c r="G29" i="1"/>
  <c r="F32" i="1"/>
  <c r="G32" i="1"/>
  <c r="F33" i="1"/>
  <c r="G33" i="1"/>
  <c r="F34" i="1"/>
  <c r="F36" i="1"/>
  <c r="G36" i="1"/>
  <c r="F37" i="1"/>
  <c r="G37" i="1"/>
  <c r="F38" i="1"/>
  <c r="F40" i="1"/>
  <c r="G40" i="1"/>
  <c r="F41" i="1"/>
  <c r="G41" i="1"/>
  <c r="F42" i="1"/>
  <c r="F44" i="1"/>
  <c r="G44" i="1"/>
  <c r="F45" i="1"/>
  <c r="G45" i="1"/>
  <c r="F46" i="1"/>
  <c r="F48" i="1"/>
  <c r="G48" i="1"/>
  <c r="F49" i="1"/>
  <c r="G49" i="1"/>
  <c r="F50" i="1"/>
  <c r="F52" i="1"/>
  <c r="G52" i="1"/>
  <c r="F53" i="1"/>
  <c r="G53" i="1"/>
  <c r="F56" i="1"/>
  <c r="G56" i="1"/>
  <c r="F57" i="1"/>
  <c r="G57" i="1"/>
  <c r="F60" i="1"/>
  <c r="G60" i="1"/>
  <c r="F61" i="1"/>
  <c r="G61" i="1"/>
  <c r="F64" i="1"/>
  <c r="G64" i="1"/>
  <c r="F65" i="1"/>
  <c r="G65" i="1"/>
  <c r="F68" i="1"/>
  <c r="G68" i="1"/>
  <c r="F69" i="1"/>
  <c r="G69" i="1"/>
  <c r="F72" i="1"/>
  <c r="G72" i="1"/>
  <c r="F73" i="1"/>
  <c r="G73" i="1"/>
  <c r="F76" i="1"/>
  <c r="G76" i="1"/>
  <c r="F77" i="1"/>
  <c r="G77" i="1"/>
  <c r="F80" i="1"/>
  <c r="G80" i="1"/>
  <c r="F81" i="1"/>
  <c r="G81" i="1"/>
  <c r="F84" i="1"/>
  <c r="G84" i="1"/>
  <c r="F85" i="1"/>
  <c r="G85" i="1"/>
  <c r="F88" i="1"/>
  <c r="G88" i="1"/>
  <c r="F89" i="1"/>
  <c r="G89" i="1"/>
  <c r="F92" i="1"/>
  <c r="G92" i="1"/>
  <c r="F93" i="1"/>
  <c r="G93" i="1"/>
  <c r="F96" i="1"/>
  <c r="G96" i="1"/>
  <c r="F97" i="1"/>
  <c r="G97" i="1"/>
  <c r="F100" i="1"/>
  <c r="G100" i="1"/>
  <c r="F101" i="1"/>
  <c r="G101" i="1"/>
  <c r="F104" i="1"/>
  <c r="G104" i="1"/>
  <c r="F105" i="1"/>
  <c r="G105" i="1"/>
  <c r="F108" i="1"/>
  <c r="G108" i="1"/>
  <c r="F109" i="1"/>
  <c r="G109" i="1"/>
  <c r="F112" i="1"/>
  <c r="G112" i="1"/>
  <c r="F113" i="1"/>
  <c r="G113" i="1"/>
  <c r="F116" i="1"/>
  <c r="G116" i="1"/>
  <c r="F117" i="1"/>
  <c r="G117" i="1"/>
  <c r="F120" i="1"/>
  <c r="G120" i="1"/>
  <c r="F121" i="1"/>
  <c r="G121" i="1"/>
  <c r="G15" i="1" l="1"/>
  <c r="F27" i="1"/>
  <c r="F19" i="1"/>
  <c r="F7" i="1"/>
  <c r="G119" i="1"/>
  <c r="G107" i="1"/>
  <c r="G95" i="1"/>
  <c r="G83" i="1"/>
  <c r="G75" i="1"/>
  <c r="G63" i="1"/>
  <c r="G51" i="1"/>
  <c r="G39" i="1"/>
  <c r="F115" i="1"/>
  <c r="F103" i="1"/>
  <c r="F67" i="1"/>
  <c r="F59" i="1"/>
  <c r="F43" i="1"/>
  <c r="F35" i="1"/>
  <c r="F11" i="1"/>
  <c r="G99" i="1"/>
  <c r="G87" i="1"/>
  <c r="G71" i="1"/>
  <c r="G55" i="1"/>
  <c r="G31" i="1"/>
  <c r="F111" i="1"/>
  <c r="F91" i="1"/>
  <c r="F79" i="1"/>
  <c r="F47" i="1"/>
  <c r="G118" i="1"/>
  <c r="G114" i="1"/>
  <c r="G110" i="1"/>
  <c r="G106" i="1"/>
  <c r="G102" i="1"/>
  <c r="G98" i="1"/>
  <c r="G94" i="1"/>
  <c r="G90" i="1"/>
  <c r="G86" i="1"/>
  <c r="G82" i="1"/>
  <c r="G78" i="1"/>
  <c r="G74" i="1"/>
  <c r="G70" i="1"/>
  <c r="G66" i="1"/>
  <c r="G62" i="1"/>
  <c r="G58" i="1"/>
  <c r="G54" i="1"/>
  <c r="G143" i="1"/>
  <c r="G139" i="1"/>
  <c r="G135" i="1"/>
  <c r="G131" i="1"/>
  <c r="G127" i="1"/>
  <c r="G123" i="1"/>
  <c r="G23" i="1"/>
  <c r="F3" i="1"/>
  <c r="H2" i="1" l="1"/>
</calcChain>
</file>

<file path=xl/sharedStrings.xml><?xml version="1.0" encoding="utf-8"?>
<sst xmlns="http://schemas.openxmlformats.org/spreadsheetml/2006/main" count="156" uniqueCount="156">
  <si>
    <t>Item Name</t>
  </si>
  <si>
    <t xml:space="preserve">5-HTP Liquid Drops - 60 x 50 mg / mL </t>
  </si>
  <si>
    <t>Alpha-Ketoglutaric Acid (AKG) - 180 x 500 mg capsules</t>
  </si>
  <si>
    <t>Acetyl L-Carnitine- 150 x 180 mg capsules</t>
  </si>
  <si>
    <t>Alpha GPC - 60 x 300 mg capsules</t>
  </si>
  <si>
    <t>Andrographis - 120 x 500 mg capsules</t>
  </si>
  <si>
    <t xml:space="preserve">Apigenin - 120 x 50 mg capsules </t>
  </si>
  <si>
    <t>Artemisinin - 120 x 100 mg capsules</t>
  </si>
  <si>
    <t>Astaxanthin (Astareal) - 60 x 12 mg softgels</t>
  </si>
  <si>
    <t>Astragalus - 300 x 500 mg capsules</t>
  </si>
  <si>
    <t>Bacomind Bacopa Extract - 210 x 150 mg capsules</t>
  </si>
  <si>
    <t>Bacopa Monnieri Extract - 90 x 450 mg capsules</t>
  </si>
  <si>
    <t>Bee Propolis - 120 x 500 mg capsules</t>
  </si>
  <si>
    <t>Beet Root - 210 x 500 mg capsules</t>
  </si>
  <si>
    <t>Benfotiamine - 120 x 150 mg capsules</t>
  </si>
  <si>
    <t>Berberine - 60 x 500 mg capsules</t>
  </si>
  <si>
    <t>Beta Alanine - 240 x 750 mg capsules</t>
  </si>
  <si>
    <t>Beta Ecdysterone - 120 x 500 mg capsules</t>
  </si>
  <si>
    <t>Blue Spirulina Powder - 30 grams per jar</t>
  </si>
  <si>
    <t>Boswellia Extract - 240 x 500 mg capsules</t>
  </si>
  <si>
    <t>CDP Choline - 60 x 300 mg capsules</t>
  </si>
  <si>
    <t>Chaga Mushroom - 120 x 500 mg capsules</t>
  </si>
  <si>
    <t>Chromium Picolinate - 300 x 500 mcg capsules</t>
  </si>
  <si>
    <t>Cissus Extract - 150 x 500 mg capsules</t>
  </si>
  <si>
    <t>Citrus Bergamot Extract - 60 x 500 mg capsules</t>
  </si>
  <si>
    <t>Collagen Peptides - 456 gram jar, 38 servings</t>
  </si>
  <si>
    <t>Collagen Biotin Gummies - 60 x 100 mg gummies</t>
  </si>
  <si>
    <t>Colloidal Silver - 20 PPM, 4 fl. Oz bottle</t>
  </si>
  <si>
    <t>Cordyceps Mushroom - 210 x 500 mg capsules</t>
  </si>
  <si>
    <t>Creatine Monohydrate Powder - 100 x 5 gram servings</t>
  </si>
  <si>
    <t>DHEA - 180 x 100 mg capsules</t>
  </si>
  <si>
    <t>DHM 1000 (Dihydromyricetin + Electrolytes) - 30 x 1000 mg tablets</t>
  </si>
  <si>
    <t>Dihydromyricetin - 30 x 300 mg capsules</t>
  </si>
  <si>
    <t>Dihydromyricetin - 50 x 300 mg capsules</t>
  </si>
  <si>
    <t>Essential Digestive Enzymes - 180 x 400 mg capsules</t>
  </si>
  <si>
    <t>Essential Amino Acids - 225 capsules</t>
  </si>
  <si>
    <t>Fadogia Agrestis - 180 x 300 mg capsules</t>
  </si>
  <si>
    <t>Fisetin - 60 x 100 mg capsules</t>
  </si>
  <si>
    <t>GABA - 300 x 500 mg capsules</t>
  </si>
  <si>
    <t>Glycine - 300 x 500 mg capsules</t>
  </si>
  <si>
    <t>HMB - 120 x 500 mg capsules</t>
  </si>
  <si>
    <t>Holixer Holy Basil Extract - 60 x 250 mg capsules</t>
  </si>
  <si>
    <t>Horny Goat Weed - 90 x 500 mg capsules</t>
  </si>
  <si>
    <t>Huperzine A - 120 x 200 mcg tablets</t>
  </si>
  <si>
    <t>Hyaluronic Acid - 180 x 100 mg capsules</t>
  </si>
  <si>
    <t>Inositol (myo-Inositol) - 60 x 500 mg capsules</t>
  </si>
  <si>
    <t>Irish Moss Extract - 180 x 600 mg capsules</t>
  </si>
  <si>
    <t>Irish Sea Moss Gummies - 60 x 875 mg gummies</t>
  </si>
  <si>
    <t>Kava Kava Extract - 120 x 500 mg capsules</t>
  </si>
  <si>
    <t>Keratin - 120 x 250 mg capsules</t>
  </si>
  <si>
    <t>Korean Panax Ginseng - 240 x 500 mg capsules</t>
  </si>
  <si>
    <t>L-Citrulline - 210 x 600 mg capsules</t>
  </si>
  <si>
    <t>L-Serine - 180 x 500 mg capsules</t>
  </si>
  <si>
    <t>L-Theanine - 120 x 200 mg capsules</t>
  </si>
  <si>
    <t>Lactoferrin - 60 x 125 mg capsules</t>
  </si>
  <si>
    <t>Lion's Mane Mushroom - 120 x 500 mg capsules</t>
  </si>
  <si>
    <t>Liposomal Glutathione - 60 x 500 mg capsules</t>
  </si>
  <si>
    <t>Liquid Chlorophyll - 120 x 50 mg doses</t>
  </si>
  <si>
    <t>LJ100 Tongkat - 120 x 100 mg capsules</t>
  </si>
  <si>
    <t>Lumbrokinase - 120 x 75 mg capsules</t>
  </si>
  <si>
    <t>Luteolin - 120 x 50 mg capsules</t>
  </si>
  <si>
    <t>Maca Root - 300 x 500 mg capsules</t>
  </si>
  <si>
    <t>Magnesium Acetyl-Taurate (Tauromag) - 180 x 350 mg capsules</t>
  </si>
  <si>
    <t>Magnesium Chloride - 180 x 500 mg capsules</t>
  </si>
  <si>
    <t>Magnesium Citrate - 180 x 400 mg capsules</t>
  </si>
  <si>
    <t>Magnesium Glycinate - 180 x 400 mg capsules</t>
  </si>
  <si>
    <t>Magnesium Malate - 420 x 500 mg capsules</t>
  </si>
  <si>
    <t>Magnesium Taurate - 210 x 500 mg capsules</t>
  </si>
  <si>
    <t>Magnesium Threonate - 100 x 500 mg capsules</t>
  </si>
  <si>
    <t>Marshmallow Root - 210 x 500 mg capsules</t>
  </si>
  <si>
    <t>Mastic Gum - 180 x 500 mg capsules</t>
  </si>
  <si>
    <t>Mimosa Pudica - 180 x 500 mg capsules</t>
  </si>
  <si>
    <t>Monolaurin - 210 x 500 mg capsules</t>
  </si>
  <si>
    <t>Moringa - 210 x 500 mg capsules</t>
  </si>
  <si>
    <t>Mucuna Pruriens - 210 x 500 mg capsules</t>
  </si>
  <si>
    <t>Mullein Leaf - 180 x 500 mg capsules</t>
  </si>
  <si>
    <t>Mushroom Max - 120 x 500 mg capsules</t>
  </si>
  <si>
    <t>N-Acetyl Cysteine - 210 x 500 mg capsules</t>
  </si>
  <si>
    <t>Nattokinase - 120 x 100 mg capsules</t>
  </si>
  <si>
    <t>Nicotinamide Mononucleotide (NMN) - 60 x 125 mg Capsules</t>
  </si>
  <si>
    <t>Nicotinamide Mononucleotide Powder - 30 gram jar</t>
  </si>
  <si>
    <t>Phosphatidylcholine - 210 x 1200 mg softgels</t>
  </si>
  <si>
    <t>Phosphatidylserine - 120 x 150 mg capsules</t>
  </si>
  <si>
    <t>Potassium Iodide - 180 x 65 mg tablets</t>
  </si>
  <si>
    <t>PQQ - 60 x 20 mg capsules</t>
  </si>
  <si>
    <t>Pregnenolone - 120 x 50 mg capsules</t>
  </si>
  <si>
    <t>Pterostilbene - 60 x 100 mg capsules</t>
  </si>
  <si>
    <t>Pumpkin Seed Oil - 180 x 500 mg softgels</t>
  </si>
  <si>
    <t>Quercetin - 120 x 500 mg capsules</t>
  </si>
  <si>
    <t>Quercetin and Zinc Gummies - 60 x 50 mg gummies</t>
  </si>
  <si>
    <t>Reishi Mushroom - 300 x 500 mg capsules</t>
  </si>
  <si>
    <t>Resveratrol - 120 x 250 mg capsules</t>
  </si>
  <si>
    <t>Rhodiola Rosea - 120 x 500 mg capsules</t>
  </si>
  <si>
    <t>S-Acetyl Glutathione - 60 x 100 mg capsules</t>
  </si>
  <si>
    <t>Saffron Extract - 210 x 88.5 mg capsules</t>
  </si>
  <si>
    <t>Serrapeptase - 120 x 120,000 SPU capsules</t>
  </si>
  <si>
    <t>Shilajit Resin - 120 x 500 mg capsules</t>
  </si>
  <si>
    <t>Spermidine - 120 x 5 mg capsules</t>
  </si>
  <si>
    <t>SPM (Pro-Resolving Mediators) - 120 x 500 mg softgels</t>
  </si>
  <si>
    <t>Sulbutiamine - 90 x 200 mg capsules</t>
  </si>
  <si>
    <t>Sulforaphane - 120 x 10 mg capsules</t>
  </si>
  <si>
    <t>Theacrine - 60 x 100 mg capsules</t>
  </si>
  <si>
    <t>Tongkat Ali - 120 x 500 mg capsules</t>
  </si>
  <si>
    <t>Tribulus Terrestris - 210 x 500 mg capsules</t>
  </si>
  <si>
    <t>TUDCA - 60 x 250 mg capsules</t>
  </si>
  <si>
    <t>Turkesterone - 120 x 500 mg capsules</t>
  </si>
  <si>
    <t>Turkey Tail Mushroom - 120 x 500 mg capsules</t>
  </si>
  <si>
    <t>Uridine Monophosphate - 60 x 300 mg capsules</t>
  </si>
  <si>
    <t>Vitamin D3 + K2 Liquid - 5000 IU D3, 200 mcg K2 / mL, 30 servings</t>
  </si>
  <si>
    <t>Zinc Picolinate - 300 x 50 mg capsules</t>
  </si>
  <si>
    <t>24-99 Bottle Price</t>
  </si>
  <si>
    <t>100+ Bottle Price</t>
  </si>
  <si>
    <t>Adrenal Support Drops - 30x 1 mL liquid drops</t>
  </si>
  <si>
    <t>Cistanche Extract - 120 x 250 mg capsules</t>
  </si>
  <si>
    <t>DIM (Diindolylmethane) - 60 x 200 mg capsules</t>
  </si>
  <si>
    <t>Irish Sea Moss Gel - 31 x 8 fl oz servings</t>
  </si>
  <si>
    <t>Keto Apple Cider Vinegar Gummies - 60 x 187.5 mg gummies</t>
  </si>
  <si>
    <t>Liboost - 60 x 300 mg capsules</t>
  </si>
  <si>
    <t>NAD+ - 60 x 250 mg capsules</t>
  </si>
  <si>
    <t>Trace Minerals - 95 x 0.5 tsp servings</t>
  </si>
  <si>
    <t>Grass Fed Beef Liver - 180 x 500 mg capsules</t>
  </si>
  <si>
    <t>Lithium Orotate - 210 x 5 mg capsules</t>
  </si>
  <si>
    <t>Order</t>
  </si>
  <si>
    <t>Total</t>
  </si>
  <si>
    <t>Total with discount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</si>
  <si>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</si>
  <si>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</si>
  <si>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</si>
  <si>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</si>
  <si>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UPC</t>
  </si>
  <si>
    <t>Ashwagandha - 240 x 500 mg capsules</t>
  </si>
  <si>
    <t>Ashwagandha Drops - 30 x 1 mL servings</t>
  </si>
  <si>
    <t>Colostrum - 120 x 500 mg capsules</t>
  </si>
  <si>
    <t>Daily Fruits and Veggies - 180 x 500 mg capsules</t>
  </si>
  <si>
    <t>Dihydroberberine - 60 x 100 mg capsules</t>
  </si>
  <si>
    <t>Double Wood Preworkout - 30 servings</t>
  </si>
  <si>
    <t>Glucosamine Chondrotin - 180 tablets</t>
  </si>
  <si>
    <t>Gotu Kola - 120 x 500 mg capsules</t>
  </si>
  <si>
    <t>Lemon Balm Drops - 120 x 0.5 mL servings</t>
  </si>
  <si>
    <t>L-Glutamine Capsules - 120 x 500 mg capsules</t>
  </si>
  <si>
    <t>L-Glutamine Powder - 100 x 5g servings</t>
  </si>
  <si>
    <t>L-Tyrosine - 120 x 500 mg capsules</t>
  </si>
  <si>
    <t>Magnesium Complex (Mag-8) - 180 x 436 mg capsules</t>
  </si>
  <si>
    <t>Marine Collagen  - 1 lbs bulk powder</t>
  </si>
  <si>
    <t>Methylfolate - 120 x 1000 mcg capsules</t>
  </si>
  <si>
    <t>Micronized Creatine Monohydrate - 120 x 500 mg capsules</t>
  </si>
  <si>
    <t>Milk Thistle - 30 x 1 fl oz servings</t>
  </si>
  <si>
    <t>Nitric Oxide Booster - 180 x 500 mg capsules</t>
  </si>
  <si>
    <t>Ox Bile Acid Salts - 120 x 500 mg capsules</t>
  </si>
  <si>
    <t>Prostate Support Supplement - 120 capsules</t>
  </si>
  <si>
    <t>Vaginal Probiotic - 60 x 2.5 billion CFU capsules</t>
  </si>
  <si>
    <t>Valerian Root Drops - 30 x 1 fl oz servings</t>
  </si>
  <si>
    <t>Vitamin B12 Spray - 375 x 500 mcg sprays</t>
  </si>
  <si>
    <t>White Willow Bark - 120 x 400 mg capsules</t>
  </si>
  <si>
    <t>USA → +13-322-093-910</t>
  </si>
  <si>
    <t>Poland → +48-459-568-603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</si>
</sst>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C09]* #,##0.00_-;\-[$$-C09]* #,##0.00_-;_-[$$-C09]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AC87A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0" fillId="0" borderId="10" xfId="0" applyNumberFormat="1" applyBorder="1"/>
    <xf numFmtId="164" fontId="0" fillId="0" borderId="12" xfId="0" applyNumberFormat="1" applyBorder="1"/>
    <xf numFmtId="0" fontId="6" fillId="0" borderId="1" xfId="0" applyFont="1" applyBorder="1" applyAlignment="1" applyProtection="1">
      <alignment horizontal="center"/>
      <protection hidden="1"/>
    </xf>
    <xf numFmtId="0" fontId="8" fillId="0" borderId="5" xfId="1" applyFont="1" applyBorder="1" applyAlignment="1" applyProtection="1">
      <alignment horizontal="center"/>
      <protection hidden="1"/>
    </xf>
    <xf numFmtId="0" fontId="8" fillId="0" borderId="6" xfId="1" applyFont="1" applyBorder="1" applyAlignment="1" applyProtection="1">
      <alignment horizontal="center"/>
      <protection hidden="1"/>
    </xf>
    <xf numFmtId="0" fontId="8" fillId="0" borderId="13" xfId="1" applyFont="1" applyBorder="1" applyAlignment="1" applyProtection="1">
      <alignment horizontal="center"/>
      <protection hidden="1"/>
    </xf>
    <xf numFmtId="0" fontId="8" fillId="0" borderId="14" xfId="1" applyFont="1" applyBorder="1" applyAlignment="1" applyProtection="1">
      <alignment horizontal="center"/>
      <protection hidden="1"/>
    </xf>
    <xf numFmtId="0" fontId="8" fillId="0" borderId="7" xfId="1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locked="0"/>
    </xf>
    <xf numFmtId="1" fontId="0" fillId="0" borderId="1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164" fontId="0" fillId="0" borderId="18" xfId="0" applyNumberFormat="1" applyBorder="1"/>
    <xf numFmtId="164" fontId="0" fillId="0" borderId="17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5" fillId="0" borderId="16" xfId="0" applyFont="1" applyBorder="1" applyAlignment="1">
      <alignment horizontal="left" vertical="center" wrapText="1"/>
    </xf>
  </cellXfs>
  <cellStyles count="2">
    <cellStyle name="Excel Built-in Normal" xfId="1" xr:uid="{E8BC723B-4B7E-4148-8A01-06554B6FB7A8}"/>
    <cellStyle name="Звичайний" xfId="0" builtinId="0"/>
  </cellStyles>
  <dxfs count="0"/>
  <tableStyles count="0" defaultTableStyle="TableStyleMedium2" defaultPivotStyle="PivotStyleLight16"/>
  <colors>
    <mruColors>
      <color rgb="FF9AC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82620</xdr:colOff>
      <xdr:row>0</xdr:row>
      <xdr:rowOff>152400</xdr:rowOff>
    </xdr:from>
    <xdr:to>
      <xdr:col>6</xdr:col>
      <xdr:colOff>442467</xdr:colOff>
      <xdr:row>0</xdr:row>
      <xdr:rowOff>792480</xdr:rowOff>
    </xdr:to>
    <xdr:pic>
      <xdr:nvPicPr>
        <xdr:cNvPr id="2" name="Рисунок 1" descr="Double Wood Supplements and Whole Kids Foundation Give Back to Revitalize  Local Elementary School Garden Post-Ida Tornado">
          <a:extLst>
            <a:ext uri="{FF2B5EF4-FFF2-40B4-BE49-F238E27FC236}">
              <a16:creationId xmlns:a16="http://schemas.microsoft.com/office/drawing/2014/main" id="{6D59D2BA-F2F0-58AA-399E-C635F35B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4640" y="152400"/>
          <a:ext cx="2562027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1129393</xdr:colOff>
      <xdr:row>147</xdr:row>
      <xdr:rowOff>13873</xdr:rowOff>
    </xdr:from>
    <xdr:to>
      <xdr:col>1</xdr:col>
      <xdr:colOff>2729593</xdr:colOff>
      <xdr:row>147</xdr:row>
      <xdr:rowOff>326746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E5291108-B483-43C2-8439-E6AFCDAC9D2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393" y="23460613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0AB7-D20D-44DA-956C-5F59118D7868}">
  <dimension ref="A1:I563"/>
  <sheetViews>
    <sheetView tabSelected="1" zoomScale="85" zoomScaleNormal="85" workbookViewId="0">
      <pane ySplit="2" topLeftCell="A3" activePane="bottomLeft" state="frozen"/>
      <selection pane="bottomLeft" activeCell="E154" sqref="E154"/>
    </sheetView>
  </sheetViews>
  <sheetFormatPr defaultColWidth="9.109375" defaultRowHeight="14.4" x14ac:dyDescent="0.3"/>
  <cols>
    <col min="1" max="1" width="13.5546875" bestFit="1" customWidth="1"/>
    <col min="2" max="2" width="55.88671875" bestFit="1" customWidth="1"/>
    <col min="3" max="3" width="13.109375" style="1" customWidth="1"/>
    <col min="4" max="4" width="12.44140625" style="1" customWidth="1"/>
    <col min="5" max="5" width="8.44140625" style="3" customWidth="1"/>
    <col min="6" max="6" width="11.21875" bestFit="1" customWidth="1"/>
    <col min="7" max="7" width="13.77734375" customWidth="1"/>
    <col min="8" max="8" width="12.88671875" customWidth="1"/>
  </cols>
  <sheetData>
    <row r="1" spans="1:9" s="4" customFormat="1" ht="75.599999999999994" customHeight="1" thickBot="1" x14ac:dyDescent="0.35">
      <c r="A1" s="35" t="s">
        <v>125</v>
      </c>
      <c r="B1" s="35"/>
      <c r="C1" s="35"/>
      <c r="D1" s="35"/>
      <c r="E1" s="35"/>
      <c r="F1" s="35"/>
      <c r="G1" s="35"/>
      <c r="H1" s="5">
        <v>45335</v>
      </c>
    </row>
    <row r="2" spans="1:9" s="2" customFormat="1" ht="27" customHeight="1" thickBot="1" x14ac:dyDescent="0.35">
      <c r="A2" s="7" t="s">
        <v>129</v>
      </c>
      <c r="B2" s="6" t="s">
        <v>0</v>
      </c>
      <c r="C2" s="30" t="s">
        <v>110</v>
      </c>
      <c r="D2" s="31" t="s">
        <v>111</v>
      </c>
      <c r="E2" s="8" t="s">
        <v>122</v>
      </c>
      <c r="F2" s="7" t="s">
        <v>123</v>
      </c>
      <c r="G2" s="10" t="s">
        <v>124</v>
      </c>
      <c r="H2" s="9">
        <f>SUM(G3:G145)</f>
        <v>0</v>
      </c>
    </row>
    <row r="3" spans="1:9" x14ac:dyDescent="0.3">
      <c r="A3" s="20">
        <v>850033272192</v>
      </c>
      <c r="B3" s="32" t="s">
        <v>1</v>
      </c>
      <c r="C3" s="24">
        <v>20.260000000000002</v>
      </c>
      <c r="D3" s="23">
        <v>17.36</v>
      </c>
      <c r="E3" s="27"/>
      <c r="F3" s="24">
        <f t="shared" ref="F3:F34" si="0">E3*C3</f>
        <v>0</v>
      </c>
      <c r="G3" s="23">
        <f t="shared" ref="G3:G34" si="1">IF(E3&lt;100,E3*C3,E3*D3)</f>
        <v>0</v>
      </c>
      <c r="H3" s="1"/>
      <c r="I3" s="1"/>
    </row>
    <row r="4" spans="1:9" x14ac:dyDescent="0.3">
      <c r="A4" s="21">
        <v>859793007877</v>
      </c>
      <c r="B4" s="33" t="s">
        <v>2</v>
      </c>
      <c r="C4" s="25">
        <v>22.04</v>
      </c>
      <c r="D4" s="11">
        <v>19.14</v>
      </c>
      <c r="E4" s="28"/>
      <c r="F4" s="25">
        <f t="shared" si="0"/>
        <v>0</v>
      </c>
      <c r="G4" s="11">
        <f t="shared" si="1"/>
        <v>0</v>
      </c>
    </row>
    <row r="5" spans="1:9" x14ac:dyDescent="0.3">
      <c r="A5" s="21">
        <v>859793007457</v>
      </c>
      <c r="B5" s="33" t="s">
        <v>3</v>
      </c>
      <c r="C5" s="25">
        <v>22.26</v>
      </c>
      <c r="D5" s="11">
        <v>19.36</v>
      </c>
      <c r="E5" s="28"/>
      <c r="F5" s="25">
        <f t="shared" si="0"/>
        <v>0</v>
      </c>
      <c r="G5" s="11">
        <f t="shared" si="1"/>
        <v>0</v>
      </c>
    </row>
    <row r="6" spans="1:9" x14ac:dyDescent="0.3">
      <c r="A6" s="21">
        <v>850033272741</v>
      </c>
      <c r="B6" s="33" t="s">
        <v>112</v>
      </c>
      <c r="C6" s="25">
        <v>13.78</v>
      </c>
      <c r="D6" s="11">
        <v>10.88</v>
      </c>
      <c r="E6" s="28"/>
      <c r="F6" s="25">
        <f t="shared" si="0"/>
        <v>0</v>
      </c>
      <c r="G6" s="11">
        <f t="shared" si="1"/>
        <v>0</v>
      </c>
    </row>
    <row r="7" spans="1:9" x14ac:dyDescent="0.3">
      <c r="A7" s="21">
        <v>866812000146</v>
      </c>
      <c r="B7" s="33" t="s">
        <v>4</v>
      </c>
      <c r="C7" s="25">
        <v>17.98</v>
      </c>
      <c r="D7" s="11">
        <v>15.08</v>
      </c>
      <c r="E7" s="28"/>
      <c r="F7" s="25">
        <f t="shared" si="0"/>
        <v>0</v>
      </c>
      <c r="G7" s="11">
        <f t="shared" si="1"/>
        <v>0</v>
      </c>
    </row>
    <row r="8" spans="1:9" x14ac:dyDescent="0.3">
      <c r="A8" s="21">
        <v>859793007754</v>
      </c>
      <c r="B8" s="33" t="s">
        <v>5</v>
      </c>
      <c r="C8" s="25">
        <v>19.68</v>
      </c>
      <c r="D8" s="11">
        <v>16.78</v>
      </c>
      <c r="E8" s="28"/>
      <c r="F8" s="25">
        <f t="shared" si="0"/>
        <v>0</v>
      </c>
      <c r="G8" s="11">
        <f t="shared" si="1"/>
        <v>0</v>
      </c>
    </row>
    <row r="9" spans="1:9" x14ac:dyDescent="0.3">
      <c r="A9" s="21">
        <v>850033272017</v>
      </c>
      <c r="B9" s="33" t="s">
        <v>6</v>
      </c>
      <c r="C9" s="25">
        <v>19.79</v>
      </c>
      <c r="D9" s="11">
        <v>16.89</v>
      </c>
      <c r="E9" s="28"/>
      <c r="F9" s="25">
        <f t="shared" si="0"/>
        <v>0</v>
      </c>
      <c r="G9" s="11">
        <f t="shared" si="1"/>
        <v>0</v>
      </c>
    </row>
    <row r="10" spans="1:9" x14ac:dyDescent="0.3">
      <c r="A10" s="21">
        <v>859793007792</v>
      </c>
      <c r="B10" s="33" t="s">
        <v>7</v>
      </c>
      <c r="C10" s="25">
        <v>23.06</v>
      </c>
      <c r="D10" s="11">
        <v>20.16</v>
      </c>
      <c r="E10" s="28"/>
      <c r="F10" s="25">
        <f t="shared" si="0"/>
        <v>0</v>
      </c>
      <c r="G10" s="11">
        <f t="shared" si="1"/>
        <v>0</v>
      </c>
    </row>
    <row r="11" spans="1:9" x14ac:dyDescent="0.3">
      <c r="A11" s="21">
        <v>850033272178</v>
      </c>
      <c r="B11" s="33" t="s">
        <v>8</v>
      </c>
      <c r="C11" s="25">
        <v>26.1</v>
      </c>
      <c r="D11" s="11">
        <v>23.2</v>
      </c>
      <c r="E11" s="28"/>
      <c r="F11" s="25">
        <f t="shared" si="0"/>
        <v>0</v>
      </c>
      <c r="G11" s="11">
        <f t="shared" si="1"/>
        <v>0</v>
      </c>
    </row>
    <row r="12" spans="1:9" x14ac:dyDescent="0.3">
      <c r="A12" s="21">
        <v>859793007723</v>
      </c>
      <c r="B12" s="33" t="s">
        <v>9</v>
      </c>
      <c r="C12" s="25">
        <v>20.75</v>
      </c>
      <c r="D12" s="11">
        <v>17.850000000000001</v>
      </c>
      <c r="E12" s="28"/>
      <c r="F12" s="25">
        <f t="shared" si="0"/>
        <v>0</v>
      </c>
      <c r="G12" s="11">
        <f t="shared" si="1"/>
        <v>0</v>
      </c>
    </row>
    <row r="13" spans="1:9" x14ac:dyDescent="0.3">
      <c r="A13" s="21">
        <v>859793007631</v>
      </c>
      <c r="B13" s="33" t="s">
        <v>10</v>
      </c>
      <c r="C13" s="25">
        <v>24.42</v>
      </c>
      <c r="D13" s="11">
        <v>21.52</v>
      </c>
      <c r="E13" s="28"/>
      <c r="F13" s="25">
        <f t="shared" si="0"/>
        <v>0</v>
      </c>
      <c r="G13" s="11">
        <f t="shared" si="1"/>
        <v>0</v>
      </c>
    </row>
    <row r="14" spans="1:9" x14ac:dyDescent="0.3">
      <c r="A14" s="21">
        <v>859793007167</v>
      </c>
      <c r="B14" s="33" t="s">
        <v>11</v>
      </c>
      <c r="C14" s="25">
        <v>16.97</v>
      </c>
      <c r="D14" s="11">
        <v>14.07</v>
      </c>
      <c r="E14" s="28"/>
      <c r="F14" s="25">
        <f t="shared" si="0"/>
        <v>0</v>
      </c>
      <c r="G14" s="11">
        <f t="shared" si="1"/>
        <v>0</v>
      </c>
    </row>
    <row r="15" spans="1:9" x14ac:dyDescent="0.3">
      <c r="A15" s="21">
        <v>850033272253</v>
      </c>
      <c r="B15" s="33" t="s">
        <v>12</v>
      </c>
      <c r="C15" s="25">
        <v>20.55</v>
      </c>
      <c r="D15" s="11">
        <v>17.649999999999999</v>
      </c>
      <c r="E15" s="28"/>
      <c r="F15" s="25">
        <f t="shared" si="0"/>
        <v>0</v>
      </c>
      <c r="G15" s="11">
        <f t="shared" si="1"/>
        <v>0</v>
      </c>
    </row>
    <row r="16" spans="1:9" x14ac:dyDescent="0.3">
      <c r="A16" s="21">
        <v>859793007594</v>
      </c>
      <c r="B16" s="33" t="s">
        <v>13</v>
      </c>
      <c r="C16" s="25">
        <v>18.489999999999998</v>
      </c>
      <c r="D16" s="11">
        <v>15.59</v>
      </c>
      <c r="E16" s="28"/>
      <c r="F16" s="25">
        <f t="shared" si="0"/>
        <v>0</v>
      </c>
      <c r="G16" s="11">
        <f t="shared" si="1"/>
        <v>0</v>
      </c>
    </row>
    <row r="17" spans="1:7" x14ac:dyDescent="0.3">
      <c r="A17" s="21">
        <v>850033272116</v>
      </c>
      <c r="B17" s="33" t="s">
        <v>14</v>
      </c>
      <c r="C17" s="25">
        <v>19.809999999999999</v>
      </c>
      <c r="D17" s="11">
        <v>16.91</v>
      </c>
      <c r="E17" s="28"/>
      <c r="F17" s="25">
        <f t="shared" si="0"/>
        <v>0</v>
      </c>
      <c r="G17" s="11">
        <f t="shared" si="1"/>
        <v>0</v>
      </c>
    </row>
    <row r="18" spans="1:7" x14ac:dyDescent="0.3">
      <c r="A18" s="21">
        <v>859793007129</v>
      </c>
      <c r="B18" s="33" t="s">
        <v>15</v>
      </c>
      <c r="C18" s="25">
        <v>19.329999999999998</v>
      </c>
      <c r="D18" s="11">
        <v>16.43</v>
      </c>
      <c r="E18" s="28"/>
      <c r="F18" s="25">
        <f t="shared" si="0"/>
        <v>0</v>
      </c>
      <c r="G18" s="11">
        <f t="shared" si="1"/>
        <v>0</v>
      </c>
    </row>
    <row r="19" spans="1:7" x14ac:dyDescent="0.3">
      <c r="A19" s="21">
        <v>850033272307</v>
      </c>
      <c r="B19" s="33" t="s">
        <v>16</v>
      </c>
      <c r="C19" s="25">
        <v>20.85</v>
      </c>
      <c r="D19" s="11">
        <v>17.95</v>
      </c>
      <c r="E19" s="28"/>
      <c r="F19" s="25">
        <f t="shared" si="0"/>
        <v>0</v>
      </c>
      <c r="G19" s="11">
        <f t="shared" si="1"/>
        <v>0</v>
      </c>
    </row>
    <row r="20" spans="1:7" x14ac:dyDescent="0.3">
      <c r="A20" s="21">
        <v>850033272093</v>
      </c>
      <c r="B20" s="33" t="s">
        <v>17</v>
      </c>
      <c r="C20" s="25">
        <v>34.729999999999997</v>
      </c>
      <c r="D20" s="11">
        <v>31.83</v>
      </c>
      <c r="E20" s="28"/>
      <c r="F20" s="25">
        <f t="shared" si="0"/>
        <v>0</v>
      </c>
      <c r="G20" s="11">
        <f t="shared" si="1"/>
        <v>0</v>
      </c>
    </row>
    <row r="21" spans="1:7" x14ac:dyDescent="0.3">
      <c r="A21" s="21">
        <v>859793007891</v>
      </c>
      <c r="B21" s="33" t="s">
        <v>18</v>
      </c>
      <c r="C21" s="25">
        <v>21.68</v>
      </c>
      <c r="D21" s="11">
        <v>18.78</v>
      </c>
      <c r="E21" s="28"/>
      <c r="F21" s="25">
        <f t="shared" si="0"/>
        <v>0</v>
      </c>
      <c r="G21" s="11">
        <f t="shared" si="1"/>
        <v>0</v>
      </c>
    </row>
    <row r="22" spans="1:7" x14ac:dyDescent="0.3">
      <c r="A22" s="21">
        <v>859793007990</v>
      </c>
      <c r="B22" s="33" t="s">
        <v>19</v>
      </c>
      <c r="C22" s="25">
        <v>18.47</v>
      </c>
      <c r="D22" s="11">
        <v>15.57</v>
      </c>
      <c r="E22" s="28"/>
      <c r="F22" s="25">
        <f t="shared" si="0"/>
        <v>0</v>
      </c>
      <c r="G22" s="11">
        <f t="shared" si="1"/>
        <v>0</v>
      </c>
    </row>
    <row r="23" spans="1:7" x14ac:dyDescent="0.3">
      <c r="A23" s="21">
        <v>866812000160</v>
      </c>
      <c r="B23" s="33" t="s">
        <v>20</v>
      </c>
      <c r="C23" s="25">
        <v>21.53</v>
      </c>
      <c r="D23" s="11">
        <v>18.63</v>
      </c>
      <c r="E23" s="28"/>
      <c r="F23" s="25">
        <f t="shared" si="0"/>
        <v>0</v>
      </c>
      <c r="G23" s="11">
        <f t="shared" si="1"/>
        <v>0</v>
      </c>
    </row>
    <row r="24" spans="1:7" x14ac:dyDescent="0.3">
      <c r="A24" s="21">
        <v>850033272161</v>
      </c>
      <c r="B24" s="33" t="s">
        <v>21</v>
      </c>
      <c r="C24" s="25">
        <v>19.170000000000002</v>
      </c>
      <c r="D24" s="11">
        <v>16.27</v>
      </c>
      <c r="E24" s="28"/>
      <c r="F24" s="25">
        <f t="shared" si="0"/>
        <v>0</v>
      </c>
      <c r="G24" s="11">
        <f t="shared" si="1"/>
        <v>0</v>
      </c>
    </row>
    <row r="25" spans="1:7" x14ac:dyDescent="0.3">
      <c r="A25" s="21">
        <v>859793007853</v>
      </c>
      <c r="B25" s="33" t="s">
        <v>22</v>
      </c>
      <c r="C25" s="25">
        <v>19</v>
      </c>
      <c r="D25" s="11">
        <v>16.100000000000001</v>
      </c>
      <c r="E25" s="28"/>
      <c r="F25" s="25">
        <f t="shared" si="0"/>
        <v>0</v>
      </c>
      <c r="G25" s="11">
        <f t="shared" si="1"/>
        <v>0</v>
      </c>
    </row>
    <row r="26" spans="1:7" x14ac:dyDescent="0.3">
      <c r="A26" s="21">
        <v>866812000177</v>
      </c>
      <c r="B26" s="33" t="s">
        <v>23</v>
      </c>
      <c r="C26" s="25">
        <v>17.91</v>
      </c>
      <c r="D26" s="11">
        <v>15.01</v>
      </c>
      <c r="E26" s="28"/>
      <c r="F26" s="25">
        <f t="shared" si="0"/>
        <v>0</v>
      </c>
      <c r="G26" s="11">
        <f t="shared" si="1"/>
        <v>0</v>
      </c>
    </row>
    <row r="27" spans="1:7" x14ac:dyDescent="0.3">
      <c r="A27" s="21">
        <v>850033272727</v>
      </c>
      <c r="B27" s="33" t="s">
        <v>113</v>
      </c>
      <c r="C27" s="25">
        <v>19.579999999999998</v>
      </c>
      <c r="D27" s="11">
        <v>16.68</v>
      </c>
      <c r="E27" s="28"/>
      <c r="F27" s="25">
        <f t="shared" si="0"/>
        <v>0</v>
      </c>
      <c r="G27" s="11">
        <f t="shared" si="1"/>
        <v>0</v>
      </c>
    </row>
    <row r="28" spans="1:7" x14ac:dyDescent="0.3">
      <c r="A28" s="21">
        <v>859793007198</v>
      </c>
      <c r="B28" s="33" t="s">
        <v>24</v>
      </c>
      <c r="C28" s="25">
        <v>24.43</v>
      </c>
      <c r="D28" s="11">
        <v>21.53</v>
      </c>
      <c r="E28" s="28"/>
      <c r="F28" s="25">
        <f t="shared" si="0"/>
        <v>0</v>
      </c>
      <c r="G28" s="11">
        <f t="shared" si="1"/>
        <v>0</v>
      </c>
    </row>
    <row r="29" spans="1:7" x14ac:dyDescent="0.3">
      <c r="A29" s="21">
        <v>859793007778</v>
      </c>
      <c r="B29" s="33" t="s">
        <v>25</v>
      </c>
      <c r="C29" s="25">
        <v>23.2</v>
      </c>
      <c r="D29" s="11">
        <v>20.3</v>
      </c>
      <c r="E29" s="28"/>
      <c r="F29" s="25">
        <f t="shared" si="0"/>
        <v>0</v>
      </c>
      <c r="G29" s="11">
        <f t="shared" si="1"/>
        <v>0</v>
      </c>
    </row>
    <row r="30" spans="1:7" x14ac:dyDescent="0.3">
      <c r="A30" s="21">
        <v>850033272000</v>
      </c>
      <c r="B30" s="33" t="s">
        <v>26</v>
      </c>
      <c r="C30" s="25">
        <v>18.13</v>
      </c>
      <c r="D30" s="11">
        <v>15.23</v>
      </c>
      <c r="E30" s="28"/>
      <c r="F30" s="25">
        <f t="shared" si="0"/>
        <v>0</v>
      </c>
      <c r="G30" s="11">
        <f t="shared" si="1"/>
        <v>0</v>
      </c>
    </row>
    <row r="31" spans="1:7" x14ac:dyDescent="0.3">
      <c r="A31" s="21">
        <v>859793007785</v>
      </c>
      <c r="B31" s="33" t="s">
        <v>27</v>
      </c>
      <c r="C31" s="25">
        <v>15.34</v>
      </c>
      <c r="D31" s="11">
        <v>12.44</v>
      </c>
      <c r="E31" s="28"/>
      <c r="F31" s="25">
        <f t="shared" si="0"/>
        <v>0</v>
      </c>
      <c r="G31" s="11">
        <f t="shared" si="1"/>
        <v>0</v>
      </c>
    </row>
    <row r="32" spans="1:7" x14ac:dyDescent="0.3">
      <c r="A32" s="21">
        <v>859793007655</v>
      </c>
      <c r="B32" s="33" t="s">
        <v>28</v>
      </c>
      <c r="C32" s="25">
        <v>20.170000000000002</v>
      </c>
      <c r="D32" s="11">
        <v>17.27</v>
      </c>
      <c r="E32" s="28"/>
      <c r="F32" s="25">
        <f t="shared" si="0"/>
        <v>0</v>
      </c>
      <c r="G32" s="11">
        <f t="shared" si="1"/>
        <v>0</v>
      </c>
    </row>
    <row r="33" spans="1:7" x14ac:dyDescent="0.3">
      <c r="A33" s="21">
        <v>850033272666</v>
      </c>
      <c r="B33" s="33" t="s">
        <v>29</v>
      </c>
      <c r="C33" s="25">
        <v>30.81</v>
      </c>
      <c r="D33" s="11">
        <v>27.91</v>
      </c>
      <c r="E33" s="28"/>
      <c r="F33" s="25">
        <f t="shared" si="0"/>
        <v>0</v>
      </c>
      <c r="G33" s="11">
        <f t="shared" si="1"/>
        <v>0</v>
      </c>
    </row>
    <row r="34" spans="1:7" x14ac:dyDescent="0.3">
      <c r="A34" s="21">
        <v>859793007068</v>
      </c>
      <c r="B34" s="33" t="s">
        <v>30</v>
      </c>
      <c r="C34" s="25">
        <v>24.22</v>
      </c>
      <c r="D34" s="11">
        <v>21.32</v>
      </c>
      <c r="E34" s="28"/>
      <c r="F34" s="25">
        <f t="shared" si="0"/>
        <v>0</v>
      </c>
      <c r="G34" s="11">
        <f t="shared" si="1"/>
        <v>0</v>
      </c>
    </row>
    <row r="35" spans="1:7" x14ac:dyDescent="0.3">
      <c r="A35" s="21">
        <v>850033272758</v>
      </c>
      <c r="B35" s="33" t="s">
        <v>114</v>
      </c>
      <c r="C35" s="25">
        <v>14.21</v>
      </c>
      <c r="D35" s="11">
        <v>11.31</v>
      </c>
      <c r="E35" s="28"/>
      <c r="F35" s="25">
        <f t="shared" ref="F35:F66" si="2">E35*C35</f>
        <v>0</v>
      </c>
      <c r="G35" s="11">
        <f t="shared" ref="G35:G66" si="3">IF(E35&lt;100,E35*C35,E35*D35)</f>
        <v>0</v>
      </c>
    </row>
    <row r="36" spans="1:7" x14ac:dyDescent="0.3">
      <c r="A36" s="21">
        <v>859793007938</v>
      </c>
      <c r="B36" s="33" t="s">
        <v>31</v>
      </c>
      <c r="C36" s="25">
        <v>20.62</v>
      </c>
      <c r="D36" s="11">
        <v>17.72</v>
      </c>
      <c r="E36" s="28"/>
      <c r="F36" s="25">
        <f t="shared" si="2"/>
        <v>0</v>
      </c>
      <c r="G36" s="11">
        <f t="shared" si="3"/>
        <v>0</v>
      </c>
    </row>
    <row r="37" spans="1:7" x14ac:dyDescent="0.3">
      <c r="A37" s="21">
        <v>859793007136</v>
      </c>
      <c r="B37" s="33" t="s">
        <v>32</v>
      </c>
      <c r="C37" s="25">
        <v>15.79</v>
      </c>
      <c r="D37" s="11">
        <v>12.89</v>
      </c>
      <c r="E37" s="28"/>
      <c r="F37" s="25">
        <f t="shared" si="2"/>
        <v>0</v>
      </c>
      <c r="G37" s="11">
        <f t="shared" si="3"/>
        <v>0</v>
      </c>
    </row>
    <row r="38" spans="1:7" x14ac:dyDescent="0.3">
      <c r="A38" s="21">
        <v>859793007082</v>
      </c>
      <c r="B38" s="33" t="s">
        <v>33</v>
      </c>
      <c r="C38" s="25">
        <v>17.62</v>
      </c>
      <c r="D38" s="11">
        <v>14.72</v>
      </c>
      <c r="E38" s="28"/>
      <c r="F38" s="25">
        <f t="shared" si="2"/>
        <v>0</v>
      </c>
      <c r="G38" s="11">
        <f t="shared" si="3"/>
        <v>0</v>
      </c>
    </row>
    <row r="39" spans="1:7" x14ac:dyDescent="0.3">
      <c r="A39" s="21">
        <v>859793007952</v>
      </c>
      <c r="B39" s="33" t="s">
        <v>34</v>
      </c>
      <c r="C39" s="25">
        <v>20.23</v>
      </c>
      <c r="D39" s="11">
        <v>17.329999999999998</v>
      </c>
      <c r="E39" s="28"/>
      <c r="F39" s="25">
        <f t="shared" si="2"/>
        <v>0</v>
      </c>
      <c r="G39" s="11">
        <f t="shared" si="3"/>
        <v>0</v>
      </c>
    </row>
    <row r="40" spans="1:7" x14ac:dyDescent="0.3">
      <c r="A40" s="21">
        <v>859793007617</v>
      </c>
      <c r="B40" s="33" t="s">
        <v>35</v>
      </c>
      <c r="C40" s="25">
        <v>19.53</v>
      </c>
      <c r="D40" s="11">
        <v>16.63</v>
      </c>
      <c r="E40" s="28"/>
      <c r="F40" s="25">
        <f t="shared" si="2"/>
        <v>0</v>
      </c>
      <c r="G40" s="11">
        <f t="shared" si="3"/>
        <v>0</v>
      </c>
    </row>
    <row r="41" spans="1:7" x14ac:dyDescent="0.3">
      <c r="A41" s="21">
        <v>850033272031</v>
      </c>
      <c r="B41" s="33" t="s">
        <v>36</v>
      </c>
      <c r="C41" s="25">
        <v>21.17</v>
      </c>
      <c r="D41" s="11">
        <v>18.27</v>
      </c>
      <c r="E41" s="28"/>
      <c r="F41" s="25">
        <f t="shared" si="2"/>
        <v>0</v>
      </c>
      <c r="G41" s="11">
        <f t="shared" si="3"/>
        <v>0</v>
      </c>
    </row>
    <row r="42" spans="1:7" x14ac:dyDescent="0.3">
      <c r="A42" s="21">
        <v>859793007488</v>
      </c>
      <c r="B42" s="33" t="s">
        <v>37</v>
      </c>
      <c r="C42" s="25">
        <v>23.2</v>
      </c>
      <c r="D42" s="11">
        <v>20.3</v>
      </c>
      <c r="E42" s="28"/>
      <c r="F42" s="25">
        <f t="shared" si="2"/>
        <v>0</v>
      </c>
      <c r="G42" s="11">
        <f t="shared" si="3"/>
        <v>0</v>
      </c>
    </row>
    <row r="43" spans="1:7" x14ac:dyDescent="0.3">
      <c r="A43" s="21">
        <v>859793007686</v>
      </c>
      <c r="B43" s="33" t="s">
        <v>38</v>
      </c>
      <c r="C43" s="25">
        <v>21.39</v>
      </c>
      <c r="D43" s="11">
        <v>18.489999999999998</v>
      </c>
      <c r="E43" s="28"/>
      <c r="F43" s="25">
        <f t="shared" si="2"/>
        <v>0</v>
      </c>
      <c r="G43" s="11">
        <f t="shared" si="3"/>
        <v>0</v>
      </c>
    </row>
    <row r="44" spans="1:7" x14ac:dyDescent="0.3">
      <c r="A44" s="21">
        <v>859793007693</v>
      </c>
      <c r="B44" s="33" t="s">
        <v>39</v>
      </c>
      <c r="C44" s="25">
        <v>23</v>
      </c>
      <c r="D44" s="11">
        <v>20.100000000000001</v>
      </c>
      <c r="E44" s="28"/>
      <c r="F44" s="25">
        <f t="shared" si="2"/>
        <v>0</v>
      </c>
      <c r="G44" s="11">
        <f t="shared" si="3"/>
        <v>0</v>
      </c>
    </row>
    <row r="45" spans="1:7" x14ac:dyDescent="0.3">
      <c r="A45" s="21">
        <v>850033272734</v>
      </c>
      <c r="B45" s="33" t="s">
        <v>120</v>
      </c>
      <c r="C45" s="25">
        <v>18.21</v>
      </c>
      <c r="D45" s="11">
        <v>15.31</v>
      </c>
      <c r="E45" s="28"/>
      <c r="F45" s="25">
        <f t="shared" si="2"/>
        <v>0</v>
      </c>
      <c r="G45" s="11">
        <f t="shared" si="3"/>
        <v>0</v>
      </c>
    </row>
    <row r="46" spans="1:7" x14ac:dyDescent="0.3">
      <c r="A46" s="21">
        <v>866812000191</v>
      </c>
      <c r="B46" s="33" t="s">
        <v>40</v>
      </c>
      <c r="C46" s="25">
        <v>19.43</v>
      </c>
      <c r="D46" s="11">
        <v>16.53</v>
      </c>
      <c r="E46" s="28"/>
      <c r="F46" s="25">
        <f t="shared" si="2"/>
        <v>0</v>
      </c>
      <c r="G46" s="11">
        <f t="shared" si="3"/>
        <v>0</v>
      </c>
    </row>
    <row r="47" spans="1:7" x14ac:dyDescent="0.3">
      <c r="A47" s="21">
        <v>850033272390</v>
      </c>
      <c r="B47" s="33" t="s">
        <v>41</v>
      </c>
      <c r="C47" s="25">
        <v>20.079999999999998</v>
      </c>
      <c r="D47" s="11">
        <v>17.18</v>
      </c>
      <c r="E47" s="28"/>
      <c r="F47" s="25">
        <f t="shared" si="2"/>
        <v>0</v>
      </c>
      <c r="G47" s="11">
        <f t="shared" si="3"/>
        <v>0</v>
      </c>
    </row>
    <row r="48" spans="1:7" x14ac:dyDescent="0.3">
      <c r="A48" s="21">
        <v>850033272185</v>
      </c>
      <c r="B48" s="33" t="s">
        <v>42</v>
      </c>
      <c r="C48" s="25">
        <v>19.809999999999999</v>
      </c>
      <c r="D48" s="11">
        <v>16.91</v>
      </c>
      <c r="E48" s="28"/>
      <c r="F48" s="25">
        <f t="shared" si="2"/>
        <v>0</v>
      </c>
      <c r="G48" s="11">
        <f t="shared" si="3"/>
        <v>0</v>
      </c>
    </row>
    <row r="49" spans="1:7" x14ac:dyDescent="0.3">
      <c r="A49" s="21">
        <v>859793007006</v>
      </c>
      <c r="B49" s="33" t="s">
        <v>43</v>
      </c>
      <c r="C49" s="25">
        <v>17.91</v>
      </c>
      <c r="D49" s="11">
        <v>15.01</v>
      </c>
      <c r="E49" s="28"/>
      <c r="F49" s="25">
        <f t="shared" si="2"/>
        <v>0</v>
      </c>
      <c r="G49" s="11">
        <f t="shared" si="3"/>
        <v>0</v>
      </c>
    </row>
    <row r="50" spans="1:7" x14ac:dyDescent="0.3">
      <c r="A50" s="21">
        <v>859793007600</v>
      </c>
      <c r="B50" s="33" t="s">
        <v>44</v>
      </c>
      <c r="C50" s="25">
        <v>20.420000000000002</v>
      </c>
      <c r="D50" s="11">
        <v>17.52</v>
      </c>
      <c r="E50" s="28"/>
      <c r="F50" s="25">
        <f t="shared" si="2"/>
        <v>0</v>
      </c>
      <c r="G50" s="11">
        <f t="shared" si="3"/>
        <v>0</v>
      </c>
    </row>
    <row r="51" spans="1:7" x14ac:dyDescent="0.3">
      <c r="A51" s="21">
        <v>850033272420</v>
      </c>
      <c r="B51" s="33" t="s">
        <v>45</v>
      </c>
      <c r="C51" s="25">
        <v>14.5</v>
      </c>
      <c r="D51" s="11">
        <v>11.6</v>
      </c>
      <c r="E51" s="28"/>
      <c r="F51" s="25">
        <f t="shared" si="2"/>
        <v>0</v>
      </c>
      <c r="G51" s="11">
        <f t="shared" si="3"/>
        <v>0</v>
      </c>
    </row>
    <row r="52" spans="1:7" x14ac:dyDescent="0.3">
      <c r="A52" s="21">
        <v>859793007907</v>
      </c>
      <c r="B52" s="33" t="s">
        <v>46</v>
      </c>
      <c r="C52" s="25">
        <v>20.52</v>
      </c>
      <c r="D52" s="11">
        <v>17.62</v>
      </c>
      <c r="E52" s="28"/>
      <c r="F52" s="25">
        <f t="shared" si="2"/>
        <v>0</v>
      </c>
      <c r="G52" s="11">
        <f t="shared" si="3"/>
        <v>0</v>
      </c>
    </row>
    <row r="53" spans="1:7" x14ac:dyDescent="0.3">
      <c r="A53" s="21">
        <v>850033272574</v>
      </c>
      <c r="B53" s="33" t="s">
        <v>115</v>
      </c>
      <c r="C53" s="25">
        <v>15.23</v>
      </c>
      <c r="D53" s="11">
        <v>12.33</v>
      </c>
      <c r="E53" s="28"/>
      <c r="F53" s="25">
        <f t="shared" si="2"/>
        <v>0</v>
      </c>
      <c r="G53" s="11">
        <f t="shared" si="3"/>
        <v>0</v>
      </c>
    </row>
    <row r="54" spans="1:7" x14ac:dyDescent="0.3">
      <c r="A54" s="21">
        <v>850033272055</v>
      </c>
      <c r="B54" s="33" t="s">
        <v>47</v>
      </c>
      <c r="C54" s="25">
        <v>16.649999999999999</v>
      </c>
      <c r="D54" s="11">
        <v>13.75</v>
      </c>
      <c r="E54" s="28"/>
      <c r="F54" s="25">
        <f t="shared" si="2"/>
        <v>0</v>
      </c>
      <c r="G54" s="11">
        <f t="shared" si="3"/>
        <v>0</v>
      </c>
    </row>
    <row r="55" spans="1:7" x14ac:dyDescent="0.3">
      <c r="A55" s="21">
        <v>859793007679</v>
      </c>
      <c r="B55" s="33" t="s">
        <v>48</v>
      </c>
      <c r="C55" s="25">
        <v>20.079999999999998</v>
      </c>
      <c r="D55" s="11">
        <v>17.18</v>
      </c>
      <c r="E55" s="28"/>
      <c r="F55" s="25">
        <f t="shared" si="2"/>
        <v>0</v>
      </c>
      <c r="G55" s="11">
        <f t="shared" si="3"/>
        <v>0</v>
      </c>
    </row>
    <row r="56" spans="1:7" x14ac:dyDescent="0.3">
      <c r="A56" s="21">
        <v>859793007976</v>
      </c>
      <c r="B56" s="33" t="s">
        <v>49</v>
      </c>
      <c r="C56" s="25">
        <v>17.489999999999998</v>
      </c>
      <c r="D56" s="11">
        <v>14.59</v>
      </c>
      <c r="E56" s="28"/>
      <c r="F56" s="25">
        <f t="shared" si="2"/>
        <v>0</v>
      </c>
      <c r="G56" s="11">
        <f t="shared" si="3"/>
        <v>0</v>
      </c>
    </row>
    <row r="57" spans="1:7" x14ac:dyDescent="0.3">
      <c r="A57" s="21">
        <v>850033272673</v>
      </c>
      <c r="B57" s="33" t="s">
        <v>116</v>
      </c>
      <c r="C57" s="25">
        <v>18.13</v>
      </c>
      <c r="D57" s="11">
        <v>15.23</v>
      </c>
      <c r="E57" s="28"/>
      <c r="F57" s="25">
        <f t="shared" si="2"/>
        <v>0</v>
      </c>
      <c r="G57" s="11">
        <f t="shared" si="3"/>
        <v>0</v>
      </c>
    </row>
    <row r="58" spans="1:7" x14ac:dyDescent="0.3">
      <c r="A58" s="21">
        <v>859793007587</v>
      </c>
      <c r="B58" s="33" t="s">
        <v>50</v>
      </c>
      <c r="C58" s="25">
        <v>26.03</v>
      </c>
      <c r="D58" s="11">
        <v>23.13</v>
      </c>
      <c r="E58" s="28"/>
      <c r="F58" s="25">
        <f t="shared" si="2"/>
        <v>0</v>
      </c>
      <c r="G58" s="11">
        <f t="shared" si="3"/>
        <v>0</v>
      </c>
    </row>
    <row r="59" spans="1:7" x14ac:dyDescent="0.3">
      <c r="A59" s="21">
        <v>859793007280</v>
      </c>
      <c r="B59" s="33" t="s">
        <v>51</v>
      </c>
      <c r="C59" s="25">
        <v>21.75</v>
      </c>
      <c r="D59" s="11">
        <v>18.850000000000001</v>
      </c>
      <c r="E59" s="28"/>
      <c r="F59" s="25">
        <f t="shared" si="2"/>
        <v>0</v>
      </c>
      <c r="G59" s="11">
        <f t="shared" si="3"/>
        <v>0</v>
      </c>
    </row>
    <row r="60" spans="1:7" x14ac:dyDescent="0.3">
      <c r="A60" s="21">
        <v>859793007303</v>
      </c>
      <c r="B60" s="33" t="s">
        <v>52</v>
      </c>
      <c r="C60" s="25">
        <v>21.39</v>
      </c>
      <c r="D60" s="11">
        <v>18.489999999999998</v>
      </c>
      <c r="E60" s="28"/>
      <c r="F60" s="25">
        <f t="shared" si="2"/>
        <v>0</v>
      </c>
      <c r="G60" s="11">
        <f t="shared" si="3"/>
        <v>0</v>
      </c>
    </row>
    <row r="61" spans="1:7" x14ac:dyDescent="0.3">
      <c r="A61" s="21">
        <v>859793007020</v>
      </c>
      <c r="B61" s="33" t="s">
        <v>53</v>
      </c>
      <c r="C61" s="25">
        <v>18.71</v>
      </c>
      <c r="D61" s="11">
        <v>15.81</v>
      </c>
      <c r="E61" s="28"/>
      <c r="F61" s="25">
        <f t="shared" si="2"/>
        <v>0</v>
      </c>
      <c r="G61" s="11">
        <f t="shared" si="3"/>
        <v>0</v>
      </c>
    </row>
    <row r="62" spans="1:7" x14ac:dyDescent="0.3">
      <c r="A62" s="21">
        <v>850033272086</v>
      </c>
      <c r="B62" s="33" t="s">
        <v>54</v>
      </c>
      <c r="C62" s="25">
        <v>21.75</v>
      </c>
      <c r="D62" s="11">
        <v>18.850000000000001</v>
      </c>
      <c r="E62" s="28"/>
      <c r="F62" s="25">
        <f t="shared" si="2"/>
        <v>0</v>
      </c>
      <c r="G62" s="11">
        <f t="shared" si="3"/>
        <v>0</v>
      </c>
    </row>
    <row r="63" spans="1:7" x14ac:dyDescent="0.3">
      <c r="A63" s="21">
        <v>850033272765</v>
      </c>
      <c r="B63" s="33" t="s">
        <v>117</v>
      </c>
      <c r="C63" s="25">
        <v>18.850000000000001</v>
      </c>
      <c r="D63" s="11">
        <v>15.95</v>
      </c>
      <c r="E63" s="28"/>
      <c r="F63" s="25">
        <f t="shared" si="2"/>
        <v>0</v>
      </c>
      <c r="G63" s="11">
        <f t="shared" si="3"/>
        <v>0</v>
      </c>
    </row>
    <row r="64" spans="1:7" x14ac:dyDescent="0.3">
      <c r="A64" s="21">
        <v>859793007242</v>
      </c>
      <c r="B64" s="33" t="s">
        <v>55</v>
      </c>
      <c r="C64" s="25">
        <v>18.27</v>
      </c>
      <c r="D64" s="11">
        <v>15.37</v>
      </c>
      <c r="E64" s="28"/>
      <c r="F64" s="25">
        <f t="shared" si="2"/>
        <v>0</v>
      </c>
      <c r="G64" s="11">
        <f t="shared" si="3"/>
        <v>0</v>
      </c>
    </row>
    <row r="65" spans="1:7" x14ac:dyDescent="0.3">
      <c r="A65" s="21">
        <v>850033272819</v>
      </c>
      <c r="B65" s="33" t="s">
        <v>121</v>
      </c>
      <c r="C65" s="25">
        <v>20.6</v>
      </c>
      <c r="D65" s="11">
        <v>17.7</v>
      </c>
      <c r="E65" s="28"/>
      <c r="F65" s="25">
        <f t="shared" si="2"/>
        <v>0</v>
      </c>
      <c r="G65" s="11">
        <f t="shared" si="3"/>
        <v>0</v>
      </c>
    </row>
    <row r="66" spans="1:7" x14ac:dyDescent="0.3">
      <c r="A66" s="21">
        <v>850033272376</v>
      </c>
      <c r="B66" s="33" t="s">
        <v>56</v>
      </c>
      <c r="C66" s="25">
        <v>24.65</v>
      </c>
      <c r="D66" s="11">
        <v>21.75</v>
      </c>
      <c r="E66" s="28"/>
      <c r="F66" s="25">
        <f t="shared" si="2"/>
        <v>0</v>
      </c>
      <c r="G66" s="11">
        <f t="shared" si="3"/>
        <v>0</v>
      </c>
    </row>
    <row r="67" spans="1:7" x14ac:dyDescent="0.3">
      <c r="A67" s="21">
        <v>859793007969</v>
      </c>
      <c r="B67" s="33" t="s">
        <v>57</v>
      </c>
      <c r="C67" s="25">
        <v>14.91</v>
      </c>
      <c r="D67" s="11">
        <v>12.01</v>
      </c>
      <c r="E67" s="28"/>
      <c r="F67" s="25">
        <f t="shared" ref="F67:F98" si="4">E67*C67</f>
        <v>0</v>
      </c>
      <c r="G67" s="11">
        <f t="shared" ref="G67:G98" si="5">IF(E67&lt;100,E67*C67,E67*D67)</f>
        <v>0</v>
      </c>
    </row>
    <row r="68" spans="1:7" x14ac:dyDescent="0.3">
      <c r="A68" s="21">
        <v>859793007211</v>
      </c>
      <c r="B68" s="33" t="s">
        <v>58</v>
      </c>
      <c r="C68" s="25">
        <v>33.35</v>
      </c>
      <c r="D68" s="11">
        <v>30.45</v>
      </c>
      <c r="E68" s="28"/>
      <c r="F68" s="25">
        <f t="shared" si="4"/>
        <v>0</v>
      </c>
      <c r="G68" s="11">
        <f t="shared" si="5"/>
        <v>0</v>
      </c>
    </row>
    <row r="69" spans="1:7" x14ac:dyDescent="0.3">
      <c r="A69" s="21">
        <v>850033272277</v>
      </c>
      <c r="B69" s="33" t="s">
        <v>59</v>
      </c>
      <c r="C69" s="25">
        <v>19.39</v>
      </c>
      <c r="D69" s="11">
        <v>16.489999999999998</v>
      </c>
      <c r="E69" s="28"/>
      <c r="F69" s="25">
        <f t="shared" si="4"/>
        <v>0</v>
      </c>
      <c r="G69" s="11">
        <f t="shared" si="5"/>
        <v>0</v>
      </c>
    </row>
    <row r="70" spans="1:7" x14ac:dyDescent="0.3">
      <c r="A70" s="21">
        <v>850033272154</v>
      </c>
      <c r="B70" s="33" t="s">
        <v>60</v>
      </c>
      <c r="C70" s="25">
        <v>20.3</v>
      </c>
      <c r="D70" s="11">
        <v>17.399999999999999</v>
      </c>
      <c r="E70" s="28"/>
      <c r="F70" s="25">
        <f t="shared" si="4"/>
        <v>0</v>
      </c>
      <c r="G70" s="11">
        <f t="shared" si="5"/>
        <v>0</v>
      </c>
    </row>
    <row r="71" spans="1:7" x14ac:dyDescent="0.3">
      <c r="A71" s="21">
        <v>859793007662</v>
      </c>
      <c r="B71" s="33" t="s">
        <v>61</v>
      </c>
      <c r="C71" s="25">
        <v>20.74</v>
      </c>
      <c r="D71" s="11">
        <v>17.84</v>
      </c>
      <c r="E71" s="28"/>
      <c r="F71" s="25">
        <f t="shared" si="4"/>
        <v>0</v>
      </c>
      <c r="G71" s="11">
        <f t="shared" si="5"/>
        <v>0</v>
      </c>
    </row>
    <row r="72" spans="1:7" x14ac:dyDescent="0.3">
      <c r="A72" s="21">
        <v>859793007914</v>
      </c>
      <c r="B72" s="33" t="s">
        <v>62</v>
      </c>
      <c r="C72" s="25">
        <v>21.34</v>
      </c>
      <c r="D72" s="11">
        <v>18.440000000000001</v>
      </c>
      <c r="E72" s="28"/>
      <c r="F72" s="25">
        <f t="shared" si="4"/>
        <v>0</v>
      </c>
      <c r="G72" s="11">
        <f t="shared" si="5"/>
        <v>0</v>
      </c>
    </row>
    <row r="73" spans="1:7" x14ac:dyDescent="0.3">
      <c r="A73" s="21">
        <v>859793007358</v>
      </c>
      <c r="B73" s="33" t="s">
        <v>63</v>
      </c>
      <c r="C73" s="25">
        <v>18.559999999999999</v>
      </c>
      <c r="D73" s="11">
        <v>15.66</v>
      </c>
      <c r="E73" s="28"/>
      <c r="F73" s="25">
        <f t="shared" si="4"/>
        <v>0</v>
      </c>
      <c r="G73" s="11">
        <f t="shared" si="5"/>
        <v>0</v>
      </c>
    </row>
    <row r="74" spans="1:7" x14ac:dyDescent="0.3">
      <c r="A74" s="21">
        <v>850033272246</v>
      </c>
      <c r="B74" s="33" t="s">
        <v>64</v>
      </c>
      <c r="C74" s="25">
        <v>20.37</v>
      </c>
      <c r="D74" s="11">
        <v>17.47</v>
      </c>
      <c r="E74" s="28"/>
      <c r="F74" s="25">
        <f t="shared" si="4"/>
        <v>0</v>
      </c>
      <c r="G74" s="11">
        <f t="shared" si="5"/>
        <v>0</v>
      </c>
    </row>
    <row r="75" spans="1:7" x14ac:dyDescent="0.3">
      <c r="A75" s="21">
        <v>850033272215</v>
      </c>
      <c r="B75" s="33" t="s">
        <v>65</v>
      </c>
      <c r="C75" s="25">
        <v>19.18</v>
      </c>
      <c r="D75" s="11">
        <v>16.28</v>
      </c>
      <c r="E75" s="28"/>
      <c r="F75" s="25">
        <f t="shared" si="4"/>
        <v>0</v>
      </c>
      <c r="G75" s="11">
        <f t="shared" si="5"/>
        <v>0</v>
      </c>
    </row>
    <row r="76" spans="1:7" x14ac:dyDescent="0.3">
      <c r="A76" s="21">
        <v>859793007518</v>
      </c>
      <c r="B76" s="33" t="s">
        <v>66</v>
      </c>
      <c r="C76" s="25">
        <v>25.38</v>
      </c>
      <c r="D76" s="11">
        <v>22.48</v>
      </c>
      <c r="E76" s="28"/>
      <c r="F76" s="25">
        <f t="shared" si="4"/>
        <v>0</v>
      </c>
      <c r="G76" s="11">
        <f t="shared" si="5"/>
        <v>0</v>
      </c>
    </row>
    <row r="77" spans="1:7" x14ac:dyDescent="0.3">
      <c r="A77" s="21">
        <v>859793007297</v>
      </c>
      <c r="B77" s="33" t="s">
        <v>67</v>
      </c>
      <c r="C77" s="25">
        <v>19.63</v>
      </c>
      <c r="D77" s="11">
        <v>16.73</v>
      </c>
      <c r="E77" s="28"/>
      <c r="F77" s="25">
        <f t="shared" si="4"/>
        <v>0</v>
      </c>
      <c r="G77" s="11">
        <f t="shared" si="5"/>
        <v>0</v>
      </c>
    </row>
    <row r="78" spans="1:7" x14ac:dyDescent="0.3">
      <c r="A78" s="21">
        <v>866812000122</v>
      </c>
      <c r="B78" s="33" t="s">
        <v>68</v>
      </c>
      <c r="C78" s="25">
        <v>24.58</v>
      </c>
      <c r="D78" s="11">
        <v>21.68</v>
      </c>
      <c r="E78" s="28"/>
      <c r="F78" s="25">
        <f t="shared" si="4"/>
        <v>0</v>
      </c>
      <c r="G78" s="11">
        <f t="shared" si="5"/>
        <v>0</v>
      </c>
    </row>
    <row r="79" spans="1:7" x14ac:dyDescent="0.3">
      <c r="A79" s="21">
        <v>859793007860</v>
      </c>
      <c r="B79" s="33" t="s">
        <v>69</v>
      </c>
      <c r="C79" s="25">
        <v>18.920000000000002</v>
      </c>
      <c r="D79" s="11">
        <v>16.02</v>
      </c>
      <c r="E79" s="28"/>
      <c r="F79" s="25">
        <f t="shared" si="4"/>
        <v>0</v>
      </c>
      <c r="G79" s="11">
        <f t="shared" si="5"/>
        <v>0</v>
      </c>
    </row>
    <row r="80" spans="1:7" x14ac:dyDescent="0.3">
      <c r="A80" s="21">
        <v>850033272406</v>
      </c>
      <c r="B80" s="33" t="s">
        <v>70</v>
      </c>
      <c r="C80" s="25">
        <v>20.59</v>
      </c>
      <c r="D80" s="11">
        <v>17.690000000000001</v>
      </c>
      <c r="E80" s="28"/>
      <c r="F80" s="25">
        <f t="shared" si="4"/>
        <v>0</v>
      </c>
      <c r="G80" s="11">
        <f t="shared" si="5"/>
        <v>0</v>
      </c>
    </row>
    <row r="81" spans="1:7" x14ac:dyDescent="0.3">
      <c r="A81" s="21">
        <v>859793007402</v>
      </c>
      <c r="B81" s="33" t="s">
        <v>71</v>
      </c>
      <c r="C81" s="25">
        <v>19.53</v>
      </c>
      <c r="D81" s="11">
        <v>16.63</v>
      </c>
      <c r="E81" s="28"/>
      <c r="F81" s="25">
        <f t="shared" si="4"/>
        <v>0</v>
      </c>
      <c r="G81" s="11">
        <f t="shared" si="5"/>
        <v>0</v>
      </c>
    </row>
    <row r="82" spans="1:7" x14ac:dyDescent="0.3">
      <c r="A82" s="21">
        <v>859793007709</v>
      </c>
      <c r="B82" s="33" t="s">
        <v>72</v>
      </c>
      <c r="C82" s="25">
        <v>20.81</v>
      </c>
      <c r="D82" s="11">
        <v>17.91</v>
      </c>
      <c r="E82" s="28"/>
      <c r="F82" s="25">
        <f t="shared" si="4"/>
        <v>0</v>
      </c>
      <c r="G82" s="11">
        <f t="shared" si="5"/>
        <v>0</v>
      </c>
    </row>
    <row r="83" spans="1:7" x14ac:dyDescent="0.3">
      <c r="A83" s="21">
        <v>859793007471</v>
      </c>
      <c r="B83" s="33" t="s">
        <v>73</v>
      </c>
      <c r="C83" s="25">
        <v>20.16</v>
      </c>
      <c r="D83" s="11">
        <v>17.260000000000002</v>
      </c>
      <c r="E83" s="28"/>
      <c r="F83" s="25">
        <f t="shared" si="4"/>
        <v>0</v>
      </c>
      <c r="G83" s="11">
        <f t="shared" si="5"/>
        <v>0</v>
      </c>
    </row>
    <row r="84" spans="1:7" x14ac:dyDescent="0.3">
      <c r="A84" s="21">
        <v>859793007501</v>
      </c>
      <c r="B84" s="33" t="s">
        <v>74</v>
      </c>
      <c r="C84" s="25">
        <v>20.3</v>
      </c>
      <c r="D84" s="11">
        <v>17.399999999999999</v>
      </c>
      <c r="E84" s="28"/>
      <c r="F84" s="25">
        <f t="shared" si="4"/>
        <v>0</v>
      </c>
      <c r="G84" s="11">
        <f t="shared" si="5"/>
        <v>0</v>
      </c>
    </row>
    <row r="85" spans="1:7" x14ac:dyDescent="0.3">
      <c r="A85" s="21">
        <v>850033272437</v>
      </c>
      <c r="B85" s="33" t="s">
        <v>75</v>
      </c>
      <c r="C85" s="25">
        <v>20.3</v>
      </c>
      <c r="D85" s="11">
        <v>17.399999999999999</v>
      </c>
      <c r="E85" s="28"/>
      <c r="F85" s="25">
        <f t="shared" si="4"/>
        <v>0</v>
      </c>
      <c r="G85" s="11">
        <f t="shared" si="5"/>
        <v>0</v>
      </c>
    </row>
    <row r="86" spans="1:7" x14ac:dyDescent="0.3">
      <c r="A86" s="21">
        <v>850033272413</v>
      </c>
      <c r="B86" s="33" t="s">
        <v>76</v>
      </c>
      <c r="C86" s="25">
        <v>20.66</v>
      </c>
      <c r="D86" s="11">
        <v>17.760000000000002</v>
      </c>
      <c r="E86" s="28"/>
      <c r="F86" s="25">
        <f t="shared" si="4"/>
        <v>0</v>
      </c>
      <c r="G86" s="11">
        <f t="shared" si="5"/>
        <v>0</v>
      </c>
    </row>
    <row r="87" spans="1:7" x14ac:dyDescent="0.3">
      <c r="A87" s="21">
        <v>859793007822</v>
      </c>
      <c r="B87" s="33" t="s">
        <v>77</v>
      </c>
      <c r="C87" s="25">
        <v>22.17</v>
      </c>
      <c r="D87" s="11">
        <v>19.27</v>
      </c>
      <c r="E87" s="28"/>
      <c r="F87" s="25">
        <f t="shared" si="4"/>
        <v>0</v>
      </c>
      <c r="G87" s="11">
        <f t="shared" si="5"/>
        <v>0</v>
      </c>
    </row>
    <row r="88" spans="1:7" x14ac:dyDescent="0.3">
      <c r="A88" s="21">
        <v>850033272826</v>
      </c>
      <c r="B88" s="33" t="s">
        <v>118</v>
      </c>
      <c r="C88" s="25">
        <v>28.43</v>
      </c>
      <c r="D88" s="11">
        <v>25.53</v>
      </c>
      <c r="E88" s="28"/>
      <c r="F88" s="25">
        <f t="shared" si="4"/>
        <v>0</v>
      </c>
      <c r="G88" s="11">
        <f t="shared" si="5"/>
        <v>0</v>
      </c>
    </row>
    <row r="89" spans="1:7" x14ac:dyDescent="0.3">
      <c r="A89" s="21">
        <v>850033272239</v>
      </c>
      <c r="B89" s="33" t="s">
        <v>78</v>
      </c>
      <c r="C89" s="25">
        <v>19.88</v>
      </c>
      <c r="D89" s="11">
        <v>16.98</v>
      </c>
      <c r="E89" s="28"/>
      <c r="F89" s="25">
        <f t="shared" si="4"/>
        <v>0</v>
      </c>
      <c r="G89" s="11">
        <f t="shared" si="5"/>
        <v>0</v>
      </c>
    </row>
    <row r="90" spans="1:7" x14ac:dyDescent="0.3">
      <c r="A90" s="21">
        <v>859793007327</v>
      </c>
      <c r="B90" s="33" t="s">
        <v>79</v>
      </c>
      <c r="C90" s="25">
        <v>28.93</v>
      </c>
      <c r="D90" s="11">
        <v>26.03</v>
      </c>
      <c r="E90" s="28"/>
      <c r="F90" s="25">
        <f t="shared" si="4"/>
        <v>0</v>
      </c>
      <c r="G90" s="11">
        <f t="shared" si="5"/>
        <v>0</v>
      </c>
    </row>
    <row r="91" spans="1:7" x14ac:dyDescent="0.3">
      <c r="A91" s="21">
        <v>859793007624</v>
      </c>
      <c r="B91" s="33" t="s">
        <v>80</v>
      </c>
      <c r="C91" s="25">
        <v>72.430000000000007</v>
      </c>
      <c r="D91" s="11">
        <v>57.93</v>
      </c>
      <c r="E91" s="28"/>
      <c r="F91" s="25">
        <f t="shared" si="4"/>
        <v>0</v>
      </c>
      <c r="G91" s="11">
        <f t="shared" si="5"/>
        <v>0</v>
      </c>
    </row>
    <row r="92" spans="1:7" x14ac:dyDescent="0.3">
      <c r="A92" s="21">
        <v>859793007266</v>
      </c>
      <c r="B92" s="33" t="s">
        <v>81</v>
      </c>
      <c r="C92" s="25">
        <v>18.95</v>
      </c>
      <c r="D92" s="11">
        <v>16.05</v>
      </c>
      <c r="E92" s="28"/>
      <c r="F92" s="25">
        <f t="shared" si="4"/>
        <v>0</v>
      </c>
      <c r="G92" s="11">
        <f t="shared" si="5"/>
        <v>0</v>
      </c>
    </row>
    <row r="93" spans="1:7" x14ac:dyDescent="0.3">
      <c r="A93" s="21">
        <v>859793007099</v>
      </c>
      <c r="B93" s="33" t="s">
        <v>82</v>
      </c>
      <c r="C93" s="25">
        <v>17.62</v>
      </c>
      <c r="D93" s="11">
        <v>14.72</v>
      </c>
      <c r="E93" s="28"/>
      <c r="F93" s="25">
        <f t="shared" si="4"/>
        <v>0</v>
      </c>
      <c r="G93" s="11">
        <f t="shared" si="5"/>
        <v>0</v>
      </c>
    </row>
    <row r="94" spans="1:7" x14ac:dyDescent="0.3">
      <c r="A94" s="21">
        <v>850033272697</v>
      </c>
      <c r="B94" s="33" t="s">
        <v>83</v>
      </c>
      <c r="C94" s="25">
        <v>18.850000000000001</v>
      </c>
      <c r="D94" s="11">
        <v>15.95</v>
      </c>
      <c r="E94" s="28"/>
      <c r="F94" s="25">
        <f t="shared" si="4"/>
        <v>0</v>
      </c>
      <c r="G94" s="11">
        <f t="shared" si="5"/>
        <v>0</v>
      </c>
    </row>
    <row r="95" spans="1:7" x14ac:dyDescent="0.3">
      <c r="A95" s="21">
        <v>859793007495</v>
      </c>
      <c r="B95" s="33" t="s">
        <v>84</v>
      </c>
      <c r="C95" s="25">
        <v>19.72</v>
      </c>
      <c r="D95" s="11">
        <v>16.82</v>
      </c>
      <c r="E95" s="28"/>
      <c r="F95" s="25">
        <f t="shared" si="4"/>
        <v>0</v>
      </c>
      <c r="G95" s="11">
        <f t="shared" si="5"/>
        <v>0</v>
      </c>
    </row>
    <row r="96" spans="1:7" x14ac:dyDescent="0.3">
      <c r="A96" s="21">
        <v>866812000139</v>
      </c>
      <c r="B96" s="33" t="s">
        <v>85</v>
      </c>
      <c r="C96" s="25">
        <v>19.07</v>
      </c>
      <c r="D96" s="11">
        <v>16.170000000000002</v>
      </c>
      <c r="E96" s="28"/>
      <c r="F96" s="25">
        <f t="shared" si="4"/>
        <v>0</v>
      </c>
      <c r="G96" s="11">
        <f t="shared" si="5"/>
        <v>0</v>
      </c>
    </row>
    <row r="97" spans="1:7" x14ac:dyDescent="0.3">
      <c r="A97" s="21">
        <v>859793007037</v>
      </c>
      <c r="B97" s="33" t="s">
        <v>86</v>
      </c>
      <c r="C97" s="25">
        <v>18.420000000000002</v>
      </c>
      <c r="D97" s="11">
        <v>15.52</v>
      </c>
      <c r="E97" s="28"/>
      <c r="F97" s="25">
        <f t="shared" si="4"/>
        <v>0</v>
      </c>
      <c r="G97" s="11">
        <f t="shared" si="5"/>
        <v>0</v>
      </c>
    </row>
    <row r="98" spans="1:7" x14ac:dyDescent="0.3">
      <c r="A98" s="21">
        <v>850033272024</v>
      </c>
      <c r="B98" s="33" t="s">
        <v>87</v>
      </c>
      <c r="C98" s="25">
        <v>18.05</v>
      </c>
      <c r="D98" s="11">
        <v>15.15</v>
      </c>
      <c r="E98" s="28"/>
      <c r="F98" s="25">
        <f t="shared" si="4"/>
        <v>0</v>
      </c>
      <c r="G98" s="11">
        <f t="shared" si="5"/>
        <v>0</v>
      </c>
    </row>
    <row r="99" spans="1:7" x14ac:dyDescent="0.3">
      <c r="A99" s="21">
        <v>859793007747</v>
      </c>
      <c r="B99" s="33" t="s">
        <v>88</v>
      </c>
      <c r="C99" s="25">
        <v>24.58</v>
      </c>
      <c r="D99" s="11">
        <v>23.13</v>
      </c>
      <c r="E99" s="28"/>
      <c r="F99" s="25">
        <f t="shared" ref="F99:F130" si="6">E99*C99</f>
        <v>0</v>
      </c>
      <c r="G99" s="11">
        <f t="shared" ref="G99:G130" si="7">IF(E99&lt;100,E99*C99,E99*D99)</f>
        <v>0</v>
      </c>
    </row>
    <row r="100" spans="1:7" x14ac:dyDescent="0.3">
      <c r="A100" s="21">
        <v>850033272109</v>
      </c>
      <c r="B100" s="33" t="s">
        <v>89</v>
      </c>
      <c r="C100" s="25">
        <v>19.43</v>
      </c>
      <c r="D100" s="11">
        <v>16.53</v>
      </c>
      <c r="E100" s="28"/>
      <c r="F100" s="25">
        <f t="shared" si="6"/>
        <v>0</v>
      </c>
      <c r="G100" s="11">
        <f t="shared" si="7"/>
        <v>0</v>
      </c>
    </row>
    <row r="101" spans="1:7" x14ac:dyDescent="0.3">
      <c r="A101" s="21">
        <v>859793007648</v>
      </c>
      <c r="B101" s="33" t="s">
        <v>90</v>
      </c>
      <c r="C101" s="25">
        <v>21.97</v>
      </c>
      <c r="D101" s="11">
        <v>19.07</v>
      </c>
      <c r="E101" s="28"/>
      <c r="F101" s="25">
        <f t="shared" si="6"/>
        <v>0</v>
      </c>
      <c r="G101" s="11">
        <f t="shared" si="7"/>
        <v>0</v>
      </c>
    </row>
    <row r="102" spans="1:7" x14ac:dyDescent="0.3">
      <c r="A102" s="21">
        <v>859793007884</v>
      </c>
      <c r="B102" s="33" t="s">
        <v>91</v>
      </c>
      <c r="C102" s="25">
        <v>19.649999999999999</v>
      </c>
      <c r="D102" s="11">
        <v>16.75</v>
      </c>
      <c r="E102" s="28"/>
      <c r="F102" s="25">
        <f t="shared" si="6"/>
        <v>0</v>
      </c>
      <c r="G102" s="11">
        <f t="shared" si="7"/>
        <v>0</v>
      </c>
    </row>
    <row r="103" spans="1:7" x14ac:dyDescent="0.3">
      <c r="A103" s="21">
        <v>859793007181</v>
      </c>
      <c r="B103" s="33" t="s">
        <v>92</v>
      </c>
      <c r="C103" s="25">
        <v>19</v>
      </c>
      <c r="D103" s="11">
        <v>16.100000000000001</v>
      </c>
      <c r="E103" s="28"/>
      <c r="F103" s="25">
        <f t="shared" si="6"/>
        <v>0</v>
      </c>
      <c r="G103" s="11">
        <f t="shared" si="7"/>
        <v>0</v>
      </c>
    </row>
    <row r="104" spans="1:7" x14ac:dyDescent="0.3">
      <c r="A104" s="21">
        <v>859793007150</v>
      </c>
      <c r="B104" s="33" t="s">
        <v>93</v>
      </c>
      <c r="C104" s="25">
        <v>22.91</v>
      </c>
      <c r="D104" s="11">
        <v>20.010000000000002</v>
      </c>
      <c r="E104" s="28"/>
      <c r="F104" s="25">
        <f t="shared" si="6"/>
        <v>0</v>
      </c>
      <c r="G104" s="11">
        <f t="shared" si="7"/>
        <v>0</v>
      </c>
    </row>
    <row r="105" spans="1:7" x14ac:dyDescent="0.3">
      <c r="A105" s="21">
        <v>859793007556</v>
      </c>
      <c r="B105" s="33" t="s">
        <v>94</v>
      </c>
      <c r="C105" s="25">
        <v>20.23</v>
      </c>
      <c r="D105" s="11">
        <v>17.329999999999998</v>
      </c>
      <c r="E105" s="28"/>
      <c r="F105" s="25">
        <f t="shared" si="6"/>
        <v>0</v>
      </c>
      <c r="G105" s="11">
        <f t="shared" si="7"/>
        <v>0</v>
      </c>
    </row>
    <row r="106" spans="1:7" x14ac:dyDescent="0.3">
      <c r="A106" s="21">
        <v>850033272130</v>
      </c>
      <c r="B106" s="33" t="s">
        <v>95</v>
      </c>
      <c r="C106" s="25">
        <v>19.34</v>
      </c>
      <c r="D106" s="11">
        <v>16.440000000000001</v>
      </c>
      <c r="E106" s="28"/>
      <c r="F106" s="25">
        <f t="shared" si="6"/>
        <v>0</v>
      </c>
      <c r="G106" s="11">
        <f t="shared" si="7"/>
        <v>0</v>
      </c>
    </row>
    <row r="107" spans="1:7" x14ac:dyDescent="0.3">
      <c r="A107" s="21">
        <v>850033272260</v>
      </c>
      <c r="B107" s="33" t="s">
        <v>96</v>
      </c>
      <c r="C107" s="25">
        <v>20.65</v>
      </c>
      <c r="D107" s="11">
        <v>17.75</v>
      </c>
      <c r="E107" s="28"/>
      <c r="F107" s="25">
        <f t="shared" si="6"/>
        <v>0</v>
      </c>
      <c r="G107" s="11">
        <f t="shared" si="7"/>
        <v>0</v>
      </c>
    </row>
    <row r="108" spans="1:7" x14ac:dyDescent="0.3">
      <c r="A108" s="21">
        <v>850033272062</v>
      </c>
      <c r="B108" s="33" t="s">
        <v>97</v>
      </c>
      <c r="C108" s="25">
        <v>24.45</v>
      </c>
      <c r="D108" s="11">
        <v>21.55</v>
      </c>
      <c r="E108" s="28"/>
      <c r="F108" s="25">
        <f t="shared" si="6"/>
        <v>0</v>
      </c>
      <c r="G108" s="11">
        <f t="shared" si="7"/>
        <v>0</v>
      </c>
    </row>
    <row r="109" spans="1:7" x14ac:dyDescent="0.3">
      <c r="A109" s="21">
        <v>850033272383</v>
      </c>
      <c r="B109" s="33" t="s">
        <v>98</v>
      </c>
      <c r="C109" s="25">
        <v>46.4</v>
      </c>
      <c r="D109" s="11">
        <v>43.5</v>
      </c>
      <c r="E109" s="28"/>
      <c r="F109" s="25">
        <f t="shared" si="6"/>
        <v>0</v>
      </c>
      <c r="G109" s="11">
        <f t="shared" si="7"/>
        <v>0</v>
      </c>
    </row>
    <row r="110" spans="1:7" x14ac:dyDescent="0.3">
      <c r="A110" s="21">
        <v>866812000108</v>
      </c>
      <c r="B110" s="33" t="s">
        <v>99</v>
      </c>
      <c r="C110" s="25">
        <v>20.37</v>
      </c>
      <c r="D110" s="11">
        <v>17.47</v>
      </c>
      <c r="E110" s="28"/>
      <c r="F110" s="25">
        <f t="shared" si="6"/>
        <v>0</v>
      </c>
      <c r="G110" s="11">
        <f t="shared" si="7"/>
        <v>0</v>
      </c>
    </row>
    <row r="111" spans="1:7" x14ac:dyDescent="0.3">
      <c r="A111" s="21">
        <v>850033272222</v>
      </c>
      <c r="B111" s="33" t="s">
        <v>100</v>
      </c>
      <c r="C111" s="25">
        <v>19.91</v>
      </c>
      <c r="D111" s="11">
        <v>17.010000000000002</v>
      </c>
      <c r="E111" s="28"/>
      <c r="F111" s="25">
        <f t="shared" si="6"/>
        <v>0</v>
      </c>
      <c r="G111" s="11">
        <f t="shared" si="7"/>
        <v>0</v>
      </c>
    </row>
    <row r="112" spans="1:7" x14ac:dyDescent="0.3">
      <c r="A112" s="21">
        <v>859793007143</v>
      </c>
      <c r="B112" s="33" t="s">
        <v>101</v>
      </c>
      <c r="C112" s="25">
        <v>20.45</v>
      </c>
      <c r="D112" s="11">
        <v>17.55</v>
      </c>
      <c r="E112" s="28"/>
      <c r="F112" s="25">
        <f t="shared" si="6"/>
        <v>0</v>
      </c>
      <c r="G112" s="11">
        <f t="shared" si="7"/>
        <v>0</v>
      </c>
    </row>
    <row r="113" spans="1:7" x14ac:dyDescent="0.3">
      <c r="A113" s="21">
        <v>859793007365</v>
      </c>
      <c r="B113" s="33" t="s">
        <v>102</v>
      </c>
      <c r="C113" s="25">
        <v>19</v>
      </c>
      <c r="D113" s="11">
        <v>16.100000000000001</v>
      </c>
      <c r="E113" s="28"/>
      <c r="F113" s="25">
        <f t="shared" si="6"/>
        <v>0</v>
      </c>
      <c r="G113" s="11">
        <f t="shared" si="7"/>
        <v>0</v>
      </c>
    </row>
    <row r="114" spans="1:7" x14ac:dyDescent="0.3">
      <c r="A114" s="21">
        <v>850033272710</v>
      </c>
      <c r="B114" s="33" t="s">
        <v>119</v>
      </c>
      <c r="C114" s="25">
        <v>15.91</v>
      </c>
      <c r="D114" s="11">
        <v>13.01</v>
      </c>
      <c r="E114" s="28"/>
      <c r="F114" s="25">
        <f t="shared" si="6"/>
        <v>0</v>
      </c>
      <c r="G114" s="11">
        <f t="shared" si="7"/>
        <v>0</v>
      </c>
    </row>
    <row r="115" spans="1:7" x14ac:dyDescent="0.3">
      <c r="A115" s="21">
        <v>859793007983</v>
      </c>
      <c r="B115" s="33" t="s">
        <v>103</v>
      </c>
      <c r="C115" s="25">
        <v>19.82</v>
      </c>
      <c r="D115" s="11">
        <v>16.920000000000002</v>
      </c>
      <c r="E115" s="28"/>
      <c r="F115" s="25">
        <f t="shared" si="6"/>
        <v>0</v>
      </c>
      <c r="G115" s="11">
        <f t="shared" si="7"/>
        <v>0</v>
      </c>
    </row>
    <row r="116" spans="1:7" x14ac:dyDescent="0.3">
      <c r="A116" s="21">
        <v>859793007464</v>
      </c>
      <c r="B116" s="33" t="s">
        <v>104</v>
      </c>
      <c r="C116" s="25">
        <v>28.36</v>
      </c>
      <c r="D116" s="11">
        <v>25.46</v>
      </c>
      <c r="E116" s="28"/>
      <c r="F116" s="25">
        <f t="shared" si="6"/>
        <v>0</v>
      </c>
      <c r="G116" s="11">
        <f t="shared" si="7"/>
        <v>0</v>
      </c>
    </row>
    <row r="117" spans="1:7" x14ac:dyDescent="0.3">
      <c r="A117" s="21">
        <v>850033272123</v>
      </c>
      <c r="B117" s="33" t="s">
        <v>105</v>
      </c>
      <c r="C117" s="25">
        <v>31.74</v>
      </c>
      <c r="D117" s="11">
        <v>28.84</v>
      </c>
      <c r="E117" s="28"/>
      <c r="F117" s="25">
        <f t="shared" si="6"/>
        <v>0</v>
      </c>
      <c r="G117" s="11">
        <f t="shared" si="7"/>
        <v>0</v>
      </c>
    </row>
    <row r="118" spans="1:7" x14ac:dyDescent="0.3">
      <c r="A118" s="21">
        <v>859793007273</v>
      </c>
      <c r="B118" s="33" t="s">
        <v>106</v>
      </c>
      <c r="C118" s="25">
        <v>18.21</v>
      </c>
      <c r="D118" s="11">
        <v>15.31</v>
      </c>
      <c r="E118" s="28"/>
      <c r="F118" s="25">
        <f t="shared" si="6"/>
        <v>0</v>
      </c>
      <c r="G118" s="11">
        <f t="shared" si="7"/>
        <v>0</v>
      </c>
    </row>
    <row r="119" spans="1:7" x14ac:dyDescent="0.3">
      <c r="A119" s="21">
        <v>859793007396</v>
      </c>
      <c r="B119" s="33" t="s">
        <v>107</v>
      </c>
      <c r="C119" s="25">
        <v>18.72</v>
      </c>
      <c r="D119" s="11">
        <v>15.82</v>
      </c>
      <c r="E119" s="28"/>
      <c r="F119" s="25">
        <f t="shared" si="6"/>
        <v>0</v>
      </c>
      <c r="G119" s="11">
        <f t="shared" si="7"/>
        <v>0</v>
      </c>
    </row>
    <row r="120" spans="1:7" x14ac:dyDescent="0.3">
      <c r="A120" s="21">
        <v>859793007921</v>
      </c>
      <c r="B120" s="33" t="s">
        <v>108</v>
      </c>
      <c r="C120" s="25">
        <v>21.08</v>
      </c>
      <c r="D120" s="11">
        <v>18.18</v>
      </c>
      <c r="E120" s="28"/>
      <c r="F120" s="25">
        <f t="shared" si="6"/>
        <v>0</v>
      </c>
      <c r="G120" s="11">
        <f t="shared" si="7"/>
        <v>0</v>
      </c>
    </row>
    <row r="121" spans="1:7" x14ac:dyDescent="0.3">
      <c r="A121" s="21">
        <v>859793007716</v>
      </c>
      <c r="B121" s="33" t="s">
        <v>109</v>
      </c>
      <c r="C121" s="25">
        <v>18.78</v>
      </c>
      <c r="D121" s="11">
        <v>15.88</v>
      </c>
      <c r="E121" s="28"/>
      <c r="F121" s="25">
        <f t="shared" si="6"/>
        <v>0</v>
      </c>
      <c r="G121" s="11">
        <f t="shared" si="7"/>
        <v>0</v>
      </c>
    </row>
    <row r="122" spans="1:7" x14ac:dyDescent="0.3">
      <c r="A122" s="21">
        <v>850033272956</v>
      </c>
      <c r="B122" s="33" t="s">
        <v>130</v>
      </c>
      <c r="C122" s="25">
        <v>15.95</v>
      </c>
      <c r="D122" s="11">
        <v>13.05</v>
      </c>
      <c r="E122" s="28"/>
      <c r="F122" s="25">
        <f t="shared" si="6"/>
        <v>0</v>
      </c>
      <c r="G122" s="11">
        <f t="shared" si="7"/>
        <v>0</v>
      </c>
    </row>
    <row r="123" spans="1:7" x14ac:dyDescent="0.3">
      <c r="A123" s="21">
        <v>810142230001</v>
      </c>
      <c r="B123" s="33" t="s">
        <v>131</v>
      </c>
      <c r="C123" s="25">
        <v>16.2</v>
      </c>
      <c r="D123" s="11">
        <v>13.3</v>
      </c>
      <c r="E123" s="28"/>
      <c r="F123" s="25">
        <f t="shared" si="6"/>
        <v>0</v>
      </c>
      <c r="G123" s="11">
        <f t="shared" si="7"/>
        <v>0</v>
      </c>
    </row>
    <row r="124" spans="1:7" x14ac:dyDescent="0.3">
      <c r="A124" s="21">
        <v>850033272888</v>
      </c>
      <c r="B124" s="33" t="s">
        <v>132</v>
      </c>
      <c r="C124" s="25">
        <v>21.03</v>
      </c>
      <c r="D124" s="11">
        <v>18.13</v>
      </c>
      <c r="E124" s="28"/>
      <c r="F124" s="25">
        <f t="shared" si="6"/>
        <v>0</v>
      </c>
      <c r="G124" s="11">
        <f t="shared" si="7"/>
        <v>0</v>
      </c>
    </row>
    <row r="125" spans="1:7" x14ac:dyDescent="0.3">
      <c r="A125" s="21">
        <v>850033272772</v>
      </c>
      <c r="B125" s="33" t="s">
        <v>133</v>
      </c>
      <c r="C125" s="25">
        <v>21.03</v>
      </c>
      <c r="D125" s="11">
        <v>18.13</v>
      </c>
      <c r="E125" s="28"/>
      <c r="F125" s="25">
        <f t="shared" si="6"/>
        <v>0</v>
      </c>
      <c r="G125" s="11">
        <f t="shared" si="7"/>
        <v>0</v>
      </c>
    </row>
    <row r="126" spans="1:7" x14ac:dyDescent="0.3">
      <c r="A126" s="21">
        <v>810142230087</v>
      </c>
      <c r="B126" s="33" t="s">
        <v>134</v>
      </c>
      <c r="C126" s="25">
        <v>21.2</v>
      </c>
      <c r="D126" s="11">
        <v>18.3</v>
      </c>
      <c r="E126" s="28"/>
      <c r="F126" s="25">
        <f t="shared" si="6"/>
        <v>0</v>
      </c>
      <c r="G126" s="11">
        <f t="shared" si="7"/>
        <v>0</v>
      </c>
    </row>
    <row r="127" spans="1:7" x14ac:dyDescent="0.3">
      <c r="A127" s="21">
        <v>810142230049</v>
      </c>
      <c r="B127" s="33" t="s">
        <v>135</v>
      </c>
      <c r="C127" s="25">
        <v>26.69</v>
      </c>
      <c r="D127" s="11">
        <v>23.79</v>
      </c>
      <c r="E127" s="28"/>
      <c r="F127" s="25">
        <f t="shared" si="6"/>
        <v>0</v>
      </c>
      <c r="G127" s="11">
        <f t="shared" si="7"/>
        <v>0</v>
      </c>
    </row>
    <row r="128" spans="1:7" x14ac:dyDescent="0.3">
      <c r="A128" s="21">
        <v>810142230032</v>
      </c>
      <c r="B128" s="33" t="s">
        <v>136</v>
      </c>
      <c r="C128" s="25">
        <v>22.3</v>
      </c>
      <c r="D128" s="11">
        <v>19.399999999999999</v>
      </c>
      <c r="E128" s="28"/>
      <c r="F128" s="25">
        <f t="shared" si="6"/>
        <v>0</v>
      </c>
      <c r="G128" s="11">
        <f t="shared" si="7"/>
        <v>0</v>
      </c>
    </row>
    <row r="129" spans="1:7" x14ac:dyDescent="0.3">
      <c r="A129" s="21">
        <v>850033272925</v>
      </c>
      <c r="B129" s="33" t="s">
        <v>137</v>
      </c>
      <c r="C129" s="25">
        <v>17.05</v>
      </c>
      <c r="D129" s="11">
        <v>14.15</v>
      </c>
      <c r="E129" s="28"/>
      <c r="F129" s="25">
        <f t="shared" si="6"/>
        <v>0</v>
      </c>
      <c r="G129" s="11">
        <f t="shared" si="7"/>
        <v>0</v>
      </c>
    </row>
    <row r="130" spans="1:7" x14ac:dyDescent="0.3">
      <c r="A130" s="21">
        <v>850033272994</v>
      </c>
      <c r="B130" s="33" t="s">
        <v>138</v>
      </c>
      <c r="C130" s="25">
        <v>16.41</v>
      </c>
      <c r="D130" s="11">
        <v>13.51</v>
      </c>
      <c r="E130" s="28"/>
      <c r="F130" s="25">
        <f t="shared" si="6"/>
        <v>0</v>
      </c>
      <c r="G130" s="11">
        <f t="shared" si="7"/>
        <v>0</v>
      </c>
    </row>
    <row r="131" spans="1:7" x14ac:dyDescent="0.3">
      <c r="A131" s="21">
        <v>850033272932</v>
      </c>
      <c r="B131" s="33" t="s">
        <v>139</v>
      </c>
      <c r="C131" s="25">
        <v>16.149999999999999</v>
      </c>
      <c r="D131" s="11">
        <v>13.25</v>
      </c>
      <c r="E131" s="28"/>
      <c r="F131" s="25">
        <f t="shared" ref="F131:F162" si="8">E131*C131</f>
        <v>0</v>
      </c>
      <c r="G131" s="11">
        <f t="shared" ref="G131:G145" si="9">IF(E131&lt;100,E131*C131,E131*D131)</f>
        <v>0</v>
      </c>
    </row>
    <row r="132" spans="1:7" x14ac:dyDescent="0.3">
      <c r="A132" s="21">
        <v>850033272895</v>
      </c>
      <c r="B132" s="33" t="s">
        <v>140</v>
      </c>
      <c r="C132" s="25">
        <v>26.1</v>
      </c>
      <c r="D132" s="11">
        <v>23.2</v>
      </c>
      <c r="E132" s="28"/>
      <c r="F132" s="25">
        <f t="shared" si="8"/>
        <v>0</v>
      </c>
      <c r="G132" s="11">
        <f t="shared" si="9"/>
        <v>0</v>
      </c>
    </row>
    <row r="133" spans="1:7" x14ac:dyDescent="0.3">
      <c r="A133" s="21">
        <v>810142230117</v>
      </c>
      <c r="B133" s="33" t="s">
        <v>141</v>
      </c>
      <c r="C133" s="25">
        <v>16.5</v>
      </c>
      <c r="D133" s="11">
        <v>13.6</v>
      </c>
      <c r="E133" s="28"/>
      <c r="F133" s="25">
        <f t="shared" si="8"/>
        <v>0</v>
      </c>
      <c r="G133" s="11">
        <f t="shared" si="9"/>
        <v>0</v>
      </c>
    </row>
    <row r="134" spans="1:7" x14ac:dyDescent="0.3">
      <c r="A134" s="21">
        <v>850033272833</v>
      </c>
      <c r="B134" s="33" t="s">
        <v>142</v>
      </c>
      <c r="C134" s="25">
        <v>20.3</v>
      </c>
      <c r="D134" s="11">
        <v>17.399999999999999</v>
      </c>
      <c r="E134" s="28"/>
      <c r="F134" s="25">
        <f t="shared" si="8"/>
        <v>0</v>
      </c>
      <c r="G134" s="11">
        <f t="shared" si="9"/>
        <v>0</v>
      </c>
    </row>
    <row r="135" spans="1:7" x14ac:dyDescent="0.3">
      <c r="A135" s="21">
        <v>810142230070</v>
      </c>
      <c r="B135" s="33" t="s">
        <v>143</v>
      </c>
      <c r="C135" s="25">
        <v>31.71</v>
      </c>
      <c r="D135" s="11">
        <v>28.81</v>
      </c>
      <c r="E135" s="28"/>
      <c r="F135" s="25">
        <f t="shared" si="8"/>
        <v>0</v>
      </c>
      <c r="G135" s="11">
        <f t="shared" si="9"/>
        <v>0</v>
      </c>
    </row>
    <row r="136" spans="1:7" x14ac:dyDescent="0.3">
      <c r="A136" s="21">
        <v>850033272949</v>
      </c>
      <c r="B136" s="33" t="s">
        <v>144</v>
      </c>
      <c r="C136" s="25">
        <v>15.7</v>
      </c>
      <c r="D136" s="11">
        <v>12.8</v>
      </c>
      <c r="E136" s="28"/>
      <c r="F136" s="25">
        <f t="shared" si="8"/>
        <v>0</v>
      </c>
      <c r="G136" s="11">
        <f t="shared" si="9"/>
        <v>0</v>
      </c>
    </row>
    <row r="137" spans="1:7" x14ac:dyDescent="0.3">
      <c r="A137" s="21">
        <v>850033272963</v>
      </c>
      <c r="B137" s="33" t="s">
        <v>145</v>
      </c>
      <c r="C137" s="25">
        <v>28.65</v>
      </c>
      <c r="D137" s="11">
        <v>25.75</v>
      </c>
      <c r="E137" s="28"/>
      <c r="F137" s="25">
        <f t="shared" si="8"/>
        <v>0</v>
      </c>
      <c r="G137" s="11">
        <f t="shared" si="9"/>
        <v>0</v>
      </c>
    </row>
    <row r="138" spans="1:7" x14ac:dyDescent="0.3">
      <c r="A138" s="21">
        <v>850033272918</v>
      </c>
      <c r="B138" s="33" t="s">
        <v>146</v>
      </c>
      <c r="C138" s="25">
        <v>14.59</v>
      </c>
      <c r="D138" s="11">
        <v>11.69</v>
      </c>
      <c r="E138" s="28"/>
      <c r="F138" s="25">
        <f t="shared" si="8"/>
        <v>0</v>
      </c>
      <c r="G138" s="11">
        <f t="shared" si="9"/>
        <v>0</v>
      </c>
    </row>
    <row r="139" spans="1:7" x14ac:dyDescent="0.3">
      <c r="A139" s="21">
        <v>850033272789</v>
      </c>
      <c r="B139" s="33" t="s">
        <v>147</v>
      </c>
      <c r="C139" s="25">
        <v>21.75</v>
      </c>
      <c r="D139" s="11">
        <v>18.850000000000001</v>
      </c>
      <c r="E139" s="28"/>
      <c r="F139" s="25">
        <f t="shared" si="8"/>
        <v>0</v>
      </c>
      <c r="G139" s="11">
        <f t="shared" si="9"/>
        <v>0</v>
      </c>
    </row>
    <row r="140" spans="1:7" x14ac:dyDescent="0.3">
      <c r="A140" s="21">
        <v>850033272802</v>
      </c>
      <c r="B140" s="33" t="s">
        <v>148</v>
      </c>
      <c r="C140" s="25">
        <v>23.2</v>
      </c>
      <c r="D140" s="11">
        <v>20.3</v>
      </c>
      <c r="E140" s="28"/>
      <c r="F140" s="25">
        <f t="shared" si="8"/>
        <v>0</v>
      </c>
      <c r="G140" s="11">
        <f t="shared" si="9"/>
        <v>0</v>
      </c>
    </row>
    <row r="141" spans="1:7" x14ac:dyDescent="0.3">
      <c r="A141" s="21">
        <v>850033272840</v>
      </c>
      <c r="B141" s="33" t="s">
        <v>149</v>
      </c>
      <c r="C141" s="25">
        <v>18.52</v>
      </c>
      <c r="D141" s="11">
        <v>15.62</v>
      </c>
      <c r="E141" s="28"/>
      <c r="F141" s="25">
        <f t="shared" si="8"/>
        <v>0</v>
      </c>
      <c r="G141" s="11">
        <f t="shared" si="9"/>
        <v>0</v>
      </c>
    </row>
    <row r="142" spans="1:7" x14ac:dyDescent="0.3">
      <c r="A142" s="21">
        <v>850033272796</v>
      </c>
      <c r="B142" s="33" t="s">
        <v>150</v>
      </c>
      <c r="C142" s="25">
        <v>20.92</v>
      </c>
      <c r="D142" s="11">
        <v>18.02</v>
      </c>
      <c r="E142" s="28"/>
      <c r="F142" s="25">
        <f t="shared" si="8"/>
        <v>0</v>
      </c>
      <c r="G142" s="11">
        <f t="shared" si="9"/>
        <v>0</v>
      </c>
    </row>
    <row r="143" spans="1:7" x14ac:dyDescent="0.3">
      <c r="A143" s="21">
        <v>850033272901</v>
      </c>
      <c r="B143" s="33" t="s">
        <v>151</v>
      </c>
      <c r="C143" s="25">
        <v>14.89</v>
      </c>
      <c r="D143" s="11">
        <v>11.99</v>
      </c>
      <c r="E143" s="28"/>
      <c r="F143" s="25">
        <f t="shared" si="8"/>
        <v>0</v>
      </c>
      <c r="G143" s="11">
        <f t="shared" si="9"/>
        <v>0</v>
      </c>
    </row>
    <row r="144" spans="1:7" x14ac:dyDescent="0.3">
      <c r="A144" s="21">
        <v>850033272987</v>
      </c>
      <c r="B144" s="33" t="s">
        <v>152</v>
      </c>
      <c r="C144" s="25">
        <v>15.37</v>
      </c>
      <c r="D144" s="11">
        <v>12.47</v>
      </c>
      <c r="E144" s="28"/>
      <c r="F144" s="25">
        <f t="shared" si="8"/>
        <v>0</v>
      </c>
      <c r="G144" s="11">
        <f t="shared" si="9"/>
        <v>0</v>
      </c>
    </row>
    <row r="145" spans="1:7" ht="15" thickBot="1" x14ac:dyDescent="0.35">
      <c r="A145" s="22">
        <v>850033272864</v>
      </c>
      <c r="B145" s="34" t="s">
        <v>153</v>
      </c>
      <c r="C145" s="26">
        <v>17.02</v>
      </c>
      <c r="D145" s="12">
        <v>14.12</v>
      </c>
      <c r="E145" s="29"/>
      <c r="F145" s="26">
        <f t="shared" si="8"/>
        <v>0</v>
      </c>
      <c r="G145" s="12">
        <f t="shared" si="9"/>
        <v>0</v>
      </c>
    </row>
    <row r="146" spans="1:7" x14ac:dyDescent="0.3">
      <c r="E146" s="19"/>
    </row>
    <row r="147" spans="1:7" ht="15" thickBot="1" x14ac:dyDescent="0.35">
      <c r="E147" s="19"/>
    </row>
    <row r="148" spans="1:7" ht="29.4" customHeight="1" thickBot="1" x14ac:dyDescent="0.35">
      <c r="B148" s="13"/>
      <c r="E148" s="19"/>
    </row>
    <row r="149" spans="1:7" x14ac:dyDescent="0.3">
      <c r="B149" s="14" t="s">
        <v>154</v>
      </c>
      <c r="E149" s="19"/>
    </row>
    <row r="150" spans="1:7" x14ac:dyDescent="0.3">
      <c r="B150" s="15" t="s">
        <v>155</v>
      </c>
      <c r="E150" s="19"/>
    </row>
    <row r="151" spans="1:7" ht="15" thickBot="1" x14ac:dyDescent="0.35">
      <c r="B151" s="16" t="s">
        <v>126</v>
      </c>
      <c r="E151" s="19"/>
    </row>
    <row r="152" spans="1:7" x14ac:dyDescent="0.3">
      <c r="B152" s="17" t="s">
        <v>127</v>
      </c>
      <c r="E152" s="19"/>
    </row>
    <row r="153" spans="1:7" ht="15" thickBot="1" x14ac:dyDescent="0.35">
      <c r="B153" s="18" t="s">
        <v>128</v>
      </c>
      <c r="E153" s="19"/>
    </row>
    <row r="154" spans="1:7" x14ac:dyDescent="0.3">
      <c r="E154" s="19"/>
    </row>
    <row r="155" spans="1:7" x14ac:dyDescent="0.3">
      <c r="E155" s="19"/>
    </row>
    <row r="156" spans="1:7" x14ac:dyDescent="0.3">
      <c r="E156" s="19"/>
    </row>
    <row r="157" spans="1:7" x14ac:dyDescent="0.3">
      <c r="E157" s="19"/>
    </row>
    <row r="158" spans="1:7" x14ac:dyDescent="0.3">
      <c r="E158" s="19"/>
    </row>
    <row r="159" spans="1:7" x14ac:dyDescent="0.3">
      <c r="E159" s="19"/>
    </row>
    <row r="160" spans="1:7" x14ac:dyDescent="0.3">
      <c r="E160" s="19"/>
    </row>
    <row r="161" spans="5:5" x14ac:dyDescent="0.3">
      <c r="E161" s="19"/>
    </row>
    <row r="162" spans="5:5" x14ac:dyDescent="0.3">
      <c r="E162" s="19"/>
    </row>
    <row r="163" spans="5:5" x14ac:dyDescent="0.3">
      <c r="E163" s="19"/>
    </row>
    <row r="164" spans="5:5" x14ac:dyDescent="0.3">
      <c r="E164" s="19"/>
    </row>
    <row r="165" spans="5:5" x14ac:dyDescent="0.3">
      <c r="E165" s="19"/>
    </row>
    <row r="166" spans="5:5" x14ac:dyDescent="0.3">
      <c r="E166" s="19"/>
    </row>
    <row r="167" spans="5:5" x14ac:dyDescent="0.3">
      <c r="E167" s="19"/>
    </row>
    <row r="168" spans="5:5" x14ac:dyDescent="0.3">
      <c r="E168" s="19"/>
    </row>
    <row r="169" spans="5:5" x14ac:dyDescent="0.3">
      <c r="E169" s="19"/>
    </row>
    <row r="170" spans="5:5" x14ac:dyDescent="0.3">
      <c r="E170" s="19"/>
    </row>
    <row r="171" spans="5:5" x14ac:dyDescent="0.3">
      <c r="E171" s="19"/>
    </row>
    <row r="172" spans="5:5" x14ac:dyDescent="0.3">
      <c r="E172" s="19"/>
    </row>
    <row r="173" spans="5:5" x14ac:dyDescent="0.3">
      <c r="E173" s="19"/>
    </row>
    <row r="174" spans="5:5" x14ac:dyDescent="0.3">
      <c r="E174" s="19"/>
    </row>
    <row r="175" spans="5:5" x14ac:dyDescent="0.3">
      <c r="E175" s="19"/>
    </row>
    <row r="176" spans="5:5" x14ac:dyDescent="0.3">
      <c r="E176" s="19"/>
    </row>
    <row r="177" spans="5:5" x14ac:dyDescent="0.3">
      <c r="E177" s="19"/>
    </row>
    <row r="178" spans="5:5" x14ac:dyDescent="0.3">
      <c r="E178" s="19"/>
    </row>
    <row r="179" spans="5:5" x14ac:dyDescent="0.3">
      <c r="E179" s="19"/>
    </row>
    <row r="180" spans="5:5" x14ac:dyDescent="0.3">
      <c r="E180" s="19"/>
    </row>
    <row r="181" spans="5:5" x14ac:dyDescent="0.3">
      <c r="E181" s="19"/>
    </row>
    <row r="182" spans="5:5" x14ac:dyDescent="0.3">
      <c r="E182" s="19"/>
    </row>
    <row r="183" spans="5:5" x14ac:dyDescent="0.3">
      <c r="E183" s="19"/>
    </row>
    <row r="184" spans="5:5" x14ac:dyDescent="0.3">
      <c r="E184" s="19"/>
    </row>
    <row r="185" spans="5:5" x14ac:dyDescent="0.3">
      <c r="E185" s="19"/>
    </row>
    <row r="186" spans="5:5" x14ac:dyDescent="0.3">
      <c r="E186" s="19"/>
    </row>
    <row r="187" spans="5:5" x14ac:dyDescent="0.3">
      <c r="E187" s="19"/>
    </row>
    <row r="188" spans="5:5" x14ac:dyDescent="0.3">
      <c r="E188" s="19"/>
    </row>
    <row r="189" spans="5:5" x14ac:dyDescent="0.3">
      <c r="E189" s="19"/>
    </row>
    <row r="190" spans="5:5" x14ac:dyDescent="0.3">
      <c r="E190" s="19"/>
    </row>
    <row r="191" spans="5:5" x14ac:dyDescent="0.3">
      <c r="E191" s="19"/>
    </row>
    <row r="192" spans="5:5" x14ac:dyDescent="0.3">
      <c r="E192" s="19"/>
    </row>
    <row r="193" spans="5:5" x14ac:dyDescent="0.3">
      <c r="E193" s="19"/>
    </row>
    <row r="194" spans="5:5" x14ac:dyDescent="0.3">
      <c r="E194" s="19"/>
    </row>
    <row r="195" spans="5:5" x14ac:dyDescent="0.3">
      <c r="E195" s="19"/>
    </row>
    <row r="196" spans="5:5" x14ac:dyDescent="0.3">
      <c r="E196" s="19"/>
    </row>
    <row r="197" spans="5:5" x14ac:dyDescent="0.3">
      <c r="E197" s="19"/>
    </row>
    <row r="198" spans="5:5" x14ac:dyDescent="0.3">
      <c r="E198" s="19"/>
    </row>
    <row r="199" spans="5:5" x14ac:dyDescent="0.3">
      <c r="E199" s="19"/>
    </row>
    <row r="200" spans="5:5" x14ac:dyDescent="0.3">
      <c r="E200" s="19"/>
    </row>
    <row r="201" spans="5:5" x14ac:dyDescent="0.3">
      <c r="E201" s="19"/>
    </row>
    <row r="202" spans="5:5" x14ac:dyDescent="0.3">
      <c r="E202" s="19"/>
    </row>
    <row r="203" spans="5:5" x14ac:dyDescent="0.3">
      <c r="E203" s="19"/>
    </row>
    <row r="204" spans="5:5" x14ac:dyDescent="0.3">
      <c r="E204" s="19"/>
    </row>
    <row r="205" spans="5:5" x14ac:dyDescent="0.3">
      <c r="E205" s="19"/>
    </row>
    <row r="206" spans="5:5" x14ac:dyDescent="0.3">
      <c r="E206" s="19"/>
    </row>
    <row r="207" spans="5:5" x14ac:dyDescent="0.3">
      <c r="E207" s="19"/>
    </row>
    <row r="208" spans="5:5" x14ac:dyDescent="0.3">
      <c r="E208" s="19"/>
    </row>
    <row r="209" spans="5:5" x14ac:dyDescent="0.3">
      <c r="E209" s="19"/>
    </row>
    <row r="210" spans="5:5" x14ac:dyDescent="0.3">
      <c r="E210" s="19"/>
    </row>
    <row r="211" spans="5:5" x14ac:dyDescent="0.3">
      <c r="E211" s="19"/>
    </row>
    <row r="212" spans="5:5" x14ac:dyDescent="0.3">
      <c r="E212" s="19"/>
    </row>
    <row r="213" spans="5:5" x14ac:dyDescent="0.3">
      <c r="E213" s="19"/>
    </row>
    <row r="214" spans="5:5" x14ac:dyDescent="0.3">
      <c r="E214" s="19"/>
    </row>
    <row r="215" spans="5:5" x14ac:dyDescent="0.3">
      <c r="E215" s="19"/>
    </row>
    <row r="216" spans="5:5" x14ac:dyDescent="0.3">
      <c r="E216" s="19"/>
    </row>
    <row r="217" spans="5:5" x14ac:dyDescent="0.3">
      <c r="E217" s="19"/>
    </row>
    <row r="218" spans="5:5" x14ac:dyDescent="0.3">
      <c r="E218" s="19"/>
    </row>
    <row r="219" spans="5:5" x14ac:dyDescent="0.3">
      <c r="E219" s="19"/>
    </row>
    <row r="220" spans="5:5" x14ac:dyDescent="0.3">
      <c r="E220" s="19"/>
    </row>
    <row r="221" spans="5:5" x14ac:dyDescent="0.3">
      <c r="E221" s="19"/>
    </row>
    <row r="222" spans="5:5" x14ac:dyDescent="0.3">
      <c r="E222" s="19"/>
    </row>
    <row r="223" spans="5:5" x14ac:dyDescent="0.3">
      <c r="E223" s="19"/>
    </row>
    <row r="224" spans="5:5" x14ac:dyDescent="0.3">
      <c r="E224" s="19"/>
    </row>
    <row r="225" spans="5:5" x14ac:dyDescent="0.3">
      <c r="E225" s="19"/>
    </row>
    <row r="226" spans="5:5" x14ac:dyDescent="0.3">
      <c r="E226" s="19"/>
    </row>
    <row r="227" spans="5:5" x14ac:dyDescent="0.3">
      <c r="E227" s="19"/>
    </row>
    <row r="228" spans="5:5" x14ac:dyDescent="0.3">
      <c r="E228" s="19"/>
    </row>
    <row r="229" spans="5:5" x14ac:dyDescent="0.3">
      <c r="E229" s="19"/>
    </row>
    <row r="230" spans="5:5" x14ac:dyDescent="0.3">
      <c r="E230" s="19"/>
    </row>
    <row r="231" spans="5:5" x14ac:dyDescent="0.3">
      <c r="E231" s="19"/>
    </row>
    <row r="232" spans="5:5" x14ac:dyDescent="0.3">
      <c r="E232" s="19"/>
    </row>
    <row r="233" spans="5:5" x14ac:dyDescent="0.3">
      <c r="E233" s="19"/>
    </row>
    <row r="234" spans="5:5" x14ac:dyDescent="0.3">
      <c r="E234" s="19"/>
    </row>
    <row r="235" spans="5:5" x14ac:dyDescent="0.3">
      <c r="E235" s="19"/>
    </row>
    <row r="236" spans="5:5" x14ac:dyDescent="0.3">
      <c r="E236" s="19"/>
    </row>
    <row r="237" spans="5:5" x14ac:dyDescent="0.3">
      <c r="E237" s="19"/>
    </row>
    <row r="238" spans="5:5" x14ac:dyDescent="0.3">
      <c r="E238" s="19"/>
    </row>
    <row r="239" spans="5:5" x14ac:dyDescent="0.3">
      <c r="E239" s="19"/>
    </row>
    <row r="240" spans="5:5" x14ac:dyDescent="0.3">
      <c r="E240" s="19"/>
    </row>
    <row r="241" spans="5:5" x14ac:dyDescent="0.3">
      <c r="E241" s="19"/>
    </row>
    <row r="242" spans="5:5" x14ac:dyDescent="0.3">
      <c r="E242" s="19"/>
    </row>
    <row r="243" spans="5:5" x14ac:dyDescent="0.3">
      <c r="E243" s="19"/>
    </row>
    <row r="244" spans="5:5" x14ac:dyDescent="0.3">
      <c r="E244" s="19"/>
    </row>
    <row r="245" spans="5:5" x14ac:dyDescent="0.3">
      <c r="E245" s="19"/>
    </row>
    <row r="246" spans="5:5" x14ac:dyDescent="0.3">
      <c r="E246" s="19"/>
    </row>
    <row r="247" spans="5:5" x14ac:dyDescent="0.3">
      <c r="E247" s="19"/>
    </row>
    <row r="248" spans="5:5" x14ac:dyDescent="0.3">
      <c r="E248" s="19"/>
    </row>
    <row r="249" spans="5:5" x14ac:dyDescent="0.3">
      <c r="E249" s="19"/>
    </row>
    <row r="250" spans="5:5" x14ac:dyDescent="0.3">
      <c r="E250" s="19"/>
    </row>
    <row r="251" spans="5:5" x14ac:dyDescent="0.3">
      <c r="E251" s="19"/>
    </row>
    <row r="252" spans="5:5" x14ac:dyDescent="0.3">
      <c r="E252" s="19"/>
    </row>
    <row r="253" spans="5:5" x14ac:dyDescent="0.3">
      <c r="E253" s="19"/>
    </row>
    <row r="254" spans="5:5" x14ac:dyDescent="0.3">
      <c r="E254" s="19"/>
    </row>
    <row r="255" spans="5:5" x14ac:dyDescent="0.3">
      <c r="E255" s="19"/>
    </row>
    <row r="256" spans="5:5" x14ac:dyDescent="0.3">
      <c r="E256" s="19"/>
    </row>
    <row r="257" spans="5:5" x14ac:dyDescent="0.3">
      <c r="E257" s="19"/>
    </row>
    <row r="258" spans="5:5" x14ac:dyDescent="0.3">
      <c r="E258" s="19"/>
    </row>
    <row r="259" spans="5:5" x14ac:dyDescent="0.3">
      <c r="E259" s="19"/>
    </row>
    <row r="260" spans="5:5" x14ac:dyDescent="0.3">
      <c r="E260" s="19"/>
    </row>
    <row r="261" spans="5:5" x14ac:dyDescent="0.3">
      <c r="E261" s="19"/>
    </row>
    <row r="262" spans="5:5" x14ac:dyDescent="0.3">
      <c r="E262" s="19"/>
    </row>
    <row r="263" spans="5:5" x14ac:dyDescent="0.3">
      <c r="E263" s="19"/>
    </row>
    <row r="264" spans="5:5" x14ac:dyDescent="0.3">
      <c r="E264" s="19"/>
    </row>
    <row r="265" spans="5:5" x14ac:dyDescent="0.3">
      <c r="E265" s="19"/>
    </row>
    <row r="266" spans="5:5" x14ac:dyDescent="0.3">
      <c r="E266" s="19"/>
    </row>
    <row r="267" spans="5:5" x14ac:dyDescent="0.3">
      <c r="E267" s="19"/>
    </row>
    <row r="268" spans="5:5" x14ac:dyDescent="0.3">
      <c r="E268" s="19"/>
    </row>
    <row r="269" spans="5:5" x14ac:dyDescent="0.3">
      <c r="E269" s="19"/>
    </row>
    <row r="270" spans="5:5" x14ac:dyDescent="0.3">
      <c r="E270" s="19"/>
    </row>
    <row r="271" spans="5:5" x14ac:dyDescent="0.3">
      <c r="E271" s="19"/>
    </row>
    <row r="272" spans="5:5" x14ac:dyDescent="0.3">
      <c r="E272" s="19"/>
    </row>
    <row r="273" spans="5:5" x14ac:dyDescent="0.3">
      <c r="E273" s="19"/>
    </row>
    <row r="274" spans="5:5" x14ac:dyDescent="0.3">
      <c r="E274" s="19"/>
    </row>
    <row r="275" spans="5:5" x14ac:dyDescent="0.3">
      <c r="E275" s="19"/>
    </row>
    <row r="276" spans="5:5" x14ac:dyDescent="0.3">
      <c r="E276" s="19"/>
    </row>
    <row r="277" spans="5:5" x14ac:dyDescent="0.3">
      <c r="E277" s="19"/>
    </row>
    <row r="278" spans="5:5" x14ac:dyDescent="0.3">
      <c r="E278" s="19"/>
    </row>
    <row r="279" spans="5:5" x14ac:dyDescent="0.3">
      <c r="E279" s="19"/>
    </row>
    <row r="280" spans="5:5" x14ac:dyDescent="0.3">
      <c r="E280" s="19"/>
    </row>
    <row r="281" spans="5:5" x14ac:dyDescent="0.3">
      <c r="E281" s="19"/>
    </row>
    <row r="282" spans="5:5" x14ac:dyDescent="0.3">
      <c r="E282" s="19"/>
    </row>
    <row r="283" spans="5:5" x14ac:dyDescent="0.3">
      <c r="E283" s="19"/>
    </row>
    <row r="284" spans="5:5" x14ac:dyDescent="0.3">
      <c r="E284" s="19"/>
    </row>
    <row r="285" spans="5:5" x14ac:dyDescent="0.3">
      <c r="E285" s="19"/>
    </row>
    <row r="286" spans="5:5" x14ac:dyDescent="0.3">
      <c r="E286" s="19"/>
    </row>
    <row r="287" spans="5:5" x14ac:dyDescent="0.3">
      <c r="E287" s="19"/>
    </row>
    <row r="288" spans="5:5" x14ac:dyDescent="0.3">
      <c r="E288" s="19"/>
    </row>
    <row r="289" spans="5:5" x14ac:dyDescent="0.3">
      <c r="E289" s="19"/>
    </row>
    <row r="290" spans="5:5" x14ac:dyDescent="0.3">
      <c r="E290" s="19"/>
    </row>
    <row r="291" spans="5:5" x14ac:dyDescent="0.3">
      <c r="E291" s="19"/>
    </row>
    <row r="292" spans="5:5" x14ac:dyDescent="0.3">
      <c r="E292" s="19"/>
    </row>
    <row r="293" spans="5:5" x14ac:dyDescent="0.3">
      <c r="E293" s="19"/>
    </row>
    <row r="294" spans="5:5" x14ac:dyDescent="0.3">
      <c r="E294" s="19"/>
    </row>
    <row r="295" spans="5:5" x14ac:dyDescent="0.3">
      <c r="E295" s="19"/>
    </row>
    <row r="296" spans="5:5" x14ac:dyDescent="0.3">
      <c r="E296" s="19"/>
    </row>
    <row r="297" spans="5:5" x14ac:dyDescent="0.3">
      <c r="E297" s="19"/>
    </row>
    <row r="298" spans="5:5" x14ac:dyDescent="0.3">
      <c r="E298" s="19"/>
    </row>
    <row r="299" spans="5:5" x14ac:dyDescent="0.3">
      <c r="E299" s="19"/>
    </row>
    <row r="300" spans="5:5" x14ac:dyDescent="0.3">
      <c r="E300" s="19"/>
    </row>
    <row r="301" spans="5:5" x14ac:dyDescent="0.3">
      <c r="E301" s="19"/>
    </row>
    <row r="302" spans="5:5" x14ac:dyDescent="0.3">
      <c r="E302" s="19"/>
    </row>
    <row r="303" spans="5:5" x14ac:dyDescent="0.3">
      <c r="E303" s="19"/>
    </row>
    <row r="304" spans="5:5" x14ac:dyDescent="0.3">
      <c r="E304" s="19"/>
    </row>
    <row r="305" spans="5:5" x14ac:dyDescent="0.3">
      <c r="E305" s="19"/>
    </row>
    <row r="306" spans="5:5" x14ac:dyDescent="0.3">
      <c r="E306" s="19"/>
    </row>
    <row r="307" spans="5:5" x14ac:dyDescent="0.3">
      <c r="E307" s="19"/>
    </row>
    <row r="308" spans="5:5" x14ac:dyDescent="0.3">
      <c r="E308" s="19"/>
    </row>
    <row r="309" spans="5:5" x14ac:dyDescent="0.3">
      <c r="E309" s="19"/>
    </row>
    <row r="310" spans="5:5" x14ac:dyDescent="0.3">
      <c r="E310" s="19"/>
    </row>
    <row r="311" spans="5:5" x14ac:dyDescent="0.3">
      <c r="E311" s="19"/>
    </row>
    <row r="312" spans="5:5" x14ac:dyDescent="0.3">
      <c r="E312" s="19"/>
    </row>
    <row r="313" spans="5:5" x14ac:dyDescent="0.3">
      <c r="E313" s="19"/>
    </row>
    <row r="314" spans="5:5" x14ac:dyDescent="0.3">
      <c r="E314" s="19"/>
    </row>
    <row r="315" spans="5:5" x14ac:dyDescent="0.3">
      <c r="E315" s="19"/>
    </row>
    <row r="316" spans="5:5" x14ac:dyDescent="0.3">
      <c r="E316" s="19"/>
    </row>
    <row r="317" spans="5:5" x14ac:dyDescent="0.3">
      <c r="E317" s="19"/>
    </row>
    <row r="318" spans="5:5" x14ac:dyDescent="0.3">
      <c r="E318" s="19"/>
    </row>
    <row r="319" spans="5:5" x14ac:dyDescent="0.3">
      <c r="E319" s="19"/>
    </row>
    <row r="320" spans="5:5" x14ac:dyDescent="0.3">
      <c r="E320" s="19"/>
    </row>
    <row r="321" spans="5:5" x14ac:dyDescent="0.3">
      <c r="E321" s="19"/>
    </row>
    <row r="322" spans="5:5" x14ac:dyDescent="0.3">
      <c r="E322" s="19"/>
    </row>
    <row r="323" spans="5:5" x14ac:dyDescent="0.3">
      <c r="E323" s="19"/>
    </row>
    <row r="324" spans="5:5" x14ac:dyDescent="0.3">
      <c r="E324" s="19"/>
    </row>
    <row r="325" spans="5:5" x14ac:dyDescent="0.3">
      <c r="E325" s="19"/>
    </row>
    <row r="326" spans="5:5" x14ac:dyDescent="0.3">
      <c r="E326" s="19"/>
    </row>
    <row r="327" spans="5:5" x14ac:dyDescent="0.3">
      <c r="E327" s="19"/>
    </row>
    <row r="328" spans="5:5" x14ac:dyDescent="0.3">
      <c r="E328" s="19"/>
    </row>
    <row r="329" spans="5:5" x14ac:dyDescent="0.3">
      <c r="E329" s="19"/>
    </row>
    <row r="330" spans="5:5" x14ac:dyDescent="0.3">
      <c r="E330" s="19"/>
    </row>
    <row r="331" spans="5:5" x14ac:dyDescent="0.3">
      <c r="E331" s="19"/>
    </row>
    <row r="332" spans="5:5" x14ac:dyDescent="0.3">
      <c r="E332" s="19"/>
    </row>
    <row r="333" spans="5:5" x14ac:dyDescent="0.3">
      <c r="E333" s="19"/>
    </row>
    <row r="334" spans="5:5" x14ac:dyDescent="0.3">
      <c r="E334" s="19"/>
    </row>
    <row r="335" spans="5:5" x14ac:dyDescent="0.3">
      <c r="E335" s="19"/>
    </row>
    <row r="336" spans="5:5" x14ac:dyDescent="0.3">
      <c r="E336" s="19"/>
    </row>
    <row r="337" spans="5:5" x14ac:dyDescent="0.3">
      <c r="E337" s="19"/>
    </row>
    <row r="338" spans="5:5" x14ac:dyDescent="0.3">
      <c r="E338" s="19"/>
    </row>
    <row r="339" spans="5:5" x14ac:dyDescent="0.3">
      <c r="E339" s="19"/>
    </row>
    <row r="340" spans="5:5" x14ac:dyDescent="0.3">
      <c r="E340" s="19"/>
    </row>
    <row r="341" spans="5:5" x14ac:dyDescent="0.3">
      <c r="E341" s="19"/>
    </row>
    <row r="342" spans="5:5" x14ac:dyDescent="0.3">
      <c r="E342" s="19"/>
    </row>
    <row r="343" spans="5:5" x14ac:dyDescent="0.3">
      <c r="E343" s="19"/>
    </row>
    <row r="344" spans="5:5" x14ac:dyDescent="0.3">
      <c r="E344" s="19"/>
    </row>
    <row r="345" spans="5:5" x14ac:dyDescent="0.3">
      <c r="E345" s="19"/>
    </row>
    <row r="346" spans="5:5" x14ac:dyDescent="0.3">
      <c r="E346" s="19"/>
    </row>
    <row r="347" spans="5:5" x14ac:dyDescent="0.3">
      <c r="E347" s="19"/>
    </row>
    <row r="348" spans="5:5" x14ac:dyDescent="0.3">
      <c r="E348" s="19"/>
    </row>
    <row r="349" spans="5:5" x14ac:dyDescent="0.3">
      <c r="E349" s="19"/>
    </row>
    <row r="350" spans="5:5" x14ac:dyDescent="0.3">
      <c r="E350" s="19"/>
    </row>
    <row r="351" spans="5:5" x14ac:dyDescent="0.3">
      <c r="E351" s="19"/>
    </row>
    <row r="352" spans="5:5" x14ac:dyDescent="0.3">
      <c r="E352" s="19"/>
    </row>
    <row r="353" spans="5:5" x14ac:dyDescent="0.3">
      <c r="E353" s="19"/>
    </row>
    <row r="354" spans="5:5" x14ac:dyDescent="0.3">
      <c r="E354" s="19"/>
    </row>
    <row r="355" spans="5:5" x14ac:dyDescent="0.3">
      <c r="E355" s="19"/>
    </row>
    <row r="356" spans="5:5" x14ac:dyDescent="0.3">
      <c r="E356" s="19"/>
    </row>
    <row r="357" spans="5:5" x14ac:dyDescent="0.3">
      <c r="E357" s="19"/>
    </row>
    <row r="358" spans="5:5" x14ac:dyDescent="0.3">
      <c r="E358" s="19"/>
    </row>
    <row r="359" spans="5:5" x14ac:dyDescent="0.3">
      <c r="E359" s="19"/>
    </row>
    <row r="360" spans="5:5" x14ac:dyDescent="0.3">
      <c r="E360" s="19"/>
    </row>
    <row r="361" spans="5:5" x14ac:dyDescent="0.3">
      <c r="E361" s="19"/>
    </row>
    <row r="362" spans="5:5" x14ac:dyDescent="0.3">
      <c r="E362" s="19"/>
    </row>
    <row r="363" spans="5:5" x14ac:dyDescent="0.3">
      <c r="E363" s="19"/>
    </row>
    <row r="364" spans="5:5" x14ac:dyDescent="0.3">
      <c r="E364" s="19"/>
    </row>
    <row r="365" spans="5:5" x14ac:dyDescent="0.3">
      <c r="E365" s="19"/>
    </row>
    <row r="366" spans="5:5" x14ac:dyDescent="0.3">
      <c r="E366" s="19"/>
    </row>
    <row r="367" spans="5:5" x14ac:dyDescent="0.3">
      <c r="E367" s="19"/>
    </row>
    <row r="368" spans="5:5" x14ac:dyDescent="0.3">
      <c r="E368" s="19"/>
    </row>
    <row r="369" spans="5:5" x14ac:dyDescent="0.3">
      <c r="E369" s="19"/>
    </row>
    <row r="370" spans="5:5" x14ac:dyDescent="0.3">
      <c r="E370" s="19"/>
    </row>
    <row r="371" spans="5:5" x14ac:dyDescent="0.3">
      <c r="E371" s="19"/>
    </row>
    <row r="372" spans="5:5" x14ac:dyDescent="0.3">
      <c r="E372" s="19"/>
    </row>
    <row r="373" spans="5:5" x14ac:dyDescent="0.3">
      <c r="E373" s="19"/>
    </row>
    <row r="374" spans="5:5" x14ac:dyDescent="0.3">
      <c r="E374" s="19"/>
    </row>
    <row r="375" spans="5:5" x14ac:dyDescent="0.3">
      <c r="E375" s="19"/>
    </row>
    <row r="376" spans="5:5" x14ac:dyDescent="0.3">
      <c r="E376" s="19"/>
    </row>
    <row r="377" spans="5:5" x14ac:dyDescent="0.3">
      <c r="E377" s="19"/>
    </row>
    <row r="378" spans="5:5" x14ac:dyDescent="0.3">
      <c r="E378" s="19"/>
    </row>
    <row r="379" spans="5:5" x14ac:dyDescent="0.3">
      <c r="E379" s="19"/>
    </row>
    <row r="380" spans="5:5" x14ac:dyDescent="0.3">
      <c r="E380" s="19"/>
    </row>
    <row r="381" spans="5:5" x14ac:dyDescent="0.3">
      <c r="E381" s="19"/>
    </row>
    <row r="382" spans="5:5" x14ac:dyDescent="0.3">
      <c r="E382" s="19"/>
    </row>
    <row r="383" spans="5:5" x14ac:dyDescent="0.3">
      <c r="E383" s="19"/>
    </row>
    <row r="384" spans="5:5" x14ac:dyDescent="0.3">
      <c r="E384" s="19"/>
    </row>
    <row r="385" spans="5:5" x14ac:dyDescent="0.3">
      <c r="E385" s="19"/>
    </row>
    <row r="386" spans="5:5" x14ac:dyDescent="0.3">
      <c r="E386" s="19"/>
    </row>
    <row r="387" spans="5:5" x14ac:dyDescent="0.3">
      <c r="E387" s="19"/>
    </row>
    <row r="388" spans="5:5" x14ac:dyDescent="0.3">
      <c r="E388" s="19"/>
    </row>
    <row r="389" spans="5:5" x14ac:dyDescent="0.3">
      <c r="E389" s="19"/>
    </row>
    <row r="390" spans="5:5" x14ac:dyDescent="0.3">
      <c r="E390" s="19"/>
    </row>
    <row r="391" spans="5:5" x14ac:dyDescent="0.3">
      <c r="E391" s="19"/>
    </row>
    <row r="392" spans="5:5" x14ac:dyDescent="0.3">
      <c r="E392" s="19"/>
    </row>
    <row r="393" spans="5:5" x14ac:dyDescent="0.3">
      <c r="E393" s="19"/>
    </row>
    <row r="394" spans="5:5" x14ac:dyDescent="0.3">
      <c r="E394" s="19"/>
    </row>
    <row r="395" spans="5:5" x14ac:dyDescent="0.3">
      <c r="E395" s="19"/>
    </row>
    <row r="396" spans="5:5" x14ac:dyDescent="0.3">
      <c r="E396" s="19"/>
    </row>
    <row r="397" spans="5:5" x14ac:dyDescent="0.3">
      <c r="E397" s="19"/>
    </row>
    <row r="398" spans="5:5" x14ac:dyDescent="0.3">
      <c r="E398" s="19"/>
    </row>
    <row r="399" spans="5:5" x14ac:dyDescent="0.3">
      <c r="E399" s="19"/>
    </row>
    <row r="400" spans="5:5" x14ac:dyDescent="0.3">
      <c r="E400" s="19"/>
    </row>
    <row r="401" spans="5:5" x14ac:dyDescent="0.3">
      <c r="E401" s="19"/>
    </row>
    <row r="402" spans="5:5" x14ac:dyDescent="0.3">
      <c r="E402" s="19"/>
    </row>
    <row r="403" spans="5:5" x14ac:dyDescent="0.3">
      <c r="E403" s="19"/>
    </row>
    <row r="404" spans="5:5" x14ac:dyDescent="0.3">
      <c r="E404" s="19"/>
    </row>
    <row r="405" spans="5:5" x14ac:dyDescent="0.3">
      <c r="E405" s="19"/>
    </row>
    <row r="406" spans="5:5" x14ac:dyDescent="0.3">
      <c r="E406" s="19"/>
    </row>
    <row r="407" spans="5:5" x14ac:dyDescent="0.3">
      <c r="E407" s="19"/>
    </row>
    <row r="408" spans="5:5" x14ac:dyDescent="0.3">
      <c r="E408" s="19"/>
    </row>
    <row r="409" spans="5:5" x14ac:dyDescent="0.3">
      <c r="E409" s="19"/>
    </row>
    <row r="410" spans="5:5" x14ac:dyDescent="0.3">
      <c r="E410" s="19"/>
    </row>
    <row r="411" spans="5:5" x14ac:dyDescent="0.3">
      <c r="E411" s="19"/>
    </row>
    <row r="412" spans="5:5" x14ac:dyDescent="0.3">
      <c r="E412" s="19"/>
    </row>
    <row r="413" spans="5:5" x14ac:dyDescent="0.3">
      <c r="E413" s="19"/>
    </row>
    <row r="414" spans="5:5" x14ac:dyDescent="0.3">
      <c r="E414" s="19"/>
    </row>
    <row r="415" spans="5:5" x14ac:dyDescent="0.3">
      <c r="E415" s="19"/>
    </row>
    <row r="416" spans="5:5" x14ac:dyDescent="0.3">
      <c r="E416" s="19"/>
    </row>
    <row r="417" spans="5:5" x14ac:dyDescent="0.3">
      <c r="E417" s="19"/>
    </row>
    <row r="418" spans="5:5" x14ac:dyDescent="0.3">
      <c r="E418" s="19"/>
    </row>
    <row r="419" spans="5:5" x14ac:dyDescent="0.3">
      <c r="E419" s="19"/>
    </row>
    <row r="420" spans="5:5" x14ac:dyDescent="0.3">
      <c r="E420" s="19"/>
    </row>
    <row r="421" spans="5:5" x14ac:dyDescent="0.3">
      <c r="E421" s="19"/>
    </row>
    <row r="422" spans="5:5" x14ac:dyDescent="0.3">
      <c r="E422" s="19"/>
    </row>
    <row r="423" spans="5:5" x14ac:dyDescent="0.3">
      <c r="E423" s="19"/>
    </row>
    <row r="424" spans="5:5" x14ac:dyDescent="0.3">
      <c r="E424" s="19"/>
    </row>
    <row r="425" spans="5:5" x14ac:dyDescent="0.3">
      <c r="E425" s="19"/>
    </row>
    <row r="426" spans="5:5" x14ac:dyDescent="0.3">
      <c r="E426" s="19"/>
    </row>
    <row r="427" spans="5:5" x14ac:dyDescent="0.3">
      <c r="E427" s="19"/>
    </row>
    <row r="428" spans="5:5" x14ac:dyDescent="0.3">
      <c r="E428" s="19"/>
    </row>
    <row r="429" spans="5:5" x14ac:dyDescent="0.3">
      <c r="E429" s="19"/>
    </row>
    <row r="430" spans="5:5" x14ac:dyDescent="0.3">
      <c r="E430" s="19"/>
    </row>
    <row r="431" spans="5:5" x14ac:dyDescent="0.3">
      <c r="E431" s="19"/>
    </row>
    <row r="432" spans="5:5" x14ac:dyDescent="0.3">
      <c r="E432" s="19"/>
    </row>
    <row r="433" spans="5:5" x14ac:dyDescent="0.3">
      <c r="E433" s="19"/>
    </row>
    <row r="434" spans="5:5" x14ac:dyDescent="0.3">
      <c r="E434" s="19"/>
    </row>
    <row r="435" spans="5:5" x14ac:dyDescent="0.3">
      <c r="E435" s="19"/>
    </row>
    <row r="436" spans="5:5" x14ac:dyDescent="0.3">
      <c r="E436" s="19"/>
    </row>
    <row r="437" spans="5:5" x14ac:dyDescent="0.3">
      <c r="E437" s="19"/>
    </row>
    <row r="438" spans="5:5" x14ac:dyDescent="0.3">
      <c r="E438" s="19"/>
    </row>
    <row r="439" spans="5:5" x14ac:dyDescent="0.3">
      <c r="E439" s="19"/>
    </row>
    <row r="440" spans="5:5" x14ac:dyDescent="0.3">
      <c r="E440" s="19"/>
    </row>
    <row r="441" spans="5:5" x14ac:dyDescent="0.3">
      <c r="E441" s="19"/>
    </row>
    <row r="442" spans="5:5" x14ac:dyDescent="0.3">
      <c r="E442" s="19"/>
    </row>
    <row r="443" spans="5:5" x14ac:dyDescent="0.3">
      <c r="E443" s="19"/>
    </row>
    <row r="444" spans="5:5" x14ac:dyDescent="0.3">
      <c r="E444" s="19"/>
    </row>
    <row r="445" spans="5:5" x14ac:dyDescent="0.3">
      <c r="E445" s="19"/>
    </row>
    <row r="446" spans="5:5" x14ac:dyDescent="0.3">
      <c r="E446" s="19"/>
    </row>
    <row r="447" spans="5:5" x14ac:dyDescent="0.3">
      <c r="E447" s="19"/>
    </row>
    <row r="448" spans="5:5" x14ac:dyDescent="0.3">
      <c r="E448" s="19"/>
    </row>
    <row r="449" spans="5:5" x14ac:dyDescent="0.3">
      <c r="E449" s="19"/>
    </row>
    <row r="450" spans="5:5" x14ac:dyDescent="0.3">
      <c r="E450" s="19"/>
    </row>
    <row r="451" spans="5:5" x14ac:dyDescent="0.3">
      <c r="E451" s="19"/>
    </row>
    <row r="452" spans="5:5" x14ac:dyDescent="0.3">
      <c r="E452" s="19"/>
    </row>
    <row r="453" spans="5:5" x14ac:dyDescent="0.3">
      <c r="E453" s="19"/>
    </row>
    <row r="454" spans="5:5" x14ac:dyDescent="0.3">
      <c r="E454" s="19"/>
    </row>
    <row r="455" spans="5:5" x14ac:dyDescent="0.3">
      <c r="E455" s="19"/>
    </row>
    <row r="456" spans="5:5" x14ac:dyDescent="0.3">
      <c r="E456" s="19"/>
    </row>
    <row r="457" spans="5:5" x14ac:dyDescent="0.3">
      <c r="E457" s="19"/>
    </row>
    <row r="458" spans="5:5" x14ac:dyDescent="0.3">
      <c r="E458" s="19"/>
    </row>
    <row r="459" spans="5:5" x14ac:dyDescent="0.3">
      <c r="E459" s="19"/>
    </row>
    <row r="460" spans="5:5" x14ac:dyDescent="0.3">
      <c r="E460" s="19"/>
    </row>
    <row r="461" spans="5:5" x14ac:dyDescent="0.3">
      <c r="E461" s="19"/>
    </row>
    <row r="462" spans="5:5" x14ac:dyDescent="0.3">
      <c r="E462" s="19"/>
    </row>
    <row r="463" spans="5:5" x14ac:dyDescent="0.3">
      <c r="E463" s="19"/>
    </row>
    <row r="464" spans="5:5" x14ac:dyDescent="0.3">
      <c r="E464" s="19"/>
    </row>
    <row r="465" spans="5:5" x14ac:dyDescent="0.3">
      <c r="E465" s="19"/>
    </row>
    <row r="466" spans="5:5" x14ac:dyDescent="0.3">
      <c r="E466" s="19"/>
    </row>
    <row r="467" spans="5:5" x14ac:dyDescent="0.3">
      <c r="E467" s="19"/>
    </row>
    <row r="468" spans="5:5" x14ac:dyDescent="0.3">
      <c r="E468" s="19"/>
    </row>
    <row r="469" spans="5:5" x14ac:dyDescent="0.3">
      <c r="E469" s="19"/>
    </row>
    <row r="470" spans="5:5" x14ac:dyDescent="0.3">
      <c r="E470" s="19"/>
    </row>
    <row r="471" spans="5:5" x14ac:dyDescent="0.3">
      <c r="E471" s="19"/>
    </row>
    <row r="472" spans="5:5" x14ac:dyDescent="0.3">
      <c r="E472" s="19"/>
    </row>
    <row r="473" spans="5:5" x14ac:dyDescent="0.3">
      <c r="E473" s="19"/>
    </row>
    <row r="474" spans="5:5" x14ac:dyDescent="0.3">
      <c r="E474" s="19"/>
    </row>
    <row r="475" spans="5:5" x14ac:dyDescent="0.3">
      <c r="E475" s="19"/>
    </row>
    <row r="476" spans="5:5" x14ac:dyDescent="0.3">
      <c r="E476" s="19"/>
    </row>
    <row r="477" spans="5:5" x14ac:dyDescent="0.3">
      <c r="E477" s="19"/>
    </row>
    <row r="478" spans="5:5" x14ac:dyDescent="0.3">
      <c r="E478" s="19"/>
    </row>
    <row r="479" spans="5:5" x14ac:dyDescent="0.3">
      <c r="E479" s="19"/>
    </row>
    <row r="480" spans="5:5" x14ac:dyDescent="0.3">
      <c r="E480" s="19"/>
    </row>
    <row r="481" spans="5:5" x14ac:dyDescent="0.3">
      <c r="E481" s="19"/>
    </row>
    <row r="482" spans="5:5" x14ac:dyDescent="0.3">
      <c r="E482" s="19"/>
    </row>
    <row r="483" spans="5:5" x14ac:dyDescent="0.3">
      <c r="E483" s="19"/>
    </row>
    <row r="484" spans="5:5" x14ac:dyDescent="0.3">
      <c r="E484" s="19"/>
    </row>
    <row r="485" spans="5:5" x14ac:dyDescent="0.3">
      <c r="E485" s="19"/>
    </row>
    <row r="486" spans="5:5" x14ac:dyDescent="0.3">
      <c r="E486" s="19"/>
    </row>
    <row r="487" spans="5:5" x14ac:dyDescent="0.3">
      <c r="E487" s="19"/>
    </row>
    <row r="488" spans="5:5" x14ac:dyDescent="0.3">
      <c r="E488" s="19"/>
    </row>
    <row r="489" spans="5:5" x14ac:dyDescent="0.3">
      <c r="E489" s="19"/>
    </row>
    <row r="490" spans="5:5" x14ac:dyDescent="0.3">
      <c r="E490" s="19"/>
    </row>
    <row r="491" spans="5:5" x14ac:dyDescent="0.3">
      <c r="E491" s="19"/>
    </row>
    <row r="492" spans="5:5" x14ac:dyDescent="0.3">
      <c r="E492" s="19"/>
    </row>
    <row r="493" spans="5:5" x14ac:dyDescent="0.3">
      <c r="E493" s="19"/>
    </row>
    <row r="494" spans="5:5" x14ac:dyDescent="0.3">
      <c r="E494" s="19"/>
    </row>
    <row r="495" spans="5:5" x14ac:dyDescent="0.3">
      <c r="E495" s="19"/>
    </row>
    <row r="496" spans="5:5" x14ac:dyDescent="0.3">
      <c r="E496" s="19"/>
    </row>
    <row r="497" spans="5:5" x14ac:dyDescent="0.3">
      <c r="E497" s="19"/>
    </row>
    <row r="498" spans="5:5" x14ac:dyDescent="0.3">
      <c r="E498" s="19"/>
    </row>
    <row r="499" spans="5:5" x14ac:dyDescent="0.3">
      <c r="E499" s="19"/>
    </row>
    <row r="500" spans="5:5" x14ac:dyDescent="0.3">
      <c r="E500" s="19"/>
    </row>
    <row r="501" spans="5:5" x14ac:dyDescent="0.3">
      <c r="E501" s="19"/>
    </row>
    <row r="502" spans="5:5" x14ac:dyDescent="0.3">
      <c r="E502" s="19"/>
    </row>
    <row r="503" spans="5:5" x14ac:dyDescent="0.3">
      <c r="E503" s="19"/>
    </row>
    <row r="504" spans="5:5" x14ac:dyDescent="0.3">
      <c r="E504" s="19"/>
    </row>
    <row r="505" spans="5:5" x14ac:dyDescent="0.3">
      <c r="E505" s="19"/>
    </row>
    <row r="506" spans="5:5" x14ac:dyDescent="0.3">
      <c r="E506" s="19"/>
    </row>
    <row r="507" spans="5:5" x14ac:dyDescent="0.3">
      <c r="E507" s="19"/>
    </row>
    <row r="508" spans="5:5" x14ac:dyDescent="0.3">
      <c r="E508" s="19"/>
    </row>
    <row r="509" spans="5:5" x14ac:dyDescent="0.3">
      <c r="E509" s="19"/>
    </row>
    <row r="510" spans="5:5" x14ac:dyDescent="0.3">
      <c r="E510" s="19"/>
    </row>
    <row r="511" spans="5:5" x14ac:dyDescent="0.3">
      <c r="E511" s="19"/>
    </row>
    <row r="512" spans="5:5" x14ac:dyDescent="0.3">
      <c r="E512" s="19"/>
    </row>
    <row r="513" spans="5:5" x14ac:dyDescent="0.3">
      <c r="E513" s="19"/>
    </row>
    <row r="514" spans="5:5" x14ac:dyDescent="0.3">
      <c r="E514" s="19"/>
    </row>
    <row r="515" spans="5:5" x14ac:dyDescent="0.3">
      <c r="E515" s="19"/>
    </row>
    <row r="516" spans="5:5" x14ac:dyDescent="0.3">
      <c r="E516" s="19"/>
    </row>
    <row r="517" spans="5:5" x14ac:dyDescent="0.3">
      <c r="E517" s="19"/>
    </row>
    <row r="518" spans="5:5" x14ac:dyDescent="0.3">
      <c r="E518" s="19"/>
    </row>
    <row r="519" spans="5:5" x14ac:dyDescent="0.3">
      <c r="E519" s="19"/>
    </row>
    <row r="520" spans="5:5" x14ac:dyDescent="0.3">
      <c r="E520" s="19"/>
    </row>
    <row r="521" spans="5:5" x14ac:dyDescent="0.3">
      <c r="E521" s="19"/>
    </row>
    <row r="522" spans="5:5" x14ac:dyDescent="0.3">
      <c r="E522" s="19"/>
    </row>
    <row r="523" spans="5:5" x14ac:dyDescent="0.3">
      <c r="E523" s="19"/>
    </row>
    <row r="524" spans="5:5" x14ac:dyDescent="0.3">
      <c r="E524" s="19"/>
    </row>
    <row r="525" spans="5:5" x14ac:dyDescent="0.3">
      <c r="E525" s="19"/>
    </row>
    <row r="526" spans="5:5" x14ac:dyDescent="0.3">
      <c r="E526" s="19"/>
    </row>
    <row r="527" spans="5:5" x14ac:dyDescent="0.3">
      <c r="E527" s="19"/>
    </row>
    <row r="528" spans="5:5" x14ac:dyDescent="0.3">
      <c r="E528" s="19"/>
    </row>
    <row r="529" spans="5:5" x14ac:dyDescent="0.3">
      <c r="E529" s="19"/>
    </row>
    <row r="530" spans="5:5" x14ac:dyDescent="0.3">
      <c r="E530" s="19"/>
    </row>
    <row r="531" spans="5:5" x14ac:dyDescent="0.3">
      <c r="E531" s="19"/>
    </row>
    <row r="532" spans="5:5" x14ac:dyDescent="0.3">
      <c r="E532" s="19"/>
    </row>
    <row r="533" spans="5:5" x14ac:dyDescent="0.3">
      <c r="E533" s="19"/>
    </row>
    <row r="534" spans="5:5" x14ac:dyDescent="0.3">
      <c r="E534" s="19"/>
    </row>
    <row r="535" spans="5:5" x14ac:dyDescent="0.3">
      <c r="E535" s="19"/>
    </row>
    <row r="536" spans="5:5" x14ac:dyDescent="0.3">
      <c r="E536" s="19"/>
    </row>
    <row r="537" spans="5:5" x14ac:dyDescent="0.3">
      <c r="E537" s="19"/>
    </row>
    <row r="538" spans="5:5" x14ac:dyDescent="0.3">
      <c r="E538" s="19"/>
    </row>
    <row r="539" spans="5:5" x14ac:dyDescent="0.3">
      <c r="E539" s="19"/>
    </row>
    <row r="540" spans="5:5" x14ac:dyDescent="0.3">
      <c r="E540" s="19"/>
    </row>
    <row r="541" spans="5:5" x14ac:dyDescent="0.3">
      <c r="E541" s="19"/>
    </row>
    <row r="542" spans="5:5" x14ac:dyDescent="0.3">
      <c r="E542" s="19"/>
    </row>
    <row r="543" spans="5:5" x14ac:dyDescent="0.3">
      <c r="E543" s="19"/>
    </row>
    <row r="544" spans="5:5" x14ac:dyDescent="0.3">
      <c r="E544" s="19"/>
    </row>
    <row r="545" spans="5:5" x14ac:dyDescent="0.3">
      <c r="E545" s="19"/>
    </row>
    <row r="546" spans="5:5" x14ac:dyDescent="0.3">
      <c r="E546" s="19"/>
    </row>
    <row r="547" spans="5:5" x14ac:dyDescent="0.3">
      <c r="E547" s="19"/>
    </row>
    <row r="548" spans="5:5" x14ac:dyDescent="0.3">
      <c r="E548" s="19"/>
    </row>
    <row r="549" spans="5:5" x14ac:dyDescent="0.3">
      <c r="E549" s="19"/>
    </row>
    <row r="550" spans="5:5" x14ac:dyDescent="0.3">
      <c r="E550" s="19"/>
    </row>
    <row r="551" spans="5:5" x14ac:dyDescent="0.3">
      <c r="E551" s="19"/>
    </row>
    <row r="552" spans="5:5" x14ac:dyDescent="0.3">
      <c r="E552" s="19"/>
    </row>
    <row r="553" spans="5:5" x14ac:dyDescent="0.3">
      <c r="E553" s="19"/>
    </row>
    <row r="554" spans="5:5" x14ac:dyDescent="0.3">
      <c r="E554" s="19"/>
    </row>
    <row r="555" spans="5:5" x14ac:dyDescent="0.3">
      <c r="E555" s="19"/>
    </row>
    <row r="556" spans="5:5" x14ac:dyDescent="0.3">
      <c r="E556" s="19"/>
    </row>
    <row r="557" spans="5:5" x14ac:dyDescent="0.3">
      <c r="E557" s="19"/>
    </row>
    <row r="558" spans="5:5" x14ac:dyDescent="0.3">
      <c r="E558" s="19"/>
    </row>
    <row r="559" spans="5:5" x14ac:dyDescent="0.3">
      <c r="E559" s="19"/>
    </row>
    <row r="560" spans="5:5" x14ac:dyDescent="0.3">
      <c r="E560" s="19"/>
    </row>
    <row r="561" spans="5:5" x14ac:dyDescent="0.3">
      <c r="E561" s="19"/>
    </row>
    <row r="562" spans="5:5" x14ac:dyDescent="0.3">
      <c r="E562" s="19"/>
    </row>
    <row r="563" spans="5:5" x14ac:dyDescent="0.3">
      <c r="E563" s="19"/>
    </row>
  </sheetData>
  <sheetProtection algorithmName="SHA-512" hashValue="t13xpWQVsXRDQ3vYARV2xdv72qgmNM7WUK2YaFgCMrXpzTdtsWyLJgZ58MENF6VxVKMbXXk5JavaEQbtvRZuFQ==" saltValue="gxzK0OqNQSiIfBxz+C2Iyw==" spinCount="100000" sheet="1" formatCells="0" formatColumns="0" formatRows="0" insertColumns="0" insertRows="0" insertHyperlinks="0" deleteColumns="0" deleteRows="0" sort="0" autoFilter="0" pivotTables="0"/>
  <autoFilter ref="B2:G122" xr:uid="{125C0AB7-D20D-44DA-956C-5F59118D7868}"/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(Double Wood)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2023-01-03T17:50:16Z</dcterms:created>
  <dcterms:modified xsi:type="dcterms:W3CDTF">2024-10-25T15:26:13Z</dcterms:modified>
</cp:coreProperties>
</file>