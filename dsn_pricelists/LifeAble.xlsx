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\Всяке\прайсики\Project X\Міжнародка\"/>
    </mc:Choice>
  </mc:AlternateContent>
  <xr:revisionPtr revIDLastSave="0" documentId="13_ncr:1_{85CB3258-ED18-44E1-ADFD-FAB15033CEFC}" xr6:coauthVersionLast="47" xr6:coauthVersionMax="47" xr10:uidLastSave="{00000000-0000-0000-0000-000000000000}"/>
  <bookViews>
    <workbookView xWindow="-108" yWindow="-108" windowWidth="23256" windowHeight="13896" xr2:uid="{581E66AB-4860-4E57-BCE1-27013585ABD3}"/>
  </bookViews>
  <sheets>
    <sheet name="Sheet1" sheetId="1" r:id="rId1"/>
  </sheets>
  <definedNames>
    <definedName name="_xlnm._FilterDatabase" localSheetId="0" hidden="1">Sheet1!$A$2:$K$88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1" l="1"/>
  <c r="T61" i="1"/>
  <c r="T66" i="1"/>
  <c r="T69" i="1"/>
  <c r="T70" i="1"/>
  <c r="O4" i="1"/>
  <c r="P4" i="1" s="1"/>
  <c r="Q4" i="1"/>
  <c r="R4" i="1"/>
  <c r="O5" i="1"/>
  <c r="P5" i="1" s="1"/>
  <c r="Q5" i="1"/>
  <c r="R5" i="1"/>
  <c r="O6" i="1"/>
  <c r="P6" i="1"/>
  <c r="Q6" i="1"/>
  <c r="R6" i="1"/>
  <c r="T6" i="1" s="1"/>
  <c r="O7" i="1"/>
  <c r="P7" i="1"/>
  <c r="Q7" i="1"/>
  <c r="R7" i="1"/>
  <c r="T7" i="1" s="1"/>
  <c r="O8" i="1"/>
  <c r="P8" i="1" s="1"/>
  <c r="Q8" i="1"/>
  <c r="R8" i="1"/>
  <c r="O9" i="1"/>
  <c r="P9" i="1" s="1"/>
  <c r="Q9" i="1"/>
  <c r="R9" i="1"/>
  <c r="O10" i="1"/>
  <c r="P10" i="1"/>
  <c r="Q10" i="1"/>
  <c r="R10" i="1"/>
  <c r="O11" i="1"/>
  <c r="P11" i="1" s="1"/>
  <c r="Q11" i="1"/>
  <c r="R11" i="1"/>
  <c r="T11" i="1" s="1"/>
  <c r="O12" i="1"/>
  <c r="P12" i="1"/>
  <c r="Q12" i="1"/>
  <c r="R12" i="1"/>
  <c r="O13" i="1"/>
  <c r="P13" i="1"/>
  <c r="Q13" i="1"/>
  <c r="R13" i="1"/>
  <c r="O14" i="1"/>
  <c r="P14" i="1"/>
  <c r="Q14" i="1"/>
  <c r="R14" i="1"/>
  <c r="T14" i="1" s="1"/>
  <c r="O15" i="1"/>
  <c r="P15" i="1" s="1"/>
  <c r="Q15" i="1"/>
  <c r="R15" i="1"/>
  <c r="T15" i="1" s="1"/>
  <c r="O16" i="1"/>
  <c r="P16" i="1"/>
  <c r="Q16" i="1"/>
  <c r="R16" i="1"/>
  <c r="T16" i="1" s="1"/>
  <c r="O17" i="1"/>
  <c r="P17" i="1"/>
  <c r="Q17" i="1"/>
  <c r="R17" i="1"/>
  <c r="T17" i="1" s="1"/>
  <c r="O18" i="1"/>
  <c r="P18" i="1"/>
  <c r="Q18" i="1"/>
  <c r="R18" i="1"/>
  <c r="T18" i="1" s="1"/>
  <c r="O19" i="1"/>
  <c r="P19" i="1" s="1"/>
  <c r="Q19" i="1"/>
  <c r="R19" i="1"/>
  <c r="T19" i="1" s="1"/>
  <c r="O20" i="1"/>
  <c r="P20" i="1"/>
  <c r="Q20" i="1"/>
  <c r="R20" i="1"/>
  <c r="T20" i="1" s="1"/>
  <c r="O21" i="1"/>
  <c r="P21" i="1" s="1"/>
  <c r="Q21" i="1"/>
  <c r="R21" i="1"/>
  <c r="T21" i="1" s="1"/>
  <c r="O22" i="1"/>
  <c r="P22" i="1" s="1"/>
  <c r="Q22" i="1"/>
  <c r="R22" i="1"/>
  <c r="T22" i="1" s="1"/>
  <c r="O23" i="1"/>
  <c r="P23" i="1" s="1"/>
  <c r="Q23" i="1"/>
  <c r="R23" i="1"/>
  <c r="T23" i="1" s="1"/>
  <c r="O24" i="1"/>
  <c r="P24" i="1"/>
  <c r="Q24" i="1"/>
  <c r="R24" i="1"/>
  <c r="T24" i="1" s="1"/>
  <c r="O25" i="1"/>
  <c r="P25" i="1" s="1"/>
  <c r="Q25" i="1"/>
  <c r="R25" i="1"/>
  <c r="T25" i="1" s="1"/>
  <c r="O26" i="1"/>
  <c r="P26" i="1"/>
  <c r="Q26" i="1"/>
  <c r="R26" i="1"/>
  <c r="T26" i="1" s="1"/>
  <c r="O27" i="1"/>
  <c r="P27" i="1" s="1"/>
  <c r="Q27" i="1"/>
  <c r="R27" i="1"/>
  <c r="T27" i="1" s="1"/>
  <c r="O28" i="1"/>
  <c r="P28" i="1"/>
  <c r="Q28" i="1"/>
  <c r="R28" i="1"/>
  <c r="T28" i="1" s="1"/>
  <c r="O29" i="1"/>
  <c r="P29" i="1"/>
  <c r="Q29" i="1"/>
  <c r="R29" i="1"/>
  <c r="T29" i="1" s="1"/>
  <c r="O30" i="1"/>
  <c r="P30" i="1" s="1"/>
  <c r="Q30" i="1"/>
  <c r="R30" i="1"/>
  <c r="T30" i="1" s="1"/>
  <c r="O31" i="1"/>
  <c r="P31" i="1" s="1"/>
  <c r="Q31" i="1"/>
  <c r="R31" i="1"/>
  <c r="T31" i="1" s="1"/>
  <c r="O32" i="1"/>
  <c r="P32" i="1"/>
  <c r="Q32" i="1"/>
  <c r="R32" i="1"/>
  <c r="T32" i="1" s="1"/>
  <c r="O33" i="1"/>
  <c r="P33" i="1" s="1"/>
  <c r="Q33" i="1"/>
  <c r="R33" i="1"/>
  <c r="T33" i="1" s="1"/>
  <c r="O34" i="1"/>
  <c r="P34" i="1" s="1"/>
  <c r="Q34" i="1"/>
  <c r="R34" i="1"/>
  <c r="T34" i="1" s="1"/>
  <c r="O35" i="1"/>
  <c r="P35" i="1" s="1"/>
  <c r="Q35" i="1"/>
  <c r="R35" i="1"/>
  <c r="T35" i="1" s="1"/>
  <c r="O36" i="1"/>
  <c r="P36" i="1"/>
  <c r="Q36" i="1"/>
  <c r="R36" i="1"/>
  <c r="T36" i="1" s="1"/>
  <c r="O37" i="1"/>
  <c r="P37" i="1"/>
  <c r="Q37" i="1"/>
  <c r="R37" i="1"/>
  <c r="T37" i="1" s="1"/>
  <c r="O38" i="1"/>
  <c r="P38" i="1"/>
  <c r="Q38" i="1"/>
  <c r="R38" i="1"/>
  <c r="T38" i="1" s="1"/>
  <c r="O39" i="1"/>
  <c r="P39" i="1" s="1"/>
  <c r="Q39" i="1"/>
  <c r="R39" i="1"/>
  <c r="T39" i="1" s="1"/>
  <c r="O40" i="1"/>
  <c r="P40" i="1" s="1"/>
  <c r="Q40" i="1"/>
  <c r="R40" i="1"/>
  <c r="T40" i="1" s="1"/>
  <c r="O41" i="1"/>
  <c r="P41" i="1"/>
  <c r="Q41" i="1"/>
  <c r="R41" i="1"/>
  <c r="T41" i="1" s="1"/>
  <c r="O42" i="1"/>
  <c r="P42" i="1" s="1"/>
  <c r="Q42" i="1"/>
  <c r="R42" i="1"/>
  <c r="T42" i="1" s="1"/>
  <c r="O43" i="1"/>
  <c r="P43" i="1" s="1"/>
  <c r="Q43" i="1"/>
  <c r="R43" i="1"/>
  <c r="T43" i="1" s="1"/>
  <c r="O44" i="1"/>
  <c r="P44" i="1"/>
  <c r="Q44" i="1"/>
  <c r="R44" i="1"/>
  <c r="T44" i="1" s="1"/>
  <c r="O45" i="1"/>
  <c r="P45" i="1"/>
  <c r="Q45" i="1"/>
  <c r="R45" i="1"/>
  <c r="T45" i="1" s="1"/>
  <c r="O46" i="1"/>
  <c r="P46" i="1"/>
  <c r="Q46" i="1"/>
  <c r="R46" i="1"/>
  <c r="T46" i="1" s="1"/>
  <c r="O47" i="1"/>
  <c r="P47" i="1" s="1"/>
  <c r="Q47" i="1"/>
  <c r="R47" i="1"/>
  <c r="T47" i="1" s="1"/>
  <c r="O48" i="1"/>
  <c r="P48" i="1" s="1"/>
  <c r="Q48" i="1"/>
  <c r="R48" i="1"/>
  <c r="T48" i="1" s="1"/>
  <c r="O49" i="1"/>
  <c r="P49" i="1"/>
  <c r="Q49" i="1"/>
  <c r="R49" i="1"/>
  <c r="T49" i="1" s="1"/>
  <c r="O50" i="1"/>
  <c r="P50" i="1"/>
  <c r="Q50" i="1"/>
  <c r="R50" i="1"/>
  <c r="T50" i="1" s="1"/>
  <c r="O51" i="1"/>
  <c r="P51" i="1" s="1"/>
  <c r="Q51" i="1"/>
  <c r="R51" i="1"/>
  <c r="T51" i="1" s="1"/>
  <c r="O52" i="1"/>
  <c r="P52" i="1" s="1"/>
  <c r="Q52" i="1"/>
  <c r="R52" i="1"/>
  <c r="T52" i="1" s="1"/>
  <c r="O53" i="1"/>
  <c r="P53" i="1"/>
  <c r="Q53" i="1"/>
  <c r="R53" i="1"/>
  <c r="T53" i="1" s="1"/>
  <c r="O54" i="1"/>
  <c r="P54" i="1"/>
  <c r="Q54" i="1"/>
  <c r="R54" i="1"/>
  <c r="T54" i="1" s="1"/>
  <c r="O55" i="1"/>
  <c r="P55" i="1" s="1"/>
  <c r="Q55" i="1"/>
  <c r="R55" i="1"/>
  <c r="T55" i="1" s="1"/>
  <c r="O56" i="1"/>
  <c r="P56" i="1" s="1"/>
  <c r="Q56" i="1"/>
  <c r="R56" i="1"/>
  <c r="T56" i="1" s="1"/>
  <c r="O57" i="1"/>
  <c r="P57" i="1" s="1"/>
  <c r="Q57" i="1"/>
  <c r="R57" i="1"/>
  <c r="T57" i="1" s="1"/>
  <c r="O58" i="1"/>
  <c r="P58" i="1"/>
  <c r="Q58" i="1"/>
  <c r="R58" i="1"/>
  <c r="T58" i="1" s="1"/>
  <c r="O59" i="1"/>
  <c r="P59" i="1" s="1"/>
  <c r="Q59" i="1"/>
  <c r="R59" i="1"/>
  <c r="T59" i="1" s="1"/>
  <c r="O60" i="1"/>
  <c r="P60" i="1"/>
  <c r="Q60" i="1"/>
  <c r="R60" i="1"/>
  <c r="T60" i="1" s="1"/>
  <c r="O61" i="1"/>
  <c r="P61" i="1"/>
  <c r="Q61" i="1"/>
  <c r="R61" i="1"/>
  <c r="O62" i="1"/>
  <c r="P62" i="1" s="1"/>
  <c r="Q62" i="1"/>
  <c r="R62" i="1"/>
  <c r="T62" i="1" s="1"/>
  <c r="O63" i="1"/>
  <c r="P63" i="1" s="1"/>
  <c r="Q63" i="1"/>
  <c r="R63" i="1"/>
  <c r="T63" i="1" s="1"/>
  <c r="O64" i="1"/>
  <c r="P64" i="1" s="1"/>
  <c r="Q64" i="1"/>
  <c r="R64" i="1"/>
  <c r="T64" i="1" s="1"/>
  <c r="O65" i="1"/>
  <c r="P65" i="1" s="1"/>
  <c r="Q65" i="1"/>
  <c r="R65" i="1"/>
  <c r="T65" i="1" s="1"/>
  <c r="O66" i="1"/>
  <c r="P66" i="1" s="1"/>
  <c r="Q66" i="1"/>
  <c r="R66" i="1"/>
  <c r="O67" i="1"/>
  <c r="P67" i="1" s="1"/>
  <c r="Q67" i="1"/>
  <c r="R67" i="1"/>
  <c r="T67" i="1" s="1"/>
  <c r="O68" i="1"/>
  <c r="P68" i="1"/>
  <c r="Q68" i="1"/>
  <c r="R68" i="1"/>
  <c r="T68" i="1" s="1"/>
  <c r="O69" i="1"/>
  <c r="P69" i="1" s="1"/>
  <c r="Q69" i="1"/>
  <c r="R69" i="1"/>
  <c r="O70" i="1"/>
  <c r="P70" i="1"/>
  <c r="Q70" i="1"/>
  <c r="R70" i="1"/>
  <c r="O71" i="1"/>
  <c r="P71" i="1" s="1"/>
  <c r="Q71" i="1"/>
  <c r="R71" i="1"/>
  <c r="T71" i="1" s="1"/>
  <c r="O72" i="1"/>
  <c r="P72" i="1" s="1"/>
  <c r="Q72" i="1"/>
  <c r="R72" i="1"/>
  <c r="T72" i="1" s="1"/>
  <c r="O73" i="1"/>
  <c r="P73" i="1"/>
  <c r="Q73" i="1"/>
  <c r="R73" i="1"/>
  <c r="T73" i="1" s="1"/>
  <c r="O74" i="1"/>
  <c r="P74" i="1"/>
  <c r="Q74" i="1"/>
  <c r="R74" i="1"/>
  <c r="T74" i="1" s="1"/>
  <c r="O75" i="1"/>
  <c r="P75" i="1" s="1"/>
  <c r="Q75" i="1"/>
  <c r="R75" i="1"/>
  <c r="T75" i="1" s="1"/>
  <c r="O76" i="1"/>
  <c r="P76" i="1" s="1"/>
  <c r="Q76" i="1"/>
  <c r="R76" i="1"/>
  <c r="T76" i="1" s="1"/>
  <c r="O77" i="1"/>
  <c r="P77" i="1"/>
  <c r="Q77" i="1"/>
  <c r="R77" i="1"/>
  <c r="T77" i="1" s="1"/>
  <c r="O78" i="1"/>
  <c r="P78" i="1" s="1"/>
  <c r="Q78" i="1"/>
  <c r="R78" i="1"/>
  <c r="T78" i="1" s="1"/>
  <c r="O79" i="1"/>
  <c r="P79" i="1" s="1"/>
  <c r="Q79" i="1"/>
  <c r="R79" i="1"/>
  <c r="T79" i="1" s="1"/>
  <c r="O80" i="1"/>
  <c r="P80" i="1"/>
  <c r="Q80" i="1"/>
  <c r="R80" i="1"/>
  <c r="T80" i="1" s="1"/>
  <c r="O81" i="1"/>
  <c r="P81" i="1"/>
  <c r="Q81" i="1"/>
  <c r="R81" i="1"/>
  <c r="T81" i="1" s="1"/>
  <c r="O82" i="1"/>
  <c r="P82" i="1" s="1"/>
  <c r="Q82" i="1"/>
  <c r="R82" i="1"/>
  <c r="T82" i="1" s="1"/>
  <c r="O83" i="1"/>
  <c r="P83" i="1" s="1"/>
  <c r="Q83" i="1"/>
  <c r="R83" i="1"/>
  <c r="T83" i="1" s="1"/>
  <c r="O84" i="1"/>
  <c r="P84" i="1"/>
  <c r="Q84" i="1"/>
  <c r="R84" i="1"/>
  <c r="T84" i="1" s="1"/>
  <c r="O85" i="1"/>
  <c r="P85" i="1" s="1"/>
  <c r="Q85" i="1"/>
  <c r="R85" i="1"/>
  <c r="T85" i="1" s="1"/>
  <c r="O86" i="1"/>
  <c r="P86" i="1" s="1"/>
  <c r="Q86" i="1"/>
  <c r="R86" i="1"/>
  <c r="T86" i="1" s="1"/>
  <c r="O87" i="1"/>
  <c r="P87" i="1" s="1"/>
  <c r="Q87" i="1"/>
  <c r="R87" i="1"/>
  <c r="T87" i="1" s="1"/>
  <c r="O88" i="1"/>
  <c r="P88" i="1"/>
  <c r="Q88" i="1"/>
  <c r="R88" i="1"/>
  <c r="T88" i="1" s="1"/>
  <c r="Q3" i="1"/>
  <c r="O3" i="1"/>
  <c r="P3" i="1" s="1"/>
  <c r="R3" i="1"/>
  <c r="K4" i="1"/>
  <c r="K5" i="1"/>
  <c r="K6" i="1"/>
  <c r="K7" i="1"/>
  <c r="K8" i="1"/>
  <c r="K9" i="1"/>
  <c r="K10" i="1"/>
  <c r="K11" i="1"/>
  <c r="K12" i="1"/>
  <c r="T12" i="1" s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3" i="1"/>
  <c r="T9" i="1" l="1"/>
  <c r="T13" i="1"/>
  <c r="T8" i="1"/>
  <c r="T10" i="1"/>
  <c r="T5" i="1"/>
  <c r="T3" i="1"/>
  <c r="R2" i="1"/>
  <c r="Q2" i="1"/>
  <c r="M2" i="1"/>
  <c r="T1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<sst xmlns="http://schemas.openxmlformats.org/spreadsheetml/2006/main" count="552" uniqueCount="250">
  <si>
    <t>SKU</t>
  </si>
  <si>
    <t>Brand</t>
  </si>
  <si>
    <t>Product</t>
  </si>
  <si>
    <t>Form</t>
  </si>
  <si>
    <t>Age</t>
  </si>
  <si>
    <t>Sugar</t>
  </si>
  <si>
    <t>FNSKU / UPC</t>
  </si>
  <si>
    <t>Price</t>
  </si>
  <si>
    <t>WWGACVA60</t>
  </si>
  <si>
    <t>Lifeable</t>
  </si>
  <si>
    <t>Apple Cider Vinegar - with the Mother</t>
  </si>
  <si>
    <t>Gummies</t>
  </si>
  <si>
    <t>Adult</t>
  </si>
  <si>
    <t>WWGACVK60</t>
  </si>
  <si>
    <t>Kids</t>
  </si>
  <si>
    <t>WWGALBGA60</t>
  </si>
  <si>
    <t>Ashwagandha + Ginseng &amp; Lemon Balm</t>
  </si>
  <si>
    <t>WWGB12A60-R</t>
  </si>
  <si>
    <t>Lifeable R</t>
  </si>
  <si>
    <t>Vitamin B12</t>
  </si>
  <si>
    <t>WWGB12K60-R</t>
  </si>
  <si>
    <t>WWGB6A60</t>
  </si>
  <si>
    <t>Vitamin B6</t>
  </si>
  <si>
    <t>WWGB6K60</t>
  </si>
  <si>
    <t>WWGBA60-R</t>
  </si>
  <si>
    <t>Biotin 10,000 mcg</t>
  </si>
  <si>
    <t>WWGBCA60-R</t>
  </si>
  <si>
    <t>B Complex + Vitamin C</t>
  </si>
  <si>
    <t>WWGBCK60-R</t>
  </si>
  <si>
    <t>WWGBK60-R</t>
  </si>
  <si>
    <t>Biotin 5,000 mcg</t>
  </si>
  <si>
    <t>WWGBRA60-R</t>
  </si>
  <si>
    <t>Beet Root + Tart Cherry Extract</t>
  </si>
  <si>
    <t>WWGBT60-R</t>
  </si>
  <si>
    <t>Teens</t>
  </si>
  <si>
    <t>WWGCBA60-R</t>
  </si>
  <si>
    <t>Collagen &amp; Biotin</t>
  </si>
  <si>
    <t>WWGCCA60-R</t>
  </si>
  <si>
    <t>Collagen + Vitamin C</t>
  </si>
  <si>
    <t>WWGCDA60-R</t>
  </si>
  <si>
    <t>Calcium + Vitamin D</t>
  </si>
  <si>
    <t>WWGCDK60-R</t>
  </si>
  <si>
    <t>WWGCMA90-R</t>
  </si>
  <si>
    <t>Calcium Magnesium + Vitamin D</t>
  </si>
  <si>
    <t>WWGCMK90-R</t>
  </si>
  <si>
    <t>WWGCMZA90-R</t>
  </si>
  <si>
    <t>Calcium Magnesium &amp; Zinc + Vitamin D</t>
  </si>
  <si>
    <t>WWGCMZK60-R</t>
  </si>
  <si>
    <t>WWGCOA60-R</t>
  </si>
  <si>
    <t>Black Cohosh Root</t>
  </si>
  <si>
    <t>WWGCRA60</t>
  </si>
  <si>
    <t>Cranberry</t>
  </si>
  <si>
    <t>WWGCRK60</t>
  </si>
  <si>
    <t>WWGEZCA60-R</t>
  </si>
  <si>
    <t>Immune Support</t>
  </si>
  <si>
    <t>WWGEZCK60-R</t>
  </si>
  <si>
    <t>WWGF5A60-R</t>
  </si>
  <si>
    <t>Prebiotic Fiber</t>
  </si>
  <si>
    <t>WWGF5K60-R</t>
  </si>
  <si>
    <t>WWGGLA60-R</t>
  </si>
  <si>
    <t>Glucose</t>
  </si>
  <si>
    <t>WWGICA60-R</t>
  </si>
  <si>
    <t>Iron + Vitamin C</t>
  </si>
  <si>
    <t>WWGICK60-R</t>
  </si>
  <si>
    <t>WWGLZA60</t>
  </si>
  <si>
    <t>Lutein and Zeaxanthin</t>
  </si>
  <si>
    <t>WWGMC85A90-R</t>
  </si>
  <si>
    <t>Magnesium Citrate - 250mg</t>
  </si>
  <si>
    <t>WWGMC85K60-R</t>
  </si>
  <si>
    <t>Magnesium Citrate</t>
  </si>
  <si>
    <t>WWGMRA60</t>
  </si>
  <si>
    <t>Moringa</t>
  </si>
  <si>
    <t>WWGMVIA60-R</t>
  </si>
  <si>
    <t>Multivitamin w Iron</t>
  </si>
  <si>
    <t>WWGMVIK60-R</t>
  </si>
  <si>
    <t>WWGMVK60-R</t>
  </si>
  <si>
    <t>Multivitamin</t>
  </si>
  <si>
    <t>WWGMVMA60-R</t>
  </si>
  <si>
    <t>Men's Multivitamin</t>
  </si>
  <si>
    <t>WWGMVWA60-R</t>
  </si>
  <si>
    <t>Women's Multivitamin</t>
  </si>
  <si>
    <t>WWGP2A60-R</t>
  </si>
  <si>
    <t>Probiotic - 2 Billoin CFU</t>
  </si>
  <si>
    <t>WWGP2K60-R</t>
  </si>
  <si>
    <t>WWGPK5K60-R</t>
  </si>
  <si>
    <t>Probiotic 5 Billion</t>
  </si>
  <si>
    <t>WWGPM10A60-R</t>
  </si>
  <si>
    <t>Men's Probiotic 10 Billion</t>
  </si>
  <si>
    <t>WWGPMA60-R</t>
  </si>
  <si>
    <t>Prenatal Multivitamin</t>
  </si>
  <si>
    <t>WWGPOMVA60-R</t>
  </si>
  <si>
    <t>Postnatal Multivitamin</t>
  </si>
  <si>
    <t>WWGPW10A60-R</t>
  </si>
  <si>
    <t>Women's Probiotic 10 Billion</t>
  </si>
  <si>
    <t>WWGSFB12A60-R</t>
  </si>
  <si>
    <t>Sugar Free</t>
  </si>
  <si>
    <t>WWGSFB12K60-R</t>
  </si>
  <si>
    <t>WWGSFBA60-R</t>
  </si>
  <si>
    <t>Biotin 5,000mcg</t>
  </si>
  <si>
    <t>WWGSFBCA60-R</t>
  </si>
  <si>
    <t>WWGSFBCK60-R</t>
  </si>
  <si>
    <t>WWGSFBK60-R</t>
  </si>
  <si>
    <t>WWGSFECZA60</t>
  </si>
  <si>
    <t>Sambucus Elderberry + Vitamin C and Zinc</t>
  </si>
  <si>
    <t>WWGSFECZK60</t>
  </si>
  <si>
    <t>WWGSFFA60-R</t>
  </si>
  <si>
    <t>WWGSFFK60-R</t>
  </si>
  <si>
    <t>WWGSFMVMA60-R</t>
  </si>
  <si>
    <t>WWGSFMVWA60-R</t>
  </si>
  <si>
    <t>WWGSFPFA60-R</t>
  </si>
  <si>
    <t>Probiotic + Prebiotic Fiber</t>
  </si>
  <si>
    <t>WWGSFPFK60-R</t>
  </si>
  <si>
    <t>WWGSFVCA60-R</t>
  </si>
  <si>
    <t>Vitamin C</t>
  </si>
  <si>
    <t>WWGSFVCK60-R</t>
  </si>
  <si>
    <t>WWGSFVD1K60-R</t>
  </si>
  <si>
    <t>Vitamin D</t>
  </si>
  <si>
    <t>WWGSFVD5A60-R</t>
  </si>
  <si>
    <t>Vitamin D 5,000 IU</t>
  </si>
  <si>
    <t>WWGTGA60-R</t>
  </si>
  <si>
    <t>Turmeric Curcumin with Ginger &amp; Black Pepper Extract</t>
  </si>
  <si>
    <t>WWGTGK60-R</t>
  </si>
  <si>
    <t>WWGVC1A90-R</t>
  </si>
  <si>
    <t>Vitamin C 1050mg</t>
  </si>
  <si>
    <t>WWGVCK60-R</t>
  </si>
  <si>
    <t>WWGVD1K60-R</t>
  </si>
  <si>
    <t>WWGVD5A60-R</t>
  </si>
  <si>
    <t>WWGVDKA60</t>
  </si>
  <si>
    <t>Vitamin D3 + K2</t>
  </si>
  <si>
    <t>WWGVDKK60</t>
  </si>
  <si>
    <t>WWGVENA60-R</t>
  </si>
  <si>
    <t>Vitamin E</t>
  </si>
  <si>
    <t>WWGZ15K60-R</t>
  </si>
  <si>
    <t>Zinc</t>
  </si>
  <si>
    <t>WWGZA60-R</t>
  </si>
  <si>
    <t>Zinc 50mg</t>
  </si>
  <si>
    <t>VWCB12K120</t>
  </si>
  <si>
    <t>VitaWorks</t>
  </si>
  <si>
    <t>Chewables</t>
  </si>
  <si>
    <t>VWCBIK120</t>
  </si>
  <si>
    <t>VWCECZK120</t>
  </si>
  <si>
    <t>VWCICK120</t>
  </si>
  <si>
    <t>Iron 10mg + Vitamin C</t>
  </si>
  <si>
    <t>VWCM1K120</t>
  </si>
  <si>
    <t>Melatonin 1mg</t>
  </si>
  <si>
    <t>VWCMOK120</t>
  </si>
  <si>
    <t>Magnesium Oxide</t>
  </si>
  <si>
    <t>VWCMVK120</t>
  </si>
  <si>
    <t>VWCVCOK120</t>
  </si>
  <si>
    <t>Vitamin C 250mg - Orange Falvor</t>
  </si>
  <si>
    <t>VWCVDK120</t>
  </si>
  <si>
    <t>Vitamin D 1000 IU</t>
  </si>
  <si>
    <t>VWCZCK120</t>
  </si>
  <si>
    <t>Zinc 15mg</t>
  </si>
  <si>
    <t>810102731357</t>
  </si>
  <si>
    <t>810102731364</t>
  </si>
  <si>
    <t>810102731388</t>
  </si>
  <si>
    <t>810102730626</t>
  </si>
  <si>
    <t>810102730633</t>
  </si>
  <si>
    <t>810102730206</t>
  </si>
  <si>
    <t>810102731067</t>
  </si>
  <si>
    <t>810102730640</t>
  </si>
  <si>
    <t>810102730657</t>
  </si>
  <si>
    <t>810102730664</t>
  </si>
  <si>
    <t>810102730671</t>
  </si>
  <si>
    <t>810102730688</t>
  </si>
  <si>
    <t>810102731449</t>
  </si>
  <si>
    <t>810102730695</t>
  </si>
  <si>
    <t>810102730701</t>
  </si>
  <si>
    <t>850023062154</t>
  </si>
  <si>
    <t>850023062383</t>
  </si>
  <si>
    <t>850023062345</t>
  </si>
  <si>
    <t>850023062352</t>
  </si>
  <si>
    <t>850023062765</t>
  </si>
  <si>
    <t>810102731005</t>
  </si>
  <si>
    <t>810102731401</t>
  </si>
  <si>
    <t>810102731395</t>
  </si>
  <si>
    <t>810102731470</t>
  </si>
  <si>
    <t>810102730619</t>
  </si>
  <si>
    <t>810102730718</t>
  </si>
  <si>
    <t>810102731012</t>
  </si>
  <si>
    <t>810102731029</t>
  </si>
  <si>
    <t>810102731036</t>
  </si>
  <si>
    <t>810102731043</t>
  </si>
  <si>
    <t>810102731050</t>
  </si>
  <si>
    <t>810102731517</t>
  </si>
  <si>
    <t>850023062734</t>
  </si>
  <si>
    <t>810102731074</t>
  </si>
  <si>
    <t>810102731234</t>
  </si>
  <si>
    <t>810102731418</t>
  </si>
  <si>
    <t>810102731425</t>
  </si>
  <si>
    <t>810102731104</t>
  </si>
  <si>
    <t>810102730725</t>
  </si>
  <si>
    <t>810102730732</t>
  </si>
  <si>
    <t>810102731128</t>
  </si>
  <si>
    <t>810102731111</t>
  </si>
  <si>
    <t>810102730336</t>
  </si>
  <si>
    <t>810102730312</t>
  </si>
  <si>
    <t>810102730749</t>
  </si>
  <si>
    <t>810102731432</t>
  </si>
  <si>
    <t>810102730329</t>
  </si>
  <si>
    <t>810102730756</t>
  </si>
  <si>
    <t>810102730763</t>
  </si>
  <si>
    <t>810102730770</t>
  </si>
  <si>
    <t>810102730787</t>
  </si>
  <si>
    <t>810102730794</t>
  </si>
  <si>
    <t>810102730800</t>
  </si>
  <si>
    <t>810102731548</t>
  </si>
  <si>
    <t>810102731555</t>
  </si>
  <si>
    <t>810102730817</t>
  </si>
  <si>
    <t>810102730824</t>
  </si>
  <si>
    <t>810102730831</t>
  </si>
  <si>
    <t>810102730848</t>
  </si>
  <si>
    <t>850023062048</t>
  </si>
  <si>
    <t>850023062512</t>
  </si>
  <si>
    <t>810102730879</t>
  </si>
  <si>
    <t>810102730886</t>
  </si>
  <si>
    <t>810102731173</t>
  </si>
  <si>
    <t>810102730909</t>
  </si>
  <si>
    <t>810102730923</t>
  </si>
  <si>
    <t>810102730930</t>
  </si>
  <si>
    <t>810102730015</t>
  </si>
  <si>
    <t>810102731180</t>
  </si>
  <si>
    <t>810102731210</t>
  </si>
  <si>
    <t>810102731197</t>
  </si>
  <si>
    <t>810102730213</t>
  </si>
  <si>
    <t>810102730237</t>
  </si>
  <si>
    <t>810102731562</t>
  </si>
  <si>
    <t>850023062406</t>
  </si>
  <si>
    <t>810102730381</t>
  </si>
  <si>
    <t>810102730510</t>
  </si>
  <si>
    <t>810102730244</t>
  </si>
  <si>
    <t>810102730374</t>
  </si>
  <si>
    <t>810102730350</t>
  </si>
  <si>
    <t>810102730275</t>
  </si>
  <si>
    <t>810102731272</t>
  </si>
  <si>
    <t>810102730299</t>
  </si>
  <si>
    <t>810102731371</t>
  </si>
  <si>
    <t>810102730268</t>
  </si>
  <si>
    <t>810102730503</t>
  </si>
  <si>
    <t>Qty</t>
  </si>
  <si>
    <t>Amount</t>
  </si>
  <si>
    <t>Unіt Freight Cost</t>
  </si>
  <si>
    <t>Weight, kg</t>
  </si>
  <si>
    <t>Logistic Price</t>
  </si>
  <si>
    <t>unit, key</t>
  </si>
  <si>
    <t>Landed Cost</t>
  </si>
  <si>
    <r>
      <rPr>
        <b/>
        <sz val="12"/>
        <color indexed="10"/>
        <rFont val="Calibri"/>
        <family val="2"/>
      </rPr>
      <t>Importantly!</t>
    </r>
    <r>
      <rPr>
        <sz val="12"/>
        <color indexed="8"/>
        <rFont val="Calibri"/>
        <family val="2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</si>
  <si>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Weight (kg)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</si>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</sst>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_-[$$-409]* #,##0.00_ ;_-[$$-409]* \-#,##0.00\ ;_-[$$-409]* &quot;-&quot;??_ ;_-@_ "/>
    <numFmt numFmtId="166" formatCode="[$$-409]#,##0.00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indexed="10"/>
      <name val="Calibri"/>
      <family val="2"/>
    </font>
    <font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rgb="FFFF0000"/>
      <name val="Calibri"/>
      <family val="2"/>
    </font>
    <font>
      <b/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4" fontId="5" fillId="0" borderId="0" xfId="0" quotePrefix="1" applyNumberFormat="1" applyFont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 applyProtection="1">
      <alignment horizontal="center" vertical="center" wrapText="1" readingOrder="1"/>
      <protection hidden="1"/>
    </xf>
    <xf numFmtId="166" fontId="5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center" vertical="center" wrapText="1" readingOrder="1"/>
      <protection locked="0"/>
    </xf>
    <xf numFmtId="4" fontId="5" fillId="3" borderId="4" xfId="0" applyNumberFormat="1" applyFont="1" applyFill="1" applyBorder="1" applyAlignment="1">
      <alignment horizontal="center" vertical="center"/>
    </xf>
    <xf numFmtId="165" fontId="6" fillId="0" borderId="5" xfId="0" applyNumberFormat="1" applyFont="1" applyBorder="1" applyAlignment="1" applyProtection="1">
      <alignment vertical="center" wrapText="1" readingOrder="1"/>
      <protection hidden="1"/>
    </xf>
    <xf numFmtId="0" fontId="5" fillId="4" borderId="1" xfId="0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2" fillId="0" borderId="0" xfId="0" applyFont="1" applyAlignment="1" applyProtection="1">
      <alignment vertical="center" wrapText="1"/>
      <protection hidden="1"/>
    </xf>
    <xf numFmtId="0" fontId="2" fillId="0" borderId="6" xfId="0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2" fontId="2" fillId="0" borderId="6" xfId="0" applyNumberFormat="1" applyFont="1" applyBorder="1" applyAlignment="1">
      <alignment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65" fontId="2" fillId="0" borderId="8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2" fontId="2" fillId="0" borderId="10" xfId="0" applyNumberFormat="1" applyFont="1" applyBorder="1" applyAlignment="1">
      <alignment vertical="center"/>
    </xf>
    <xf numFmtId="164" fontId="2" fillId="0" borderId="10" xfId="0" applyNumberFormat="1" applyFont="1" applyBorder="1" applyAlignment="1">
      <alignment vertical="center"/>
    </xf>
    <xf numFmtId="165" fontId="2" fillId="0" borderId="11" xfId="0" applyNumberFormat="1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49" fontId="2" fillId="0" borderId="13" xfId="0" applyNumberFormat="1" applyFont="1" applyBorder="1" applyAlignment="1">
      <alignment vertical="center"/>
    </xf>
    <xf numFmtId="2" fontId="2" fillId="0" borderId="13" xfId="0" applyNumberFormat="1" applyFont="1" applyBorder="1" applyAlignment="1">
      <alignment vertical="center"/>
    </xf>
    <xf numFmtId="164" fontId="2" fillId="0" borderId="13" xfId="0" applyNumberFormat="1" applyFont="1" applyBorder="1" applyAlignment="1">
      <alignment vertical="center"/>
    </xf>
    <xf numFmtId="165" fontId="2" fillId="0" borderId="14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5" fontId="8" fillId="0" borderId="16" xfId="0" applyNumberFormat="1" applyFont="1" applyBorder="1" applyAlignment="1">
      <alignment vertical="center"/>
    </xf>
    <xf numFmtId="14" fontId="5" fillId="2" borderId="3" xfId="0" applyNumberFormat="1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left" vertical="center" wrapText="1"/>
      <protection hidden="1"/>
    </xf>
  </cellXfs>
  <cellStyles count="1"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CD97-E796-447F-946A-D185BE4CD02F}">
  <dimension ref="A1:T88"/>
  <sheetViews>
    <sheetView tabSelected="1" zoomScale="70" zoomScaleNormal="70" workbookViewId="0">
      <pane ySplit="2" topLeftCell="A3" activePane="bottomLeft" state="frozen"/>
      <selection pane="bottomLeft" activeCell="M12" sqref="M12"/>
    </sheetView>
  </sheetViews>
  <sheetFormatPr defaultRowHeight="15.6" x14ac:dyDescent="0.3"/>
  <cols>
    <col min="1" max="1" width="19.21875" style="13" bestFit="1" customWidth="1"/>
    <col min="2" max="2" width="10.5546875" style="13" bestFit="1" customWidth="1"/>
    <col min="3" max="3" width="52.6640625" style="13" bestFit="1" customWidth="1"/>
    <col min="4" max="4" width="12.21875" style="13" bestFit="1" customWidth="1"/>
    <col min="5" max="5" width="10.88671875" style="13" bestFit="1" customWidth="1"/>
    <col min="6" max="6" width="12.77734375" style="13" bestFit="1" customWidth="1"/>
    <col min="7" max="7" width="19.109375" style="13" bestFit="1" customWidth="1"/>
    <col min="8" max="8" width="18.21875" style="13" bestFit="1" customWidth="1"/>
    <col min="9" max="9" width="11.88671875" style="13" bestFit="1" customWidth="1"/>
    <col min="10" max="10" width="13.21875" style="13" customWidth="1"/>
    <col min="11" max="11" width="20" style="15" customWidth="1"/>
    <col min="12" max="12" width="12" style="13" customWidth="1"/>
    <col min="13" max="13" width="21.21875" style="13" customWidth="1"/>
    <col min="14" max="14" width="3.33203125" style="13" customWidth="1"/>
    <col min="15" max="16" width="8.88671875" style="13"/>
    <col min="17" max="17" width="9" style="13" bestFit="1" customWidth="1"/>
    <col min="18" max="19" width="8.88671875" style="13"/>
    <col min="20" max="20" width="12.44140625" style="13" bestFit="1" customWidth="1"/>
    <col min="21" max="16384" width="8.88671875" style="13"/>
  </cols>
  <sheetData>
    <row r="1" spans="1:20" ht="93.6" customHeight="1" thickBot="1" x14ac:dyDescent="0.35">
      <c r="A1" s="43" t="s">
        <v>247</v>
      </c>
      <c r="B1" s="43"/>
      <c r="C1" s="43"/>
      <c r="D1" s="43"/>
      <c r="E1" s="43"/>
      <c r="F1" s="43"/>
      <c r="G1" s="42" t="e" vm="1">
        <v>#VALUE!</v>
      </c>
      <c r="H1" s="42"/>
      <c r="I1" s="42"/>
      <c r="J1" s="42"/>
      <c r="K1" s="42"/>
      <c r="L1" s="16"/>
      <c r="M1" s="1">
        <v>46073</v>
      </c>
      <c r="O1" s="2" t="s">
        <v>242</v>
      </c>
      <c r="P1" s="40" t="s">
        <v>245</v>
      </c>
      <c r="Q1" s="3" t="s">
        <v>243</v>
      </c>
      <c r="R1" s="4" t="s">
        <v>244</v>
      </c>
      <c r="S1" s="14"/>
      <c r="T1" s="5" t="str">
        <f>IFERROR(IF(SUM(T3:T239)=0, "-", M2+R2), "-")</f>
        <v>-</v>
      </c>
    </row>
    <row r="2" spans="1:20" ht="18.600000000000001" thickBot="1" x14ac:dyDescent="0.35">
      <c r="A2" s="35" t="s">
        <v>0</v>
      </c>
      <c r="B2" s="35" t="s">
        <v>1</v>
      </c>
      <c r="C2" s="35" t="s">
        <v>2</v>
      </c>
      <c r="D2" s="35" t="s">
        <v>3</v>
      </c>
      <c r="E2" s="35" t="s">
        <v>4</v>
      </c>
      <c r="F2" s="35" t="s">
        <v>5</v>
      </c>
      <c r="G2" s="36" t="s">
        <v>6</v>
      </c>
      <c r="H2" s="36" t="s">
        <v>248</v>
      </c>
      <c r="I2" s="35" t="s">
        <v>7</v>
      </c>
      <c r="J2" s="35" t="s">
        <v>240</v>
      </c>
      <c r="K2" s="37" t="s">
        <v>241</v>
      </c>
      <c r="L2" s="38" t="s">
        <v>249</v>
      </c>
      <c r="M2" s="39">
        <f>SUM(K3:K88)</f>
        <v>0</v>
      </c>
      <c r="O2" s="6"/>
      <c r="P2" s="41"/>
      <c r="Q2" s="7" t="str">
        <f>IF(SUM(Q3:Q239)=0, "-", SUM(Q3:Q239))</f>
        <v>-</v>
      </c>
      <c r="R2" s="7" t="str">
        <f>IF(SUM(R3:R239)=0, "-", SUM(R3:R239))</f>
        <v>-</v>
      </c>
      <c r="S2" s="8"/>
      <c r="T2" s="9" t="s">
        <v>246</v>
      </c>
    </row>
    <row r="3" spans="1:20" x14ac:dyDescent="0.3">
      <c r="A3" s="29" t="s">
        <v>8</v>
      </c>
      <c r="B3" s="30" t="s">
        <v>9</v>
      </c>
      <c r="C3" s="30" t="s">
        <v>10</v>
      </c>
      <c r="D3" s="30" t="s">
        <v>11</v>
      </c>
      <c r="E3" s="30" t="s">
        <v>12</v>
      </c>
      <c r="F3" s="30"/>
      <c r="G3" s="31" t="s">
        <v>154</v>
      </c>
      <c r="H3" s="32">
        <v>0.32821036708460005</v>
      </c>
      <c r="I3" s="33">
        <v>8.7889999999999997</v>
      </c>
      <c r="J3" s="30"/>
      <c r="K3" s="34">
        <f>I3*J3</f>
        <v>0</v>
      </c>
      <c r="O3" s="10" t="str">
        <f>IFERROR(IF($O$2*H3=0, "-", $O$2*H3), "-")</f>
        <v>-</v>
      </c>
      <c r="P3" s="10" t="str">
        <f>IFERROR(IF(I3+O3=0, "-", IF(O3&gt;0, I3+O3, "-")), "-")</f>
        <v>-</v>
      </c>
      <c r="Q3" s="11" t="str">
        <f>IF(J3&gt;0,J3*H3, "-")</f>
        <v>-</v>
      </c>
      <c r="R3" s="12" t="str">
        <f>IFERROR(IF($O$2&gt;0, $O$2*Q3, "-"), "-")</f>
        <v>-</v>
      </c>
      <c r="T3" s="12" t="str">
        <f>IFERROR(IF(R3+K3=0, "-", IF(R3&gt;0, R3+K3, "-")), "-")</f>
        <v>-</v>
      </c>
    </row>
    <row r="4" spans="1:20" x14ac:dyDescent="0.3">
      <c r="A4" s="21" t="s">
        <v>13</v>
      </c>
      <c r="B4" s="17" t="s">
        <v>9</v>
      </c>
      <c r="C4" s="17" t="s">
        <v>10</v>
      </c>
      <c r="D4" s="17" t="s">
        <v>11</v>
      </c>
      <c r="E4" s="17" t="s">
        <v>14</v>
      </c>
      <c r="F4" s="17"/>
      <c r="G4" s="18" t="s">
        <v>155</v>
      </c>
      <c r="H4" s="19">
        <v>0.32821036708460005</v>
      </c>
      <c r="I4" s="20">
        <v>8.7889999999999997</v>
      </c>
      <c r="J4" s="17"/>
      <c r="K4" s="22">
        <f t="shared" ref="K4:K67" si="0">I4*J4</f>
        <v>0</v>
      </c>
      <c r="O4" s="10" t="str">
        <f t="shared" ref="O4:O67" si="1">IFERROR(IF($O$2*H4=0, "-", $O$2*H4), "-")</f>
        <v>-</v>
      </c>
      <c r="P4" s="10" t="str">
        <f t="shared" ref="P4:P67" si="2">IFERROR(IF(I4+O4=0, "-", IF(O4&gt;0, I4+O4, "-")), "-")</f>
        <v>-</v>
      </c>
      <c r="Q4" s="11" t="str">
        <f t="shared" ref="Q4:Q67" si="3">IF(J4&gt;0,J4*H4, "-")</f>
        <v>-</v>
      </c>
      <c r="R4" s="12" t="str">
        <f t="shared" ref="R4:R67" si="4">IFERROR(IF($O$2&gt;0, $O$2*Q4, "-"), "-")</f>
        <v>-</v>
      </c>
      <c r="T4" s="12" t="str">
        <f t="shared" ref="T4:T67" si="5">IFERROR(IF(R4+K4=0, "-", IF(R4&gt;0, R4+K4, "-")), "-")</f>
        <v>-</v>
      </c>
    </row>
    <row r="5" spans="1:20" x14ac:dyDescent="0.3">
      <c r="A5" s="21" t="s">
        <v>15</v>
      </c>
      <c r="B5" s="17" t="s">
        <v>9</v>
      </c>
      <c r="C5" s="17" t="s">
        <v>16</v>
      </c>
      <c r="D5" s="17" t="s">
        <v>11</v>
      </c>
      <c r="E5" s="17" t="s">
        <v>12</v>
      </c>
      <c r="F5" s="17"/>
      <c r="G5" s="18" t="s">
        <v>156</v>
      </c>
      <c r="H5" s="19">
        <v>0.32821036708460005</v>
      </c>
      <c r="I5" s="20">
        <v>9.927999999999999</v>
      </c>
      <c r="J5" s="17"/>
      <c r="K5" s="22">
        <f t="shared" si="0"/>
        <v>0</v>
      </c>
      <c r="O5" s="10" t="str">
        <f t="shared" si="1"/>
        <v>-</v>
      </c>
      <c r="P5" s="10" t="str">
        <f t="shared" si="2"/>
        <v>-</v>
      </c>
      <c r="Q5" s="11" t="str">
        <f t="shared" si="3"/>
        <v>-</v>
      </c>
      <c r="R5" s="12" t="str">
        <f t="shared" si="4"/>
        <v>-</v>
      </c>
      <c r="T5" s="12" t="str">
        <f t="shared" si="5"/>
        <v>-</v>
      </c>
    </row>
    <row r="6" spans="1:20" x14ac:dyDescent="0.3">
      <c r="A6" s="21" t="s">
        <v>26</v>
      </c>
      <c r="B6" s="17" t="s">
        <v>18</v>
      </c>
      <c r="C6" s="17" t="s">
        <v>27</v>
      </c>
      <c r="D6" s="17" t="s">
        <v>11</v>
      </c>
      <c r="E6" s="17" t="s">
        <v>12</v>
      </c>
      <c r="F6" s="17"/>
      <c r="G6" s="18" t="s">
        <v>162</v>
      </c>
      <c r="H6" s="19">
        <v>0.252469513142</v>
      </c>
      <c r="I6" s="20">
        <v>8.2959999999999994</v>
      </c>
      <c r="J6" s="17"/>
      <c r="K6" s="22">
        <f t="shared" si="0"/>
        <v>0</v>
      </c>
      <c r="O6" s="10" t="str">
        <f t="shared" si="1"/>
        <v>-</v>
      </c>
      <c r="P6" s="10" t="str">
        <f t="shared" si="2"/>
        <v>-</v>
      </c>
      <c r="Q6" s="11" t="str">
        <f t="shared" si="3"/>
        <v>-</v>
      </c>
      <c r="R6" s="12" t="str">
        <f t="shared" si="4"/>
        <v>-</v>
      </c>
      <c r="T6" s="12" t="str">
        <f t="shared" si="5"/>
        <v>-</v>
      </c>
    </row>
    <row r="7" spans="1:20" x14ac:dyDescent="0.3">
      <c r="A7" s="21" t="s">
        <v>28</v>
      </c>
      <c r="B7" s="17" t="s">
        <v>18</v>
      </c>
      <c r="C7" s="17" t="s">
        <v>27</v>
      </c>
      <c r="D7" s="17" t="s">
        <v>11</v>
      </c>
      <c r="E7" s="17" t="s">
        <v>14</v>
      </c>
      <c r="F7" s="17"/>
      <c r="G7" s="18" t="s">
        <v>163</v>
      </c>
      <c r="H7" s="19">
        <v>0.252469513142</v>
      </c>
      <c r="I7" s="20">
        <v>8.2959999999999994</v>
      </c>
      <c r="J7" s="17"/>
      <c r="K7" s="22">
        <f t="shared" si="0"/>
        <v>0</v>
      </c>
      <c r="O7" s="10" t="str">
        <f t="shared" si="1"/>
        <v>-</v>
      </c>
      <c r="P7" s="10" t="str">
        <f t="shared" si="2"/>
        <v>-</v>
      </c>
      <c r="Q7" s="11" t="str">
        <f t="shared" si="3"/>
        <v>-</v>
      </c>
      <c r="R7" s="12" t="str">
        <f t="shared" si="4"/>
        <v>-</v>
      </c>
      <c r="T7" s="12" t="str">
        <f t="shared" si="5"/>
        <v>-</v>
      </c>
    </row>
    <row r="8" spans="1:20" x14ac:dyDescent="0.3">
      <c r="A8" s="21" t="s">
        <v>99</v>
      </c>
      <c r="B8" s="17" t="s">
        <v>18</v>
      </c>
      <c r="C8" s="17" t="s">
        <v>27</v>
      </c>
      <c r="D8" s="17" t="s">
        <v>11</v>
      </c>
      <c r="E8" s="17" t="s">
        <v>12</v>
      </c>
      <c r="F8" s="17" t="s">
        <v>95</v>
      </c>
      <c r="G8" s="18" t="s">
        <v>204</v>
      </c>
      <c r="H8" s="19">
        <v>0.252469513142</v>
      </c>
      <c r="I8" s="20">
        <v>9.2989999999999995</v>
      </c>
      <c r="J8" s="17"/>
      <c r="K8" s="22">
        <f t="shared" si="0"/>
        <v>0</v>
      </c>
      <c r="O8" s="10" t="str">
        <f t="shared" si="1"/>
        <v>-</v>
      </c>
      <c r="P8" s="10" t="str">
        <f t="shared" si="2"/>
        <v>-</v>
      </c>
      <c r="Q8" s="11" t="str">
        <f t="shared" si="3"/>
        <v>-</v>
      </c>
      <c r="R8" s="12" t="str">
        <f t="shared" si="4"/>
        <v>-</v>
      </c>
      <c r="T8" s="12" t="str">
        <f t="shared" si="5"/>
        <v>-</v>
      </c>
    </row>
    <row r="9" spans="1:20" x14ac:dyDescent="0.3">
      <c r="A9" s="21" t="s">
        <v>100</v>
      </c>
      <c r="B9" s="17" t="s">
        <v>18</v>
      </c>
      <c r="C9" s="17" t="s">
        <v>27</v>
      </c>
      <c r="D9" s="17" t="s">
        <v>11</v>
      </c>
      <c r="E9" s="17" t="s">
        <v>14</v>
      </c>
      <c r="F9" s="17" t="s">
        <v>95</v>
      </c>
      <c r="G9" s="18" t="s">
        <v>205</v>
      </c>
      <c r="H9" s="19">
        <v>0.252469513142</v>
      </c>
      <c r="I9" s="20">
        <v>9.2989999999999995</v>
      </c>
      <c r="J9" s="17"/>
      <c r="K9" s="22">
        <f t="shared" si="0"/>
        <v>0</v>
      </c>
      <c r="O9" s="10" t="str">
        <f t="shared" si="1"/>
        <v>-</v>
      </c>
      <c r="P9" s="10" t="str">
        <f t="shared" si="2"/>
        <v>-</v>
      </c>
      <c r="Q9" s="11" t="str">
        <f t="shared" si="3"/>
        <v>-</v>
      </c>
      <c r="R9" s="12" t="str">
        <f t="shared" si="4"/>
        <v>-</v>
      </c>
      <c r="T9" s="12" t="str">
        <f t="shared" si="5"/>
        <v>-</v>
      </c>
    </row>
    <row r="10" spans="1:20" x14ac:dyDescent="0.3">
      <c r="A10" s="21" t="s">
        <v>31</v>
      </c>
      <c r="B10" s="17" t="s">
        <v>18</v>
      </c>
      <c r="C10" s="17" t="s">
        <v>32</v>
      </c>
      <c r="D10" s="17" t="s">
        <v>11</v>
      </c>
      <c r="E10" s="17" t="s">
        <v>12</v>
      </c>
      <c r="F10" s="17"/>
      <c r="G10" s="18" t="s">
        <v>165</v>
      </c>
      <c r="H10" s="19">
        <v>0.252469513142</v>
      </c>
      <c r="I10" s="20">
        <v>9.927999999999999</v>
      </c>
      <c r="J10" s="17"/>
      <c r="K10" s="22">
        <f t="shared" si="0"/>
        <v>0</v>
      </c>
      <c r="O10" s="10" t="str">
        <f t="shared" si="1"/>
        <v>-</v>
      </c>
      <c r="P10" s="10" t="str">
        <f t="shared" si="2"/>
        <v>-</v>
      </c>
      <c r="Q10" s="11" t="str">
        <f t="shared" si="3"/>
        <v>-</v>
      </c>
      <c r="R10" s="12" t="str">
        <f t="shared" si="4"/>
        <v>-</v>
      </c>
      <c r="T10" s="12" t="str">
        <f t="shared" si="5"/>
        <v>-</v>
      </c>
    </row>
    <row r="11" spans="1:20" x14ac:dyDescent="0.3">
      <c r="A11" s="21" t="s">
        <v>24</v>
      </c>
      <c r="B11" s="17" t="s">
        <v>18</v>
      </c>
      <c r="C11" s="17" t="s">
        <v>25</v>
      </c>
      <c r="D11" s="17" t="s">
        <v>11</v>
      </c>
      <c r="E11" s="17" t="s">
        <v>12</v>
      </c>
      <c r="F11" s="17"/>
      <c r="G11" s="18" t="s">
        <v>161</v>
      </c>
      <c r="H11" s="19">
        <v>0.252469513142</v>
      </c>
      <c r="I11" s="20">
        <v>8.6189999999999998</v>
      </c>
      <c r="J11" s="17"/>
      <c r="K11" s="22">
        <f t="shared" si="0"/>
        <v>0</v>
      </c>
      <c r="O11" s="10" t="str">
        <f t="shared" si="1"/>
        <v>-</v>
      </c>
      <c r="P11" s="10" t="str">
        <f t="shared" si="2"/>
        <v>-</v>
      </c>
      <c r="Q11" s="11" t="str">
        <f t="shared" si="3"/>
        <v>-</v>
      </c>
      <c r="R11" s="12" t="str">
        <f t="shared" si="4"/>
        <v>-</v>
      </c>
      <c r="T11" s="12" t="str">
        <f t="shared" si="5"/>
        <v>-</v>
      </c>
    </row>
    <row r="12" spans="1:20" x14ac:dyDescent="0.3">
      <c r="A12" s="21" t="s">
        <v>33</v>
      </c>
      <c r="B12" s="17" t="s">
        <v>18</v>
      </c>
      <c r="C12" s="17" t="s">
        <v>25</v>
      </c>
      <c r="D12" s="17" t="s">
        <v>11</v>
      </c>
      <c r="E12" s="17" t="s">
        <v>34</v>
      </c>
      <c r="F12" s="17"/>
      <c r="G12" s="18" t="s">
        <v>166</v>
      </c>
      <c r="H12" s="19">
        <v>0.252469513142</v>
      </c>
      <c r="I12" s="20">
        <v>8.6189999999999998</v>
      </c>
      <c r="J12" s="17"/>
      <c r="K12" s="22">
        <f t="shared" si="0"/>
        <v>0</v>
      </c>
      <c r="O12" s="10" t="str">
        <f t="shared" si="1"/>
        <v>-</v>
      </c>
      <c r="P12" s="10" t="str">
        <f t="shared" si="2"/>
        <v>-</v>
      </c>
      <c r="Q12" s="11" t="str">
        <f t="shared" si="3"/>
        <v>-</v>
      </c>
      <c r="R12" s="12" t="str">
        <f t="shared" si="4"/>
        <v>-</v>
      </c>
      <c r="T12" s="12" t="str">
        <f t="shared" si="5"/>
        <v>-</v>
      </c>
    </row>
    <row r="13" spans="1:20" x14ac:dyDescent="0.3">
      <c r="A13" s="21" t="s">
        <v>29</v>
      </c>
      <c r="B13" s="17" t="s">
        <v>18</v>
      </c>
      <c r="C13" s="17" t="s">
        <v>30</v>
      </c>
      <c r="D13" s="17" t="s">
        <v>11</v>
      </c>
      <c r="E13" s="17" t="s">
        <v>14</v>
      </c>
      <c r="F13" s="17"/>
      <c r="G13" s="18" t="s">
        <v>164</v>
      </c>
      <c r="H13" s="19">
        <v>0.252469513142</v>
      </c>
      <c r="I13" s="20">
        <v>7.6160000000000005</v>
      </c>
      <c r="J13" s="17"/>
      <c r="K13" s="22">
        <f t="shared" si="0"/>
        <v>0</v>
      </c>
      <c r="O13" s="10" t="str">
        <f t="shared" si="1"/>
        <v>-</v>
      </c>
      <c r="P13" s="10" t="str">
        <f t="shared" si="2"/>
        <v>-</v>
      </c>
      <c r="Q13" s="11" t="str">
        <f t="shared" si="3"/>
        <v>-</v>
      </c>
      <c r="R13" s="12" t="str">
        <f t="shared" si="4"/>
        <v>-</v>
      </c>
      <c r="T13" s="12" t="str">
        <f t="shared" si="5"/>
        <v>-</v>
      </c>
    </row>
    <row r="14" spans="1:20" x14ac:dyDescent="0.3">
      <c r="A14" s="21" t="s">
        <v>97</v>
      </c>
      <c r="B14" s="17" t="s">
        <v>18</v>
      </c>
      <c r="C14" s="17" t="s">
        <v>98</v>
      </c>
      <c r="D14" s="17" t="s">
        <v>11</v>
      </c>
      <c r="E14" s="17" t="s">
        <v>12</v>
      </c>
      <c r="F14" s="17" t="s">
        <v>95</v>
      </c>
      <c r="G14" s="18" t="s">
        <v>203</v>
      </c>
      <c r="H14" s="19">
        <v>0.252469513142</v>
      </c>
      <c r="I14" s="20">
        <v>8.9249999999999989</v>
      </c>
      <c r="J14" s="17"/>
      <c r="K14" s="22">
        <f t="shared" si="0"/>
        <v>0</v>
      </c>
      <c r="O14" s="10" t="str">
        <f t="shared" si="1"/>
        <v>-</v>
      </c>
      <c r="P14" s="10" t="str">
        <f t="shared" si="2"/>
        <v>-</v>
      </c>
      <c r="Q14" s="11" t="str">
        <f t="shared" si="3"/>
        <v>-</v>
      </c>
      <c r="R14" s="12" t="str">
        <f t="shared" si="4"/>
        <v>-</v>
      </c>
      <c r="T14" s="12" t="str">
        <f t="shared" si="5"/>
        <v>-</v>
      </c>
    </row>
    <row r="15" spans="1:20" x14ac:dyDescent="0.3">
      <c r="A15" s="21" t="s">
        <v>101</v>
      </c>
      <c r="B15" s="17" t="s">
        <v>18</v>
      </c>
      <c r="C15" s="17" t="s">
        <v>98</v>
      </c>
      <c r="D15" s="17" t="s">
        <v>11</v>
      </c>
      <c r="E15" s="17" t="s">
        <v>14</v>
      </c>
      <c r="F15" s="17" t="s">
        <v>95</v>
      </c>
      <c r="G15" s="18" t="s">
        <v>206</v>
      </c>
      <c r="H15" s="19">
        <v>0.252469513142</v>
      </c>
      <c r="I15" s="20">
        <v>8.9249999999999989</v>
      </c>
      <c r="J15" s="17"/>
      <c r="K15" s="22">
        <f t="shared" si="0"/>
        <v>0</v>
      </c>
      <c r="O15" s="10" t="str">
        <f t="shared" si="1"/>
        <v>-</v>
      </c>
      <c r="P15" s="10" t="str">
        <f t="shared" si="2"/>
        <v>-</v>
      </c>
      <c r="Q15" s="11" t="str">
        <f t="shared" si="3"/>
        <v>-</v>
      </c>
      <c r="R15" s="12" t="str">
        <f t="shared" si="4"/>
        <v>-</v>
      </c>
      <c r="T15" s="12" t="str">
        <f t="shared" si="5"/>
        <v>-</v>
      </c>
    </row>
    <row r="16" spans="1:20" x14ac:dyDescent="0.3">
      <c r="A16" s="21" t="s">
        <v>139</v>
      </c>
      <c r="B16" s="17" t="s">
        <v>137</v>
      </c>
      <c r="C16" s="17" t="s">
        <v>98</v>
      </c>
      <c r="D16" s="17" t="s">
        <v>138</v>
      </c>
      <c r="E16" s="17" t="s">
        <v>14</v>
      </c>
      <c r="F16" s="17"/>
      <c r="G16" s="18" t="s">
        <v>231</v>
      </c>
      <c r="H16" s="19">
        <v>0.10098780525680003</v>
      </c>
      <c r="I16" s="20">
        <v>8.5339999999999989</v>
      </c>
      <c r="J16" s="17"/>
      <c r="K16" s="22">
        <f t="shared" si="0"/>
        <v>0</v>
      </c>
      <c r="O16" s="10" t="str">
        <f t="shared" si="1"/>
        <v>-</v>
      </c>
      <c r="P16" s="10" t="str">
        <f t="shared" si="2"/>
        <v>-</v>
      </c>
      <c r="Q16" s="11" t="str">
        <f t="shared" si="3"/>
        <v>-</v>
      </c>
      <c r="R16" s="12" t="str">
        <f t="shared" si="4"/>
        <v>-</v>
      </c>
      <c r="T16" s="12" t="str">
        <f t="shared" si="5"/>
        <v>-</v>
      </c>
    </row>
    <row r="17" spans="1:20" x14ac:dyDescent="0.3">
      <c r="A17" s="21" t="s">
        <v>48</v>
      </c>
      <c r="B17" s="17" t="s">
        <v>18</v>
      </c>
      <c r="C17" s="17" t="s">
        <v>49</v>
      </c>
      <c r="D17" s="17" t="s">
        <v>11</v>
      </c>
      <c r="E17" s="17" t="s">
        <v>12</v>
      </c>
      <c r="F17" s="17"/>
      <c r="G17" s="18" t="s">
        <v>175</v>
      </c>
      <c r="H17" s="19">
        <v>0.252469513142</v>
      </c>
      <c r="I17" s="20">
        <v>8.2959999999999994</v>
      </c>
      <c r="J17" s="17"/>
      <c r="K17" s="22">
        <f t="shared" si="0"/>
        <v>0</v>
      </c>
      <c r="O17" s="10" t="str">
        <f t="shared" si="1"/>
        <v>-</v>
      </c>
      <c r="P17" s="10" t="str">
        <f t="shared" si="2"/>
        <v>-</v>
      </c>
      <c r="Q17" s="11" t="str">
        <f t="shared" si="3"/>
        <v>-</v>
      </c>
      <c r="R17" s="12" t="str">
        <f t="shared" si="4"/>
        <v>-</v>
      </c>
      <c r="T17" s="12" t="str">
        <f t="shared" si="5"/>
        <v>-</v>
      </c>
    </row>
    <row r="18" spans="1:20" x14ac:dyDescent="0.3">
      <c r="A18" s="21" t="s">
        <v>39</v>
      </c>
      <c r="B18" s="17" t="s">
        <v>18</v>
      </c>
      <c r="C18" s="17" t="s">
        <v>40</v>
      </c>
      <c r="D18" s="17" t="s">
        <v>11</v>
      </c>
      <c r="E18" s="17" t="s">
        <v>12</v>
      </c>
      <c r="F18" s="17"/>
      <c r="G18" s="18" t="s">
        <v>169</v>
      </c>
      <c r="H18" s="19">
        <v>0.4039512210272001</v>
      </c>
      <c r="I18" s="20">
        <v>9.673</v>
      </c>
      <c r="J18" s="17"/>
      <c r="K18" s="22">
        <f t="shared" si="0"/>
        <v>0</v>
      </c>
      <c r="O18" s="10" t="str">
        <f t="shared" si="1"/>
        <v>-</v>
      </c>
      <c r="P18" s="10" t="str">
        <f t="shared" si="2"/>
        <v>-</v>
      </c>
      <c r="Q18" s="11" t="str">
        <f t="shared" si="3"/>
        <v>-</v>
      </c>
      <c r="R18" s="12" t="str">
        <f t="shared" si="4"/>
        <v>-</v>
      </c>
      <c r="T18" s="12" t="str">
        <f t="shared" si="5"/>
        <v>-</v>
      </c>
    </row>
    <row r="19" spans="1:20" x14ac:dyDescent="0.3">
      <c r="A19" s="21" t="s">
        <v>41</v>
      </c>
      <c r="B19" s="17" t="s">
        <v>18</v>
      </c>
      <c r="C19" s="17" t="s">
        <v>40</v>
      </c>
      <c r="D19" s="17" t="s">
        <v>11</v>
      </c>
      <c r="E19" s="17" t="s">
        <v>14</v>
      </c>
      <c r="F19" s="17"/>
      <c r="G19" s="18" t="s">
        <v>170</v>
      </c>
      <c r="H19" s="19">
        <v>0.4039512210272001</v>
      </c>
      <c r="I19" s="20">
        <v>9.673</v>
      </c>
      <c r="J19" s="17"/>
      <c r="K19" s="22">
        <f t="shared" si="0"/>
        <v>0</v>
      </c>
      <c r="O19" s="10" t="str">
        <f t="shared" si="1"/>
        <v>-</v>
      </c>
      <c r="P19" s="10" t="str">
        <f t="shared" si="2"/>
        <v>-</v>
      </c>
      <c r="Q19" s="11" t="str">
        <f t="shared" si="3"/>
        <v>-</v>
      </c>
      <c r="R19" s="12" t="str">
        <f t="shared" si="4"/>
        <v>-</v>
      </c>
      <c r="T19" s="12" t="str">
        <f t="shared" si="5"/>
        <v>-</v>
      </c>
    </row>
    <row r="20" spans="1:20" x14ac:dyDescent="0.3">
      <c r="A20" s="21" t="s">
        <v>45</v>
      </c>
      <c r="B20" s="17" t="s">
        <v>18</v>
      </c>
      <c r="C20" s="17" t="s">
        <v>46</v>
      </c>
      <c r="D20" s="17" t="s">
        <v>11</v>
      </c>
      <c r="E20" s="17" t="s">
        <v>12</v>
      </c>
      <c r="F20" s="17"/>
      <c r="G20" s="18" t="s">
        <v>173</v>
      </c>
      <c r="H20" s="19">
        <v>0.47969207496979999</v>
      </c>
      <c r="I20" s="20">
        <v>12.189</v>
      </c>
      <c r="J20" s="17"/>
      <c r="K20" s="22">
        <f t="shared" si="0"/>
        <v>0</v>
      </c>
      <c r="O20" s="10" t="str">
        <f t="shared" si="1"/>
        <v>-</v>
      </c>
      <c r="P20" s="10" t="str">
        <f t="shared" si="2"/>
        <v>-</v>
      </c>
      <c r="Q20" s="11" t="str">
        <f t="shared" si="3"/>
        <v>-</v>
      </c>
      <c r="R20" s="12" t="str">
        <f t="shared" si="4"/>
        <v>-</v>
      </c>
      <c r="T20" s="12" t="str">
        <f t="shared" si="5"/>
        <v>-</v>
      </c>
    </row>
    <row r="21" spans="1:20" x14ac:dyDescent="0.3">
      <c r="A21" s="21" t="s">
        <v>47</v>
      </c>
      <c r="B21" s="17" t="s">
        <v>18</v>
      </c>
      <c r="C21" s="17" t="s">
        <v>46</v>
      </c>
      <c r="D21" s="17" t="s">
        <v>11</v>
      </c>
      <c r="E21" s="17" t="s">
        <v>14</v>
      </c>
      <c r="F21" s="17"/>
      <c r="G21" s="18" t="s">
        <v>174</v>
      </c>
      <c r="H21" s="19">
        <v>0.32821036708460005</v>
      </c>
      <c r="I21" s="20">
        <v>9.0440000000000005</v>
      </c>
      <c r="J21" s="17"/>
      <c r="K21" s="22">
        <f t="shared" si="0"/>
        <v>0</v>
      </c>
      <c r="O21" s="10" t="str">
        <f t="shared" si="1"/>
        <v>-</v>
      </c>
      <c r="P21" s="10" t="str">
        <f t="shared" si="2"/>
        <v>-</v>
      </c>
      <c r="Q21" s="11" t="str">
        <f t="shared" si="3"/>
        <v>-</v>
      </c>
      <c r="R21" s="12" t="str">
        <f t="shared" si="4"/>
        <v>-</v>
      </c>
      <c r="T21" s="12" t="str">
        <f t="shared" si="5"/>
        <v>-</v>
      </c>
    </row>
    <row r="22" spans="1:20" x14ac:dyDescent="0.3">
      <c r="A22" s="21" t="s">
        <v>42</v>
      </c>
      <c r="B22" s="17" t="s">
        <v>18</v>
      </c>
      <c r="C22" s="17" t="s">
        <v>43</v>
      </c>
      <c r="D22" s="17" t="s">
        <v>11</v>
      </c>
      <c r="E22" s="17" t="s">
        <v>12</v>
      </c>
      <c r="F22" s="17"/>
      <c r="G22" s="18" t="s">
        <v>171</v>
      </c>
      <c r="H22" s="19">
        <v>0.47969207496979999</v>
      </c>
      <c r="I22" s="20">
        <v>12.562999999999999</v>
      </c>
      <c r="J22" s="17"/>
      <c r="K22" s="22">
        <f t="shared" si="0"/>
        <v>0</v>
      </c>
      <c r="O22" s="10" t="str">
        <f t="shared" si="1"/>
        <v>-</v>
      </c>
      <c r="P22" s="10" t="str">
        <f t="shared" si="2"/>
        <v>-</v>
      </c>
      <c r="Q22" s="11" t="str">
        <f t="shared" si="3"/>
        <v>-</v>
      </c>
      <c r="R22" s="12" t="str">
        <f t="shared" si="4"/>
        <v>-</v>
      </c>
      <c r="T22" s="12" t="str">
        <f t="shared" si="5"/>
        <v>-</v>
      </c>
    </row>
    <row r="23" spans="1:20" x14ac:dyDescent="0.3">
      <c r="A23" s="21" t="s">
        <v>44</v>
      </c>
      <c r="B23" s="17" t="s">
        <v>18</v>
      </c>
      <c r="C23" s="17" t="s">
        <v>43</v>
      </c>
      <c r="D23" s="17" t="s">
        <v>11</v>
      </c>
      <c r="E23" s="17" t="s">
        <v>14</v>
      </c>
      <c r="F23" s="17"/>
      <c r="G23" s="18" t="s">
        <v>172</v>
      </c>
      <c r="H23" s="19">
        <v>0.47969207496979999</v>
      </c>
      <c r="I23" s="20">
        <v>12.562999999999999</v>
      </c>
      <c r="J23" s="17"/>
      <c r="K23" s="22">
        <f t="shared" si="0"/>
        <v>0</v>
      </c>
      <c r="O23" s="10" t="str">
        <f t="shared" si="1"/>
        <v>-</v>
      </c>
      <c r="P23" s="10" t="str">
        <f t="shared" si="2"/>
        <v>-</v>
      </c>
      <c r="Q23" s="11" t="str">
        <f t="shared" si="3"/>
        <v>-</v>
      </c>
      <c r="R23" s="12" t="str">
        <f t="shared" si="4"/>
        <v>-</v>
      </c>
      <c r="T23" s="12" t="str">
        <f t="shared" si="5"/>
        <v>-</v>
      </c>
    </row>
    <row r="24" spans="1:20" x14ac:dyDescent="0.3">
      <c r="A24" s="21" t="s">
        <v>35</v>
      </c>
      <c r="B24" s="17" t="s">
        <v>18</v>
      </c>
      <c r="C24" s="17" t="s">
        <v>36</v>
      </c>
      <c r="D24" s="17" t="s">
        <v>11</v>
      </c>
      <c r="E24" s="17" t="s">
        <v>12</v>
      </c>
      <c r="F24" s="17"/>
      <c r="G24" s="18" t="s">
        <v>167</v>
      </c>
      <c r="H24" s="19">
        <v>0.252469513142</v>
      </c>
      <c r="I24" s="20">
        <v>8.9249999999999989</v>
      </c>
      <c r="J24" s="17"/>
      <c r="K24" s="22">
        <f t="shared" si="0"/>
        <v>0</v>
      </c>
      <c r="O24" s="10" t="str">
        <f t="shared" si="1"/>
        <v>-</v>
      </c>
      <c r="P24" s="10" t="str">
        <f t="shared" si="2"/>
        <v>-</v>
      </c>
      <c r="Q24" s="11" t="str">
        <f t="shared" si="3"/>
        <v>-</v>
      </c>
      <c r="R24" s="12" t="str">
        <f t="shared" si="4"/>
        <v>-</v>
      </c>
      <c r="T24" s="12" t="str">
        <f t="shared" si="5"/>
        <v>-</v>
      </c>
    </row>
    <row r="25" spans="1:20" x14ac:dyDescent="0.3">
      <c r="A25" s="21" t="s">
        <v>37</v>
      </c>
      <c r="B25" s="17" t="s">
        <v>18</v>
      </c>
      <c r="C25" s="17" t="s">
        <v>38</v>
      </c>
      <c r="D25" s="17" t="s">
        <v>11</v>
      </c>
      <c r="E25" s="17" t="s">
        <v>12</v>
      </c>
      <c r="F25" s="17"/>
      <c r="G25" s="18" t="s">
        <v>168</v>
      </c>
      <c r="H25" s="19">
        <v>0.252469513142</v>
      </c>
      <c r="I25" s="20">
        <v>7.5309999999999997</v>
      </c>
      <c r="J25" s="17"/>
      <c r="K25" s="22">
        <f t="shared" si="0"/>
        <v>0</v>
      </c>
      <c r="O25" s="10" t="str">
        <f t="shared" si="1"/>
        <v>-</v>
      </c>
      <c r="P25" s="10" t="str">
        <f t="shared" si="2"/>
        <v>-</v>
      </c>
      <c r="Q25" s="11" t="str">
        <f t="shared" si="3"/>
        <v>-</v>
      </c>
      <c r="R25" s="12" t="str">
        <f t="shared" si="4"/>
        <v>-</v>
      </c>
      <c r="T25" s="12" t="str">
        <f t="shared" si="5"/>
        <v>-</v>
      </c>
    </row>
    <row r="26" spans="1:20" x14ac:dyDescent="0.3">
      <c r="A26" s="21" t="s">
        <v>50</v>
      </c>
      <c r="B26" s="17" t="s">
        <v>9</v>
      </c>
      <c r="C26" s="17" t="s">
        <v>51</v>
      </c>
      <c r="D26" s="17" t="s">
        <v>11</v>
      </c>
      <c r="E26" s="17" t="s">
        <v>12</v>
      </c>
      <c r="F26" s="17"/>
      <c r="G26" s="18" t="s">
        <v>176</v>
      </c>
      <c r="H26" s="19">
        <v>0.252469513142</v>
      </c>
      <c r="I26" s="20">
        <v>11.559999999999999</v>
      </c>
      <c r="J26" s="17"/>
      <c r="K26" s="22">
        <f t="shared" si="0"/>
        <v>0</v>
      </c>
      <c r="O26" s="10" t="str">
        <f t="shared" si="1"/>
        <v>-</v>
      </c>
      <c r="P26" s="10" t="str">
        <f t="shared" si="2"/>
        <v>-</v>
      </c>
      <c r="Q26" s="11" t="str">
        <f t="shared" si="3"/>
        <v>-</v>
      </c>
      <c r="R26" s="12" t="str">
        <f t="shared" si="4"/>
        <v>-</v>
      </c>
      <c r="T26" s="12" t="str">
        <f t="shared" si="5"/>
        <v>-</v>
      </c>
    </row>
    <row r="27" spans="1:20" x14ac:dyDescent="0.3">
      <c r="A27" s="21" t="s">
        <v>52</v>
      </c>
      <c r="B27" s="17" t="s">
        <v>9</v>
      </c>
      <c r="C27" s="17" t="s">
        <v>51</v>
      </c>
      <c r="D27" s="17" t="s">
        <v>11</v>
      </c>
      <c r="E27" s="17" t="s">
        <v>14</v>
      </c>
      <c r="F27" s="17"/>
      <c r="G27" s="18" t="s">
        <v>177</v>
      </c>
      <c r="H27" s="19">
        <v>0.252469513142</v>
      </c>
      <c r="I27" s="20">
        <v>11.559999999999999</v>
      </c>
      <c r="J27" s="17"/>
      <c r="K27" s="22">
        <f t="shared" si="0"/>
        <v>0</v>
      </c>
      <c r="O27" s="10" t="str">
        <f t="shared" si="1"/>
        <v>-</v>
      </c>
      <c r="P27" s="10" t="str">
        <f t="shared" si="2"/>
        <v>-</v>
      </c>
      <c r="Q27" s="11" t="str">
        <f t="shared" si="3"/>
        <v>-</v>
      </c>
      <c r="R27" s="12" t="str">
        <f t="shared" si="4"/>
        <v>-</v>
      </c>
      <c r="T27" s="12" t="str">
        <f t="shared" si="5"/>
        <v>-</v>
      </c>
    </row>
    <row r="28" spans="1:20" x14ac:dyDescent="0.3">
      <c r="A28" s="21" t="s">
        <v>59</v>
      </c>
      <c r="B28" s="17" t="s">
        <v>18</v>
      </c>
      <c r="C28" s="17" t="s">
        <v>60</v>
      </c>
      <c r="D28" s="17" t="s">
        <v>11</v>
      </c>
      <c r="E28" s="17" t="s">
        <v>12</v>
      </c>
      <c r="F28" s="17"/>
      <c r="G28" s="18" t="s">
        <v>182</v>
      </c>
      <c r="H28" s="19">
        <v>0.252469513142</v>
      </c>
      <c r="I28" s="20">
        <v>6.5279999999999996</v>
      </c>
      <c r="J28" s="17"/>
      <c r="K28" s="22">
        <f t="shared" si="0"/>
        <v>0</v>
      </c>
      <c r="O28" s="10" t="str">
        <f t="shared" si="1"/>
        <v>-</v>
      </c>
      <c r="P28" s="10" t="str">
        <f t="shared" si="2"/>
        <v>-</v>
      </c>
      <c r="Q28" s="11" t="str">
        <f t="shared" si="3"/>
        <v>-</v>
      </c>
      <c r="R28" s="12" t="str">
        <f t="shared" si="4"/>
        <v>-</v>
      </c>
      <c r="T28" s="12" t="str">
        <f t="shared" si="5"/>
        <v>-</v>
      </c>
    </row>
    <row r="29" spans="1:20" x14ac:dyDescent="0.3">
      <c r="A29" s="21" t="s">
        <v>53</v>
      </c>
      <c r="B29" s="17" t="s">
        <v>18</v>
      </c>
      <c r="C29" s="17" t="s">
        <v>54</v>
      </c>
      <c r="D29" s="17" t="s">
        <v>11</v>
      </c>
      <c r="E29" s="17" t="s">
        <v>12</v>
      </c>
      <c r="F29" s="17"/>
      <c r="G29" s="18" t="s">
        <v>178</v>
      </c>
      <c r="H29" s="19">
        <v>0.252469513142</v>
      </c>
      <c r="I29" s="20">
        <v>7.5309999999999997</v>
      </c>
      <c r="J29" s="17"/>
      <c r="K29" s="22">
        <f t="shared" si="0"/>
        <v>0</v>
      </c>
      <c r="O29" s="10" t="str">
        <f t="shared" si="1"/>
        <v>-</v>
      </c>
      <c r="P29" s="10" t="str">
        <f t="shared" si="2"/>
        <v>-</v>
      </c>
      <c r="Q29" s="11" t="str">
        <f t="shared" si="3"/>
        <v>-</v>
      </c>
      <c r="R29" s="12" t="str">
        <f t="shared" si="4"/>
        <v>-</v>
      </c>
      <c r="T29" s="12" t="str">
        <f t="shared" si="5"/>
        <v>-</v>
      </c>
    </row>
    <row r="30" spans="1:20" x14ac:dyDescent="0.3">
      <c r="A30" s="21" t="s">
        <v>55</v>
      </c>
      <c r="B30" s="17" t="s">
        <v>18</v>
      </c>
      <c r="C30" s="17" t="s">
        <v>54</v>
      </c>
      <c r="D30" s="17" t="s">
        <v>11</v>
      </c>
      <c r="E30" s="17" t="s">
        <v>14</v>
      </c>
      <c r="F30" s="17"/>
      <c r="G30" s="18" t="s">
        <v>179</v>
      </c>
      <c r="H30" s="19">
        <v>0.252469513142</v>
      </c>
      <c r="I30" s="20">
        <v>7.5309999999999997</v>
      </c>
      <c r="J30" s="17"/>
      <c r="K30" s="22">
        <f t="shared" si="0"/>
        <v>0</v>
      </c>
      <c r="O30" s="10" t="str">
        <f t="shared" si="1"/>
        <v>-</v>
      </c>
      <c r="P30" s="10" t="str">
        <f t="shared" si="2"/>
        <v>-</v>
      </c>
      <c r="Q30" s="11" t="str">
        <f t="shared" si="3"/>
        <v>-</v>
      </c>
      <c r="R30" s="12" t="str">
        <f t="shared" si="4"/>
        <v>-</v>
      </c>
      <c r="T30" s="12" t="str">
        <f t="shared" si="5"/>
        <v>-</v>
      </c>
    </row>
    <row r="31" spans="1:20" x14ac:dyDescent="0.3">
      <c r="A31" s="21" t="s">
        <v>140</v>
      </c>
      <c r="B31" s="17" t="s">
        <v>137</v>
      </c>
      <c r="C31" s="17" t="s">
        <v>54</v>
      </c>
      <c r="D31" s="17" t="s">
        <v>138</v>
      </c>
      <c r="E31" s="17" t="s">
        <v>14</v>
      </c>
      <c r="F31" s="17"/>
      <c r="G31" s="18" t="s">
        <v>232</v>
      </c>
      <c r="H31" s="19">
        <v>0.10098780525680003</v>
      </c>
      <c r="I31" s="20">
        <v>8.7889999999999997</v>
      </c>
      <c r="J31" s="17"/>
      <c r="K31" s="22">
        <f t="shared" si="0"/>
        <v>0</v>
      </c>
      <c r="O31" s="10" t="str">
        <f t="shared" si="1"/>
        <v>-</v>
      </c>
      <c r="P31" s="10" t="str">
        <f t="shared" si="2"/>
        <v>-</v>
      </c>
      <c r="Q31" s="11" t="str">
        <f t="shared" si="3"/>
        <v>-</v>
      </c>
      <c r="R31" s="12" t="str">
        <f t="shared" si="4"/>
        <v>-</v>
      </c>
      <c r="T31" s="12" t="str">
        <f t="shared" si="5"/>
        <v>-</v>
      </c>
    </row>
    <row r="32" spans="1:20" x14ac:dyDescent="0.3">
      <c r="A32" s="21" t="s">
        <v>61</v>
      </c>
      <c r="B32" s="17" t="s">
        <v>18</v>
      </c>
      <c r="C32" s="17" t="s">
        <v>62</v>
      </c>
      <c r="D32" s="17" t="s">
        <v>11</v>
      </c>
      <c r="E32" s="17" t="s">
        <v>12</v>
      </c>
      <c r="F32" s="17"/>
      <c r="G32" s="18" t="s">
        <v>183</v>
      </c>
      <c r="H32" s="19">
        <v>0.252469513142</v>
      </c>
      <c r="I32" s="20">
        <v>9.4349999999999987</v>
      </c>
      <c r="J32" s="17"/>
      <c r="K32" s="22">
        <f t="shared" si="0"/>
        <v>0</v>
      </c>
      <c r="O32" s="10" t="str">
        <f t="shared" si="1"/>
        <v>-</v>
      </c>
      <c r="P32" s="10" t="str">
        <f t="shared" si="2"/>
        <v>-</v>
      </c>
      <c r="Q32" s="11" t="str">
        <f t="shared" si="3"/>
        <v>-</v>
      </c>
      <c r="R32" s="12" t="str">
        <f t="shared" si="4"/>
        <v>-</v>
      </c>
      <c r="T32" s="12" t="str">
        <f t="shared" si="5"/>
        <v>-</v>
      </c>
    </row>
    <row r="33" spans="1:20" x14ac:dyDescent="0.3">
      <c r="A33" s="21" t="s">
        <v>63</v>
      </c>
      <c r="B33" s="17" t="s">
        <v>18</v>
      </c>
      <c r="C33" s="17" t="s">
        <v>62</v>
      </c>
      <c r="D33" s="17" t="s">
        <v>11</v>
      </c>
      <c r="E33" s="17" t="s">
        <v>14</v>
      </c>
      <c r="F33" s="17"/>
      <c r="G33" s="18" t="s">
        <v>184</v>
      </c>
      <c r="H33" s="19">
        <v>0.252469513142</v>
      </c>
      <c r="I33" s="20">
        <v>8.2959999999999994</v>
      </c>
      <c r="J33" s="17"/>
      <c r="K33" s="22">
        <f t="shared" si="0"/>
        <v>0</v>
      </c>
      <c r="O33" s="10" t="str">
        <f t="shared" si="1"/>
        <v>-</v>
      </c>
      <c r="P33" s="10" t="str">
        <f t="shared" si="2"/>
        <v>-</v>
      </c>
      <c r="Q33" s="11" t="str">
        <f t="shared" si="3"/>
        <v>-</v>
      </c>
      <c r="R33" s="12" t="str">
        <f t="shared" si="4"/>
        <v>-</v>
      </c>
      <c r="T33" s="12" t="str">
        <f t="shared" si="5"/>
        <v>-</v>
      </c>
    </row>
    <row r="34" spans="1:20" x14ac:dyDescent="0.3">
      <c r="A34" s="21" t="s">
        <v>141</v>
      </c>
      <c r="B34" s="17" t="s">
        <v>137</v>
      </c>
      <c r="C34" s="17" t="s">
        <v>142</v>
      </c>
      <c r="D34" s="17" t="s">
        <v>138</v>
      </c>
      <c r="E34" s="17" t="s">
        <v>14</v>
      </c>
      <c r="F34" s="17"/>
      <c r="G34" s="18" t="s">
        <v>233</v>
      </c>
      <c r="H34" s="19">
        <v>0.10098780525680003</v>
      </c>
      <c r="I34" s="20">
        <v>8.7889999999999997</v>
      </c>
      <c r="J34" s="17"/>
      <c r="K34" s="22">
        <f t="shared" si="0"/>
        <v>0</v>
      </c>
      <c r="O34" s="10" t="str">
        <f t="shared" si="1"/>
        <v>-</v>
      </c>
      <c r="P34" s="10" t="str">
        <f t="shared" si="2"/>
        <v>-</v>
      </c>
      <c r="Q34" s="11" t="str">
        <f t="shared" si="3"/>
        <v>-</v>
      </c>
      <c r="R34" s="12" t="str">
        <f t="shared" si="4"/>
        <v>-</v>
      </c>
      <c r="T34" s="12" t="str">
        <f t="shared" si="5"/>
        <v>-</v>
      </c>
    </row>
    <row r="35" spans="1:20" x14ac:dyDescent="0.3">
      <c r="A35" s="21" t="s">
        <v>64</v>
      </c>
      <c r="B35" s="17" t="s">
        <v>9</v>
      </c>
      <c r="C35" s="17" t="s">
        <v>65</v>
      </c>
      <c r="D35" s="17" t="s">
        <v>11</v>
      </c>
      <c r="E35" s="17" t="s">
        <v>12</v>
      </c>
      <c r="F35" s="17"/>
      <c r="G35" s="18" t="s">
        <v>185</v>
      </c>
      <c r="H35" s="19">
        <v>0.252469513142</v>
      </c>
      <c r="I35" s="20">
        <v>9.5540000000000003</v>
      </c>
      <c r="J35" s="17"/>
      <c r="K35" s="22">
        <f t="shared" si="0"/>
        <v>0</v>
      </c>
      <c r="O35" s="10" t="str">
        <f t="shared" si="1"/>
        <v>-</v>
      </c>
      <c r="P35" s="10" t="str">
        <f t="shared" si="2"/>
        <v>-</v>
      </c>
      <c r="Q35" s="11" t="str">
        <f t="shared" si="3"/>
        <v>-</v>
      </c>
      <c r="R35" s="12" t="str">
        <f t="shared" si="4"/>
        <v>-</v>
      </c>
      <c r="T35" s="12" t="str">
        <f t="shared" si="5"/>
        <v>-</v>
      </c>
    </row>
    <row r="36" spans="1:20" x14ac:dyDescent="0.3">
      <c r="A36" s="21" t="s">
        <v>68</v>
      </c>
      <c r="B36" s="17" t="s">
        <v>18</v>
      </c>
      <c r="C36" s="17" t="s">
        <v>69</v>
      </c>
      <c r="D36" s="17" t="s">
        <v>11</v>
      </c>
      <c r="E36" s="17" t="s">
        <v>14</v>
      </c>
      <c r="F36" s="17"/>
      <c r="G36" s="18" t="s">
        <v>187</v>
      </c>
      <c r="H36" s="19">
        <v>0.252469513142</v>
      </c>
      <c r="I36" s="20">
        <v>9.927999999999999</v>
      </c>
      <c r="J36" s="17"/>
      <c r="K36" s="22">
        <f t="shared" si="0"/>
        <v>0</v>
      </c>
      <c r="O36" s="10" t="str">
        <f t="shared" si="1"/>
        <v>-</v>
      </c>
      <c r="P36" s="10" t="str">
        <f t="shared" si="2"/>
        <v>-</v>
      </c>
      <c r="Q36" s="11" t="str">
        <f t="shared" si="3"/>
        <v>-</v>
      </c>
      <c r="R36" s="12" t="str">
        <f t="shared" si="4"/>
        <v>-</v>
      </c>
      <c r="T36" s="12" t="str">
        <f t="shared" si="5"/>
        <v>-</v>
      </c>
    </row>
    <row r="37" spans="1:20" x14ac:dyDescent="0.3">
      <c r="A37" s="21" t="s">
        <v>66</v>
      </c>
      <c r="B37" s="17" t="s">
        <v>18</v>
      </c>
      <c r="C37" s="17" t="s">
        <v>67</v>
      </c>
      <c r="D37" s="17" t="s">
        <v>11</v>
      </c>
      <c r="E37" s="17" t="s">
        <v>12</v>
      </c>
      <c r="F37" s="17"/>
      <c r="G37" s="18" t="s">
        <v>186</v>
      </c>
      <c r="H37" s="19">
        <v>0.42919817234140001</v>
      </c>
      <c r="I37" s="20">
        <v>13.192</v>
      </c>
      <c r="J37" s="17"/>
      <c r="K37" s="22">
        <f t="shared" si="0"/>
        <v>0</v>
      </c>
      <c r="O37" s="10" t="str">
        <f t="shared" si="1"/>
        <v>-</v>
      </c>
      <c r="P37" s="10" t="str">
        <f t="shared" si="2"/>
        <v>-</v>
      </c>
      <c r="Q37" s="11" t="str">
        <f t="shared" si="3"/>
        <v>-</v>
      </c>
      <c r="R37" s="12" t="str">
        <f t="shared" si="4"/>
        <v>-</v>
      </c>
      <c r="T37" s="12" t="str">
        <f t="shared" si="5"/>
        <v>-</v>
      </c>
    </row>
    <row r="38" spans="1:20" x14ac:dyDescent="0.3">
      <c r="A38" s="21" t="s">
        <v>145</v>
      </c>
      <c r="B38" s="17" t="s">
        <v>137</v>
      </c>
      <c r="C38" s="17" t="s">
        <v>146</v>
      </c>
      <c r="D38" s="17" t="s">
        <v>138</v>
      </c>
      <c r="E38" s="17" t="s">
        <v>14</v>
      </c>
      <c r="F38" s="17"/>
      <c r="G38" s="18" t="s">
        <v>235</v>
      </c>
      <c r="H38" s="19">
        <v>0.10098780525680003</v>
      </c>
      <c r="I38" s="20">
        <v>11.559999999999999</v>
      </c>
      <c r="J38" s="17"/>
      <c r="K38" s="22">
        <f t="shared" si="0"/>
        <v>0</v>
      </c>
      <c r="O38" s="10" t="str">
        <f t="shared" si="1"/>
        <v>-</v>
      </c>
      <c r="P38" s="10" t="str">
        <f t="shared" si="2"/>
        <v>-</v>
      </c>
      <c r="Q38" s="11" t="str">
        <f t="shared" si="3"/>
        <v>-</v>
      </c>
      <c r="R38" s="12" t="str">
        <f t="shared" si="4"/>
        <v>-</v>
      </c>
      <c r="T38" s="12" t="str">
        <f t="shared" si="5"/>
        <v>-</v>
      </c>
    </row>
    <row r="39" spans="1:20" x14ac:dyDescent="0.3">
      <c r="A39" s="21" t="s">
        <v>143</v>
      </c>
      <c r="B39" s="17" t="s">
        <v>137</v>
      </c>
      <c r="C39" s="17" t="s">
        <v>144</v>
      </c>
      <c r="D39" s="17" t="s">
        <v>138</v>
      </c>
      <c r="E39" s="17" t="s">
        <v>14</v>
      </c>
      <c r="F39" s="17"/>
      <c r="G39" s="18" t="s">
        <v>234</v>
      </c>
      <c r="H39" s="19">
        <v>0.10098780525680003</v>
      </c>
      <c r="I39" s="20">
        <v>11.186</v>
      </c>
      <c r="J39" s="17"/>
      <c r="K39" s="22">
        <f t="shared" si="0"/>
        <v>0</v>
      </c>
      <c r="O39" s="10" t="str">
        <f t="shared" si="1"/>
        <v>-</v>
      </c>
      <c r="P39" s="10" t="str">
        <f t="shared" si="2"/>
        <v>-</v>
      </c>
      <c r="Q39" s="11" t="str">
        <f t="shared" si="3"/>
        <v>-</v>
      </c>
      <c r="R39" s="12" t="str">
        <f t="shared" si="4"/>
        <v>-</v>
      </c>
      <c r="T39" s="12" t="str">
        <f t="shared" si="5"/>
        <v>-</v>
      </c>
    </row>
    <row r="40" spans="1:20" x14ac:dyDescent="0.3">
      <c r="A40" s="21" t="s">
        <v>77</v>
      </c>
      <c r="B40" s="17" t="s">
        <v>18</v>
      </c>
      <c r="C40" s="17" t="s">
        <v>78</v>
      </c>
      <c r="D40" s="17" t="s">
        <v>11</v>
      </c>
      <c r="E40" s="17" t="s">
        <v>12</v>
      </c>
      <c r="F40" s="17"/>
      <c r="G40" s="18" t="s">
        <v>192</v>
      </c>
      <c r="H40" s="19">
        <v>0.252469513142</v>
      </c>
      <c r="I40" s="20">
        <v>10.557</v>
      </c>
      <c r="J40" s="17"/>
      <c r="K40" s="22">
        <f t="shared" si="0"/>
        <v>0</v>
      </c>
      <c r="O40" s="10" t="str">
        <f t="shared" si="1"/>
        <v>-</v>
      </c>
      <c r="P40" s="10" t="str">
        <f t="shared" si="2"/>
        <v>-</v>
      </c>
      <c r="Q40" s="11" t="str">
        <f t="shared" si="3"/>
        <v>-</v>
      </c>
      <c r="R40" s="12" t="str">
        <f t="shared" si="4"/>
        <v>-</v>
      </c>
      <c r="T40" s="12" t="str">
        <f t="shared" si="5"/>
        <v>-</v>
      </c>
    </row>
    <row r="41" spans="1:20" x14ac:dyDescent="0.3">
      <c r="A41" s="21" t="s">
        <v>107</v>
      </c>
      <c r="B41" s="17" t="s">
        <v>18</v>
      </c>
      <c r="C41" s="17" t="s">
        <v>78</v>
      </c>
      <c r="D41" s="17" t="s">
        <v>11</v>
      </c>
      <c r="E41" s="17" t="s">
        <v>12</v>
      </c>
      <c r="F41" s="17" t="s">
        <v>95</v>
      </c>
      <c r="G41" s="18" t="s">
        <v>211</v>
      </c>
      <c r="H41" s="19">
        <v>0.252469513142</v>
      </c>
      <c r="I41" s="20">
        <v>12.308</v>
      </c>
      <c r="J41" s="17"/>
      <c r="K41" s="22">
        <f t="shared" si="0"/>
        <v>0</v>
      </c>
      <c r="O41" s="10" t="str">
        <f t="shared" si="1"/>
        <v>-</v>
      </c>
      <c r="P41" s="10" t="str">
        <f t="shared" si="2"/>
        <v>-</v>
      </c>
      <c r="Q41" s="11" t="str">
        <f t="shared" si="3"/>
        <v>-</v>
      </c>
      <c r="R41" s="12" t="str">
        <f t="shared" si="4"/>
        <v>-</v>
      </c>
      <c r="T41" s="12" t="str">
        <f t="shared" si="5"/>
        <v>-</v>
      </c>
    </row>
    <row r="42" spans="1:20" x14ac:dyDescent="0.3">
      <c r="A42" s="21" t="s">
        <v>86</v>
      </c>
      <c r="B42" s="17" t="s">
        <v>18</v>
      </c>
      <c r="C42" s="17" t="s">
        <v>87</v>
      </c>
      <c r="D42" s="17" t="s">
        <v>11</v>
      </c>
      <c r="E42" s="17" t="s">
        <v>12</v>
      </c>
      <c r="F42" s="17"/>
      <c r="G42" s="18" t="s">
        <v>197</v>
      </c>
      <c r="H42" s="19">
        <v>0.252469513142</v>
      </c>
      <c r="I42" s="20">
        <v>10.302</v>
      </c>
      <c r="J42" s="17"/>
      <c r="K42" s="22">
        <f t="shared" si="0"/>
        <v>0</v>
      </c>
      <c r="O42" s="10" t="str">
        <f t="shared" si="1"/>
        <v>-</v>
      </c>
      <c r="P42" s="10" t="str">
        <f t="shared" si="2"/>
        <v>-</v>
      </c>
      <c r="Q42" s="11" t="str">
        <f t="shared" si="3"/>
        <v>-</v>
      </c>
      <c r="R42" s="12" t="str">
        <f t="shared" si="4"/>
        <v>-</v>
      </c>
      <c r="T42" s="12" t="str">
        <f t="shared" si="5"/>
        <v>-</v>
      </c>
    </row>
    <row r="43" spans="1:20" x14ac:dyDescent="0.3">
      <c r="A43" s="21" t="s">
        <v>70</v>
      </c>
      <c r="B43" s="17" t="s">
        <v>9</v>
      </c>
      <c r="C43" s="17" t="s">
        <v>71</v>
      </c>
      <c r="D43" s="17" t="s">
        <v>11</v>
      </c>
      <c r="E43" s="17" t="s">
        <v>12</v>
      </c>
      <c r="F43" s="17"/>
      <c r="G43" s="18" t="s">
        <v>188</v>
      </c>
      <c r="H43" s="19">
        <v>0.252469513142</v>
      </c>
      <c r="I43" s="20">
        <v>8.7889999999999997</v>
      </c>
      <c r="J43" s="17"/>
      <c r="K43" s="22">
        <f t="shared" si="0"/>
        <v>0</v>
      </c>
      <c r="O43" s="10" t="str">
        <f t="shared" si="1"/>
        <v>-</v>
      </c>
      <c r="P43" s="10" t="str">
        <f t="shared" si="2"/>
        <v>-</v>
      </c>
      <c r="Q43" s="11" t="str">
        <f t="shared" si="3"/>
        <v>-</v>
      </c>
      <c r="R43" s="12" t="str">
        <f t="shared" si="4"/>
        <v>-</v>
      </c>
      <c r="T43" s="12" t="str">
        <f t="shared" si="5"/>
        <v>-</v>
      </c>
    </row>
    <row r="44" spans="1:20" x14ac:dyDescent="0.3">
      <c r="A44" s="21" t="s">
        <v>75</v>
      </c>
      <c r="B44" s="17" t="s">
        <v>18</v>
      </c>
      <c r="C44" s="17" t="s">
        <v>76</v>
      </c>
      <c r="D44" s="17" t="s">
        <v>11</v>
      </c>
      <c r="E44" s="17" t="s">
        <v>14</v>
      </c>
      <c r="F44" s="17"/>
      <c r="G44" s="18" t="s">
        <v>191</v>
      </c>
      <c r="H44" s="19">
        <v>0.252469513142</v>
      </c>
      <c r="I44" s="20">
        <v>8.1769999999999996</v>
      </c>
      <c r="J44" s="17"/>
      <c r="K44" s="22">
        <f t="shared" si="0"/>
        <v>0</v>
      </c>
      <c r="O44" s="10" t="str">
        <f t="shared" si="1"/>
        <v>-</v>
      </c>
      <c r="P44" s="10" t="str">
        <f t="shared" si="2"/>
        <v>-</v>
      </c>
      <c r="Q44" s="11" t="str">
        <f t="shared" si="3"/>
        <v>-</v>
      </c>
      <c r="R44" s="12" t="str">
        <f t="shared" si="4"/>
        <v>-</v>
      </c>
      <c r="T44" s="12" t="str">
        <f t="shared" si="5"/>
        <v>-</v>
      </c>
    </row>
    <row r="45" spans="1:20" x14ac:dyDescent="0.3">
      <c r="A45" s="21" t="s">
        <v>72</v>
      </c>
      <c r="B45" s="17" t="s">
        <v>18</v>
      </c>
      <c r="C45" s="17" t="s">
        <v>73</v>
      </c>
      <c r="D45" s="17" t="s">
        <v>11</v>
      </c>
      <c r="E45" s="17" t="s">
        <v>12</v>
      </c>
      <c r="F45" s="17"/>
      <c r="G45" s="18" t="s">
        <v>189</v>
      </c>
      <c r="H45" s="19">
        <v>0.252469513142</v>
      </c>
      <c r="I45" s="20">
        <v>11.815</v>
      </c>
      <c r="J45" s="17"/>
      <c r="K45" s="22">
        <f t="shared" si="0"/>
        <v>0</v>
      </c>
      <c r="O45" s="10" t="str">
        <f t="shared" si="1"/>
        <v>-</v>
      </c>
      <c r="P45" s="10" t="str">
        <f t="shared" si="2"/>
        <v>-</v>
      </c>
      <c r="Q45" s="11" t="str">
        <f t="shared" si="3"/>
        <v>-</v>
      </c>
      <c r="R45" s="12" t="str">
        <f t="shared" si="4"/>
        <v>-</v>
      </c>
      <c r="T45" s="12" t="str">
        <f t="shared" si="5"/>
        <v>-</v>
      </c>
    </row>
    <row r="46" spans="1:20" x14ac:dyDescent="0.3">
      <c r="A46" s="21" t="s">
        <v>74</v>
      </c>
      <c r="B46" s="17" t="s">
        <v>18</v>
      </c>
      <c r="C46" s="17" t="s">
        <v>73</v>
      </c>
      <c r="D46" s="17" t="s">
        <v>11</v>
      </c>
      <c r="E46" s="17" t="s">
        <v>14</v>
      </c>
      <c r="F46" s="17"/>
      <c r="G46" s="18" t="s">
        <v>190</v>
      </c>
      <c r="H46" s="19">
        <v>0.252469513142</v>
      </c>
      <c r="I46" s="20">
        <v>11.815</v>
      </c>
      <c r="J46" s="17"/>
      <c r="K46" s="22">
        <f t="shared" si="0"/>
        <v>0</v>
      </c>
      <c r="O46" s="10" t="str">
        <f t="shared" si="1"/>
        <v>-</v>
      </c>
      <c r="P46" s="10" t="str">
        <f t="shared" si="2"/>
        <v>-</v>
      </c>
      <c r="Q46" s="11" t="str">
        <f t="shared" si="3"/>
        <v>-</v>
      </c>
      <c r="R46" s="12" t="str">
        <f t="shared" si="4"/>
        <v>-</v>
      </c>
      <c r="T46" s="12" t="str">
        <f t="shared" si="5"/>
        <v>-</v>
      </c>
    </row>
    <row r="47" spans="1:20" x14ac:dyDescent="0.3">
      <c r="A47" s="21" t="s">
        <v>147</v>
      </c>
      <c r="B47" s="17" t="s">
        <v>137</v>
      </c>
      <c r="C47" s="17" t="s">
        <v>73</v>
      </c>
      <c r="D47" s="17" t="s">
        <v>138</v>
      </c>
      <c r="E47" s="17" t="s">
        <v>14</v>
      </c>
      <c r="F47" s="17"/>
      <c r="G47" s="18" t="s">
        <v>236</v>
      </c>
      <c r="H47" s="19">
        <v>0.15148170788519999</v>
      </c>
      <c r="I47" s="20">
        <v>10.047000000000001</v>
      </c>
      <c r="J47" s="17"/>
      <c r="K47" s="22">
        <f t="shared" si="0"/>
        <v>0</v>
      </c>
      <c r="O47" s="10" t="str">
        <f t="shared" si="1"/>
        <v>-</v>
      </c>
      <c r="P47" s="10" t="str">
        <f t="shared" si="2"/>
        <v>-</v>
      </c>
      <c r="Q47" s="11" t="str">
        <f t="shared" si="3"/>
        <v>-</v>
      </c>
      <c r="R47" s="12" t="str">
        <f t="shared" si="4"/>
        <v>-</v>
      </c>
      <c r="T47" s="12" t="str">
        <f t="shared" si="5"/>
        <v>-</v>
      </c>
    </row>
    <row r="48" spans="1:20" x14ac:dyDescent="0.3">
      <c r="A48" s="21" t="s">
        <v>90</v>
      </c>
      <c r="B48" s="17" t="s">
        <v>18</v>
      </c>
      <c r="C48" s="17" t="s">
        <v>91</v>
      </c>
      <c r="D48" s="17" t="s">
        <v>11</v>
      </c>
      <c r="E48" s="17" t="s">
        <v>12</v>
      </c>
      <c r="F48" s="17"/>
      <c r="G48" s="18" t="s">
        <v>199</v>
      </c>
      <c r="H48" s="19">
        <v>0.252469513142</v>
      </c>
      <c r="I48" s="20">
        <v>11.815</v>
      </c>
      <c r="J48" s="17"/>
      <c r="K48" s="22">
        <f t="shared" si="0"/>
        <v>0</v>
      </c>
      <c r="O48" s="10" t="str">
        <f t="shared" si="1"/>
        <v>-</v>
      </c>
      <c r="P48" s="10" t="str">
        <f t="shared" si="2"/>
        <v>-</v>
      </c>
      <c r="Q48" s="11" t="str">
        <f t="shared" si="3"/>
        <v>-</v>
      </c>
      <c r="R48" s="12" t="str">
        <f t="shared" si="4"/>
        <v>-</v>
      </c>
      <c r="T48" s="12" t="str">
        <f t="shared" si="5"/>
        <v>-</v>
      </c>
    </row>
    <row r="49" spans="1:20" x14ac:dyDescent="0.3">
      <c r="A49" s="21" t="s">
        <v>56</v>
      </c>
      <c r="B49" s="17" t="s">
        <v>18</v>
      </c>
      <c r="C49" s="17" t="s">
        <v>57</v>
      </c>
      <c r="D49" s="17" t="s">
        <v>11</v>
      </c>
      <c r="E49" s="17" t="s">
        <v>12</v>
      </c>
      <c r="F49" s="17"/>
      <c r="G49" s="18" t="s">
        <v>180</v>
      </c>
      <c r="H49" s="19">
        <v>0.32821036708460005</v>
      </c>
      <c r="I49" s="20">
        <v>11.305</v>
      </c>
      <c r="J49" s="17"/>
      <c r="K49" s="22">
        <f t="shared" si="0"/>
        <v>0</v>
      </c>
      <c r="O49" s="10" t="str">
        <f t="shared" si="1"/>
        <v>-</v>
      </c>
      <c r="P49" s="10" t="str">
        <f t="shared" si="2"/>
        <v>-</v>
      </c>
      <c r="Q49" s="11" t="str">
        <f t="shared" si="3"/>
        <v>-</v>
      </c>
      <c r="R49" s="12" t="str">
        <f t="shared" si="4"/>
        <v>-</v>
      </c>
      <c r="T49" s="12" t="str">
        <f t="shared" si="5"/>
        <v>-</v>
      </c>
    </row>
    <row r="50" spans="1:20" x14ac:dyDescent="0.3">
      <c r="A50" s="21" t="s">
        <v>58</v>
      </c>
      <c r="B50" s="17" t="s">
        <v>18</v>
      </c>
      <c r="C50" s="17" t="s">
        <v>57</v>
      </c>
      <c r="D50" s="17" t="s">
        <v>11</v>
      </c>
      <c r="E50" s="17" t="s">
        <v>14</v>
      </c>
      <c r="F50" s="17"/>
      <c r="G50" s="18" t="s">
        <v>181</v>
      </c>
      <c r="H50" s="19">
        <v>0.32821036708460005</v>
      </c>
      <c r="I50" s="20">
        <v>11.305</v>
      </c>
      <c r="J50" s="17"/>
      <c r="K50" s="22">
        <f t="shared" si="0"/>
        <v>0</v>
      </c>
      <c r="O50" s="10" t="str">
        <f t="shared" si="1"/>
        <v>-</v>
      </c>
      <c r="P50" s="10" t="str">
        <f t="shared" si="2"/>
        <v>-</v>
      </c>
      <c r="Q50" s="11" t="str">
        <f t="shared" si="3"/>
        <v>-</v>
      </c>
      <c r="R50" s="12" t="str">
        <f t="shared" si="4"/>
        <v>-</v>
      </c>
      <c r="T50" s="12" t="str">
        <f t="shared" si="5"/>
        <v>-</v>
      </c>
    </row>
    <row r="51" spans="1:20" x14ac:dyDescent="0.3">
      <c r="A51" s="21" t="s">
        <v>105</v>
      </c>
      <c r="B51" s="17" t="s">
        <v>18</v>
      </c>
      <c r="C51" s="17" t="s">
        <v>57</v>
      </c>
      <c r="D51" s="17" t="s">
        <v>11</v>
      </c>
      <c r="E51" s="17" t="s">
        <v>12</v>
      </c>
      <c r="F51" s="17" t="s">
        <v>95</v>
      </c>
      <c r="G51" s="18" t="s">
        <v>209</v>
      </c>
      <c r="H51" s="19">
        <v>0.252469513142</v>
      </c>
      <c r="I51" s="20">
        <v>8.7889999999999997</v>
      </c>
      <c r="J51" s="17"/>
      <c r="K51" s="22">
        <f t="shared" si="0"/>
        <v>0</v>
      </c>
      <c r="O51" s="10" t="str">
        <f t="shared" si="1"/>
        <v>-</v>
      </c>
      <c r="P51" s="10" t="str">
        <f t="shared" si="2"/>
        <v>-</v>
      </c>
      <c r="Q51" s="11" t="str">
        <f t="shared" si="3"/>
        <v>-</v>
      </c>
      <c r="R51" s="12" t="str">
        <f t="shared" si="4"/>
        <v>-</v>
      </c>
      <c r="T51" s="12" t="str">
        <f t="shared" si="5"/>
        <v>-</v>
      </c>
    </row>
    <row r="52" spans="1:20" x14ac:dyDescent="0.3">
      <c r="A52" s="21" t="s">
        <v>106</v>
      </c>
      <c r="B52" s="17" t="s">
        <v>18</v>
      </c>
      <c r="C52" s="17" t="s">
        <v>57</v>
      </c>
      <c r="D52" s="17" t="s">
        <v>11</v>
      </c>
      <c r="E52" s="17" t="s">
        <v>14</v>
      </c>
      <c r="F52" s="17" t="s">
        <v>95</v>
      </c>
      <c r="G52" s="18" t="s">
        <v>210</v>
      </c>
      <c r="H52" s="19">
        <v>0.252469513142</v>
      </c>
      <c r="I52" s="20">
        <v>8.7889999999999997</v>
      </c>
      <c r="J52" s="17"/>
      <c r="K52" s="22">
        <f t="shared" si="0"/>
        <v>0</v>
      </c>
      <c r="O52" s="10" t="str">
        <f t="shared" si="1"/>
        <v>-</v>
      </c>
      <c r="P52" s="10" t="str">
        <f t="shared" si="2"/>
        <v>-</v>
      </c>
      <c r="Q52" s="11" t="str">
        <f t="shared" si="3"/>
        <v>-</v>
      </c>
      <c r="R52" s="12" t="str">
        <f t="shared" si="4"/>
        <v>-</v>
      </c>
      <c r="T52" s="12" t="str">
        <f t="shared" si="5"/>
        <v>-</v>
      </c>
    </row>
    <row r="53" spans="1:20" x14ac:dyDescent="0.3">
      <c r="A53" s="21" t="s">
        <v>88</v>
      </c>
      <c r="B53" s="17" t="s">
        <v>18</v>
      </c>
      <c r="C53" s="17" t="s">
        <v>89</v>
      </c>
      <c r="D53" s="17" t="s">
        <v>11</v>
      </c>
      <c r="E53" s="17" t="s">
        <v>12</v>
      </c>
      <c r="F53" s="17"/>
      <c r="G53" s="18" t="s">
        <v>198</v>
      </c>
      <c r="H53" s="19">
        <v>0.252469513142</v>
      </c>
      <c r="I53" s="20">
        <v>11.815</v>
      </c>
      <c r="J53" s="17"/>
      <c r="K53" s="22">
        <f t="shared" si="0"/>
        <v>0</v>
      </c>
      <c r="O53" s="10" t="str">
        <f t="shared" si="1"/>
        <v>-</v>
      </c>
      <c r="P53" s="10" t="str">
        <f t="shared" si="2"/>
        <v>-</v>
      </c>
      <c r="Q53" s="11" t="str">
        <f t="shared" si="3"/>
        <v>-</v>
      </c>
      <c r="R53" s="12" t="str">
        <f t="shared" si="4"/>
        <v>-</v>
      </c>
      <c r="T53" s="12" t="str">
        <f t="shared" si="5"/>
        <v>-</v>
      </c>
    </row>
    <row r="54" spans="1:20" x14ac:dyDescent="0.3">
      <c r="A54" s="21" t="s">
        <v>81</v>
      </c>
      <c r="B54" s="17" t="s">
        <v>18</v>
      </c>
      <c r="C54" s="17" t="s">
        <v>82</v>
      </c>
      <c r="D54" s="17" t="s">
        <v>11</v>
      </c>
      <c r="E54" s="17" t="s">
        <v>12</v>
      </c>
      <c r="F54" s="17"/>
      <c r="G54" s="18" t="s">
        <v>194</v>
      </c>
      <c r="H54" s="19">
        <v>0.252469513142</v>
      </c>
      <c r="I54" s="20">
        <v>7.5309999999999997</v>
      </c>
      <c r="J54" s="17"/>
      <c r="K54" s="22">
        <f t="shared" si="0"/>
        <v>0</v>
      </c>
      <c r="O54" s="10" t="str">
        <f t="shared" si="1"/>
        <v>-</v>
      </c>
      <c r="P54" s="10" t="str">
        <f t="shared" si="2"/>
        <v>-</v>
      </c>
      <c r="Q54" s="11" t="str">
        <f t="shared" si="3"/>
        <v>-</v>
      </c>
      <c r="R54" s="12" t="str">
        <f t="shared" si="4"/>
        <v>-</v>
      </c>
      <c r="T54" s="12" t="str">
        <f t="shared" si="5"/>
        <v>-</v>
      </c>
    </row>
    <row r="55" spans="1:20" x14ac:dyDescent="0.3">
      <c r="A55" s="21" t="s">
        <v>83</v>
      </c>
      <c r="B55" s="17" t="s">
        <v>18</v>
      </c>
      <c r="C55" s="17" t="s">
        <v>82</v>
      </c>
      <c r="D55" s="17" t="s">
        <v>11</v>
      </c>
      <c r="E55" s="17" t="s">
        <v>14</v>
      </c>
      <c r="F55" s="17"/>
      <c r="G55" s="18" t="s">
        <v>195</v>
      </c>
      <c r="H55" s="19">
        <v>0.252469513142</v>
      </c>
      <c r="I55" s="20">
        <v>7.5309999999999997</v>
      </c>
      <c r="J55" s="17"/>
      <c r="K55" s="22">
        <f t="shared" si="0"/>
        <v>0</v>
      </c>
      <c r="O55" s="10" t="str">
        <f t="shared" si="1"/>
        <v>-</v>
      </c>
      <c r="P55" s="10" t="str">
        <f t="shared" si="2"/>
        <v>-</v>
      </c>
      <c r="Q55" s="11" t="str">
        <f t="shared" si="3"/>
        <v>-</v>
      </c>
      <c r="R55" s="12" t="str">
        <f t="shared" si="4"/>
        <v>-</v>
      </c>
      <c r="T55" s="12" t="str">
        <f t="shared" si="5"/>
        <v>-</v>
      </c>
    </row>
    <row r="56" spans="1:20" x14ac:dyDescent="0.3">
      <c r="A56" s="21" t="s">
        <v>109</v>
      </c>
      <c r="B56" s="17" t="s">
        <v>18</v>
      </c>
      <c r="C56" s="17" t="s">
        <v>110</v>
      </c>
      <c r="D56" s="17" t="s">
        <v>11</v>
      </c>
      <c r="E56" s="17" t="s">
        <v>12</v>
      </c>
      <c r="F56" s="17" t="s">
        <v>95</v>
      </c>
      <c r="G56" s="18" t="s">
        <v>213</v>
      </c>
      <c r="H56" s="19">
        <v>0.252469513142</v>
      </c>
      <c r="I56" s="20">
        <v>15.078999999999999</v>
      </c>
      <c r="J56" s="17"/>
      <c r="K56" s="22">
        <f t="shared" si="0"/>
        <v>0</v>
      </c>
      <c r="O56" s="10" t="str">
        <f t="shared" si="1"/>
        <v>-</v>
      </c>
      <c r="P56" s="10" t="str">
        <f t="shared" si="2"/>
        <v>-</v>
      </c>
      <c r="Q56" s="11" t="str">
        <f t="shared" si="3"/>
        <v>-</v>
      </c>
      <c r="R56" s="12" t="str">
        <f t="shared" si="4"/>
        <v>-</v>
      </c>
      <c r="T56" s="12" t="str">
        <f t="shared" si="5"/>
        <v>-</v>
      </c>
    </row>
    <row r="57" spans="1:20" x14ac:dyDescent="0.3">
      <c r="A57" s="21" t="s">
        <v>111</v>
      </c>
      <c r="B57" s="17" t="s">
        <v>18</v>
      </c>
      <c r="C57" s="17" t="s">
        <v>110</v>
      </c>
      <c r="D57" s="17" t="s">
        <v>11</v>
      </c>
      <c r="E57" s="17" t="s">
        <v>14</v>
      </c>
      <c r="F57" s="17" t="s">
        <v>95</v>
      </c>
      <c r="G57" s="18" t="s">
        <v>214</v>
      </c>
      <c r="H57" s="19">
        <v>0.252469513142</v>
      </c>
      <c r="I57" s="20">
        <v>15.078999999999999</v>
      </c>
      <c r="J57" s="17"/>
      <c r="K57" s="22">
        <f t="shared" si="0"/>
        <v>0</v>
      </c>
      <c r="O57" s="10" t="str">
        <f t="shared" si="1"/>
        <v>-</v>
      </c>
      <c r="P57" s="10" t="str">
        <f t="shared" si="2"/>
        <v>-</v>
      </c>
      <c r="Q57" s="11" t="str">
        <f t="shared" si="3"/>
        <v>-</v>
      </c>
      <c r="R57" s="12" t="str">
        <f t="shared" si="4"/>
        <v>-</v>
      </c>
      <c r="T57" s="12" t="str">
        <f t="shared" si="5"/>
        <v>-</v>
      </c>
    </row>
    <row r="58" spans="1:20" x14ac:dyDescent="0.3">
      <c r="A58" s="21" t="s">
        <v>84</v>
      </c>
      <c r="B58" s="17" t="s">
        <v>18</v>
      </c>
      <c r="C58" s="17" t="s">
        <v>85</v>
      </c>
      <c r="D58" s="17" t="s">
        <v>11</v>
      </c>
      <c r="E58" s="17" t="s">
        <v>14</v>
      </c>
      <c r="F58" s="17"/>
      <c r="G58" s="18" t="s">
        <v>196</v>
      </c>
      <c r="H58" s="19">
        <v>0.252469513142</v>
      </c>
      <c r="I58" s="20">
        <v>10.302</v>
      </c>
      <c r="J58" s="17"/>
      <c r="K58" s="22">
        <f t="shared" si="0"/>
        <v>0</v>
      </c>
      <c r="O58" s="10" t="str">
        <f t="shared" si="1"/>
        <v>-</v>
      </c>
      <c r="P58" s="10" t="str">
        <f t="shared" si="2"/>
        <v>-</v>
      </c>
      <c r="Q58" s="11" t="str">
        <f t="shared" si="3"/>
        <v>-</v>
      </c>
      <c r="R58" s="12" t="str">
        <f t="shared" si="4"/>
        <v>-</v>
      </c>
      <c r="T58" s="12" t="str">
        <f t="shared" si="5"/>
        <v>-</v>
      </c>
    </row>
    <row r="59" spans="1:20" x14ac:dyDescent="0.3">
      <c r="A59" s="21" t="s">
        <v>102</v>
      </c>
      <c r="B59" s="17" t="s">
        <v>9</v>
      </c>
      <c r="C59" s="17" t="s">
        <v>103</v>
      </c>
      <c r="D59" s="17" t="s">
        <v>11</v>
      </c>
      <c r="E59" s="17" t="s">
        <v>12</v>
      </c>
      <c r="F59" s="17" t="s">
        <v>95</v>
      </c>
      <c r="G59" s="18" t="s">
        <v>207</v>
      </c>
      <c r="H59" s="19">
        <v>0.252469513142</v>
      </c>
      <c r="I59" s="20">
        <v>10.557</v>
      </c>
      <c r="J59" s="17"/>
      <c r="K59" s="22">
        <f t="shared" si="0"/>
        <v>0</v>
      </c>
      <c r="O59" s="10" t="str">
        <f t="shared" si="1"/>
        <v>-</v>
      </c>
      <c r="P59" s="10" t="str">
        <f t="shared" si="2"/>
        <v>-</v>
      </c>
      <c r="Q59" s="11" t="str">
        <f t="shared" si="3"/>
        <v>-</v>
      </c>
      <c r="R59" s="12" t="str">
        <f t="shared" si="4"/>
        <v>-</v>
      </c>
      <c r="T59" s="12" t="str">
        <f t="shared" si="5"/>
        <v>-</v>
      </c>
    </row>
    <row r="60" spans="1:20" x14ac:dyDescent="0.3">
      <c r="A60" s="21" t="s">
        <v>104</v>
      </c>
      <c r="B60" s="17" t="s">
        <v>9</v>
      </c>
      <c r="C60" s="17" t="s">
        <v>103</v>
      </c>
      <c r="D60" s="17" t="s">
        <v>11</v>
      </c>
      <c r="E60" s="17" t="s">
        <v>14</v>
      </c>
      <c r="F60" s="17" t="s">
        <v>95</v>
      </c>
      <c r="G60" s="18" t="s">
        <v>208</v>
      </c>
      <c r="H60" s="19">
        <v>0.252469513142</v>
      </c>
      <c r="I60" s="20">
        <v>10.557</v>
      </c>
      <c r="J60" s="17"/>
      <c r="K60" s="22">
        <f t="shared" si="0"/>
        <v>0</v>
      </c>
      <c r="O60" s="10" t="str">
        <f t="shared" si="1"/>
        <v>-</v>
      </c>
      <c r="P60" s="10" t="str">
        <f t="shared" si="2"/>
        <v>-</v>
      </c>
      <c r="Q60" s="11" t="str">
        <f t="shared" si="3"/>
        <v>-</v>
      </c>
      <c r="R60" s="12" t="str">
        <f t="shared" si="4"/>
        <v>-</v>
      </c>
      <c r="T60" s="12" t="str">
        <f t="shared" si="5"/>
        <v>-</v>
      </c>
    </row>
    <row r="61" spans="1:20" x14ac:dyDescent="0.3">
      <c r="A61" s="21" t="s">
        <v>119</v>
      </c>
      <c r="B61" s="17" t="s">
        <v>18</v>
      </c>
      <c r="C61" s="17" t="s">
        <v>120</v>
      </c>
      <c r="D61" s="17" t="s">
        <v>11</v>
      </c>
      <c r="E61" s="17" t="s">
        <v>12</v>
      </c>
      <c r="F61" s="17"/>
      <c r="G61" s="18" t="s">
        <v>219</v>
      </c>
      <c r="H61" s="19">
        <v>0.252469513142</v>
      </c>
      <c r="I61" s="20">
        <v>9.18</v>
      </c>
      <c r="J61" s="17"/>
      <c r="K61" s="22">
        <f t="shared" si="0"/>
        <v>0</v>
      </c>
      <c r="O61" s="10" t="str">
        <f t="shared" si="1"/>
        <v>-</v>
      </c>
      <c r="P61" s="10" t="str">
        <f t="shared" si="2"/>
        <v>-</v>
      </c>
      <c r="Q61" s="11" t="str">
        <f t="shared" si="3"/>
        <v>-</v>
      </c>
      <c r="R61" s="12" t="str">
        <f t="shared" si="4"/>
        <v>-</v>
      </c>
      <c r="T61" s="12" t="str">
        <f t="shared" si="5"/>
        <v>-</v>
      </c>
    </row>
    <row r="62" spans="1:20" x14ac:dyDescent="0.3">
      <c r="A62" s="21" t="s">
        <v>121</v>
      </c>
      <c r="B62" s="17" t="s">
        <v>18</v>
      </c>
      <c r="C62" s="17" t="s">
        <v>120</v>
      </c>
      <c r="D62" s="17" t="s">
        <v>11</v>
      </c>
      <c r="E62" s="17" t="s">
        <v>14</v>
      </c>
      <c r="F62" s="17"/>
      <c r="G62" s="18" t="s">
        <v>220</v>
      </c>
      <c r="H62" s="19">
        <v>0.252469513142</v>
      </c>
      <c r="I62" s="20">
        <v>9.18</v>
      </c>
      <c r="J62" s="17"/>
      <c r="K62" s="22">
        <f t="shared" si="0"/>
        <v>0</v>
      </c>
      <c r="O62" s="10" t="str">
        <f t="shared" si="1"/>
        <v>-</v>
      </c>
      <c r="P62" s="10" t="str">
        <f t="shared" si="2"/>
        <v>-</v>
      </c>
      <c r="Q62" s="11" t="str">
        <f t="shared" si="3"/>
        <v>-</v>
      </c>
      <c r="R62" s="12" t="str">
        <f t="shared" si="4"/>
        <v>-</v>
      </c>
      <c r="T62" s="12" t="str">
        <f t="shared" si="5"/>
        <v>-</v>
      </c>
    </row>
    <row r="63" spans="1:20" x14ac:dyDescent="0.3">
      <c r="A63" s="21" t="s">
        <v>17</v>
      </c>
      <c r="B63" s="17" t="s">
        <v>18</v>
      </c>
      <c r="C63" s="17" t="s">
        <v>19</v>
      </c>
      <c r="D63" s="17" t="s">
        <v>11</v>
      </c>
      <c r="E63" s="17" t="s">
        <v>12</v>
      </c>
      <c r="F63" s="17"/>
      <c r="G63" s="18" t="s">
        <v>157</v>
      </c>
      <c r="H63" s="19">
        <v>0.252469513142</v>
      </c>
      <c r="I63" s="20">
        <v>7.5309999999999997</v>
      </c>
      <c r="J63" s="17"/>
      <c r="K63" s="22">
        <f t="shared" si="0"/>
        <v>0</v>
      </c>
      <c r="O63" s="10" t="str">
        <f t="shared" si="1"/>
        <v>-</v>
      </c>
      <c r="P63" s="10" t="str">
        <f t="shared" si="2"/>
        <v>-</v>
      </c>
      <c r="Q63" s="11" t="str">
        <f t="shared" si="3"/>
        <v>-</v>
      </c>
      <c r="R63" s="12" t="str">
        <f t="shared" si="4"/>
        <v>-</v>
      </c>
      <c r="T63" s="12" t="str">
        <f t="shared" si="5"/>
        <v>-</v>
      </c>
    </row>
    <row r="64" spans="1:20" x14ac:dyDescent="0.3">
      <c r="A64" s="21" t="s">
        <v>20</v>
      </c>
      <c r="B64" s="17" t="s">
        <v>18</v>
      </c>
      <c r="C64" s="17" t="s">
        <v>19</v>
      </c>
      <c r="D64" s="17" t="s">
        <v>11</v>
      </c>
      <c r="E64" s="17" t="s">
        <v>14</v>
      </c>
      <c r="F64" s="17"/>
      <c r="G64" s="18" t="s">
        <v>158</v>
      </c>
      <c r="H64" s="19">
        <v>0.252469513142</v>
      </c>
      <c r="I64" s="20">
        <v>7.5309999999999997</v>
      </c>
      <c r="J64" s="17"/>
      <c r="K64" s="22">
        <f t="shared" si="0"/>
        <v>0</v>
      </c>
      <c r="O64" s="10" t="str">
        <f t="shared" si="1"/>
        <v>-</v>
      </c>
      <c r="P64" s="10" t="str">
        <f t="shared" si="2"/>
        <v>-</v>
      </c>
      <c r="Q64" s="11" t="str">
        <f t="shared" si="3"/>
        <v>-</v>
      </c>
      <c r="R64" s="12" t="str">
        <f t="shared" si="4"/>
        <v>-</v>
      </c>
      <c r="T64" s="12" t="str">
        <f t="shared" si="5"/>
        <v>-</v>
      </c>
    </row>
    <row r="65" spans="1:20" x14ac:dyDescent="0.3">
      <c r="A65" s="21" t="s">
        <v>94</v>
      </c>
      <c r="B65" s="17" t="s">
        <v>18</v>
      </c>
      <c r="C65" s="17" t="s">
        <v>19</v>
      </c>
      <c r="D65" s="17" t="s">
        <v>11</v>
      </c>
      <c r="E65" s="17" t="s">
        <v>12</v>
      </c>
      <c r="F65" s="17" t="s">
        <v>95</v>
      </c>
      <c r="G65" s="18" t="s">
        <v>201</v>
      </c>
      <c r="H65" s="19">
        <v>0.252469513142</v>
      </c>
      <c r="I65" s="20">
        <v>13.192</v>
      </c>
      <c r="J65" s="17"/>
      <c r="K65" s="22">
        <f t="shared" si="0"/>
        <v>0</v>
      </c>
      <c r="O65" s="10" t="str">
        <f t="shared" si="1"/>
        <v>-</v>
      </c>
      <c r="P65" s="10" t="str">
        <f t="shared" si="2"/>
        <v>-</v>
      </c>
      <c r="Q65" s="11" t="str">
        <f t="shared" si="3"/>
        <v>-</v>
      </c>
      <c r="R65" s="12" t="str">
        <f t="shared" si="4"/>
        <v>-</v>
      </c>
      <c r="T65" s="12" t="str">
        <f t="shared" si="5"/>
        <v>-</v>
      </c>
    </row>
    <row r="66" spans="1:20" x14ac:dyDescent="0.3">
      <c r="A66" s="21" t="s">
        <v>96</v>
      </c>
      <c r="B66" s="17" t="s">
        <v>18</v>
      </c>
      <c r="C66" s="17" t="s">
        <v>19</v>
      </c>
      <c r="D66" s="17" t="s">
        <v>11</v>
      </c>
      <c r="E66" s="17" t="s">
        <v>14</v>
      </c>
      <c r="F66" s="17" t="s">
        <v>95</v>
      </c>
      <c r="G66" s="18" t="s">
        <v>202</v>
      </c>
      <c r="H66" s="19">
        <v>0.252469513142</v>
      </c>
      <c r="I66" s="20">
        <v>13.192</v>
      </c>
      <c r="J66" s="17"/>
      <c r="K66" s="22">
        <f t="shared" si="0"/>
        <v>0</v>
      </c>
      <c r="O66" s="10" t="str">
        <f t="shared" si="1"/>
        <v>-</v>
      </c>
      <c r="P66" s="10" t="str">
        <f t="shared" si="2"/>
        <v>-</v>
      </c>
      <c r="Q66" s="11" t="str">
        <f t="shared" si="3"/>
        <v>-</v>
      </c>
      <c r="R66" s="12" t="str">
        <f t="shared" si="4"/>
        <v>-</v>
      </c>
      <c r="T66" s="12" t="str">
        <f t="shared" si="5"/>
        <v>-</v>
      </c>
    </row>
    <row r="67" spans="1:20" x14ac:dyDescent="0.3">
      <c r="A67" s="21" t="s">
        <v>136</v>
      </c>
      <c r="B67" s="17" t="s">
        <v>137</v>
      </c>
      <c r="C67" s="17" t="s">
        <v>19</v>
      </c>
      <c r="D67" s="17" t="s">
        <v>138</v>
      </c>
      <c r="E67" s="17" t="s">
        <v>14</v>
      </c>
      <c r="F67" s="17"/>
      <c r="G67" s="18" t="s">
        <v>230</v>
      </c>
      <c r="H67" s="19">
        <v>0.10098780525680003</v>
      </c>
      <c r="I67" s="20">
        <v>8.7889999999999997</v>
      </c>
      <c r="J67" s="17"/>
      <c r="K67" s="22">
        <f t="shared" si="0"/>
        <v>0</v>
      </c>
      <c r="O67" s="10" t="str">
        <f t="shared" si="1"/>
        <v>-</v>
      </c>
      <c r="P67" s="10" t="str">
        <f t="shared" si="2"/>
        <v>-</v>
      </c>
      <c r="Q67" s="11" t="str">
        <f t="shared" si="3"/>
        <v>-</v>
      </c>
      <c r="R67" s="12" t="str">
        <f t="shared" si="4"/>
        <v>-</v>
      </c>
      <c r="T67" s="12" t="str">
        <f t="shared" si="5"/>
        <v>-</v>
      </c>
    </row>
    <row r="68" spans="1:20" x14ac:dyDescent="0.3">
      <c r="A68" s="21" t="s">
        <v>21</v>
      </c>
      <c r="B68" s="17" t="s">
        <v>9</v>
      </c>
      <c r="C68" s="17" t="s">
        <v>22</v>
      </c>
      <c r="D68" s="17" t="s">
        <v>11</v>
      </c>
      <c r="E68" s="17" t="s">
        <v>12</v>
      </c>
      <c r="F68" s="17"/>
      <c r="G68" s="18" t="s">
        <v>159</v>
      </c>
      <c r="H68" s="19">
        <v>0.252469513142</v>
      </c>
      <c r="I68" s="20">
        <v>7.6160000000000005</v>
      </c>
      <c r="J68" s="17"/>
      <c r="K68" s="22">
        <f t="shared" ref="K68:K88" si="6">I68*J68</f>
        <v>0</v>
      </c>
      <c r="O68" s="10" t="str">
        <f t="shared" ref="O68:O88" si="7">IFERROR(IF($O$2*H68=0, "-", $O$2*H68), "-")</f>
        <v>-</v>
      </c>
      <c r="P68" s="10" t="str">
        <f t="shared" ref="P68:P88" si="8">IFERROR(IF(I68+O68=0, "-", IF(O68&gt;0, I68+O68, "-")), "-")</f>
        <v>-</v>
      </c>
      <c r="Q68" s="11" t="str">
        <f t="shared" ref="Q68:Q88" si="9">IF(J68&gt;0,J68*H68, "-")</f>
        <v>-</v>
      </c>
      <c r="R68" s="12" t="str">
        <f t="shared" ref="R68:R88" si="10">IFERROR(IF($O$2&gt;0, $O$2*Q68, "-"), "-")</f>
        <v>-</v>
      </c>
      <c r="T68" s="12" t="str">
        <f t="shared" ref="T68:T88" si="11">IFERROR(IF(R68+K68=0, "-", IF(R68&gt;0, R68+K68, "-")), "-")</f>
        <v>-</v>
      </c>
    </row>
    <row r="69" spans="1:20" x14ac:dyDescent="0.3">
      <c r="A69" s="21" t="s">
        <v>23</v>
      </c>
      <c r="B69" s="17" t="s">
        <v>9</v>
      </c>
      <c r="C69" s="17" t="s">
        <v>22</v>
      </c>
      <c r="D69" s="17" t="s">
        <v>11</v>
      </c>
      <c r="E69" s="17" t="s">
        <v>14</v>
      </c>
      <c r="F69" s="17"/>
      <c r="G69" s="18" t="s">
        <v>160</v>
      </c>
      <c r="H69" s="19">
        <v>0.252469513142</v>
      </c>
      <c r="I69" s="20">
        <v>7.6160000000000005</v>
      </c>
      <c r="J69" s="17"/>
      <c r="K69" s="22">
        <f t="shared" si="6"/>
        <v>0</v>
      </c>
      <c r="O69" s="10" t="str">
        <f t="shared" si="7"/>
        <v>-</v>
      </c>
      <c r="P69" s="10" t="str">
        <f t="shared" si="8"/>
        <v>-</v>
      </c>
      <c r="Q69" s="11" t="str">
        <f t="shared" si="9"/>
        <v>-</v>
      </c>
      <c r="R69" s="12" t="str">
        <f t="shared" si="10"/>
        <v>-</v>
      </c>
      <c r="T69" s="12" t="str">
        <f t="shared" si="11"/>
        <v>-</v>
      </c>
    </row>
    <row r="70" spans="1:20" x14ac:dyDescent="0.3">
      <c r="A70" s="21" t="s">
        <v>112</v>
      </c>
      <c r="B70" s="17" t="s">
        <v>18</v>
      </c>
      <c r="C70" s="17" t="s">
        <v>113</v>
      </c>
      <c r="D70" s="17" t="s">
        <v>11</v>
      </c>
      <c r="E70" s="17" t="s">
        <v>12</v>
      </c>
      <c r="F70" s="17" t="s">
        <v>95</v>
      </c>
      <c r="G70" s="18" t="s">
        <v>215</v>
      </c>
      <c r="H70" s="19">
        <v>0.252469513142</v>
      </c>
      <c r="I70" s="20">
        <v>9.4349999999999987</v>
      </c>
      <c r="J70" s="17"/>
      <c r="K70" s="22">
        <f t="shared" si="6"/>
        <v>0</v>
      </c>
      <c r="O70" s="10" t="str">
        <f t="shared" si="7"/>
        <v>-</v>
      </c>
      <c r="P70" s="10" t="str">
        <f t="shared" si="8"/>
        <v>-</v>
      </c>
      <c r="Q70" s="11" t="str">
        <f t="shared" si="9"/>
        <v>-</v>
      </c>
      <c r="R70" s="12" t="str">
        <f t="shared" si="10"/>
        <v>-</v>
      </c>
      <c r="T70" s="12" t="str">
        <f t="shared" si="11"/>
        <v>-</v>
      </c>
    </row>
    <row r="71" spans="1:20" x14ac:dyDescent="0.3">
      <c r="A71" s="21" t="s">
        <v>114</v>
      </c>
      <c r="B71" s="17" t="s">
        <v>18</v>
      </c>
      <c r="C71" s="17" t="s">
        <v>113</v>
      </c>
      <c r="D71" s="17" t="s">
        <v>11</v>
      </c>
      <c r="E71" s="17" t="s">
        <v>14</v>
      </c>
      <c r="F71" s="17" t="s">
        <v>95</v>
      </c>
      <c r="G71" s="18" t="s">
        <v>216</v>
      </c>
      <c r="H71" s="19">
        <v>0.252469513142</v>
      </c>
      <c r="I71" s="20">
        <v>9.4349999999999987</v>
      </c>
      <c r="J71" s="17"/>
      <c r="K71" s="22">
        <f t="shared" si="6"/>
        <v>0</v>
      </c>
      <c r="O71" s="10" t="str">
        <f t="shared" si="7"/>
        <v>-</v>
      </c>
      <c r="P71" s="10" t="str">
        <f t="shared" si="8"/>
        <v>-</v>
      </c>
      <c r="Q71" s="11" t="str">
        <f t="shared" si="9"/>
        <v>-</v>
      </c>
      <c r="R71" s="12" t="str">
        <f t="shared" si="10"/>
        <v>-</v>
      </c>
      <c r="T71" s="12" t="str">
        <f t="shared" si="11"/>
        <v>-</v>
      </c>
    </row>
    <row r="72" spans="1:20" x14ac:dyDescent="0.3">
      <c r="A72" s="21" t="s">
        <v>124</v>
      </c>
      <c r="B72" s="17" t="s">
        <v>18</v>
      </c>
      <c r="C72" s="17" t="s">
        <v>113</v>
      </c>
      <c r="D72" s="17" t="s">
        <v>11</v>
      </c>
      <c r="E72" s="17" t="s">
        <v>14</v>
      </c>
      <c r="F72" s="17"/>
      <c r="G72" s="18" t="s">
        <v>222</v>
      </c>
      <c r="H72" s="19">
        <v>0.252469513142</v>
      </c>
      <c r="I72" s="20">
        <v>7.5309999999999997</v>
      </c>
      <c r="J72" s="17"/>
      <c r="K72" s="22">
        <f t="shared" si="6"/>
        <v>0</v>
      </c>
      <c r="O72" s="10" t="str">
        <f t="shared" si="7"/>
        <v>-</v>
      </c>
      <c r="P72" s="10" t="str">
        <f t="shared" si="8"/>
        <v>-</v>
      </c>
      <c r="Q72" s="11" t="str">
        <f t="shared" si="9"/>
        <v>-</v>
      </c>
      <c r="R72" s="12" t="str">
        <f t="shared" si="10"/>
        <v>-</v>
      </c>
      <c r="T72" s="12" t="str">
        <f t="shared" si="11"/>
        <v>-</v>
      </c>
    </row>
    <row r="73" spans="1:20" x14ac:dyDescent="0.3">
      <c r="A73" s="21" t="s">
        <v>122</v>
      </c>
      <c r="B73" s="17" t="s">
        <v>18</v>
      </c>
      <c r="C73" s="17" t="s">
        <v>123</v>
      </c>
      <c r="D73" s="17" t="s">
        <v>11</v>
      </c>
      <c r="E73" s="17" t="s">
        <v>12</v>
      </c>
      <c r="F73" s="17"/>
      <c r="G73" s="18" t="s">
        <v>221</v>
      </c>
      <c r="H73" s="19">
        <v>0.42919817234140001</v>
      </c>
      <c r="I73" s="20">
        <v>10.557</v>
      </c>
      <c r="J73" s="17"/>
      <c r="K73" s="22">
        <f t="shared" si="6"/>
        <v>0</v>
      </c>
      <c r="O73" s="10" t="str">
        <f t="shared" si="7"/>
        <v>-</v>
      </c>
      <c r="P73" s="10" t="str">
        <f t="shared" si="8"/>
        <v>-</v>
      </c>
      <c r="Q73" s="11" t="str">
        <f t="shared" si="9"/>
        <v>-</v>
      </c>
      <c r="R73" s="12" t="str">
        <f t="shared" si="10"/>
        <v>-</v>
      </c>
      <c r="T73" s="12" t="str">
        <f t="shared" si="11"/>
        <v>-</v>
      </c>
    </row>
    <row r="74" spans="1:20" x14ac:dyDescent="0.3">
      <c r="A74" s="21" t="s">
        <v>148</v>
      </c>
      <c r="B74" s="17" t="s">
        <v>137</v>
      </c>
      <c r="C74" s="17" t="s">
        <v>149</v>
      </c>
      <c r="D74" s="17" t="s">
        <v>138</v>
      </c>
      <c r="E74" s="17" t="s">
        <v>14</v>
      </c>
      <c r="F74" s="17"/>
      <c r="G74" s="18" t="s">
        <v>237</v>
      </c>
      <c r="H74" s="19">
        <v>0.10098780525680003</v>
      </c>
      <c r="I74" s="20">
        <v>10.557</v>
      </c>
      <c r="J74" s="17"/>
      <c r="K74" s="22">
        <f t="shared" si="6"/>
        <v>0</v>
      </c>
      <c r="O74" s="10" t="str">
        <f t="shared" si="7"/>
        <v>-</v>
      </c>
      <c r="P74" s="10" t="str">
        <f t="shared" si="8"/>
        <v>-</v>
      </c>
      <c r="Q74" s="11" t="str">
        <f t="shared" si="9"/>
        <v>-</v>
      </c>
      <c r="R74" s="12" t="str">
        <f t="shared" si="10"/>
        <v>-</v>
      </c>
      <c r="T74" s="12" t="str">
        <f t="shared" si="11"/>
        <v>-</v>
      </c>
    </row>
    <row r="75" spans="1:20" x14ac:dyDescent="0.3">
      <c r="A75" s="21" t="s">
        <v>115</v>
      </c>
      <c r="B75" s="17" t="s">
        <v>18</v>
      </c>
      <c r="C75" s="17" t="s">
        <v>116</v>
      </c>
      <c r="D75" s="17" t="s">
        <v>11</v>
      </c>
      <c r="E75" s="17" t="s">
        <v>14</v>
      </c>
      <c r="F75" s="17" t="s">
        <v>95</v>
      </c>
      <c r="G75" s="18" t="s">
        <v>217</v>
      </c>
      <c r="H75" s="19">
        <v>0.252469513142</v>
      </c>
      <c r="I75" s="20">
        <v>9.4349999999999987</v>
      </c>
      <c r="J75" s="17"/>
      <c r="K75" s="22">
        <f t="shared" si="6"/>
        <v>0</v>
      </c>
      <c r="O75" s="10" t="str">
        <f t="shared" si="7"/>
        <v>-</v>
      </c>
      <c r="P75" s="10" t="str">
        <f t="shared" si="8"/>
        <v>-</v>
      </c>
      <c r="Q75" s="11" t="str">
        <f t="shared" si="9"/>
        <v>-</v>
      </c>
      <c r="R75" s="12" t="str">
        <f t="shared" si="10"/>
        <v>-</v>
      </c>
      <c r="T75" s="12" t="str">
        <f t="shared" si="11"/>
        <v>-</v>
      </c>
    </row>
    <row r="76" spans="1:20" x14ac:dyDescent="0.3">
      <c r="A76" s="21" t="s">
        <v>125</v>
      </c>
      <c r="B76" s="17" t="s">
        <v>18</v>
      </c>
      <c r="C76" s="17" t="s">
        <v>116</v>
      </c>
      <c r="D76" s="17" t="s">
        <v>11</v>
      </c>
      <c r="E76" s="17" t="s">
        <v>14</v>
      </c>
      <c r="F76" s="17"/>
      <c r="G76" s="18" t="s">
        <v>223</v>
      </c>
      <c r="H76" s="19">
        <v>0.252469513142</v>
      </c>
      <c r="I76" s="20">
        <v>7.5309999999999997</v>
      </c>
      <c r="J76" s="17"/>
      <c r="K76" s="22">
        <f t="shared" si="6"/>
        <v>0</v>
      </c>
      <c r="O76" s="10" t="str">
        <f t="shared" si="7"/>
        <v>-</v>
      </c>
      <c r="P76" s="10" t="str">
        <f t="shared" si="8"/>
        <v>-</v>
      </c>
      <c r="Q76" s="11" t="str">
        <f t="shared" si="9"/>
        <v>-</v>
      </c>
      <c r="R76" s="12" t="str">
        <f t="shared" si="10"/>
        <v>-</v>
      </c>
      <c r="T76" s="12" t="str">
        <f t="shared" si="11"/>
        <v>-</v>
      </c>
    </row>
    <row r="77" spans="1:20" x14ac:dyDescent="0.3">
      <c r="A77" s="21" t="s">
        <v>150</v>
      </c>
      <c r="B77" s="17" t="s">
        <v>137</v>
      </c>
      <c r="C77" s="17" t="s">
        <v>151</v>
      </c>
      <c r="D77" s="17" t="s">
        <v>138</v>
      </c>
      <c r="E77" s="17" t="s">
        <v>14</v>
      </c>
      <c r="F77" s="17"/>
      <c r="G77" s="18" t="s">
        <v>238</v>
      </c>
      <c r="H77" s="19">
        <v>0.10098780525680003</v>
      </c>
      <c r="I77" s="20">
        <v>11.049999999999999</v>
      </c>
      <c r="J77" s="17"/>
      <c r="K77" s="22">
        <f t="shared" si="6"/>
        <v>0</v>
      </c>
      <c r="O77" s="10" t="str">
        <f t="shared" si="7"/>
        <v>-</v>
      </c>
      <c r="P77" s="10" t="str">
        <f t="shared" si="8"/>
        <v>-</v>
      </c>
      <c r="Q77" s="11" t="str">
        <f t="shared" si="9"/>
        <v>-</v>
      </c>
      <c r="R77" s="12" t="str">
        <f t="shared" si="10"/>
        <v>-</v>
      </c>
      <c r="T77" s="12" t="str">
        <f t="shared" si="11"/>
        <v>-</v>
      </c>
    </row>
    <row r="78" spans="1:20" x14ac:dyDescent="0.3">
      <c r="A78" s="21" t="s">
        <v>117</v>
      </c>
      <c r="B78" s="17" t="s">
        <v>18</v>
      </c>
      <c r="C78" s="17" t="s">
        <v>118</v>
      </c>
      <c r="D78" s="17" t="s">
        <v>11</v>
      </c>
      <c r="E78" s="17" t="s">
        <v>12</v>
      </c>
      <c r="F78" s="17" t="s">
        <v>95</v>
      </c>
      <c r="G78" s="18" t="s">
        <v>218</v>
      </c>
      <c r="H78" s="19">
        <v>0.252469513142</v>
      </c>
      <c r="I78" s="20">
        <v>9.7919999999999998</v>
      </c>
      <c r="J78" s="17"/>
      <c r="K78" s="22">
        <f t="shared" si="6"/>
        <v>0</v>
      </c>
      <c r="O78" s="10" t="str">
        <f t="shared" si="7"/>
        <v>-</v>
      </c>
      <c r="P78" s="10" t="str">
        <f t="shared" si="8"/>
        <v>-</v>
      </c>
      <c r="Q78" s="11" t="str">
        <f t="shared" si="9"/>
        <v>-</v>
      </c>
      <c r="R78" s="12" t="str">
        <f t="shared" si="10"/>
        <v>-</v>
      </c>
      <c r="T78" s="12" t="str">
        <f t="shared" si="11"/>
        <v>-</v>
      </c>
    </row>
    <row r="79" spans="1:20" x14ac:dyDescent="0.3">
      <c r="A79" s="21" t="s">
        <v>126</v>
      </c>
      <c r="B79" s="17" t="s">
        <v>18</v>
      </c>
      <c r="C79" s="17" t="s">
        <v>118</v>
      </c>
      <c r="D79" s="17" t="s">
        <v>11</v>
      </c>
      <c r="E79" s="17" t="s">
        <v>12</v>
      </c>
      <c r="F79" s="17"/>
      <c r="G79" s="18" t="s">
        <v>224</v>
      </c>
      <c r="H79" s="19">
        <v>0.252469513142</v>
      </c>
      <c r="I79" s="20">
        <v>7.5309999999999997</v>
      </c>
      <c r="J79" s="17"/>
      <c r="K79" s="22">
        <f t="shared" si="6"/>
        <v>0</v>
      </c>
      <c r="O79" s="10" t="str">
        <f t="shared" si="7"/>
        <v>-</v>
      </c>
      <c r="P79" s="10" t="str">
        <f t="shared" si="8"/>
        <v>-</v>
      </c>
      <c r="Q79" s="11" t="str">
        <f t="shared" si="9"/>
        <v>-</v>
      </c>
      <c r="R79" s="12" t="str">
        <f t="shared" si="10"/>
        <v>-</v>
      </c>
      <c r="T79" s="12" t="str">
        <f t="shared" si="11"/>
        <v>-</v>
      </c>
    </row>
    <row r="80" spans="1:20" x14ac:dyDescent="0.3">
      <c r="A80" s="21" t="s">
        <v>127</v>
      </c>
      <c r="B80" s="17" t="s">
        <v>9</v>
      </c>
      <c r="C80" s="17" t="s">
        <v>128</v>
      </c>
      <c r="D80" s="17" t="s">
        <v>11</v>
      </c>
      <c r="E80" s="17" t="s">
        <v>12</v>
      </c>
      <c r="F80" s="17"/>
      <c r="G80" s="18" t="s">
        <v>225</v>
      </c>
      <c r="H80" s="19">
        <v>0.252469513142</v>
      </c>
      <c r="I80" s="20">
        <v>13.192</v>
      </c>
      <c r="J80" s="17"/>
      <c r="K80" s="22">
        <f t="shared" si="6"/>
        <v>0</v>
      </c>
      <c r="O80" s="10" t="str">
        <f t="shared" si="7"/>
        <v>-</v>
      </c>
      <c r="P80" s="10" t="str">
        <f t="shared" si="8"/>
        <v>-</v>
      </c>
      <c r="Q80" s="11" t="str">
        <f t="shared" si="9"/>
        <v>-</v>
      </c>
      <c r="R80" s="12" t="str">
        <f t="shared" si="10"/>
        <v>-</v>
      </c>
      <c r="T80" s="12" t="str">
        <f t="shared" si="11"/>
        <v>-</v>
      </c>
    </row>
    <row r="81" spans="1:20" x14ac:dyDescent="0.3">
      <c r="A81" s="21" t="s">
        <v>129</v>
      </c>
      <c r="B81" s="17" t="s">
        <v>9</v>
      </c>
      <c r="C81" s="17" t="s">
        <v>128</v>
      </c>
      <c r="D81" s="17" t="s">
        <v>11</v>
      </c>
      <c r="E81" s="17" t="s">
        <v>14</v>
      </c>
      <c r="F81" s="17"/>
      <c r="G81" s="18" t="s">
        <v>226</v>
      </c>
      <c r="H81" s="19">
        <v>0.252469513142</v>
      </c>
      <c r="I81" s="20">
        <v>13.192</v>
      </c>
      <c r="J81" s="17"/>
      <c r="K81" s="22">
        <f t="shared" si="6"/>
        <v>0</v>
      </c>
      <c r="O81" s="10" t="str">
        <f t="shared" si="7"/>
        <v>-</v>
      </c>
      <c r="P81" s="10" t="str">
        <f t="shared" si="8"/>
        <v>-</v>
      </c>
      <c r="Q81" s="11" t="str">
        <f t="shared" si="9"/>
        <v>-</v>
      </c>
      <c r="R81" s="12" t="str">
        <f t="shared" si="10"/>
        <v>-</v>
      </c>
      <c r="T81" s="12" t="str">
        <f t="shared" si="11"/>
        <v>-</v>
      </c>
    </row>
    <row r="82" spans="1:20" x14ac:dyDescent="0.3">
      <c r="A82" s="21" t="s">
        <v>130</v>
      </c>
      <c r="B82" s="17" t="s">
        <v>18</v>
      </c>
      <c r="C82" s="17" t="s">
        <v>131</v>
      </c>
      <c r="D82" s="17" t="s">
        <v>11</v>
      </c>
      <c r="E82" s="17" t="s">
        <v>12</v>
      </c>
      <c r="F82" s="17"/>
      <c r="G82" s="18" t="s">
        <v>227</v>
      </c>
      <c r="H82" s="19">
        <v>0.252469513142</v>
      </c>
      <c r="I82" s="20">
        <v>10.302</v>
      </c>
      <c r="J82" s="17"/>
      <c r="K82" s="22">
        <f t="shared" si="6"/>
        <v>0</v>
      </c>
      <c r="O82" s="10" t="str">
        <f t="shared" si="7"/>
        <v>-</v>
      </c>
      <c r="P82" s="10" t="str">
        <f t="shared" si="8"/>
        <v>-</v>
      </c>
      <c r="Q82" s="11" t="str">
        <f t="shared" si="9"/>
        <v>-</v>
      </c>
      <c r="R82" s="12" t="str">
        <f t="shared" si="10"/>
        <v>-</v>
      </c>
      <c r="T82" s="12" t="str">
        <f t="shared" si="11"/>
        <v>-</v>
      </c>
    </row>
    <row r="83" spans="1:20" x14ac:dyDescent="0.3">
      <c r="A83" s="21" t="s">
        <v>79</v>
      </c>
      <c r="B83" s="17" t="s">
        <v>18</v>
      </c>
      <c r="C83" s="17" t="s">
        <v>80</v>
      </c>
      <c r="D83" s="17" t="s">
        <v>11</v>
      </c>
      <c r="E83" s="17" t="s">
        <v>12</v>
      </c>
      <c r="F83" s="17"/>
      <c r="G83" s="18" t="s">
        <v>193</v>
      </c>
      <c r="H83" s="19">
        <v>0.252469513142</v>
      </c>
      <c r="I83" s="20">
        <v>8.7889999999999997</v>
      </c>
      <c r="J83" s="17"/>
      <c r="K83" s="22">
        <f t="shared" si="6"/>
        <v>0</v>
      </c>
      <c r="O83" s="10" t="str">
        <f t="shared" si="7"/>
        <v>-</v>
      </c>
      <c r="P83" s="10" t="str">
        <f t="shared" si="8"/>
        <v>-</v>
      </c>
      <c r="Q83" s="11" t="str">
        <f t="shared" si="9"/>
        <v>-</v>
      </c>
      <c r="R83" s="12" t="str">
        <f t="shared" si="10"/>
        <v>-</v>
      </c>
      <c r="T83" s="12" t="str">
        <f t="shared" si="11"/>
        <v>-</v>
      </c>
    </row>
    <row r="84" spans="1:20" x14ac:dyDescent="0.3">
      <c r="A84" s="21" t="s">
        <v>108</v>
      </c>
      <c r="B84" s="17" t="s">
        <v>18</v>
      </c>
      <c r="C84" s="17" t="s">
        <v>80</v>
      </c>
      <c r="D84" s="17" t="s">
        <v>11</v>
      </c>
      <c r="E84" s="17" t="s">
        <v>12</v>
      </c>
      <c r="F84" s="17" t="s">
        <v>95</v>
      </c>
      <c r="G84" s="18" t="s">
        <v>212</v>
      </c>
      <c r="H84" s="19">
        <v>0.252469513142</v>
      </c>
      <c r="I84" s="20">
        <v>10.557</v>
      </c>
      <c r="J84" s="17"/>
      <c r="K84" s="22">
        <f t="shared" si="6"/>
        <v>0</v>
      </c>
      <c r="O84" s="10" t="str">
        <f t="shared" si="7"/>
        <v>-</v>
      </c>
      <c r="P84" s="10" t="str">
        <f t="shared" si="8"/>
        <v>-</v>
      </c>
      <c r="Q84" s="11" t="str">
        <f t="shared" si="9"/>
        <v>-</v>
      </c>
      <c r="R84" s="12" t="str">
        <f t="shared" si="10"/>
        <v>-</v>
      </c>
      <c r="T84" s="12" t="str">
        <f t="shared" si="11"/>
        <v>-</v>
      </c>
    </row>
    <row r="85" spans="1:20" x14ac:dyDescent="0.3">
      <c r="A85" s="21" t="s">
        <v>92</v>
      </c>
      <c r="B85" s="17" t="s">
        <v>18</v>
      </c>
      <c r="C85" s="17" t="s">
        <v>93</v>
      </c>
      <c r="D85" s="17" t="s">
        <v>11</v>
      </c>
      <c r="E85" s="17" t="s">
        <v>12</v>
      </c>
      <c r="F85" s="17"/>
      <c r="G85" s="18" t="s">
        <v>200</v>
      </c>
      <c r="H85" s="19">
        <v>0.252469513142</v>
      </c>
      <c r="I85" s="20">
        <v>10.302</v>
      </c>
      <c r="J85" s="17"/>
      <c r="K85" s="22">
        <f t="shared" si="6"/>
        <v>0</v>
      </c>
      <c r="O85" s="10" t="str">
        <f t="shared" si="7"/>
        <v>-</v>
      </c>
      <c r="P85" s="10" t="str">
        <f t="shared" si="8"/>
        <v>-</v>
      </c>
      <c r="Q85" s="11" t="str">
        <f t="shared" si="9"/>
        <v>-</v>
      </c>
      <c r="R85" s="12" t="str">
        <f t="shared" si="10"/>
        <v>-</v>
      </c>
      <c r="T85" s="12" t="str">
        <f t="shared" si="11"/>
        <v>-</v>
      </c>
    </row>
    <row r="86" spans="1:20" x14ac:dyDescent="0.3">
      <c r="A86" s="21" t="s">
        <v>132</v>
      </c>
      <c r="B86" s="17" t="s">
        <v>18</v>
      </c>
      <c r="C86" s="17" t="s">
        <v>133</v>
      </c>
      <c r="D86" s="17" t="s">
        <v>11</v>
      </c>
      <c r="E86" s="17" t="s">
        <v>14</v>
      </c>
      <c r="F86" s="17"/>
      <c r="G86" s="18" t="s">
        <v>228</v>
      </c>
      <c r="H86" s="19">
        <v>0.252469513142</v>
      </c>
      <c r="I86" s="20">
        <v>7.5309999999999997</v>
      </c>
      <c r="J86" s="17"/>
      <c r="K86" s="22">
        <f t="shared" si="6"/>
        <v>0</v>
      </c>
      <c r="O86" s="10" t="str">
        <f t="shared" si="7"/>
        <v>-</v>
      </c>
      <c r="P86" s="10" t="str">
        <f t="shared" si="8"/>
        <v>-</v>
      </c>
      <c r="Q86" s="11" t="str">
        <f t="shared" si="9"/>
        <v>-</v>
      </c>
      <c r="R86" s="12" t="str">
        <f t="shared" si="10"/>
        <v>-</v>
      </c>
      <c r="T86" s="12" t="str">
        <f t="shared" si="11"/>
        <v>-</v>
      </c>
    </row>
    <row r="87" spans="1:20" x14ac:dyDescent="0.3">
      <c r="A87" s="21" t="s">
        <v>152</v>
      </c>
      <c r="B87" s="17" t="s">
        <v>137</v>
      </c>
      <c r="C87" s="17" t="s">
        <v>153</v>
      </c>
      <c r="D87" s="17" t="s">
        <v>138</v>
      </c>
      <c r="E87" s="17" t="s">
        <v>14</v>
      </c>
      <c r="F87" s="17"/>
      <c r="G87" s="18" t="s">
        <v>239</v>
      </c>
      <c r="H87" s="19">
        <v>0.10098780525680003</v>
      </c>
      <c r="I87" s="20">
        <v>8.4150000000000009</v>
      </c>
      <c r="J87" s="17"/>
      <c r="K87" s="22">
        <f t="shared" si="6"/>
        <v>0</v>
      </c>
      <c r="O87" s="10" t="str">
        <f t="shared" si="7"/>
        <v>-</v>
      </c>
      <c r="P87" s="10" t="str">
        <f t="shared" si="8"/>
        <v>-</v>
      </c>
      <c r="Q87" s="11" t="str">
        <f t="shared" si="9"/>
        <v>-</v>
      </c>
      <c r="R87" s="12" t="str">
        <f t="shared" si="10"/>
        <v>-</v>
      </c>
      <c r="T87" s="12" t="str">
        <f t="shared" si="11"/>
        <v>-</v>
      </c>
    </row>
    <row r="88" spans="1:20" ht="16.2" thickBot="1" x14ac:dyDescent="0.35">
      <c r="A88" s="23" t="s">
        <v>134</v>
      </c>
      <c r="B88" s="24" t="s">
        <v>18</v>
      </c>
      <c r="C88" s="24" t="s">
        <v>135</v>
      </c>
      <c r="D88" s="24" t="s">
        <v>11</v>
      </c>
      <c r="E88" s="24" t="s">
        <v>12</v>
      </c>
      <c r="F88" s="24"/>
      <c r="G88" s="25" t="s">
        <v>229</v>
      </c>
      <c r="H88" s="26">
        <v>0.252469513142</v>
      </c>
      <c r="I88" s="27">
        <v>7.5309999999999997</v>
      </c>
      <c r="J88" s="24"/>
      <c r="K88" s="28">
        <f t="shared" si="6"/>
        <v>0</v>
      </c>
      <c r="O88" s="10" t="str">
        <f t="shared" si="7"/>
        <v>-</v>
      </c>
      <c r="P88" s="10" t="str">
        <f t="shared" si="8"/>
        <v>-</v>
      </c>
      <c r="Q88" s="11" t="str">
        <f t="shared" si="9"/>
        <v>-</v>
      </c>
      <c r="R88" s="12" t="str">
        <f t="shared" si="10"/>
        <v>-</v>
      </c>
      <c r="T88" s="12" t="str">
        <f t="shared" si="11"/>
        <v>-</v>
      </c>
    </row>
  </sheetData>
  <sheetProtection algorithmName="SHA-512" hashValue="zMXb+lz5QCNcncsc1EBja5i9wB1IpA/TAiJuM3+FbsV/6Zr2bfIiaEHohNUYt7mj/MukJHKUvwbHrJ6O610gAQ==" saltValue="BxV56TXhBQ0qRqd9fcfXdA==" spinCount="100000" sheet="1" formatCells="0" formatColumns="0" formatRows="0" insertColumns="0" insertRows="0" insertHyperlinks="0" deleteColumns="0" deleteRows="0" sort="0" autoFilter="0" pivotTables="0"/>
  <protectedRanges>
    <protectedRange sqref="J1:J1048576" name="Кількість"/>
    <protectedRange sqref="O2" name="Тариф"/>
  </protectedRanges>
  <autoFilter ref="A2:K88" xr:uid="{717CCD97-E796-447F-946A-D185BE4CD02F}"/>
  <mergeCells count="3">
    <mergeCell ref="P1:P2"/>
    <mergeCell ref="G1:K1"/>
    <mergeCell ref="A1:F1"/>
  </mergeCells>
  <conditionalFormatting sqref="T1">
    <cfRule type="expression" dxfId="0" priority="1">
      <formula>"&gt;0"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Денис Хомик</cp:lastModifiedBy>
  <dcterms:created xsi:type="dcterms:W3CDTF">2025-08-26T23:56:06Z</dcterms:created>
  <dcterms:modified xsi:type="dcterms:W3CDTF">2026-02-20T11:26:51Z</dcterms:modified>
</cp:coreProperties>
</file>