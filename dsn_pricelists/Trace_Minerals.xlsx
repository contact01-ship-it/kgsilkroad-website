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FE8903AA-1825-4B6D-BB8F-779A46AD54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Trace Minerals)" sheetId="1" r:id="rId1"/>
  </sheets>
  <definedNames>
    <definedName name="_xlnm._FilterDatabase" localSheetId="0" hidden="1">'DSN GROUP (Trace Minerals)'!$A$2:$K$175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6" i="1"/>
  <c r="N146" i="1" s="1"/>
  <c r="M145" i="1"/>
  <c r="N145" i="1" s="1"/>
  <c r="M144" i="1"/>
  <c r="N144" i="1" s="1"/>
  <c r="M142" i="1"/>
  <c r="N142" i="1" s="1"/>
  <c r="M141" i="1"/>
  <c r="N141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2" i="1"/>
  <c r="N132" i="1" s="1"/>
  <c r="M131" i="1"/>
  <c r="N131" i="1" s="1"/>
  <c r="M130" i="1"/>
  <c r="N130" i="1" s="1"/>
  <c r="M129" i="1"/>
  <c r="N129" i="1" s="1"/>
  <c r="M127" i="1"/>
  <c r="N127" i="1" s="1"/>
  <c r="M126" i="1"/>
  <c r="N126" i="1" s="1"/>
  <c r="M125" i="1"/>
  <c r="N125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2" i="1"/>
  <c r="N112" i="1" s="1"/>
  <c r="M111" i="1"/>
  <c r="N111" i="1" s="1"/>
  <c r="M110" i="1"/>
  <c r="N110" i="1" s="1"/>
  <c r="M108" i="1"/>
  <c r="N108" i="1" s="1"/>
  <c r="M107" i="1"/>
  <c r="N107" i="1" s="1"/>
  <c r="M106" i="1"/>
  <c r="N106" i="1" s="1"/>
  <c r="M105" i="1"/>
  <c r="N105" i="1" s="1"/>
  <c r="M104" i="1"/>
  <c r="N104" i="1" s="1"/>
  <c r="M102" i="1"/>
  <c r="N102" i="1" s="1"/>
  <c r="M101" i="1"/>
  <c r="N101" i="1" s="1"/>
  <c r="M100" i="1"/>
  <c r="N100" i="1" s="1"/>
  <c r="M99" i="1"/>
  <c r="N99" i="1" s="1"/>
  <c r="M98" i="1"/>
  <c r="N98" i="1" s="1"/>
  <c r="M96" i="1"/>
  <c r="N96" i="1" s="1"/>
  <c r="M95" i="1"/>
  <c r="N95" i="1" s="1"/>
  <c r="M94" i="1"/>
  <c r="N94" i="1" s="1"/>
  <c r="M93" i="1"/>
  <c r="N93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2" i="1"/>
  <c r="N72" i="1" s="1"/>
  <c r="M71" i="1"/>
  <c r="N71" i="1" s="1"/>
  <c r="M70" i="1"/>
  <c r="N70" i="1" s="1"/>
  <c r="M69" i="1"/>
  <c r="N69" i="1" s="1"/>
  <c r="M67" i="1"/>
  <c r="N67" i="1" s="1"/>
  <c r="M66" i="1"/>
  <c r="N66" i="1" s="1"/>
  <c r="M65" i="1"/>
  <c r="N65" i="1" s="1"/>
  <c r="M64" i="1"/>
  <c r="N64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J53" i="1"/>
  <c r="J143" i="1"/>
  <c r="O132" i="1"/>
  <c r="P132" i="1"/>
  <c r="J144" i="1"/>
  <c r="M133" i="1"/>
  <c r="N133" i="1" s="1"/>
  <c r="O133" i="1"/>
  <c r="P133" i="1"/>
  <c r="J145" i="1"/>
  <c r="O134" i="1"/>
  <c r="P134" i="1"/>
  <c r="J146" i="1"/>
  <c r="O135" i="1"/>
  <c r="P135" i="1"/>
  <c r="J147" i="1"/>
  <c r="O136" i="1"/>
  <c r="P136" i="1"/>
  <c r="J148" i="1"/>
  <c r="O137" i="1"/>
  <c r="P137" i="1"/>
  <c r="J149" i="1"/>
  <c r="O138" i="1"/>
  <c r="P138" i="1"/>
  <c r="J150" i="1"/>
  <c r="O139" i="1"/>
  <c r="P139" i="1"/>
  <c r="J151" i="1"/>
  <c r="M140" i="1"/>
  <c r="N140" i="1" s="1"/>
  <c r="O140" i="1"/>
  <c r="P140" i="1"/>
  <c r="J152" i="1"/>
  <c r="O141" i="1"/>
  <c r="P141" i="1"/>
  <c r="J11" i="1"/>
  <c r="O142" i="1"/>
  <c r="P142" i="1"/>
  <c r="J153" i="1"/>
  <c r="M143" i="1"/>
  <c r="N143" i="1" s="1"/>
  <c r="O143" i="1"/>
  <c r="P143" i="1"/>
  <c r="J154" i="1"/>
  <c r="O144" i="1"/>
  <c r="P144" i="1"/>
  <c r="J155" i="1"/>
  <c r="O145" i="1"/>
  <c r="P145" i="1"/>
  <c r="J156" i="1"/>
  <c r="O146" i="1"/>
  <c r="P146" i="1"/>
  <c r="J157" i="1"/>
  <c r="M147" i="1"/>
  <c r="N147" i="1" s="1"/>
  <c r="O147" i="1"/>
  <c r="P147" i="1"/>
  <c r="J44" i="1"/>
  <c r="O148" i="1"/>
  <c r="P148" i="1"/>
  <c r="J45" i="1"/>
  <c r="O149" i="1"/>
  <c r="P149" i="1"/>
  <c r="J158" i="1"/>
  <c r="O150" i="1"/>
  <c r="P150" i="1"/>
  <c r="J159" i="1"/>
  <c r="O151" i="1"/>
  <c r="P151" i="1"/>
  <c r="J46" i="1"/>
  <c r="O152" i="1"/>
  <c r="P152" i="1"/>
  <c r="J160" i="1"/>
  <c r="O153" i="1"/>
  <c r="P153" i="1"/>
  <c r="J47" i="1"/>
  <c r="O154" i="1"/>
  <c r="P154" i="1"/>
  <c r="J48" i="1"/>
  <c r="O155" i="1"/>
  <c r="P155" i="1"/>
  <c r="J49" i="1"/>
  <c r="O156" i="1"/>
  <c r="P156" i="1"/>
  <c r="J161" i="1"/>
  <c r="O157" i="1"/>
  <c r="P157" i="1"/>
  <c r="J162" i="1"/>
  <c r="O158" i="1"/>
  <c r="P158" i="1"/>
  <c r="J163" i="1"/>
  <c r="O159" i="1"/>
  <c r="P159" i="1"/>
  <c r="J164" i="1"/>
  <c r="O160" i="1"/>
  <c r="P160" i="1"/>
  <c r="J165" i="1"/>
  <c r="M161" i="1"/>
  <c r="N161" i="1" s="1"/>
  <c r="O161" i="1"/>
  <c r="P161" i="1"/>
  <c r="J166" i="1"/>
  <c r="O162" i="1"/>
  <c r="P162" i="1"/>
  <c r="J167" i="1"/>
  <c r="O163" i="1"/>
  <c r="P163" i="1"/>
  <c r="J168" i="1"/>
  <c r="O164" i="1"/>
  <c r="P164" i="1"/>
  <c r="J169" i="1"/>
  <c r="O165" i="1"/>
  <c r="P165" i="1"/>
  <c r="J170" i="1"/>
  <c r="O166" i="1"/>
  <c r="P166" i="1"/>
  <c r="J171" i="1"/>
  <c r="O167" i="1"/>
  <c r="P167" i="1"/>
  <c r="J172" i="1"/>
  <c r="O168" i="1"/>
  <c r="P168" i="1"/>
  <c r="J50" i="1"/>
  <c r="O169" i="1"/>
  <c r="P169" i="1"/>
  <c r="J173" i="1"/>
  <c r="O170" i="1"/>
  <c r="P170" i="1"/>
  <c r="J174" i="1"/>
  <c r="O171" i="1"/>
  <c r="P171" i="1"/>
  <c r="J51" i="1"/>
  <c r="O172" i="1"/>
  <c r="P172" i="1"/>
  <c r="J175" i="1"/>
  <c r="O173" i="1"/>
  <c r="P173" i="1"/>
  <c r="J52" i="1"/>
  <c r="O174" i="1"/>
  <c r="P174" i="1"/>
  <c r="J32" i="1"/>
  <c r="O175" i="1"/>
  <c r="P175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M63" i="1"/>
  <c r="N63" i="1" s="1"/>
  <c r="O63" i="1"/>
  <c r="P63" i="1"/>
  <c r="O64" i="1"/>
  <c r="P64" i="1"/>
  <c r="O65" i="1"/>
  <c r="P65" i="1"/>
  <c r="O66" i="1"/>
  <c r="P66" i="1"/>
  <c r="O67" i="1"/>
  <c r="P67" i="1"/>
  <c r="M68" i="1"/>
  <c r="N68" i="1" s="1"/>
  <c r="O68" i="1"/>
  <c r="P68" i="1"/>
  <c r="O69" i="1"/>
  <c r="P69" i="1"/>
  <c r="O70" i="1"/>
  <c r="P70" i="1"/>
  <c r="O71" i="1"/>
  <c r="P71" i="1"/>
  <c r="O72" i="1"/>
  <c r="P72" i="1"/>
  <c r="M73" i="1"/>
  <c r="N73" i="1" s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M83" i="1"/>
  <c r="N83" i="1" s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M92" i="1"/>
  <c r="N92" i="1" s="1"/>
  <c r="O92" i="1"/>
  <c r="P92" i="1"/>
  <c r="O93" i="1"/>
  <c r="P93" i="1"/>
  <c r="O94" i="1"/>
  <c r="P94" i="1"/>
  <c r="O95" i="1"/>
  <c r="P95" i="1"/>
  <c r="O96" i="1"/>
  <c r="P96" i="1"/>
  <c r="M97" i="1"/>
  <c r="N97" i="1" s="1"/>
  <c r="O97" i="1"/>
  <c r="P97" i="1"/>
  <c r="O98" i="1"/>
  <c r="P98" i="1"/>
  <c r="O99" i="1"/>
  <c r="P99" i="1"/>
  <c r="O100" i="1"/>
  <c r="P100" i="1"/>
  <c r="O101" i="1"/>
  <c r="P101" i="1"/>
  <c r="O102" i="1"/>
  <c r="P102" i="1"/>
  <c r="M103" i="1"/>
  <c r="N103" i="1" s="1"/>
  <c r="O103" i="1"/>
  <c r="P103" i="1"/>
  <c r="O104" i="1"/>
  <c r="P104" i="1"/>
  <c r="O105" i="1"/>
  <c r="P105" i="1"/>
  <c r="O106" i="1"/>
  <c r="P106" i="1"/>
  <c r="O107" i="1"/>
  <c r="P107" i="1"/>
  <c r="O108" i="1"/>
  <c r="P108" i="1"/>
  <c r="M109" i="1"/>
  <c r="N109" i="1" s="1"/>
  <c r="O109" i="1"/>
  <c r="P109" i="1"/>
  <c r="O110" i="1"/>
  <c r="P110" i="1"/>
  <c r="O111" i="1"/>
  <c r="P111" i="1"/>
  <c r="O112" i="1"/>
  <c r="P112" i="1"/>
  <c r="M113" i="1"/>
  <c r="N113" i="1" s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M124" i="1"/>
  <c r="N124" i="1" s="1"/>
  <c r="O124" i="1"/>
  <c r="P124" i="1"/>
  <c r="O125" i="1"/>
  <c r="P125" i="1"/>
  <c r="O126" i="1"/>
  <c r="P126" i="1"/>
  <c r="O127" i="1"/>
  <c r="P127" i="1"/>
  <c r="M128" i="1"/>
  <c r="N128" i="1" s="1"/>
  <c r="O128" i="1"/>
  <c r="P128" i="1"/>
  <c r="O129" i="1"/>
  <c r="P129" i="1"/>
  <c r="O130" i="1"/>
  <c r="P130" i="1"/>
  <c r="O131" i="1"/>
  <c r="P131" i="1"/>
  <c r="O3" i="1"/>
  <c r="P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33" i="1"/>
  <c r="J34" i="1"/>
  <c r="J35" i="1"/>
  <c r="J4" i="1"/>
  <c r="J12" i="1"/>
  <c r="J13" i="1"/>
  <c r="J36" i="1"/>
  <c r="J37" i="1"/>
  <c r="J69" i="1"/>
  <c r="J14" i="1"/>
  <c r="J15" i="1"/>
  <c r="J16" i="1"/>
  <c r="J70" i="1"/>
  <c r="J71" i="1"/>
  <c r="J72" i="1"/>
  <c r="J73" i="1"/>
  <c r="J74" i="1"/>
  <c r="J17" i="1"/>
  <c r="J38" i="1"/>
  <c r="J18" i="1"/>
  <c r="J39" i="1"/>
  <c r="J75" i="1"/>
  <c r="J76" i="1"/>
  <c r="J77" i="1"/>
  <c r="J78" i="1"/>
  <c r="J79" i="1"/>
  <c r="J40" i="1"/>
  <c r="J5" i="1"/>
  <c r="J80" i="1"/>
  <c r="J81" i="1"/>
  <c r="J82" i="1"/>
  <c r="J83" i="1"/>
  <c r="J84" i="1"/>
  <c r="J85" i="1"/>
  <c r="J86" i="1"/>
  <c r="J19" i="1"/>
  <c r="J6" i="1"/>
  <c r="J41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7" i="1"/>
  <c r="J20" i="1"/>
  <c r="J104" i="1"/>
  <c r="J105" i="1"/>
  <c r="J106" i="1"/>
  <c r="J107" i="1"/>
  <c r="J108" i="1"/>
  <c r="J109" i="1"/>
  <c r="J42" i="1"/>
  <c r="J110" i="1"/>
  <c r="J111" i="1"/>
  <c r="J112" i="1"/>
  <c r="J113" i="1"/>
  <c r="J114" i="1"/>
  <c r="J115" i="1"/>
  <c r="J116" i="1"/>
  <c r="J117" i="1"/>
  <c r="J118" i="1"/>
  <c r="J119" i="1"/>
  <c r="J120" i="1"/>
  <c r="J8" i="1"/>
  <c r="J9" i="1"/>
  <c r="J10" i="1"/>
  <c r="J21" i="1"/>
  <c r="J22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23" i="1"/>
  <c r="J24" i="1"/>
  <c r="J134" i="1"/>
  <c r="J135" i="1"/>
  <c r="J25" i="1"/>
  <c r="J136" i="1"/>
  <c r="J137" i="1"/>
  <c r="J138" i="1"/>
  <c r="J43" i="1"/>
  <c r="J26" i="1"/>
  <c r="J139" i="1"/>
  <c r="J140" i="1"/>
  <c r="J141" i="1"/>
  <c r="J27" i="1"/>
  <c r="J28" i="1"/>
  <c r="J29" i="1"/>
  <c r="J30" i="1"/>
  <c r="J31" i="1"/>
  <c r="J142" i="1"/>
  <c r="R142" i="1" l="1"/>
  <c r="R139" i="1"/>
  <c r="R136" i="1"/>
  <c r="K2" i="1"/>
  <c r="R168" i="1"/>
  <c r="R163" i="1"/>
  <c r="R138" i="1"/>
  <c r="R171" i="1"/>
  <c r="R175" i="1"/>
  <c r="R146" i="1"/>
  <c r="R135" i="1"/>
  <c r="R155" i="1"/>
  <c r="R172" i="1"/>
  <c r="R162" i="1"/>
  <c r="R151" i="1"/>
  <c r="R147" i="1"/>
  <c r="R132" i="1"/>
  <c r="R144" i="1"/>
  <c r="R154" i="1"/>
  <c r="R156" i="1"/>
  <c r="R149" i="1"/>
  <c r="R133" i="1"/>
  <c r="R137" i="1"/>
  <c r="R157" i="1"/>
  <c r="R165" i="1"/>
  <c r="R140" i="1"/>
  <c r="R153" i="1"/>
  <c r="R167" i="1"/>
  <c r="R170" i="1"/>
  <c r="R152" i="1"/>
  <c r="R169" i="1"/>
  <c r="R159" i="1"/>
  <c r="R141" i="1"/>
  <c r="R174" i="1"/>
  <c r="R173" i="1"/>
  <c r="R160" i="1"/>
  <c r="R143" i="1"/>
  <c r="N3" i="1"/>
  <c r="R148" i="1"/>
  <c r="R145" i="1"/>
  <c r="R150" i="1"/>
  <c r="R158" i="1"/>
  <c r="R164" i="1"/>
  <c r="R161" i="1"/>
  <c r="R166" i="1"/>
  <c r="R134" i="1"/>
  <c r="R94" i="1"/>
  <c r="R48" i="1"/>
  <c r="R56" i="1"/>
  <c r="R64" i="1"/>
  <c r="R71" i="1"/>
  <c r="R79" i="1"/>
  <c r="R45" i="1"/>
  <c r="R97" i="1"/>
  <c r="R19" i="1"/>
  <c r="R27" i="1"/>
  <c r="R35" i="1"/>
  <c r="R43" i="1"/>
  <c r="R82" i="1"/>
  <c r="R88" i="1"/>
  <c r="R92" i="1"/>
  <c r="R6" i="1"/>
  <c r="R54" i="1"/>
  <c r="R62" i="1"/>
  <c r="R17" i="1"/>
  <c r="R25" i="1"/>
  <c r="R33" i="1"/>
  <c r="R41" i="1"/>
  <c r="R14" i="1"/>
  <c r="R46" i="1"/>
  <c r="R69" i="1"/>
  <c r="R77" i="1"/>
  <c r="R95" i="1"/>
  <c r="R15" i="1"/>
  <c r="R13" i="1"/>
  <c r="R52" i="1"/>
  <c r="R60" i="1"/>
  <c r="R67" i="1"/>
  <c r="R75" i="1"/>
  <c r="R105" i="1"/>
  <c r="R112" i="1"/>
  <c r="R119" i="1"/>
  <c r="R125" i="1"/>
  <c r="R7" i="1"/>
  <c r="R10" i="1"/>
  <c r="R20" i="1"/>
  <c r="R28" i="1"/>
  <c r="R36" i="1"/>
  <c r="R44" i="1"/>
  <c r="R49" i="1"/>
  <c r="R57" i="1"/>
  <c r="R65" i="1"/>
  <c r="R72" i="1"/>
  <c r="R85" i="1"/>
  <c r="R100" i="1"/>
  <c r="R108" i="1"/>
  <c r="R114" i="1"/>
  <c r="R120" i="1"/>
  <c r="R127" i="1"/>
  <c r="R31" i="1"/>
  <c r="R103" i="1"/>
  <c r="R110" i="1"/>
  <c r="R117" i="1"/>
  <c r="R123" i="1"/>
  <c r="R130" i="1"/>
  <c r="R5" i="1"/>
  <c r="R18" i="1"/>
  <c r="R26" i="1"/>
  <c r="R34" i="1"/>
  <c r="R42" i="1"/>
  <c r="R47" i="1"/>
  <c r="R55" i="1"/>
  <c r="R63" i="1"/>
  <c r="R70" i="1"/>
  <c r="R78" i="1"/>
  <c r="R83" i="1"/>
  <c r="R89" i="1"/>
  <c r="R93" i="1"/>
  <c r="R98" i="1"/>
  <c r="R106" i="1"/>
  <c r="R113" i="1"/>
  <c r="R8" i="1"/>
  <c r="R11" i="1"/>
  <c r="R21" i="1"/>
  <c r="R29" i="1"/>
  <c r="R37" i="1"/>
  <c r="R50" i="1"/>
  <c r="R58" i="1"/>
  <c r="R66" i="1"/>
  <c r="R73" i="1"/>
  <c r="R101" i="1"/>
  <c r="R115" i="1"/>
  <c r="R121" i="1"/>
  <c r="R128" i="1"/>
  <c r="R23" i="1"/>
  <c r="R39" i="1"/>
  <c r="R80" i="1"/>
  <c r="R86" i="1"/>
  <c r="R12" i="1"/>
  <c r="R16" i="1"/>
  <c r="R24" i="1"/>
  <c r="R32" i="1"/>
  <c r="R40" i="1"/>
  <c r="R53" i="1"/>
  <c r="R61" i="1"/>
  <c r="R68" i="1"/>
  <c r="R76" i="1"/>
  <c r="R81" i="1"/>
  <c r="R87" i="1"/>
  <c r="R91" i="1"/>
  <c r="R96" i="1"/>
  <c r="R104" i="1"/>
  <c r="R111" i="1"/>
  <c r="R118" i="1"/>
  <c r="R124" i="1"/>
  <c r="R131" i="1"/>
  <c r="R84" i="1"/>
  <c r="R90" i="1"/>
  <c r="R99" i="1"/>
  <c r="R107" i="1"/>
  <c r="R126" i="1"/>
  <c r="R9" i="1"/>
  <c r="R22" i="1"/>
  <c r="R30" i="1"/>
  <c r="R38" i="1"/>
  <c r="R51" i="1"/>
  <c r="R59" i="1"/>
  <c r="R74" i="1"/>
  <c r="R102" i="1"/>
  <c r="R109" i="1"/>
  <c r="R116" i="1"/>
  <c r="R122" i="1"/>
  <c r="R129" i="1"/>
  <c r="P2" i="1"/>
  <c r="O2" i="1"/>
  <c r="R3" i="1"/>
  <c r="R4" i="1"/>
  <c r="R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<sst xmlns="http://schemas.openxmlformats.org/spreadsheetml/2006/main" count="713" uniqueCount="348">
  <si>
    <t>ID#</t>
  </si>
  <si>
    <t xml:space="preserve">UPC </t>
  </si>
  <si>
    <t>NEW ARRIVALS!</t>
  </si>
  <si>
    <t>SIZE</t>
  </si>
  <si>
    <t>QTY</t>
  </si>
  <si>
    <t>ZLT01</t>
  </si>
  <si>
    <t>ZLT03</t>
  </si>
  <si>
    <t>ZLT05</t>
  </si>
  <si>
    <t>BLC01</t>
  </si>
  <si>
    <t>BOC01</t>
  </si>
  <si>
    <t>IOBC01</t>
  </si>
  <si>
    <t>D3GM01</t>
  </si>
  <si>
    <t>IOVD01</t>
  </si>
  <si>
    <t>ACVG01</t>
  </si>
  <si>
    <t>ASHGM01</t>
  </si>
  <si>
    <t>MAGGM01</t>
  </si>
  <si>
    <t>MAGGM02</t>
  </si>
  <si>
    <t>MAGGM03</t>
  </si>
  <si>
    <t>ELGM01</t>
  </si>
  <si>
    <t>ZGM01</t>
  </si>
  <si>
    <t>VOL01</t>
  </si>
  <si>
    <t>EST01</t>
  </si>
  <si>
    <t>EST02</t>
  </si>
  <si>
    <t>ELT02</t>
  </si>
  <si>
    <t>ESTEFF01</t>
  </si>
  <si>
    <t>ESTEFF03</t>
  </si>
  <si>
    <t>ESTEFF05</t>
  </si>
  <si>
    <t>POSTCAN01</t>
  </si>
  <si>
    <t>PRECAN01</t>
  </si>
  <si>
    <t>LFB01</t>
  </si>
  <si>
    <t>PRO55</t>
  </si>
  <si>
    <t>STXM02</t>
  </si>
  <si>
    <t>STXM04</t>
  </si>
  <si>
    <t>KED01</t>
  </si>
  <si>
    <t>KELL01</t>
  </si>
  <si>
    <t>KET01</t>
  </si>
  <si>
    <t>ESPP02</t>
  </si>
  <si>
    <t>ESPP04</t>
  </si>
  <si>
    <t>ESPP06</t>
  </si>
  <si>
    <t>ESPP08</t>
  </si>
  <si>
    <t>ESPP10</t>
  </si>
  <si>
    <t>ESPP12</t>
  </si>
  <si>
    <t>ESPP14</t>
  </si>
  <si>
    <t>ESPP16</t>
  </si>
  <si>
    <t>ESPP18</t>
  </si>
  <si>
    <t>ESPP20</t>
  </si>
  <si>
    <t>ESPP22</t>
  </si>
  <si>
    <t>ESPP24</t>
  </si>
  <si>
    <t>ESPP26</t>
  </si>
  <si>
    <t>ESPP28</t>
  </si>
  <si>
    <t>ESPP30</t>
  </si>
  <si>
    <t>ESPP32</t>
  </si>
  <si>
    <t>ESPP34</t>
  </si>
  <si>
    <t>CMUF01</t>
  </si>
  <si>
    <t>CLS04</t>
  </si>
  <si>
    <t>CLS01</t>
  </si>
  <si>
    <t>CLS02</t>
  </si>
  <si>
    <t>CLSSP01</t>
  </si>
  <si>
    <t>TMD05</t>
  </si>
  <si>
    <t>TMD03</t>
  </si>
  <si>
    <t>TMD02</t>
  </si>
  <si>
    <t>TMD01</t>
  </si>
  <si>
    <t>TMDG4</t>
  </si>
  <si>
    <t>TMC01</t>
  </si>
  <si>
    <t>LQM01</t>
  </si>
  <si>
    <t>MAGCHEW01</t>
  </si>
  <si>
    <t>MAGEFF01</t>
  </si>
  <si>
    <t>MAGEFF04</t>
  </si>
  <si>
    <t>LMM01</t>
  </si>
  <si>
    <t>ZIN01</t>
  </si>
  <si>
    <t>USM01</t>
  </si>
  <si>
    <t>IOB1201</t>
  </si>
  <si>
    <t>IOB01</t>
  </si>
  <si>
    <t>IOCA01</t>
  </si>
  <si>
    <t>IOCL01</t>
  </si>
  <si>
    <t>IOCLTM01</t>
  </si>
  <si>
    <t>IOC01</t>
  </si>
  <si>
    <t>IOCP01</t>
  </si>
  <si>
    <t>IOFA01</t>
  </si>
  <si>
    <t>IOKI01</t>
  </si>
  <si>
    <t>IOI01</t>
  </si>
  <si>
    <t>IOM01</t>
  </si>
  <si>
    <t>IOM02</t>
  </si>
  <si>
    <t>IOP01</t>
  </si>
  <si>
    <t>IOS01</t>
  </si>
  <si>
    <t>IOZ01</t>
  </si>
  <si>
    <t>IOZC01</t>
  </si>
  <si>
    <t>TMT01</t>
  </si>
  <si>
    <t>TMT02</t>
  </si>
  <si>
    <t>MAG01</t>
  </si>
  <si>
    <t>CFM01</t>
  </si>
  <si>
    <t>EVM01</t>
  </si>
  <si>
    <t>LVM01</t>
  </si>
  <si>
    <t>LVM03</t>
  </si>
  <si>
    <t>CAM01</t>
  </si>
  <si>
    <t>COC01</t>
  </si>
  <si>
    <t>LCM02</t>
  </si>
  <si>
    <t>LCM04</t>
  </si>
  <si>
    <t>MMW01</t>
  </si>
  <si>
    <t>LCQ01</t>
  </si>
  <si>
    <t>LIM01</t>
  </si>
  <si>
    <t>LVD01</t>
  </si>
  <si>
    <t>NOMC01</t>
  </si>
  <si>
    <t>OPH01</t>
  </si>
  <si>
    <t>Optimal-pH</t>
  </si>
  <si>
    <t>NAC01</t>
  </si>
  <si>
    <t>CCC01</t>
  </si>
  <si>
    <t>FMB01</t>
  </si>
  <si>
    <t>LMT01</t>
  </si>
  <si>
    <t>MLOT01</t>
  </si>
  <si>
    <t>MAGF01</t>
  </si>
  <si>
    <t>MOIL01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</si>
  <si>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rgb="FF000000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</si>
  <si>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</si>
  <si>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</si>
  <si>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</si>
  <si>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</si>
  <si>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</si>
  <si>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ZLT07</t>
  </si>
  <si>
    <t>ZLT09</t>
  </si>
  <si>
    <t>SHILA01</t>
  </si>
  <si>
    <t>LMAGG01</t>
  </si>
  <si>
    <t>MAGG01</t>
  </si>
  <si>
    <t>MAGG02</t>
  </si>
  <si>
    <t>MPOW01</t>
  </si>
  <si>
    <t>MPOW02</t>
  </si>
  <si>
    <t>MPOW03</t>
  </si>
  <si>
    <t>Case Quantity</t>
  </si>
  <si>
    <t>KELL03</t>
  </si>
  <si>
    <t>KELL05</t>
  </si>
  <si>
    <t>SHR01</t>
  </si>
  <si>
    <t xml:space="preserve">TOTAL </t>
  </si>
  <si>
    <t>SHHS01</t>
  </si>
  <si>
    <t>Shilajit Honey Sticks</t>
  </si>
  <si>
    <t>SHGM01</t>
  </si>
  <si>
    <t>Shilajit Gummies</t>
  </si>
  <si>
    <t>Shilajit Capsules</t>
  </si>
  <si>
    <t>Shilajit Resin</t>
  </si>
  <si>
    <t>TMDPOW01</t>
  </si>
  <si>
    <t>TMDPOW02</t>
  </si>
  <si>
    <t>TMDPOW03</t>
  </si>
  <si>
    <t>MPOWPK03</t>
  </si>
  <si>
    <t>MPOWPK02</t>
  </si>
  <si>
    <t>MPOWPK01</t>
  </si>
  <si>
    <t>ZLT11</t>
  </si>
  <si>
    <t>ConcenTrace® Trace Mineral Tablets</t>
  </si>
  <si>
    <t>ConcenTrace® Mineral Mouth Rinse</t>
  </si>
  <si>
    <t>WHOLESALE
(min. order 15000$)</t>
  </si>
  <si>
    <t>Weight,kg</t>
  </si>
  <si>
    <t>Unіt Freight Cost</t>
  </si>
  <si>
    <t>unit, key</t>
  </si>
  <si>
    <t>Weight, kg</t>
  </si>
  <si>
    <t>Logistic Price</t>
  </si>
  <si>
    <t>Landed Cost</t>
  </si>
  <si>
    <t>ConcenTrace® Trace Mineral Drops</t>
  </si>
  <si>
    <t>ConcenTrace® Trace Mineral Drops - Glass</t>
  </si>
  <si>
    <t>ConcenTrace® Trace Mineral Capsules</t>
  </si>
  <si>
    <t>ConcenTrace® Daily Mineral Powder   NEW!</t>
  </si>
  <si>
    <t>Complete Cal/Mag 1:1</t>
  </si>
  <si>
    <t xml:space="preserve">Complete Foods Multi™ </t>
  </si>
  <si>
    <t>Colloidal Minerals</t>
  </si>
  <si>
    <t>Coral Calcium</t>
  </si>
  <si>
    <t>Electro-Vita-Min</t>
  </si>
  <si>
    <t>Ionic Boron</t>
  </si>
  <si>
    <t>Ionic Chromium</t>
  </si>
  <si>
    <t>Ionic Calcium</t>
  </si>
  <si>
    <t>Ionic Copper</t>
  </si>
  <si>
    <t>Ionic Fulvic Acid</t>
  </si>
  <si>
    <t>Ionic Iron</t>
  </si>
  <si>
    <t>Ionic Iodine</t>
  </si>
  <si>
    <t>Ionic Magnesium</t>
  </si>
  <si>
    <t>Ionic Potassium</t>
  </si>
  <si>
    <t>Ionic Selenium</t>
  </si>
  <si>
    <t>Ionic Zinc</t>
  </si>
  <si>
    <t>Ionic Zinc + Vitamin C</t>
  </si>
  <si>
    <t>LCM01</t>
  </si>
  <si>
    <t>Cal/Mag/Zinc</t>
  </si>
  <si>
    <t>LCM06</t>
  </si>
  <si>
    <t>LGCM02</t>
  </si>
  <si>
    <t>Glucosamine/Chondroitin/MSM</t>
  </si>
  <si>
    <t>Magnesium Glycinate</t>
  </si>
  <si>
    <t>Mega-Mag</t>
  </si>
  <si>
    <t>Magnesium</t>
  </si>
  <si>
    <t xml:space="preserve">Multi Vitamin-Mineral </t>
  </si>
  <si>
    <t>Multi Vitamin-Mineral</t>
  </si>
  <si>
    <t xml:space="preserve">Magnesium </t>
  </si>
  <si>
    <t>Magnesium Effervescent</t>
  </si>
  <si>
    <t>Magnesium Gummies</t>
  </si>
  <si>
    <t>MAGMSF01</t>
  </si>
  <si>
    <t>Magnesium Gummies Sugar Free</t>
  </si>
  <si>
    <t>MM01</t>
  </si>
  <si>
    <t>Multi Magnesium Powder   NEW!</t>
  </si>
  <si>
    <t>MM03</t>
  </si>
  <si>
    <t>MM05</t>
  </si>
  <si>
    <t>Magnesium Glycinate Powder</t>
  </si>
  <si>
    <t>Magnesium Glycinate Stick Pack</t>
  </si>
  <si>
    <t>MPOWMP01FDM</t>
  </si>
  <si>
    <t>Magnesium Glycinate - Variety Pack</t>
  </si>
  <si>
    <t>Utah Sea Minerals</t>
  </si>
  <si>
    <t>ARPL05</t>
  </si>
  <si>
    <t>ActivJoint Platinum</t>
  </si>
  <si>
    <t>CRELCAN01</t>
  </si>
  <si>
    <t>Hydro Pak - Creatine + Electrolytes   NEW!</t>
  </si>
  <si>
    <t>CRELCAN03</t>
  </si>
  <si>
    <t>CRELCAN05</t>
  </si>
  <si>
    <t>Electrolyte Stamina Gummies</t>
  </si>
  <si>
    <t>ELGM02</t>
  </si>
  <si>
    <t>Endure</t>
  </si>
  <si>
    <t>Electrolyte Stamina</t>
  </si>
  <si>
    <t>Max-Hydrate Endurance</t>
  </si>
  <si>
    <t>Max-Hydrate Immunity</t>
  </si>
  <si>
    <t>Max-Hydrate Energy</t>
  </si>
  <si>
    <t>HPS01</t>
  </si>
  <si>
    <t>Hydro Pak - Sport - Stick Packs   NEW!</t>
  </si>
  <si>
    <t>HPS03</t>
  </si>
  <si>
    <t>HPS05</t>
  </si>
  <si>
    <t>HPSMP01FDM</t>
  </si>
  <si>
    <t>Hydro Pak - Sport - Variety Pack</t>
  </si>
  <si>
    <t xml:space="preserve">Keto Electrolyte </t>
  </si>
  <si>
    <t>Keto Electrolyte</t>
  </si>
  <si>
    <t>KELLPK01</t>
  </si>
  <si>
    <t>Hydro Pak - Keto - Stick Packs   NEW!</t>
  </si>
  <si>
    <t>KELLPK03</t>
  </si>
  <si>
    <t>KELLPK05</t>
  </si>
  <si>
    <t>KELLMP02FDM</t>
  </si>
  <si>
    <t>Hydro Pak - Keto - Variety Pack</t>
  </si>
  <si>
    <t>Post-Workout</t>
  </si>
  <si>
    <t>Pre-Workout</t>
  </si>
  <si>
    <t>40,000 Volts</t>
  </si>
  <si>
    <t>ZeroLyte</t>
  </si>
  <si>
    <t xml:space="preserve">ZeroLyte </t>
  </si>
  <si>
    <t>ZLTCAN01</t>
  </si>
  <si>
    <t>ZeroLyte Canister</t>
  </si>
  <si>
    <t>ZLTCAN03</t>
  </si>
  <si>
    <t>ZLTCAN05</t>
  </si>
  <si>
    <t>ZLTCAN07</t>
  </si>
  <si>
    <t>ZLTCAN09</t>
  </si>
  <si>
    <t>ZLTCAN11</t>
  </si>
  <si>
    <t>ZLTMP03FDM</t>
  </si>
  <si>
    <t>Hydro Pak - ZeroLyte - Variety Pack 1</t>
  </si>
  <si>
    <t>ZLTMP05FDM</t>
  </si>
  <si>
    <t>Hydro Pak - ZeroLyte - Variety Pack 2</t>
  </si>
  <si>
    <t>Colloidal Silver</t>
  </si>
  <si>
    <t>Colloidal Silver Spray</t>
  </si>
  <si>
    <t>Vitamin D3 + K2 Gummies</t>
  </si>
  <si>
    <t>Power Pak</t>
  </si>
  <si>
    <t>Power Pak Zero Sugar</t>
  </si>
  <si>
    <t>Power Pak + Immunity</t>
  </si>
  <si>
    <t>ESPP36</t>
  </si>
  <si>
    <t>ESPP38</t>
  </si>
  <si>
    <t>ESPPCAN02</t>
  </si>
  <si>
    <t>Power Pak Canister</t>
  </si>
  <si>
    <t>ESPPCAN04</t>
  </si>
  <si>
    <t>ESPPCAN16</t>
  </si>
  <si>
    <t>ESPPEN02</t>
  </si>
  <si>
    <t>Power Pak - Vitamin C Energy   NEW!</t>
  </si>
  <si>
    <t>ESPPEN22</t>
  </si>
  <si>
    <t>ESPPEN32</t>
  </si>
  <si>
    <t>ESPPMP01FDM</t>
  </si>
  <si>
    <t>Power Pak - Vitamin C Daily - Variety Pack</t>
  </si>
  <si>
    <t>ESPPENMP01FDM</t>
  </si>
  <si>
    <t>Power Pak - Vitamin C Energy - Variety Pack</t>
  </si>
  <si>
    <t>ESPPIMMP01FDM</t>
  </si>
  <si>
    <t>Power Pak - Vitamin C Immunity - Variety Pack</t>
  </si>
  <si>
    <t>Ionic D3 + K2</t>
  </si>
  <si>
    <t>Zinc Gummies</t>
  </si>
  <si>
    <t xml:space="preserve">Zinc + Vitamin C </t>
  </si>
  <si>
    <t>Apple Cider Vinegar Gummies</t>
  </si>
  <si>
    <t>Ashwagandha Gummies</t>
  </si>
  <si>
    <t>GLUC01</t>
  </si>
  <si>
    <t>GlucoVera</t>
  </si>
  <si>
    <t>Ionic B12</t>
  </si>
  <si>
    <t>Ionic Biotin + Collagen</t>
  </si>
  <si>
    <t>Ionic Chlorophyll</t>
  </si>
  <si>
    <t>Ionic Chlorophyll 6000</t>
  </si>
  <si>
    <t>CoQ10</t>
  </si>
  <si>
    <t>Fiber 14g</t>
  </si>
  <si>
    <t>Immunity+</t>
  </si>
  <si>
    <t>Vitamin D3</t>
  </si>
  <si>
    <t>NAC Powder</t>
  </si>
  <si>
    <t>NO! Muscle Cramps</t>
  </si>
  <si>
    <t>PGGCAN01</t>
  </si>
  <si>
    <t>Greens Pak Powder</t>
  </si>
  <si>
    <t>Probiotic 55 Billion</t>
  </si>
  <si>
    <t>QUGM01</t>
  </si>
  <si>
    <t>Quercetin Gummies</t>
  </si>
  <si>
    <t>STX02</t>
  </si>
  <si>
    <t>Stress-X Stress Support</t>
  </si>
  <si>
    <t>Stress-X Magnesium</t>
  </si>
  <si>
    <t>BEN01</t>
  </si>
  <si>
    <t>Bentonite Clay</t>
  </si>
  <si>
    <t>Magnesium Moisturizing Lotion</t>
  </si>
  <si>
    <t>Pure Magnesium Flakes</t>
  </si>
  <si>
    <t>Pure Magnesium Oil</t>
  </si>
  <si>
    <t>Beef Liver</t>
  </si>
  <si>
    <t>Beef Organs</t>
  </si>
  <si>
    <t>Complete Children's Multivitamin</t>
  </si>
  <si>
    <t>KPR01</t>
  </si>
  <si>
    <t>Children's Probiotic</t>
  </si>
  <si>
    <t>Children's Feed My Brain</t>
  </si>
  <si>
    <t>Children's Multivitamin</t>
  </si>
  <si>
    <t>Rating</t>
  </si>
  <si>
    <t>8 FZ</t>
  </si>
  <si>
    <t>4 FZ</t>
  </si>
  <si>
    <t>2 FZ</t>
  </si>
  <si>
    <t>0,5 FZ</t>
  </si>
  <si>
    <t>90 CT</t>
  </si>
  <si>
    <t>300 CT</t>
  </si>
  <si>
    <t>132 GR</t>
  </si>
  <si>
    <t>120 CT</t>
  </si>
  <si>
    <t>240 CT</t>
  </si>
  <si>
    <t>32 FZ</t>
  </si>
  <si>
    <t>60 CT</t>
  </si>
  <si>
    <t>180 CT</t>
  </si>
  <si>
    <t>1,9 FZ</t>
  </si>
  <si>
    <t>16 FZ</t>
  </si>
  <si>
    <t>30 FZ</t>
  </si>
  <si>
    <t>8 CT</t>
  </si>
  <si>
    <t>4,87 OZ</t>
  </si>
  <si>
    <t>180 GR</t>
  </si>
  <si>
    <t>30 PK</t>
  </si>
  <si>
    <t>12 CT</t>
  </si>
  <si>
    <t>30 CT</t>
  </si>
  <si>
    <t>150 CT</t>
  </si>
  <si>
    <t>1,06 OZ</t>
  </si>
  <si>
    <t>10 FZ</t>
  </si>
  <si>
    <t>7,09 OZ</t>
  </si>
  <si>
    <t>8,47 OZ</t>
  </si>
  <si>
    <t>330 GR</t>
  </si>
  <si>
    <t>16,2 OZ</t>
  </si>
  <si>
    <t>9,9 OZ</t>
  </si>
  <si>
    <t>344 GR</t>
  </si>
  <si>
    <t>327 GR</t>
  </si>
  <si>
    <t>336 GR</t>
  </si>
  <si>
    <t>12 PK</t>
  </si>
  <si>
    <t>275 GR</t>
  </si>
  <si>
    <t>15 FZ</t>
  </si>
  <si>
    <t>75 GR</t>
  </si>
  <si>
    <t>1 FZ</t>
  </si>
  <si>
    <t>225 GR</t>
  </si>
  <si>
    <t>8,8 OZ</t>
  </si>
  <si>
    <t>8,5 OZ</t>
  </si>
  <si>
    <t>16 OZ</t>
  </si>
  <si>
    <t>25,4 OZ</t>
  </si>
  <si>
    <t>30 GF, VT</t>
  </si>
  <si>
    <t>А</t>
  </si>
  <si>
    <t>С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</si>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</sst>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_(&quot;$&quot;* #,##0.00_);_(&quot;$&quot;* \(#,##0.00\);_(&quot;$&quot;* &quot;-&quot;??_);_(@_)"/>
    <numFmt numFmtId="166" formatCode="_-* #,##0.00\ _₴_-;\-* #,##0.00\ _₴_-;_-* &quot;-&quot;??\ _₴_-;_-@_-"/>
    <numFmt numFmtId="167" formatCode="_-[$$-409]* #,##0.00_ ;_-[$$-409]* \-#,##0.00\ ;_-[$$-409]* &quot;-&quot;??_ ;_-@_ "/>
    <numFmt numFmtId="168" formatCode="[$$-409]#,##0.00"/>
  </numFmts>
  <fonts count="17" x14ac:knownFonts="1">
    <font>
      <sz val="10"/>
      <color rgb="FF000000"/>
      <name val="Calibri"/>
      <scheme val="minor"/>
    </font>
    <font>
      <sz val="9"/>
      <color rgb="FF00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Arial Narrow"/>
      <family val="2"/>
      <charset val="204"/>
    </font>
    <font>
      <b/>
      <sz val="11"/>
      <color rgb="FF17365D"/>
      <name val="Arial Narrow"/>
      <family val="2"/>
      <charset val="204"/>
    </font>
    <font>
      <sz val="11"/>
      <color rgb="FF17365D"/>
      <name val="Arial"/>
      <family val="2"/>
      <charset val="204"/>
    </font>
    <font>
      <sz val="11"/>
      <color rgb="FF17365D"/>
      <name val="Arial Narrow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D9F0"/>
        <bgColor rgb="FFC6D9F0"/>
      </patternFill>
    </fill>
    <fill>
      <patternFill patternType="solid">
        <fgColor rgb="FF00206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1"/>
  </cellStyleXfs>
  <cellXfs count="54">
    <xf numFmtId="0" fontId="0" fillId="0" borderId="0" xfId="0"/>
    <xf numFmtId="0" fontId="3" fillId="0" borderId="2" xfId="0" applyFont="1" applyBorder="1" applyAlignment="1" applyProtection="1">
      <alignment horizontal="center"/>
      <protection hidden="1"/>
    </xf>
    <xf numFmtId="0" fontId="5" fillId="0" borderId="3" xfId="1" applyFont="1" applyBorder="1" applyAlignment="1" applyProtection="1">
      <alignment horizontal="center"/>
      <protection hidden="1"/>
    </xf>
    <xf numFmtId="0" fontId="5" fillId="0" borderId="4" xfId="1" applyFont="1" applyBorder="1" applyAlignment="1" applyProtection="1">
      <alignment horizontal="center"/>
      <protection hidden="1"/>
    </xf>
    <xf numFmtId="0" fontId="5" fillId="0" borderId="5" xfId="1" applyFont="1" applyBorder="1" applyAlignment="1" applyProtection="1">
      <alignment horizontal="center"/>
      <protection hidden="1"/>
    </xf>
    <xf numFmtId="0" fontId="5" fillId="0" borderId="6" xfId="1" applyFont="1" applyBorder="1" applyAlignment="1" applyProtection="1">
      <alignment horizontal="center"/>
      <protection hidden="1"/>
    </xf>
    <xf numFmtId="0" fontId="5" fillId="0" borderId="7" xfId="1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8" fillId="0" borderId="0" xfId="0" applyFont="1" applyAlignment="1">
      <alignment horizontal="center" wrapText="1"/>
    </xf>
    <xf numFmtId="1" fontId="11" fillId="3" borderId="8" xfId="0" applyNumberFormat="1" applyFont="1" applyFill="1" applyBorder="1" applyAlignment="1">
      <alignment horizontal="left"/>
    </xf>
    <xf numFmtId="0" fontId="10" fillId="3" borderId="8" xfId="0" applyFont="1" applyFill="1" applyBorder="1" applyAlignment="1">
      <alignment vertical="center" shrinkToFit="1"/>
    </xf>
    <xf numFmtId="0" fontId="12" fillId="3" borderId="8" xfId="0" applyFont="1" applyFill="1" applyBorder="1" applyAlignment="1">
      <alignment horizontal="center" vertical="center" shrinkToFit="1"/>
    </xf>
    <xf numFmtId="164" fontId="12" fillId="3" borderId="8" xfId="0" applyNumberFormat="1" applyFont="1" applyFill="1" applyBorder="1" applyAlignment="1">
      <alignment horizontal="center" vertical="center" shrinkToFit="1"/>
    </xf>
    <xf numFmtId="0" fontId="12" fillId="3" borderId="8" xfId="0" applyFont="1" applyFill="1" applyBorder="1" applyAlignment="1" applyProtection="1">
      <alignment horizontal="center" vertical="center" shrinkToFit="1"/>
      <protection locked="0"/>
    </xf>
    <xf numFmtId="166" fontId="13" fillId="0" borderId="0" xfId="0" applyNumberFormat="1" applyFont="1"/>
    <xf numFmtId="0" fontId="13" fillId="0" borderId="0" xfId="0" applyFont="1"/>
    <xf numFmtId="14" fontId="14" fillId="0" borderId="0" xfId="0" quotePrefix="1" applyNumberFormat="1" applyFont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7" fontId="15" fillId="5" borderId="2" xfId="0" applyNumberFormat="1" applyFont="1" applyFill="1" applyBorder="1" applyAlignment="1" applyProtection="1">
      <alignment horizontal="center" vertical="center" wrapText="1" readingOrder="1"/>
      <protection hidden="1"/>
    </xf>
    <xf numFmtId="168" fontId="7" fillId="5" borderId="2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 applyProtection="1">
      <alignment horizontal="center" vertical="center" wrapText="1" readingOrder="1"/>
      <protection locked="0"/>
    </xf>
    <xf numFmtId="4" fontId="7" fillId="6" borderId="10" xfId="0" applyNumberFormat="1" applyFont="1" applyFill="1" applyBorder="1" applyAlignment="1">
      <alignment horizontal="center" vertical="center"/>
    </xf>
    <xf numFmtId="167" fontId="15" fillId="6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5" fillId="0" borderId="0" xfId="0" applyNumberFormat="1" applyFont="1" applyAlignment="1" applyProtection="1">
      <alignment vertical="center" wrapText="1" readingOrder="1"/>
      <protection hidden="1"/>
    </xf>
    <xf numFmtId="0" fontId="7" fillId="7" borderId="2" xfId="0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9" fillId="2" borderId="11" xfId="0" applyFont="1" applyFill="1" applyBorder="1" applyAlignment="1" applyProtection="1">
      <alignment horizontal="center" vertical="center" wrapText="1" shrinkToFit="1"/>
      <protection hidden="1"/>
    </xf>
    <xf numFmtId="0" fontId="9" fillId="2" borderId="12" xfId="0" applyFont="1" applyFill="1" applyBorder="1" applyAlignment="1" applyProtection="1">
      <alignment horizontal="center" vertical="center" wrapText="1" shrinkToFit="1"/>
      <protection hidden="1"/>
    </xf>
    <xf numFmtId="0" fontId="9" fillId="2" borderId="12" xfId="0" applyFont="1" applyFill="1" applyBorder="1" applyAlignment="1">
      <alignment horizontal="center" vertical="center" wrapText="1" shrinkToFit="1"/>
    </xf>
    <xf numFmtId="164" fontId="9" fillId="2" borderId="12" xfId="0" applyNumberFormat="1" applyFont="1" applyFill="1" applyBorder="1" applyAlignment="1">
      <alignment horizontal="center" vertical="center" wrapText="1" shrinkToFit="1"/>
    </xf>
    <xf numFmtId="0" fontId="10" fillId="3" borderId="14" xfId="0" applyFont="1" applyFill="1" applyBorder="1" applyAlignment="1">
      <alignment horizontal="left" vertical="center" shrinkToFit="1"/>
    </xf>
    <xf numFmtId="0" fontId="10" fillId="3" borderId="16" xfId="0" applyFont="1" applyFill="1" applyBorder="1" applyAlignment="1">
      <alignment horizontal="left" vertical="center" shrinkToFit="1"/>
    </xf>
    <xf numFmtId="1" fontId="11" fillId="3" borderId="17" xfId="0" applyNumberFormat="1" applyFont="1" applyFill="1" applyBorder="1" applyAlignment="1">
      <alignment horizontal="left"/>
    </xf>
    <xf numFmtId="0" fontId="10" fillId="3" borderId="17" xfId="0" applyFont="1" applyFill="1" applyBorder="1" applyAlignment="1">
      <alignment vertical="center" shrinkToFit="1"/>
    </xf>
    <xf numFmtId="0" fontId="12" fillId="3" borderId="17" xfId="0" applyFont="1" applyFill="1" applyBorder="1" applyAlignment="1">
      <alignment horizontal="center" vertical="center" shrinkToFit="1"/>
    </xf>
    <xf numFmtId="164" fontId="12" fillId="3" borderId="17" xfId="0" applyNumberFormat="1" applyFont="1" applyFill="1" applyBorder="1" applyAlignment="1">
      <alignment horizontal="center" vertical="center" shrinkToFit="1"/>
    </xf>
    <xf numFmtId="0" fontId="12" fillId="3" borderId="17" xfId="0" applyFont="1" applyFill="1" applyBorder="1" applyAlignment="1" applyProtection="1">
      <alignment horizontal="center" vertical="center" shrinkToFit="1"/>
      <protection locked="0"/>
    </xf>
    <xf numFmtId="4" fontId="9" fillId="2" borderId="12" xfId="0" applyNumberFormat="1" applyFont="1" applyFill="1" applyBorder="1" applyAlignment="1">
      <alignment horizontal="center" vertical="center" wrapText="1" shrinkToFit="1"/>
    </xf>
    <xf numFmtId="4" fontId="12" fillId="3" borderId="8" xfId="0" applyNumberFormat="1" applyFont="1" applyFill="1" applyBorder="1" applyAlignment="1">
      <alignment horizontal="center" vertical="center" shrinkToFit="1"/>
    </xf>
    <xf numFmtId="4" fontId="12" fillId="3" borderId="17" xfId="0" applyNumberFormat="1" applyFont="1" applyFill="1" applyBorder="1" applyAlignment="1">
      <alignment horizontal="center" vertical="center" shrinkToFit="1"/>
    </xf>
    <xf numFmtId="4" fontId="0" fillId="0" borderId="0" xfId="0" applyNumberFormat="1" applyProtection="1">
      <protection hidden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 shrinkToFit="1"/>
    </xf>
    <xf numFmtId="165" fontId="10" fillId="3" borderId="15" xfId="0" applyNumberFormat="1" applyFont="1" applyFill="1" applyBorder="1" applyAlignment="1">
      <alignment vertical="center" shrinkToFit="1"/>
    </xf>
    <xf numFmtId="165" fontId="10" fillId="3" borderId="18" xfId="0" applyNumberFormat="1" applyFont="1" applyFill="1" applyBorder="1" applyAlignment="1">
      <alignment vertical="center" shrinkToFit="1"/>
    </xf>
    <xf numFmtId="0" fontId="1" fillId="0" borderId="21" xfId="0" applyFont="1" applyBorder="1" applyAlignment="1" applyProtection="1">
      <alignment horizontal="left" vertical="center" wrapText="1"/>
      <protection hidden="1"/>
    </xf>
    <xf numFmtId="14" fontId="7" fillId="5" borderId="9" xfId="0" applyNumberFormat="1" applyFont="1" applyFill="1" applyBorder="1" applyAlignment="1">
      <alignment horizontal="center" vertical="center" wrapText="1"/>
    </xf>
    <xf numFmtId="14" fontId="7" fillId="5" borderId="10" xfId="0" applyNumberFormat="1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</cellXfs>
  <cellStyles count="2">
    <cellStyle name="Excel Built-in Normal" xfId="1" xr:uid="{E11170A5-31B5-4EAD-8D6B-83EEB286B050}"/>
    <cellStyle name="Звичайний" xfId="0" builtinId="0"/>
  </cellStyles>
  <dxfs count="4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421341</xdr:colOff>
      <xdr:row>0</xdr:row>
      <xdr:rowOff>245633</xdr:rowOff>
    </xdr:from>
    <xdr:to>
      <xdr:col>7</xdr:col>
      <xdr:colOff>155694</xdr:colOff>
      <xdr:row>0</xdr:row>
      <xdr:rowOff>794273</xdr:rowOff>
    </xdr:to>
    <xdr:pic>
      <xdr:nvPicPr>
        <xdr:cNvPr id="8" name="Рисунок 7" descr="Trace Minerals | Vitamins, Minerals, Supplements &amp; More">
          <a:extLst>
            <a:ext uri="{FF2B5EF4-FFF2-40B4-BE49-F238E27FC236}">
              <a16:creationId xmlns:a16="http://schemas.microsoft.com/office/drawing/2014/main" id="{3773A85F-2D2D-1C1B-C4EE-7A976DA48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47" y="245633"/>
          <a:ext cx="22624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8"/>
  <sheetViews>
    <sheetView tabSelected="1" zoomScale="85" zoomScaleNormal="85" workbookViewId="0">
      <pane ySplit="2" topLeftCell="A3" activePane="bottomLeft" state="frozen"/>
      <selection pane="bottomLeft" activeCell="K8" sqref="K8"/>
    </sheetView>
  </sheetViews>
  <sheetFormatPr defaultColWidth="14.44140625" defaultRowHeight="13.8" x14ac:dyDescent="0.3"/>
  <cols>
    <col min="1" max="1" width="8.6640625" style="7" customWidth="1"/>
    <col min="2" max="2" width="15.44140625" style="7" bestFit="1" customWidth="1"/>
    <col min="3" max="3" width="72" style="7" customWidth="1"/>
    <col min="4" max="4" width="7.77734375" style="7" bestFit="1" customWidth="1"/>
    <col min="5" max="6" width="9.6640625" style="44" customWidth="1"/>
    <col min="7" max="7" width="9.6640625" style="7" customWidth="1"/>
    <col min="8" max="8" width="12.44140625" style="7" customWidth="1"/>
    <col min="9" max="9" width="9.88671875" style="8" customWidth="1"/>
    <col min="10" max="10" width="11.109375" customWidth="1"/>
    <col min="11" max="11" width="13.6640625" customWidth="1"/>
    <col min="12" max="12" width="5.77734375" customWidth="1"/>
    <col min="13" max="13" width="11.109375" customWidth="1"/>
    <col min="14" max="14" width="10.33203125" customWidth="1"/>
    <col min="15" max="15" width="9.33203125" customWidth="1"/>
    <col min="16" max="16" width="13.88671875" customWidth="1"/>
    <col min="17" max="17" width="5.5546875" customWidth="1"/>
    <col min="18" max="18" width="13.88671875" customWidth="1"/>
  </cols>
  <sheetData>
    <row r="1" spans="1:18" ht="77.400000000000006" customHeight="1" thickBot="1" x14ac:dyDescent="0.35">
      <c r="A1" s="50" t="s">
        <v>112</v>
      </c>
      <c r="B1" s="50"/>
      <c r="C1" s="50"/>
      <c r="D1" s="50"/>
      <c r="E1" s="50"/>
      <c r="F1" s="50"/>
      <c r="G1" s="50"/>
      <c r="H1" s="50"/>
      <c r="I1" s="50"/>
      <c r="J1" s="50"/>
      <c r="K1" s="17">
        <v>46086</v>
      </c>
      <c r="M1" s="18" t="s">
        <v>149</v>
      </c>
      <c r="N1" s="51" t="s">
        <v>150</v>
      </c>
      <c r="O1" s="19" t="s">
        <v>151</v>
      </c>
      <c r="P1" s="20" t="s">
        <v>152</v>
      </c>
      <c r="R1" s="21" t="str">
        <f>IFERROR(IF(SUM(R3:R257)=0, "-", K2+P2), "-")</f>
        <v>-</v>
      </c>
    </row>
    <row r="2" spans="1:18" s="9" customFormat="1" ht="42" thickBot="1" x14ac:dyDescent="0.35">
      <c r="A2" s="30" t="s">
        <v>0</v>
      </c>
      <c r="B2" s="31" t="s">
        <v>1</v>
      </c>
      <c r="C2" s="31" t="s">
        <v>2</v>
      </c>
      <c r="D2" s="32" t="s">
        <v>3</v>
      </c>
      <c r="E2" s="41" t="s">
        <v>127</v>
      </c>
      <c r="F2" s="41" t="s">
        <v>148</v>
      </c>
      <c r="G2" s="32" t="s">
        <v>301</v>
      </c>
      <c r="H2" s="33" t="s">
        <v>147</v>
      </c>
      <c r="I2" s="32" t="s">
        <v>4</v>
      </c>
      <c r="J2" s="47" t="s">
        <v>131</v>
      </c>
      <c r="K2" s="53">
        <f>SUM(J3:J175)</f>
        <v>0</v>
      </c>
      <c r="M2" s="22"/>
      <c r="N2" s="52"/>
      <c r="O2" s="23" t="str">
        <f>IF(SUM(O3:O257)=0, "-", SUM(O3:O257))</f>
        <v>-</v>
      </c>
      <c r="P2" s="24" t="str">
        <f>IF(SUM(P3:P257)=0, "-", SUM(P3:P257))</f>
        <v>-</v>
      </c>
      <c r="Q2" s="25"/>
      <c r="R2" s="26" t="s">
        <v>153</v>
      </c>
    </row>
    <row r="3" spans="1:18" s="16" customFormat="1" ht="14.4" x14ac:dyDescent="0.3">
      <c r="A3" s="34" t="s">
        <v>60</v>
      </c>
      <c r="B3" s="10">
        <v>878941000065</v>
      </c>
      <c r="C3" s="11" t="s">
        <v>154</v>
      </c>
      <c r="D3" s="12" t="s">
        <v>303</v>
      </c>
      <c r="E3" s="42">
        <v>12</v>
      </c>
      <c r="F3" s="42">
        <v>0.20593093597999998</v>
      </c>
      <c r="G3" s="45" t="s">
        <v>345</v>
      </c>
      <c r="H3" s="13">
        <v>18.247256999999994</v>
      </c>
      <c r="I3" s="14"/>
      <c r="J3" s="48">
        <f t="shared" ref="J3:J34" si="0">I3*H3</f>
        <v>0</v>
      </c>
      <c r="K3" s="15"/>
      <c r="L3" s="15"/>
      <c r="M3" s="27" t="str">
        <f t="shared" ref="M3:M34" si="1">IFERROR(IF($M$2*F3=0, "-", $M$2*F3), "-")</f>
        <v>-</v>
      </c>
      <c r="N3" s="27" t="str">
        <f>IFERROR(IF(M3&gt;0,H3+M3,"-"),"-")</f>
        <v>-</v>
      </c>
      <c r="O3" s="28" t="str">
        <f t="shared" ref="O3:O34" si="2">IF(I3&gt;0,I3*F3, "-")</f>
        <v>-</v>
      </c>
      <c r="P3" s="29" t="str">
        <f t="shared" ref="P3:P34" si="3">IFERROR(IF($M$2&gt;0, $M$2*O3, "-"), "-")</f>
        <v>-</v>
      </c>
      <c r="Q3"/>
      <c r="R3" s="29" t="str">
        <f>IFERROR(IF(P3+J3=0, "-", IF(P3&gt;0, P3+J3, "-")), "-")</f>
        <v>-</v>
      </c>
    </row>
    <row r="4" spans="1:18" s="16" customFormat="1" ht="14.4" x14ac:dyDescent="0.3">
      <c r="A4" s="34" t="s">
        <v>78</v>
      </c>
      <c r="B4" s="10">
        <v>878941003110</v>
      </c>
      <c r="C4" s="11" t="s">
        <v>167</v>
      </c>
      <c r="D4" s="12" t="s">
        <v>304</v>
      </c>
      <c r="E4" s="42">
        <v>12</v>
      </c>
      <c r="F4" s="42">
        <v>0.15444820198500003</v>
      </c>
      <c r="G4" s="45" t="s">
        <v>345</v>
      </c>
      <c r="H4" s="13">
        <v>13.378617</v>
      </c>
      <c r="I4" s="14"/>
      <c r="J4" s="48">
        <f t="shared" si="0"/>
        <v>0</v>
      </c>
      <c r="K4" s="15"/>
      <c r="M4" s="27" t="str">
        <f t="shared" si="1"/>
        <v>-</v>
      </c>
      <c r="N4" s="27" t="str">
        <f t="shared" ref="N4:N66" si="4">IFERROR(IF(M4&gt;0,H4+M4,"-"),"-")</f>
        <v>-</v>
      </c>
      <c r="O4" s="28" t="str">
        <f t="shared" si="2"/>
        <v>-</v>
      </c>
      <c r="P4" s="29" t="str">
        <f t="shared" si="3"/>
        <v>-</v>
      </c>
      <c r="Q4"/>
      <c r="R4" s="29" t="str">
        <f t="shared" ref="R4:R59" si="5">IFERROR(IF(P4+J4=0, "-", IF(P4&gt;0, P4+J4, "-")), "-")</f>
        <v>-</v>
      </c>
    </row>
    <row r="5" spans="1:18" s="16" customFormat="1" ht="14.4" x14ac:dyDescent="0.3">
      <c r="A5" s="34" t="s">
        <v>123</v>
      </c>
      <c r="B5" s="10">
        <v>878941008153</v>
      </c>
      <c r="C5" s="11" t="s">
        <v>180</v>
      </c>
      <c r="D5" s="12" t="s">
        <v>313</v>
      </c>
      <c r="E5" s="42">
        <v>6</v>
      </c>
      <c r="F5" s="42">
        <v>0.20593093597999998</v>
      </c>
      <c r="G5" s="45" t="s">
        <v>345</v>
      </c>
      <c r="H5" s="13">
        <v>24.333056999999993</v>
      </c>
      <c r="I5" s="14"/>
      <c r="J5" s="48">
        <f t="shared" si="0"/>
        <v>0</v>
      </c>
      <c r="K5" s="15"/>
      <c r="M5" s="27" t="str">
        <f t="shared" si="1"/>
        <v>-</v>
      </c>
      <c r="N5" s="27" t="str">
        <f t="shared" si="4"/>
        <v>-</v>
      </c>
      <c r="O5" s="28" t="str">
        <f t="shared" si="2"/>
        <v>-</v>
      </c>
      <c r="P5" s="29" t="str">
        <f t="shared" si="3"/>
        <v>-</v>
      </c>
      <c r="Q5"/>
      <c r="R5" s="29" t="str">
        <f t="shared" si="5"/>
        <v>-</v>
      </c>
    </row>
    <row r="6" spans="1:18" s="16" customFormat="1" ht="14.4" x14ac:dyDescent="0.3">
      <c r="A6" s="34" t="s">
        <v>125</v>
      </c>
      <c r="B6" s="10">
        <v>878941008887</v>
      </c>
      <c r="C6" s="11" t="s">
        <v>194</v>
      </c>
      <c r="D6" s="12" t="s">
        <v>319</v>
      </c>
      <c r="E6" s="42">
        <v>6</v>
      </c>
      <c r="F6" s="42">
        <v>0.25741366997500004</v>
      </c>
      <c r="G6" s="45" t="s">
        <v>345</v>
      </c>
      <c r="H6" s="13">
        <v>13.987196999999998</v>
      </c>
      <c r="I6" s="14"/>
      <c r="J6" s="48">
        <f t="shared" si="0"/>
        <v>0</v>
      </c>
      <c r="K6" s="15"/>
      <c r="M6" s="27" t="str">
        <f t="shared" si="1"/>
        <v>-</v>
      </c>
      <c r="N6" s="27" t="str">
        <f t="shared" si="4"/>
        <v>-</v>
      </c>
      <c r="O6" s="28" t="str">
        <f t="shared" si="2"/>
        <v>-</v>
      </c>
      <c r="P6" s="29" t="str">
        <f t="shared" si="3"/>
        <v>-</v>
      </c>
      <c r="Q6"/>
      <c r="R6" s="29" t="str">
        <f t="shared" si="5"/>
        <v>-</v>
      </c>
    </row>
    <row r="7" spans="1:18" s="16" customFormat="1" ht="14.4" x14ac:dyDescent="0.3">
      <c r="A7" s="34" t="s">
        <v>22</v>
      </c>
      <c r="B7" s="10">
        <v>878941000591</v>
      </c>
      <c r="C7" s="11" t="s">
        <v>208</v>
      </c>
      <c r="D7" s="12" t="s">
        <v>307</v>
      </c>
      <c r="E7" s="42">
        <v>6</v>
      </c>
      <c r="F7" s="42">
        <v>0.41186187195999996</v>
      </c>
      <c r="G7" s="45" t="s">
        <v>345</v>
      </c>
      <c r="H7" s="13">
        <v>30.418856999999996</v>
      </c>
      <c r="I7" s="14"/>
      <c r="J7" s="48">
        <f t="shared" si="0"/>
        <v>0</v>
      </c>
      <c r="K7" s="15"/>
      <c r="M7" s="27" t="str">
        <f t="shared" si="1"/>
        <v>-</v>
      </c>
      <c r="N7" s="27" t="str">
        <f t="shared" si="4"/>
        <v>-</v>
      </c>
      <c r="O7" s="28" t="str">
        <f t="shared" si="2"/>
        <v>-</v>
      </c>
      <c r="P7" s="29" t="str">
        <f t="shared" si="3"/>
        <v>-</v>
      </c>
      <c r="Q7"/>
      <c r="R7" s="29" t="str">
        <f t="shared" si="5"/>
        <v>-</v>
      </c>
    </row>
    <row r="8" spans="1:18" s="16" customFormat="1" ht="14.4" x14ac:dyDescent="0.3">
      <c r="A8" s="34" t="s">
        <v>5</v>
      </c>
      <c r="B8" s="10">
        <v>878941007866</v>
      </c>
      <c r="C8" s="11" t="s">
        <v>229</v>
      </c>
      <c r="D8" s="12" t="s">
        <v>320</v>
      </c>
      <c r="E8" s="42">
        <v>3</v>
      </c>
      <c r="F8" s="42">
        <v>0.64353417493750009</v>
      </c>
      <c r="G8" s="45" t="s">
        <v>345</v>
      </c>
      <c r="H8" s="13">
        <v>23.115896999999997</v>
      </c>
      <c r="I8" s="14"/>
      <c r="J8" s="48">
        <f t="shared" si="0"/>
        <v>0</v>
      </c>
      <c r="K8" s="15"/>
      <c r="L8" s="15"/>
      <c r="M8" s="27" t="str">
        <f t="shared" si="1"/>
        <v>-</v>
      </c>
      <c r="N8" s="27" t="str">
        <f t="shared" si="4"/>
        <v>-</v>
      </c>
      <c r="O8" s="28" t="str">
        <f t="shared" si="2"/>
        <v>-</v>
      </c>
      <c r="P8" s="29" t="str">
        <f t="shared" si="3"/>
        <v>-</v>
      </c>
      <c r="Q8"/>
      <c r="R8" s="29" t="str">
        <f t="shared" si="5"/>
        <v>-</v>
      </c>
    </row>
    <row r="9" spans="1:18" s="16" customFormat="1" ht="14.4" x14ac:dyDescent="0.3">
      <c r="A9" s="34" t="s">
        <v>6</v>
      </c>
      <c r="B9" s="10">
        <v>878941007842</v>
      </c>
      <c r="C9" s="11" t="s">
        <v>229</v>
      </c>
      <c r="D9" s="12" t="s">
        <v>320</v>
      </c>
      <c r="E9" s="42">
        <v>3</v>
      </c>
      <c r="F9" s="42">
        <v>0.64353417493750009</v>
      </c>
      <c r="G9" s="45" t="s">
        <v>345</v>
      </c>
      <c r="H9" s="13">
        <v>23.115896999999997</v>
      </c>
      <c r="I9" s="14"/>
      <c r="J9" s="48">
        <f t="shared" si="0"/>
        <v>0</v>
      </c>
      <c r="K9" s="15"/>
      <c r="M9" s="27" t="str">
        <f t="shared" si="1"/>
        <v>-</v>
      </c>
      <c r="N9" s="27" t="str">
        <f t="shared" si="4"/>
        <v>-</v>
      </c>
      <c r="O9" s="28" t="str">
        <f t="shared" si="2"/>
        <v>-</v>
      </c>
      <c r="P9" s="29" t="str">
        <f t="shared" si="3"/>
        <v>-</v>
      </c>
      <c r="Q9"/>
      <c r="R9" s="29" t="str">
        <f t="shared" si="5"/>
        <v>-</v>
      </c>
    </row>
    <row r="10" spans="1:18" s="16" customFormat="1" ht="14.4" x14ac:dyDescent="0.3">
      <c r="A10" s="34" t="s">
        <v>7</v>
      </c>
      <c r="B10" s="10">
        <v>878941007880</v>
      </c>
      <c r="C10" s="11" t="s">
        <v>229</v>
      </c>
      <c r="D10" s="12" t="s">
        <v>320</v>
      </c>
      <c r="E10" s="42">
        <v>3</v>
      </c>
      <c r="F10" s="42">
        <v>0.64353417493750009</v>
      </c>
      <c r="G10" s="45" t="s">
        <v>345</v>
      </c>
      <c r="H10" s="13">
        <v>23.115896999999997</v>
      </c>
      <c r="I10" s="14"/>
      <c r="J10" s="48">
        <f t="shared" si="0"/>
        <v>0</v>
      </c>
      <c r="K10" s="15"/>
      <c r="M10" s="27" t="str">
        <f t="shared" si="1"/>
        <v>-</v>
      </c>
      <c r="N10" s="27" t="str">
        <f t="shared" si="4"/>
        <v>-</v>
      </c>
      <c r="O10" s="28" t="str">
        <f t="shared" si="2"/>
        <v>-</v>
      </c>
      <c r="P10" s="29" t="str">
        <f t="shared" si="3"/>
        <v>-</v>
      </c>
      <c r="Q10"/>
      <c r="R10" s="29" t="str">
        <f t="shared" si="5"/>
        <v>-</v>
      </c>
    </row>
    <row r="11" spans="1:18" s="16" customFormat="1" ht="14.4" x14ac:dyDescent="0.3">
      <c r="A11" s="34" t="s">
        <v>12</v>
      </c>
      <c r="B11" s="10">
        <v>878941006715</v>
      </c>
      <c r="C11" s="11" t="s">
        <v>264</v>
      </c>
      <c r="D11" s="12" t="s">
        <v>304</v>
      </c>
      <c r="E11" s="42">
        <v>12</v>
      </c>
      <c r="F11" s="42">
        <v>0.15444820198500003</v>
      </c>
      <c r="G11" s="45" t="s">
        <v>345</v>
      </c>
      <c r="H11" s="13">
        <v>21.898736999999997</v>
      </c>
      <c r="I11" s="14"/>
      <c r="J11" s="48">
        <f t="shared" si="0"/>
        <v>0</v>
      </c>
      <c r="K11" s="15"/>
      <c r="M11" s="27" t="str">
        <f t="shared" si="1"/>
        <v>-</v>
      </c>
      <c r="N11" s="27" t="str">
        <f t="shared" si="4"/>
        <v>-</v>
      </c>
      <c r="O11" s="28" t="str">
        <f t="shared" si="2"/>
        <v>-</v>
      </c>
      <c r="P11" s="29" t="str">
        <f t="shared" si="3"/>
        <v>-</v>
      </c>
      <c r="Q11"/>
      <c r="R11" s="29" t="str">
        <f t="shared" si="5"/>
        <v>-</v>
      </c>
    </row>
    <row r="12" spans="1:18" s="16" customFormat="1" ht="14.4" x14ac:dyDescent="0.3">
      <c r="A12" s="34" t="s">
        <v>80</v>
      </c>
      <c r="B12" s="10">
        <v>878941000164</v>
      </c>
      <c r="C12" s="11" t="s">
        <v>168</v>
      </c>
      <c r="D12" s="12" t="s">
        <v>314</v>
      </c>
      <c r="E12" s="42">
        <v>12</v>
      </c>
      <c r="F12" s="42">
        <v>0.15444820198500003</v>
      </c>
      <c r="G12" s="45" t="s">
        <v>347</v>
      </c>
      <c r="H12" s="13">
        <v>10.335716999999999</v>
      </c>
      <c r="I12" s="14"/>
      <c r="J12" s="48">
        <f t="shared" si="0"/>
        <v>0</v>
      </c>
      <c r="K12" s="15"/>
      <c r="M12" s="27" t="str">
        <f t="shared" si="1"/>
        <v>-</v>
      </c>
      <c r="N12" s="27" t="str">
        <f t="shared" si="4"/>
        <v>-</v>
      </c>
      <c r="O12" s="28" t="str">
        <f t="shared" si="2"/>
        <v>-</v>
      </c>
      <c r="P12" s="29" t="str">
        <f t="shared" si="3"/>
        <v>-</v>
      </c>
      <c r="Q12"/>
      <c r="R12" s="29" t="str">
        <f t="shared" si="5"/>
        <v>-</v>
      </c>
    </row>
    <row r="13" spans="1:18" s="16" customFormat="1" ht="14.4" x14ac:dyDescent="0.3">
      <c r="A13" s="34" t="s">
        <v>79</v>
      </c>
      <c r="B13" s="10">
        <v>878941003073</v>
      </c>
      <c r="C13" s="11" t="s">
        <v>169</v>
      </c>
      <c r="D13" s="12" t="s">
        <v>304</v>
      </c>
      <c r="E13" s="42">
        <v>12</v>
      </c>
      <c r="F13" s="42">
        <v>0.15444820198500003</v>
      </c>
      <c r="G13" s="45" t="s">
        <v>347</v>
      </c>
      <c r="H13" s="13">
        <v>13.378617</v>
      </c>
      <c r="I13" s="14"/>
      <c r="J13" s="48">
        <f t="shared" si="0"/>
        <v>0</v>
      </c>
      <c r="K13" s="15"/>
      <c r="M13" s="27" t="str">
        <f t="shared" si="1"/>
        <v>-</v>
      </c>
      <c r="N13" s="27" t="str">
        <f t="shared" si="4"/>
        <v>-</v>
      </c>
      <c r="O13" s="28" t="str">
        <f t="shared" si="2"/>
        <v>-</v>
      </c>
      <c r="P13" s="29" t="str">
        <f t="shared" si="3"/>
        <v>-</v>
      </c>
      <c r="Q13"/>
      <c r="R13" s="29" t="str">
        <f t="shared" si="5"/>
        <v>-</v>
      </c>
    </row>
    <row r="14" spans="1:18" s="16" customFormat="1" ht="14.4" x14ac:dyDescent="0.3">
      <c r="A14" s="34" t="s">
        <v>84</v>
      </c>
      <c r="B14" s="10">
        <v>878941000188</v>
      </c>
      <c r="C14" s="11" t="s">
        <v>172</v>
      </c>
      <c r="D14" s="12" t="s">
        <v>304</v>
      </c>
      <c r="E14" s="42">
        <v>12</v>
      </c>
      <c r="F14" s="42">
        <v>0.15444820198500003</v>
      </c>
      <c r="G14" s="45" t="s">
        <v>347</v>
      </c>
      <c r="H14" s="13">
        <v>13.378617</v>
      </c>
      <c r="I14" s="14"/>
      <c r="J14" s="48">
        <f t="shared" si="0"/>
        <v>0</v>
      </c>
      <c r="K14" s="15"/>
      <c r="M14" s="27" t="str">
        <f t="shared" si="1"/>
        <v>-</v>
      </c>
      <c r="N14" s="27" t="str">
        <f t="shared" si="4"/>
        <v>-</v>
      </c>
      <c r="O14" s="28" t="str">
        <f t="shared" si="2"/>
        <v>-</v>
      </c>
      <c r="P14" s="29" t="str">
        <f t="shared" si="3"/>
        <v>-</v>
      </c>
      <c r="Q14"/>
      <c r="R14" s="29" t="str">
        <f t="shared" si="5"/>
        <v>-</v>
      </c>
    </row>
    <row r="15" spans="1:18" s="16" customFormat="1" ht="14.4" x14ac:dyDescent="0.3">
      <c r="A15" s="34" t="s">
        <v>85</v>
      </c>
      <c r="B15" s="10">
        <v>878941000195</v>
      </c>
      <c r="C15" s="11" t="s">
        <v>173</v>
      </c>
      <c r="D15" s="12" t="s">
        <v>304</v>
      </c>
      <c r="E15" s="42">
        <v>12</v>
      </c>
      <c r="F15" s="42">
        <v>0.15444820198500003</v>
      </c>
      <c r="G15" s="45" t="s">
        <v>347</v>
      </c>
      <c r="H15" s="13">
        <v>10.335716999999999</v>
      </c>
      <c r="I15" s="14"/>
      <c r="J15" s="48">
        <f t="shared" si="0"/>
        <v>0</v>
      </c>
      <c r="K15" s="15"/>
      <c r="M15" s="27" t="str">
        <f t="shared" si="1"/>
        <v>-</v>
      </c>
      <c r="N15" s="27" t="str">
        <f t="shared" si="4"/>
        <v>-</v>
      </c>
      <c r="O15" s="28" t="str">
        <f t="shared" si="2"/>
        <v>-</v>
      </c>
      <c r="P15" s="29" t="str">
        <f t="shared" si="3"/>
        <v>-</v>
      </c>
      <c r="Q15"/>
      <c r="R15" s="29" t="str">
        <f t="shared" si="5"/>
        <v>-</v>
      </c>
    </row>
    <row r="16" spans="1:18" s="16" customFormat="1" ht="14.4" x14ac:dyDescent="0.3">
      <c r="A16" s="34" t="s">
        <v>86</v>
      </c>
      <c r="B16" s="10">
        <v>878941005688</v>
      </c>
      <c r="C16" s="11" t="s">
        <v>174</v>
      </c>
      <c r="D16" s="12" t="s">
        <v>304</v>
      </c>
      <c r="E16" s="42">
        <v>12</v>
      </c>
      <c r="F16" s="42">
        <v>0.15444820198500003</v>
      </c>
      <c r="G16" s="45" t="s">
        <v>347</v>
      </c>
      <c r="H16" s="13">
        <v>13.378617</v>
      </c>
      <c r="I16" s="14"/>
      <c r="J16" s="48">
        <f t="shared" si="0"/>
        <v>0</v>
      </c>
      <c r="K16" s="15"/>
      <c r="M16" s="27" t="str">
        <f t="shared" si="1"/>
        <v>-</v>
      </c>
      <c r="N16" s="27" t="str">
        <f t="shared" si="4"/>
        <v>-</v>
      </c>
      <c r="O16" s="28" t="str">
        <f t="shared" si="2"/>
        <v>-</v>
      </c>
      <c r="P16" s="29" t="str">
        <f t="shared" si="3"/>
        <v>-</v>
      </c>
      <c r="Q16"/>
      <c r="R16" s="29" t="str">
        <f t="shared" si="5"/>
        <v>-</v>
      </c>
    </row>
    <row r="17" spans="1:18" s="16" customFormat="1" ht="14.4" x14ac:dyDescent="0.3">
      <c r="A17" s="34" t="s">
        <v>121</v>
      </c>
      <c r="B17" s="10">
        <v>878941008405</v>
      </c>
      <c r="C17" s="11" t="s">
        <v>180</v>
      </c>
      <c r="D17" s="12" t="s">
        <v>302</v>
      </c>
      <c r="E17" s="42">
        <v>6</v>
      </c>
      <c r="F17" s="42">
        <v>0.36037913796500004</v>
      </c>
      <c r="G17" s="45" t="s">
        <v>347</v>
      </c>
      <c r="H17" s="13">
        <v>15.204357</v>
      </c>
      <c r="I17" s="14"/>
      <c r="J17" s="48">
        <f t="shared" si="0"/>
        <v>0</v>
      </c>
      <c r="K17" s="15"/>
      <c r="M17" s="27" t="str">
        <f t="shared" si="1"/>
        <v>-</v>
      </c>
      <c r="N17" s="27" t="str">
        <f t="shared" si="4"/>
        <v>-</v>
      </c>
      <c r="O17" s="28" t="str">
        <f t="shared" si="2"/>
        <v>-</v>
      </c>
      <c r="P17" s="29" t="str">
        <f t="shared" si="3"/>
        <v>-</v>
      </c>
      <c r="Q17"/>
      <c r="R17" s="29" t="str">
        <f t="shared" si="5"/>
        <v>-</v>
      </c>
    </row>
    <row r="18" spans="1:18" s="16" customFormat="1" ht="14.4" x14ac:dyDescent="0.3">
      <c r="A18" s="34" t="s">
        <v>64</v>
      </c>
      <c r="B18" s="10">
        <v>878941002779</v>
      </c>
      <c r="C18" s="11" t="s">
        <v>182</v>
      </c>
      <c r="D18" s="12" t="s">
        <v>315</v>
      </c>
      <c r="E18" s="42">
        <v>6</v>
      </c>
      <c r="F18" s="42">
        <v>0.6950169089324999</v>
      </c>
      <c r="G18" s="45" t="s">
        <v>347</v>
      </c>
      <c r="H18" s="13">
        <v>15.204357</v>
      </c>
      <c r="I18" s="14"/>
      <c r="J18" s="48">
        <f t="shared" si="0"/>
        <v>0</v>
      </c>
      <c r="K18" s="15"/>
      <c r="M18" s="27" t="str">
        <f t="shared" si="1"/>
        <v>-</v>
      </c>
      <c r="N18" s="27" t="str">
        <f t="shared" si="4"/>
        <v>-</v>
      </c>
      <c r="O18" s="28" t="str">
        <f t="shared" si="2"/>
        <v>-</v>
      </c>
      <c r="P18" s="29" t="str">
        <f t="shared" si="3"/>
        <v>-</v>
      </c>
      <c r="Q18"/>
      <c r="R18" s="29" t="str">
        <f t="shared" si="5"/>
        <v>-</v>
      </c>
    </row>
    <row r="19" spans="1:18" s="16" customFormat="1" ht="14.4" x14ac:dyDescent="0.3">
      <c r="A19" s="34" t="s">
        <v>124</v>
      </c>
      <c r="B19" s="10">
        <v>878941008481</v>
      </c>
      <c r="C19" s="11" t="s">
        <v>194</v>
      </c>
      <c r="D19" s="12" t="s">
        <v>319</v>
      </c>
      <c r="E19" s="42">
        <v>6</v>
      </c>
      <c r="F19" s="42">
        <v>0.25741366997500004</v>
      </c>
      <c r="G19" s="45" t="s">
        <v>347</v>
      </c>
      <c r="H19" s="13">
        <v>13.987196999999998</v>
      </c>
      <c r="I19" s="14"/>
      <c r="J19" s="48">
        <f t="shared" si="0"/>
        <v>0</v>
      </c>
      <c r="K19" s="15"/>
      <c r="M19" s="27" t="str">
        <f t="shared" si="1"/>
        <v>-</v>
      </c>
      <c r="N19" s="27" t="str">
        <f t="shared" si="4"/>
        <v>-</v>
      </c>
      <c r="O19" s="28" t="str">
        <f t="shared" si="2"/>
        <v>-</v>
      </c>
      <c r="P19" s="29" t="str">
        <f t="shared" si="3"/>
        <v>-</v>
      </c>
      <c r="Q19"/>
      <c r="R19" s="29" t="str">
        <f t="shared" si="5"/>
        <v>-</v>
      </c>
    </row>
    <row r="20" spans="1:18" s="16" customFormat="1" ht="14.4" x14ac:dyDescent="0.3">
      <c r="A20" s="34" t="s">
        <v>24</v>
      </c>
      <c r="B20" s="10">
        <v>878941004162</v>
      </c>
      <c r="C20" s="11" t="s">
        <v>209</v>
      </c>
      <c r="D20" s="12" t="s">
        <v>317</v>
      </c>
      <c r="E20" s="42">
        <v>14</v>
      </c>
      <c r="F20" s="42">
        <v>0.59205144094250006</v>
      </c>
      <c r="G20" s="45" t="s">
        <v>347</v>
      </c>
      <c r="H20" s="13">
        <v>34.384769999999989</v>
      </c>
      <c r="I20" s="14"/>
      <c r="J20" s="48">
        <f t="shared" si="0"/>
        <v>0</v>
      </c>
      <c r="K20" s="15"/>
      <c r="M20" s="27" t="str">
        <f t="shared" si="1"/>
        <v>-</v>
      </c>
      <c r="N20" s="27" t="str">
        <f t="shared" si="4"/>
        <v>-</v>
      </c>
      <c r="O20" s="28" t="str">
        <f t="shared" si="2"/>
        <v>-</v>
      </c>
      <c r="P20" s="29" t="str">
        <f t="shared" si="3"/>
        <v>-</v>
      </c>
      <c r="Q20"/>
      <c r="R20" s="29" t="str">
        <f t="shared" si="5"/>
        <v>-</v>
      </c>
    </row>
    <row r="21" spans="1:18" s="16" customFormat="1" ht="14.4" x14ac:dyDescent="0.3">
      <c r="A21" s="34" t="s">
        <v>118</v>
      </c>
      <c r="B21" s="10">
        <v>878941008795</v>
      </c>
      <c r="C21" s="11" t="s">
        <v>230</v>
      </c>
      <c r="D21" s="12" t="s">
        <v>320</v>
      </c>
      <c r="E21" s="42">
        <v>3</v>
      </c>
      <c r="F21" s="42">
        <v>0.36037913796500004</v>
      </c>
      <c r="G21" s="45" t="s">
        <v>347</v>
      </c>
      <c r="H21" s="13">
        <v>23.115896999999997</v>
      </c>
      <c r="I21" s="14"/>
      <c r="J21" s="48">
        <f t="shared" si="0"/>
        <v>0</v>
      </c>
      <c r="K21" s="15"/>
      <c r="M21" s="27" t="str">
        <f t="shared" si="1"/>
        <v>-</v>
      </c>
      <c r="N21" s="27" t="str">
        <f t="shared" si="4"/>
        <v>-</v>
      </c>
      <c r="O21" s="28" t="str">
        <f t="shared" si="2"/>
        <v>-</v>
      </c>
      <c r="P21" s="29" t="str">
        <f t="shared" si="3"/>
        <v>-</v>
      </c>
      <c r="Q21"/>
      <c r="R21" s="29" t="str">
        <f t="shared" si="5"/>
        <v>-</v>
      </c>
    </row>
    <row r="22" spans="1:18" s="16" customFormat="1" ht="14.4" x14ac:dyDescent="0.3">
      <c r="A22" s="34" t="s">
        <v>119</v>
      </c>
      <c r="B22" s="10">
        <v>878941008788</v>
      </c>
      <c r="C22" s="11" t="s">
        <v>229</v>
      </c>
      <c r="D22" s="12" t="s">
        <v>320</v>
      </c>
      <c r="E22" s="42">
        <v>3</v>
      </c>
      <c r="F22" s="42">
        <v>0.36037913796500004</v>
      </c>
      <c r="G22" s="45" t="s">
        <v>347</v>
      </c>
      <c r="H22" s="13">
        <v>23.115896999999997</v>
      </c>
      <c r="I22" s="14"/>
      <c r="J22" s="48">
        <f t="shared" si="0"/>
        <v>0</v>
      </c>
      <c r="K22" s="15"/>
      <c r="M22" s="27" t="str">
        <f t="shared" si="1"/>
        <v>-</v>
      </c>
      <c r="N22" s="27" t="str">
        <f t="shared" si="4"/>
        <v>-</v>
      </c>
      <c r="O22" s="28" t="str">
        <f t="shared" si="2"/>
        <v>-</v>
      </c>
      <c r="P22" s="29" t="str">
        <f t="shared" si="3"/>
        <v>-</v>
      </c>
      <c r="Q22"/>
      <c r="R22" s="29" t="str">
        <f t="shared" si="5"/>
        <v>-</v>
      </c>
    </row>
    <row r="23" spans="1:18" s="16" customFormat="1" ht="14.4" x14ac:dyDescent="0.3">
      <c r="A23" s="34" t="s">
        <v>11</v>
      </c>
      <c r="B23" s="10">
        <v>878941007545</v>
      </c>
      <c r="C23" s="11" t="s">
        <v>244</v>
      </c>
      <c r="D23" s="12" t="s">
        <v>312</v>
      </c>
      <c r="E23" s="42">
        <v>12</v>
      </c>
      <c r="F23" s="42">
        <v>0.2831550369725</v>
      </c>
      <c r="G23" s="45" t="s">
        <v>347</v>
      </c>
      <c r="H23" s="13">
        <v>13.378617</v>
      </c>
      <c r="I23" s="14"/>
      <c r="J23" s="48">
        <f t="shared" si="0"/>
        <v>0</v>
      </c>
      <c r="K23" s="15"/>
      <c r="M23" s="27" t="str">
        <f t="shared" si="1"/>
        <v>-</v>
      </c>
      <c r="N23" s="27" t="str">
        <f t="shared" si="4"/>
        <v>-</v>
      </c>
      <c r="O23" s="28" t="str">
        <f t="shared" si="2"/>
        <v>-</v>
      </c>
      <c r="P23" s="29" t="str">
        <f t="shared" si="3"/>
        <v>-</v>
      </c>
      <c r="Q23"/>
      <c r="R23" s="29" t="str">
        <f t="shared" si="5"/>
        <v>-</v>
      </c>
    </row>
    <row r="24" spans="1:18" s="16" customFormat="1" ht="14.4" x14ac:dyDescent="0.3">
      <c r="A24" s="34" t="s">
        <v>36</v>
      </c>
      <c r="B24" s="10">
        <v>878941000522</v>
      </c>
      <c r="C24" s="11" t="s">
        <v>245</v>
      </c>
      <c r="D24" s="12" t="s">
        <v>320</v>
      </c>
      <c r="E24" s="42">
        <v>3</v>
      </c>
      <c r="F24" s="42">
        <v>0.23167230297750002</v>
      </c>
      <c r="G24" s="45" t="s">
        <v>347</v>
      </c>
      <c r="H24" s="13">
        <v>13.378617</v>
      </c>
      <c r="I24" s="14"/>
      <c r="J24" s="48">
        <f t="shared" si="0"/>
        <v>0</v>
      </c>
      <c r="K24" s="15"/>
      <c r="M24" s="27" t="str">
        <f t="shared" si="1"/>
        <v>-</v>
      </c>
      <c r="N24" s="27" t="str">
        <f t="shared" si="4"/>
        <v>-</v>
      </c>
      <c r="O24" s="28" t="str">
        <f t="shared" si="2"/>
        <v>-</v>
      </c>
      <c r="P24" s="29" t="str">
        <f t="shared" si="3"/>
        <v>-</v>
      </c>
      <c r="Q24"/>
      <c r="R24" s="29" t="str">
        <f t="shared" si="5"/>
        <v>-</v>
      </c>
    </row>
    <row r="25" spans="1:18" s="16" customFormat="1" ht="14.4" x14ac:dyDescent="0.3">
      <c r="A25" s="34" t="s">
        <v>39</v>
      </c>
      <c r="B25" s="10">
        <v>878941000546</v>
      </c>
      <c r="C25" s="11" t="s">
        <v>245</v>
      </c>
      <c r="D25" s="12" t="s">
        <v>320</v>
      </c>
      <c r="E25" s="42">
        <v>3</v>
      </c>
      <c r="F25" s="42">
        <v>0.23167230297750002</v>
      </c>
      <c r="G25" s="45" t="s">
        <v>347</v>
      </c>
      <c r="H25" s="13">
        <v>13.378617</v>
      </c>
      <c r="I25" s="14"/>
      <c r="J25" s="48">
        <f t="shared" si="0"/>
        <v>0</v>
      </c>
      <c r="K25" s="15"/>
      <c r="M25" s="27" t="str">
        <f t="shared" si="1"/>
        <v>-</v>
      </c>
      <c r="N25" s="27" t="str">
        <f t="shared" si="4"/>
        <v>-</v>
      </c>
      <c r="O25" s="28" t="str">
        <f t="shared" si="2"/>
        <v>-</v>
      </c>
      <c r="P25" s="29" t="str">
        <f t="shared" si="3"/>
        <v>-</v>
      </c>
      <c r="Q25"/>
      <c r="R25" s="29" t="str">
        <f t="shared" si="5"/>
        <v>-</v>
      </c>
    </row>
    <row r="26" spans="1:18" s="16" customFormat="1" ht="14.4" x14ac:dyDescent="0.3">
      <c r="A26" s="34" t="s">
        <v>44</v>
      </c>
      <c r="B26" s="10">
        <v>878941002878</v>
      </c>
      <c r="C26" s="11" t="s">
        <v>245</v>
      </c>
      <c r="D26" s="12" t="s">
        <v>320</v>
      </c>
      <c r="E26" s="42">
        <v>3</v>
      </c>
      <c r="F26" s="42">
        <v>0.30889640397000007</v>
      </c>
      <c r="G26" s="45" t="s">
        <v>347</v>
      </c>
      <c r="H26" s="13">
        <v>13.378617</v>
      </c>
      <c r="I26" s="14"/>
      <c r="J26" s="48">
        <f t="shared" si="0"/>
        <v>0</v>
      </c>
      <c r="K26" s="15"/>
      <c r="M26" s="27" t="str">
        <f t="shared" si="1"/>
        <v>-</v>
      </c>
      <c r="N26" s="27" t="str">
        <f t="shared" si="4"/>
        <v>-</v>
      </c>
      <c r="O26" s="28" t="str">
        <f t="shared" si="2"/>
        <v>-</v>
      </c>
      <c r="P26" s="29" t="str">
        <f t="shared" si="3"/>
        <v>-</v>
      </c>
      <c r="Q26"/>
      <c r="R26" s="29" t="str">
        <f t="shared" si="5"/>
        <v>-</v>
      </c>
    </row>
    <row r="27" spans="1:18" s="16" customFormat="1" ht="14.4" x14ac:dyDescent="0.3">
      <c r="A27" s="34" t="s">
        <v>48</v>
      </c>
      <c r="B27" s="10">
        <v>878941004391</v>
      </c>
      <c r="C27" s="11" t="s">
        <v>245</v>
      </c>
      <c r="D27" s="12" t="s">
        <v>320</v>
      </c>
      <c r="E27" s="42">
        <v>3</v>
      </c>
      <c r="F27" s="42">
        <v>0.2831550369725</v>
      </c>
      <c r="G27" s="45" t="s">
        <v>347</v>
      </c>
      <c r="H27" s="13">
        <v>13.378617</v>
      </c>
      <c r="I27" s="14"/>
      <c r="J27" s="48">
        <f t="shared" si="0"/>
        <v>0</v>
      </c>
      <c r="K27" s="15"/>
      <c r="M27" s="27" t="str">
        <f t="shared" si="1"/>
        <v>-</v>
      </c>
      <c r="N27" s="27" t="str">
        <f t="shared" si="4"/>
        <v>-</v>
      </c>
      <c r="O27" s="28" t="str">
        <f t="shared" si="2"/>
        <v>-</v>
      </c>
      <c r="P27" s="29" t="str">
        <f t="shared" si="3"/>
        <v>-</v>
      </c>
      <c r="Q27"/>
      <c r="R27" s="29" t="str">
        <f t="shared" si="5"/>
        <v>-</v>
      </c>
    </row>
    <row r="28" spans="1:18" s="16" customFormat="1" ht="14.4" x14ac:dyDescent="0.3">
      <c r="A28" s="34" t="s">
        <v>49</v>
      </c>
      <c r="B28" s="10">
        <v>878941005558</v>
      </c>
      <c r="C28" s="11" t="s">
        <v>246</v>
      </c>
      <c r="D28" s="12" t="s">
        <v>320</v>
      </c>
      <c r="E28" s="42">
        <v>3</v>
      </c>
      <c r="F28" s="42">
        <v>0.23167230297750002</v>
      </c>
      <c r="G28" s="45" t="s">
        <v>347</v>
      </c>
      <c r="H28" s="13">
        <v>13.378617</v>
      </c>
      <c r="I28" s="14"/>
      <c r="J28" s="48">
        <f t="shared" si="0"/>
        <v>0</v>
      </c>
      <c r="K28" s="15"/>
      <c r="M28" s="27" t="str">
        <f t="shared" si="1"/>
        <v>-</v>
      </c>
      <c r="N28" s="27" t="str">
        <f t="shared" si="4"/>
        <v>-</v>
      </c>
      <c r="O28" s="28" t="str">
        <f t="shared" si="2"/>
        <v>-</v>
      </c>
      <c r="P28" s="29" t="str">
        <f t="shared" si="3"/>
        <v>-</v>
      </c>
      <c r="Q28"/>
      <c r="R28" s="29" t="str">
        <f t="shared" si="5"/>
        <v>-</v>
      </c>
    </row>
    <row r="29" spans="1:18" s="16" customFormat="1" ht="14.4" x14ac:dyDescent="0.3">
      <c r="A29" s="34" t="s">
        <v>50</v>
      </c>
      <c r="B29" s="10">
        <v>878941005886</v>
      </c>
      <c r="C29" s="11" t="s">
        <v>247</v>
      </c>
      <c r="D29" s="12" t="s">
        <v>320</v>
      </c>
      <c r="E29" s="42">
        <v>3</v>
      </c>
      <c r="F29" s="42">
        <v>0.25741366997500004</v>
      </c>
      <c r="G29" s="45" t="s">
        <v>347</v>
      </c>
      <c r="H29" s="13">
        <v>13.378617</v>
      </c>
      <c r="I29" s="14"/>
      <c r="J29" s="48">
        <f t="shared" si="0"/>
        <v>0</v>
      </c>
      <c r="K29" s="15"/>
      <c r="M29" s="27" t="str">
        <f t="shared" si="1"/>
        <v>-</v>
      </c>
      <c r="N29" s="27" t="str">
        <f t="shared" si="4"/>
        <v>-</v>
      </c>
      <c r="O29" s="28" t="str">
        <f t="shared" si="2"/>
        <v>-</v>
      </c>
      <c r="P29" s="29" t="str">
        <f t="shared" si="3"/>
        <v>-</v>
      </c>
      <c r="Q29"/>
      <c r="R29" s="29" t="str">
        <f t="shared" si="5"/>
        <v>-</v>
      </c>
    </row>
    <row r="30" spans="1:18" s="16" customFormat="1" ht="14.4" x14ac:dyDescent="0.3">
      <c r="A30" s="34" t="s">
        <v>51</v>
      </c>
      <c r="B30" s="10">
        <v>878941006258</v>
      </c>
      <c r="C30" s="11" t="s">
        <v>246</v>
      </c>
      <c r="D30" s="12" t="s">
        <v>320</v>
      </c>
      <c r="E30" s="42">
        <v>3</v>
      </c>
      <c r="F30" s="42">
        <v>0.23167230297750002</v>
      </c>
      <c r="G30" s="45" t="s">
        <v>347</v>
      </c>
      <c r="H30" s="13">
        <v>13.378617</v>
      </c>
      <c r="I30" s="14"/>
      <c r="J30" s="48">
        <f t="shared" si="0"/>
        <v>0</v>
      </c>
      <c r="K30" s="15"/>
      <c r="M30" s="27" t="str">
        <f t="shared" si="1"/>
        <v>-</v>
      </c>
      <c r="N30" s="27" t="str">
        <f t="shared" si="4"/>
        <v>-</v>
      </c>
      <c r="O30" s="28" t="str">
        <f t="shared" si="2"/>
        <v>-</v>
      </c>
      <c r="P30" s="29" t="str">
        <f t="shared" si="3"/>
        <v>-</v>
      </c>
      <c r="Q30"/>
      <c r="R30" s="29" t="str">
        <f t="shared" si="5"/>
        <v>-</v>
      </c>
    </row>
    <row r="31" spans="1:18" s="16" customFormat="1" ht="14.4" x14ac:dyDescent="0.3">
      <c r="A31" s="34" t="s">
        <v>52</v>
      </c>
      <c r="B31" s="10">
        <v>878941007132</v>
      </c>
      <c r="C31" s="11" t="s">
        <v>247</v>
      </c>
      <c r="D31" s="12" t="s">
        <v>320</v>
      </c>
      <c r="E31" s="42">
        <v>3</v>
      </c>
      <c r="F31" s="42">
        <v>0.25741366997500004</v>
      </c>
      <c r="G31" s="45" t="s">
        <v>347</v>
      </c>
      <c r="H31" s="13">
        <v>13.378617</v>
      </c>
      <c r="I31" s="14"/>
      <c r="J31" s="48">
        <f t="shared" si="0"/>
        <v>0</v>
      </c>
      <c r="K31" s="15"/>
      <c r="M31" s="27" t="str">
        <f t="shared" si="1"/>
        <v>-</v>
      </c>
      <c r="N31" s="27" t="str">
        <f t="shared" si="4"/>
        <v>-</v>
      </c>
      <c r="O31" s="28" t="str">
        <f t="shared" si="2"/>
        <v>-</v>
      </c>
      <c r="P31" s="29" t="str">
        <f t="shared" si="3"/>
        <v>-</v>
      </c>
      <c r="Q31"/>
      <c r="R31" s="29" t="str">
        <f t="shared" si="5"/>
        <v>-</v>
      </c>
    </row>
    <row r="32" spans="1:18" s="16" customFormat="1" ht="14.4" x14ac:dyDescent="0.3">
      <c r="A32" s="34" t="s">
        <v>108</v>
      </c>
      <c r="B32" s="10">
        <v>878941000812</v>
      </c>
      <c r="C32" s="11" t="s">
        <v>300</v>
      </c>
      <c r="D32" s="12" t="s">
        <v>302</v>
      </c>
      <c r="E32" s="42">
        <v>6</v>
      </c>
      <c r="F32" s="42">
        <v>0.30889640397000007</v>
      </c>
      <c r="G32" s="45" t="s">
        <v>347</v>
      </c>
      <c r="H32" s="13">
        <v>15.204357</v>
      </c>
      <c r="I32" s="14"/>
      <c r="J32" s="48">
        <f t="shared" si="0"/>
        <v>0</v>
      </c>
      <c r="K32" s="15"/>
      <c r="M32" s="27" t="str">
        <f t="shared" si="1"/>
        <v>-</v>
      </c>
      <c r="N32" s="27" t="str">
        <f t="shared" si="4"/>
        <v>-</v>
      </c>
      <c r="O32" s="28" t="str">
        <f t="shared" si="2"/>
        <v>-</v>
      </c>
      <c r="P32" s="29" t="str">
        <f t="shared" si="3"/>
        <v>-</v>
      </c>
      <c r="Q32"/>
      <c r="R32" s="29" t="str">
        <f t="shared" si="5"/>
        <v>-</v>
      </c>
    </row>
    <row r="33" spans="1:18" s="16" customFormat="1" ht="14.4" x14ac:dyDescent="0.3">
      <c r="A33" s="34" t="s">
        <v>76</v>
      </c>
      <c r="B33" s="10">
        <v>878941000157</v>
      </c>
      <c r="C33" s="11" t="s">
        <v>164</v>
      </c>
      <c r="D33" s="12" t="s">
        <v>304</v>
      </c>
      <c r="E33" s="42">
        <v>12</v>
      </c>
      <c r="F33" s="42">
        <v>0.15444820198500003</v>
      </c>
      <c r="G33" s="45" t="s">
        <v>346</v>
      </c>
      <c r="H33" s="13">
        <v>13.378617</v>
      </c>
      <c r="I33" s="14"/>
      <c r="J33" s="48">
        <f t="shared" si="0"/>
        <v>0</v>
      </c>
      <c r="K33" s="15"/>
      <c r="M33" s="27" t="str">
        <f t="shared" si="1"/>
        <v>-</v>
      </c>
      <c r="N33" s="27" t="str">
        <f t="shared" si="4"/>
        <v>-</v>
      </c>
      <c r="O33" s="28" t="str">
        <f t="shared" si="2"/>
        <v>-</v>
      </c>
      <c r="P33" s="29" t="str">
        <f t="shared" si="3"/>
        <v>-</v>
      </c>
      <c r="Q33"/>
      <c r="R33" s="29" t="str">
        <f t="shared" si="5"/>
        <v>-</v>
      </c>
    </row>
    <row r="34" spans="1:18" s="16" customFormat="1" ht="14.4" x14ac:dyDescent="0.3">
      <c r="A34" s="34" t="s">
        <v>73</v>
      </c>
      <c r="B34" s="10">
        <v>878941003578</v>
      </c>
      <c r="C34" s="11" t="s">
        <v>165</v>
      </c>
      <c r="D34" s="12" t="s">
        <v>304</v>
      </c>
      <c r="E34" s="42">
        <v>12</v>
      </c>
      <c r="F34" s="42">
        <v>0.15444820198500003</v>
      </c>
      <c r="G34" s="45" t="s">
        <v>346</v>
      </c>
      <c r="H34" s="13">
        <v>13.378617</v>
      </c>
      <c r="I34" s="14"/>
      <c r="J34" s="48">
        <f t="shared" si="0"/>
        <v>0</v>
      </c>
      <c r="K34" s="15"/>
      <c r="M34" s="27" t="str">
        <f t="shared" si="1"/>
        <v>-</v>
      </c>
      <c r="N34" s="27" t="str">
        <f t="shared" si="4"/>
        <v>-</v>
      </c>
      <c r="O34" s="28" t="str">
        <f t="shared" si="2"/>
        <v>-</v>
      </c>
      <c r="P34" s="29" t="str">
        <f t="shared" si="3"/>
        <v>-</v>
      </c>
      <c r="Q34"/>
      <c r="R34" s="29" t="str">
        <f t="shared" si="5"/>
        <v>-</v>
      </c>
    </row>
    <row r="35" spans="1:18" s="16" customFormat="1" ht="14.4" x14ac:dyDescent="0.3">
      <c r="A35" s="34" t="s">
        <v>77</v>
      </c>
      <c r="B35" s="10">
        <v>878941003417</v>
      </c>
      <c r="C35" s="11" t="s">
        <v>166</v>
      </c>
      <c r="D35" s="12" t="s">
        <v>304</v>
      </c>
      <c r="E35" s="42">
        <v>12</v>
      </c>
      <c r="F35" s="42">
        <v>0.15444820198500003</v>
      </c>
      <c r="G35" s="45" t="s">
        <v>346</v>
      </c>
      <c r="H35" s="13">
        <v>13.378617</v>
      </c>
      <c r="I35" s="14"/>
      <c r="J35" s="48">
        <f t="shared" ref="J35:J66" si="6">I35*H35</f>
        <v>0</v>
      </c>
      <c r="K35" s="15"/>
      <c r="M35" s="27" t="str">
        <f t="shared" ref="M35:M66" si="7">IFERROR(IF($M$2*F35=0, "-", $M$2*F35), "-")</f>
        <v>-</v>
      </c>
      <c r="N35" s="27" t="str">
        <f t="shared" si="4"/>
        <v>-</v>
      </c>
      <c r="O35" s="28" t="str">
        <f t="shared" ref="O35:O66" si="8">IF(I35&gt;0,I35*F35, "-")</f>
        <v>-</v>
      </c>
      <c r="P35" s="29" t="str">
        <f t="shared" ref="P35:P66" si="9">IFERROR(IF($M$2&gt;0, $M$2*O35, "-"), "-")</f>
        <v>-</v>
      </c>
      <c r="Q35"/>
      <c r="R35" s="29" t="str">
        <f t="shared" si="5"/>
        <v>-</v>
      </c>
    </row>
    <row r="36" spans="1:18" s="16" customFormat="1" ht="14.4" x14ac:dyDescent="0.3">
      <c r="A36" s="34" t="s">
        <v>81</v>
      </c>
      <c r="B36" s="10">
        <v>878941000171</v>
      </c>
      <c r="C36" s="11" t="s">
        <v>170</v>
      </c>
      <c r="D36" s="12" t="s">
        <v>304</v>
      </c>
      <c r="E36" s="42">
        <v>12</v>
      </c>
      <c r="F36" s="42">
        <v>0.15444820198500003</v>
      </c>
      <c r="G36" s="45" t="s">
        <v>346</v>
      </c>
      <c r="H36" s="13">
        <v>10.335716999999999</v>
      </c>
      <c r="I36" s="14"/>
      <c r="J36" s="48">
        <f t="shared" si="6"/>
        <v>0</v>
      </c>
      <c r="K36" s="15"/>
      <c r="M36" s="27" t="str">
        <f t="shared" si="7"/>
        <v>-</v>
      </c>
      <c r="N36" s="27" t="str">
        <f t="shared" si="4"/>
        <v>-</v>
      </c>
      <c r="O36" s="28" t="str">
        <f t="shared" si="8"/>
        <v>-</v>
      </c>
      <c r="P36" s="29" t="str">
        <f t="shared" si="9"/>
        <v>-</v>
      </c>
      <c r="Q36"/>
      <c r="R36" s="29" t="str">
        <f t="shared" si="5"/>
        <v>-</v>
      </c>
    </row>
    <row r="37" spans="1:18" s="16" customFormat="1" ht="14.4" x14ac:dyDescent="0.3">
      <c r="A37" s="34" t="s">
        <v>82</v>
      </c>
      <c r="B37" s="10">
        <v>878941003530</v>
      </c>
      <c r="C37" s="11" t="s">
        <v>170</v>
      </c>
      <c r="D37" s="12" t="s">
        <v>303</v>
      </c>
      <c r="E37" s="42">
        <v>12</v>
      </c>
      <c r="F37" s="42">
        <v>0.30889640397000007</v>
      </c>
      <c r="G37" s="45" t="s">
        <v>346</v>
      </c>
      <c r="H37" s="13">
        <v>13.378617</v>
      </c>
      <c r="I37" s="14"/>
      <c r="J37" s="48">
        <f t="shared" si="6"/>
        <v>0</v>
      </c>
      <c r="K37" s="15"/>
      <c r="M37" s="27" t="str">
        <f t="shared" si="7"/>
        <v>-</v>
      </c>
      <c r="N37" s="27" t="str">
        <f t="shared" si="4"/>
        <v>-</v>
      </c>
      <c r="O37" s="28" t="str">
        <f t="shared" si="8"/>
        <v>-</v>
      </c>
      <c r="P37" s="29" t="str">
        <f t="shared" si="9"/>
        <v>-</v>
      </c>
      <c r="Q37"/>
      <c r="R37" s="29" t="str">
        <f t="shared" si="5"/>
        <v>-</v>
      </c>
    </row>
    <row r="38" spans="1:18" s="16" customFormat="1" ht="14.4" x14ac:dyDescent="0.3">
      <c r="A38" s="34" t="s">
        <v>68</v>
      </c>
      <c r="B38" s="10">
        <v>878941000256</v>
      </c>
      <c r="C38" s="11" t="s">
        <v>181</v>
      </c>
      <c r="D38" s="12" t="s">
        <v>303</v>
      </c>
      <c r="E38" s="42">
        <v>12</v>
      </c>
      <c r="F38" s="42">
        <v>0.30889640397000007</v>
      </c>
      <c r="G38" s="45" t="s">
        <v>346</v>
      </c>
      <c r="H38" s="13">
        <v>15.204357</v>
      </c>
      <c r="I38" s="14"/>
      <c r="J38" s="48">
        <f t="shared" si="6"/>
        <v>0</v>
      </c>
      <c r="K38" s="15"/>
      <c r="M38" s="27" t="str">
        <f t="shared" si="7"/>
        <v>-</v>
      </c>
      <c r="N38" s="27" t="str">
        <f t="shared" si="4"/>
        <v>-</v>
      </c>
      <c r="O38" s="28" t="str">
        <f t="shared" si="8"/>
        <v>-</v>
      </c>
      <c r="P38" s="29" t="str">
        <f t="shared" si="9"/>
        <v>-</v>
      </c>
      <c r="Q38"/>
      <c r="R38" s="29" t="str">
        <f t="shared" si="5"/>
        <v>-</v>
      </c>
    </row>
    <row r="39" spans="1:18" s="16" customFormat="1" ht="14.4" x14ac:dyDescent="0.3">
      <c r="A39" s="34" t="s">
        <v>92</v>
      </c>
      <c r="B39" s="10">
        <v>878941000829</v>
      </c>
      <c r="C39" s="11" t="s">
        <v>183</v>
      </c>
      <c r="D39" s="12" t="s">
        <v>316</v>
      </c>
      <c r="E39" s="42">
        <v>3</v>
      </c>
      <c r="F39" s="42">
        <v>1.4415165518600002</v>
      </c>
      <c r="G39" s="45" t="s">
        <v>346</v>
      </c>
      <c r="H39" s="13">
        <v>26.767376999999996</v>
      </c>
      <c r="I39" s="14"/>
      <c r="J39" s="48">
        <f t="shared" si="6"/>
        <v>0</v>
      </c>
      <c r="K39" s="15"/>
      <c r="M39" s="27" t="str">
        <f t="shared" si="7"/>
        <v>-</v>
      </c>
      <c r="N39" s="27" t="str">
        <f t="shared" si="4"/>
        <v>-</v>
      </c>
      <c r="O39" s="28" t="str">
        <f t="shared" si="8"/>
        <v>-</v>
      </c>
      <c r="P39" s="29" t="str">
        <f t="shared" si="9"/>
        <v>-</v>
      </c>
      <c r="Q39"/>
      <c r="R39" s="29" t="str">
        <f t="shared" si="5"/>
        <v>-</v>
      </c>
    </row>
    <row r="40" spans="1:18" s="16" customFormat="1" ht="14.4" x14ac:dyDescent="0.3">
      <c r="A40" s="34" t="s">
        <v>122</v>
      </c>
      <c r="B40" s="10">
        <v>878941008146</v>
      </c>
      <c r="C40" s="11" t="s">
        <v>180</v>
      </c>
      <c r="D40" s="12" t="s">
        <v>306</v>
      </c>
      <c r="E40" s="42">
        <v>6</v>
      </c>
      <c r="F40" s="42">
        <v>0.10296546798999999</v>
      </c>
      <c r="G40" s="45" t="s">
        <v>346</v>
      </c>
      <c r="H40" s="13">
        <v>18.247256999999994</v>
      </c>
      <c r="I40" s="14"/>
      <c r="J40" s="48">
        <f t="shared" si="6"/>
        <v>0</v>
      </c>
      <c r="K40" s="15"/>
      <c r="M40" s="27" t="str">
        <f t="shared" si="7"/>
        <v>-</v>
      </c>
      <c r="N40" s="27" t="str">
        <f t="shared" si="4"/>
        <v>-</v>
      </c>
      <c r="O40" s="28" t="str">
        <f t="shared" si="8"/>
        <v>-</v>
      </c>
      <c r="P40" s="29" t="str">
        <f t="shared" si="9"/>
        <v>-</v>
      </c>
      <c r="Q40"/>
      <c r="R40" s="29" t="str">
        <f t="shared" si="5"/>
        <v>-</v>
      </c>
    </row>
    <row r="41" spans="1:18" s="16" customFormat="1" ht="14.4" x14ac:dyDescent="0.3">
      <c r="A41" s="34" t="s">
        <v>126</v>
      </c>
      <c r="B41" s="10">
        <v>878941008894</v>
      </c>
      <c r="C41" s="11" t="s">
        <v>194</v>
      </c>
      <c r="D41" s="12" t="s">
        <v>319</v>
      </c>
      <c r="E41" s="42">
        <v>6</v>
      </c>
      <c r="F41" s="42">
        <v>0.25741366997500004</v>
      </c>
      <c r="G41" s="45" t="s">
        <v>346</v>
      </c>
      <c r="H41" s="13">
        <v>13.987196999999998</v>
      </c>
      <c r="I41" s="14"/>
      <c r="J41" s="48">
        <f t="shared" si="6"/>
        <v>0</v>
      </c>
      <c r="K41" s="15"/>
      <c r="M41" s="27" t="str">
        <f t="shared" si="7"/>
        <v>-</v>
      </c>
      <c r="N41" s="27" t="str">
        <f t="shared" si="4"/>
        <v>-</v>
      </c>
      <c r="O41" s="28" t="str">
        <f t="shared" si="8"/>
        <v>-</v>
      </c>
      <c r="P41" s="29" t="str">
        <f t="shared" si="9"/>
        <v>-</v>
      </c>
      <c r="Q41"/>
      <c r="R41" s="29" t="str">
        <f t="shared" si="5"/>
        <v>-</v>
      </c>
    </row>
    <row r="42" spans="1:18" s="16" customFormat="1" ht="14.4" x14ac:dyDescent="0.3">
      <c r="A42" s="34" t="s">
        <v>33</v>
      </c>
      <c r="B42" s="10">
        <v>878941004490</v>
      </c>
      <c r="C42" s="11" t="s">
        <v>218</v>
      </c>
      <c r="D42" s="12" t="s">
        <v>303</v>
      </c>
      <c r="E42" s="42">
        <v>12</v>
      </c>
      <c r="F42" s="42">
        <v>0.30889640397000007</v>
      </c>
      <c r="G42" s="45" t="s">
        <v>346</v>
      </c>
      <c r="H42" s="13">
        <v>13.378617</v>
      </c>
      <c r="I42" s="14"/>
      <c r="J42" s="48">
        <f t="shared" si="6"/>
        <v>0</v>
      </c>
      <c r="K42" s="15"/>
      <c r="M42" s="27" t="str">
        <f t="shared" si="7"/>
        <v>-</v>
      </c>
      <c r="N42" s="27" t="str">
        <f t="shared" si="4"/>
        <v>-</v>
      </c>
      <c r="O42" s="28" t="str">
        <f t="shared" si="8"/>
        <v>-</v>
      </c>
      <c r="P42" s="29" t="str">
        <f t="shared" si="9"/>
        <v>-</v>
      </c>
      <c r="Q42"/>
      <c r="R42" s="29" t="str">
        <f t="shared" si="5"/>
        <v>-</v>
      </c>
    </row>
    <row r="43" spans="1:18" s="16" customFormat="1" ht="14.4" x14ac:dyDescent="0.3">
      <c r="A43" s="34" t="s">
        <v>43</v>
      </c>
      <c r="B43" s="10">
        <v>878941002632</v>
      </c>
      <c r="C43" s="11" t="s">
        <v>245</v>
      </c>
      <c r="D43" s="12" t="s">
        <v>320</v>
      </c>
      <c r="E43" s="42">
        <v>3</v>
      </c>
      <c r="F43" s="42">
        <v>0.25741366997500004</v>
      </c>
      <c r="G43" s="45" t="s">
        <v>346</v>
      </c>
      <c r="H43" s="13">
        <v>13.378617</v>
      </c>
      <c r="I43" s="14"/>
      <c r="J43" s="48">
        <f t="shared" si="6"/>
        <v>0</v>
      </c>
      <c r="K43" s="15"/>
      <c r="M43" s="27" t="str">
        <f t="shared" si="7"/>
        <v>-</v>
      </c>
      <c r="N43" s="27" t="str">
        <f t="shared" si="4"/>
        <v>-</v>
      </c>
      <c r="O43" s="28" t="str">
        <f t="shared" si="8"/>
        <v>-</v>
      </c>
      <c r="P43" s="29" t="str">
        <f t="shared" si="9"/>
        <v>-</v>
      </c>
      <c r="Q43"/>
      <c r="R43" s="29" t="str">
        <f t="shared" si="5"/>
        <v>-</v>
      </c>
    </row>
    <row r="44" spans="1:18" s="16" customFormat="1" ht="14.4" x14ac:dyDescent="0.3">
      <c r="A44" s="34" t="s">
        <v>71</v>
      </c>
      <c r="B44" s="10">
        <v>878941003561</v>
      </c>
      <c r="C44" s="11" t="s">
        <v>271</v>
      </c>
      <c r="D44" s="12" t="s">
        <v>304</v>
      </c>
      <c r="E44" s="42">
        <v>12</v>
      </c>
      <c r="F44" s="42">
        <v>0.15444820198500003</v>
      </c>
      <c r="G44" s="45" t="s">
        <v>346</v>
      </c>
      <c r="H44" s="13">
        <v>13.378617</v>
      </c>
      <c r="I44" s="14"/>
      <c r="J44" s="48">
        <f t="shared" si="6"/>
        <v>0</v>
      </c>
      <c r="K44" s="15"/>
      <c r="M44" s="27" t="str">
        <f t="shared" si="7"/>
        <v>-</v>
      </c>
      <c r="N44" s="27" t="str">
        <f t="shared" si="4"/>
        <v>-</v>
      </c>
      <c r="O44" s="28" t="str">
        <f t="shared" si="8"/>
        <v>-</v>
      </c>
      <c r="P44" s="29" t="str">
        <f t="shared" si="9"/>
        <v>-</v>
      </c>
      <c r="Q44"/>
      <c r="R44" s="29" t="str">
        <f t="shared" si="5"/>
        <v>-</v>
      </c>
    </row>
    <row r="45" spans="1:18" s="16" customFormat="1" ht="14.4" x14ac:dyDescent="0.3">
      <c r="A45" s="34" t="s">
        <v>10</v>
      </c>
      <c r="B45" s="10">
        <v>878941007477</v>
      </c>
      <c r="C45" s="11" t="s">
        <v>272</v>
      </c>
      <c r="D45" s="12" t="s">
        <v>304</v>
      </c>
      <c r="E45" s="42">
        <v>12</v>
      </c>
      <c r="F45" s="42">
        <v>0.15444820198500003</v>
      </c>
      <c r="G45" s="45" t="s">
        <v>346</v>
      </c>
      <c r="H45" s="13">
        <v>13.378617</v>
      </c>
      <c r="I45" s="14"/>
      <c r="J45" s="48">
        <f t="shared" si="6"/>
        <v>0</v>
      </c>
      <c r="K45" s="15"/>
      <c r="M45" s="27" t="str">
        <f t="shared" si="7"/>
        <v>-</v>
      </c>
      <c r="N45" s="27" t="str">
        <f t="shared" si="4"/>
        <v>-</v>
      </c>
      <c r="O45" s="28" t="str">
        <f t="shared" si="8"/>
        <v>-</v>
      </c>
      <c r="P45" s="29" t="str">
        <f t="shared" si="9"/>
        <v>-</v>
      </c>
      <c r="Q45"/>
      <c r="R45" s="29" t="str">
        <f t="shared" si="5"/>
        <v>-</v>
      </c>
    </row>
    <row r="46" spans="1:18" s="16" customFormat="1" ht="14.4" x14ac:dyDescent="0.3">
      <c r="A46" s="34" t="s">
        <v>99</v>
      </c>
      <c r="B46" s="10">
        <v>878941003165</v>
      </c>
      <c r="C46" s="11" t="s">
        <v>275</v>
      </c>
      <c r="D46" s="12" t="s">
        <v>303</v>
      </c>
      <c r="E46" s="42">
        <v>12</v>
      </c>
      <c r="F46" s="42">
        <v>0.30889640397000007</v>
      </c>
      <c r="G46" s="45" t="s">
        <v>346</v>
      </c>
      <c r="H46" s="13">
        <v>15.204357</v>
      </c>
      <c r="I46" s="14"/>
      <c r="J46" s="48">
        <f t="shared" si="6"/>
        <v>0</v>
      </c>
      <c r="K46" s="15"/>
      <c r="M46" s="27" t="str">
        <f t="shared" si="7"/>
        <v>-</v>
      </c>
      <c r="N46" s="27" t="str">
        <f t="shared" si="4"/>
        <v>-</v>
      </c>
      <c r="O46" s="28" t="str">
        <f t="shared" si="8"/>
        <v>-</v>
      </c>
      <c r="P46" s="29" t="str">
        <f t="shared" si="9"/>
        <v>-</v>
      </c>
      <c r="Q46"/>
      <c r="R46" s="29" t="str">
        <f t="shared" si="5"/>
        <v>-</v>
      </c>
    </row>
    <row r="47" spans="1:18" s="16" customFormat="1" ht="14.4" x14ac:dyDescent="0.3">
      <c r="A47" s="34" t="s">
        <v>100</v>
      </c>
      <c r="B47" s="10">
        <v>878941005923</v>
      </c>
      <c r="C47" s="11" t="s">
        <v>277</v>
      </c>
      <c r="D47" s="12" t="s">
        <v>316</v>
      </c>
      <c r="E47" s="42">
        <v>3</v>
      </c>
      <c r="F47" s="42">
        <v>1.1841028818850001</v>
      </c>
      <c r="G47" s="45" t="s">
        <v>346</v>
      </c>
      <c r="H47" s="13">
        <v>18.247256999999994</v>
      </c>
      <c r="I47" s="14"/>
      <c r="J47" s="48">
        <f t="shared" si="6"/>
        <v>0</v>
      </c>
      <c r="K47" s="15"/>
      <c r="M47" s="27" t="str">
        <f t="shared" si="7"/>
        <v>-</v>
      </c>
      <c r="N47" s="27" t="str">
        <f t="shared" si="4"/>
        <v>-</v>
      </c>
      <c r="O47" s="28" t="str">
        <f t="shared" si="8"/>
        <v>-</v>
      </c>
      <c r="P47" s="29" t="str">
        <f t="shared" si="9"/>
        <v>-</v>
      </c>
      <c r="Q47"/>
      <c r="R47" s="29" t="str">
        <f t="shared" si="5"/>
        <v>-</v>
      </c>
    </row>
    <row r="48" spans="1:18" s="16" customFormat="1" ht="14.4" x14ac:dyDescent="0.3">
      <c r="A48" s="34" t="s">
        <v>101</v>
      </c>
      <c r="B48" s="10">
        <v>878941001895</v>
      </c>
      <c r="C48" s="11" t="s">
        <v>278</v>
      </c>
      <c r="D48" s="12" t="s">
        <v>315</v>
      </c>
      <c r="E48" s="42">
        <v>6</v>
      </c>
      <c r="F48" s="42">
        <v>0.6950169089324999</v>
      </c>
      <c r="G48" s="45" t="s">
        <v>346</v>
      </c>
      <c r="H48" s="13">
        <v>15.812936999999998</v>
      </c>
      <c r="I48" s="14"/>
      <c r="J48" s="48">
        <f t="shared" si="6"/>
        <v>0</v>
      </c>
      <c r="K48" s="15"/>
      <c r="M48" s="27" t="str">
        <f t="shared" si="7"/>
        <v>-</v>
      </c>
      <c r="N48" s="27" t="str">
        <f t="shared" si="4"/>
        <v>-</v>
      </c>
      <c r="O48" s="28" t="str">
        <f t="shared" si="8"/>
        <v>-</v>
      </c>
      <c r="P48" s="29" t="str">
        <f t="shared" si="9"/>
        <v>-</v>
      </c>
      <c r="Q48"/>
      <c r="R48" s="29" t="str">
        <f t="shared" si="5"/>
        <v>-</v>
      </c>
    </row>
    <row r="49" spans="1:18" s="16" customFormat="1" ht="14.4" x14ac:dyDescent="0.3">
      <c r="A49" s="34" t="s">
        <v>105</v>
      </c>
      <c r="B49" s="10">
        <v>878941006708</v>
      </c>
      <c r="C49" s="11" t="s">
        <v>279</v>
      </c>
      <c r="D49" s="12" t="s">
        <v>337</v>
      </c>
      <c r="E49" s="42">
        <v>6</v>
      </c>
      <c r="F49" s="42">
        <v>0.10296546798999999</v>
      </c>
      <c r="G49" s="45" t="s">
        <v>346</v>
      </c>
      <c r="H49" s="13">
        <v>16.421516999999998</v>
      </c>
      <c r="I49" s="14"/>
      <c r="J49" s="48">
        <f t="shared" si="6"/>
        <v>0</v>
      </c>
      <c r="K49" s="15"/>
      <c r="M49" s="27" t="str">
        <f t="shared" si="7"/>
        <v>-</v>
      </c>
      <c r="N49" s="27" t="str">
        <f t="shared" si="4"/>
        <v>-</v>
      </c>
      <c r="O49" s="28" t="str">
        <f t="shared" si="8"/>
        <v>-</v>
      </c>
      <c r="P49" s="29" t="str">
        <f t="shared" si="9"/>
        <v>-</v>
      </c>
      <c r="Q49"/>
      <c r="R49" s="29" t="str">
        <f t="shared" si="5"/>
        <v>-</v>
      </c>
    </row>
    <row r="50" spans="1:18" s="16" customFormat="1" ht="14.4" x14ac:dyDescent="0.3">
      <c r="A50" s="34" t="s">
        <v>111</v>
      </c>
      <c r="B50" s="10">
        <v>878941002816</v>
      </c>
      <c r="C50" s="11" t="s">
        <v>293</v>
      </c>
      <c r="D50" s="12" t="s">
        <v>302</v>
      </c>
      <c r="E50" s="42">
        <v>12</v>
      </c>
      <c r="F50" s="42">
        <v>0.36037913796500004</v>
      </c>
      <c r="G50" s="45" t="s">
        <v>346</v>
      </c>
      <c r="H50" s="13">
        <v>13.378617</v>
      </c>
      <c r="I50" s="14"/>
      <c r="J50" s="48">
        <f t="shared" si="6"/>
        <v>0</v>
      </c>
      <c r="K50" s="15"/>
      <c r="M50" s="27" t="str">
        <f t="shared" si="7"/>
        <v>-</v>
      </c>
      <c r="N50" s="27" t="str">
        <f t="shared" si="4"/>
        <v>-</v>
      </c>
      <c r="O50" s="28" t="str">
        <f t="shared" si="8"/>
        <v>-</v>
      </c>
      <c r="P50" s="29" t="str">
        <f t="shared" si="9"/>
        <v>-</v>
      </c>
      <c r="Q50"/>
      <c r="R50" s="29" t="str">
        <f t="shared" si="5"/>
        <v>-</v>
      </c>
    </row>
    <row r="51" spans="1:18" s="16" customFormat="1" ht="14.4" x14ac:dyDescent="0.3">
      <c r="A51" s="34" t="s">
        <v>106</v>
      </c>
      <c r="B51" s="10">
        <v>878941000362</v>
      </c>
      <c r="C51" s="11" t="s">
        <v>296</v>
      </c>
      <c r="D51" s="12" t="s">
        <v>312</v>
      </c>
      <c r="E51" s="42">
        <v>6</v>
      </c>
      <c r="F51" s="42">
        <v>0.12870683498750002</v>
      </c>
      <c r="G51" s="45" t="s">
        <v>346</v>
      </c>
      <c r="H51" s="13">
        <v>13.378617</v>
      </c>
      <c r="I51" s="14"/>
      <c r="J51" s="48">
        <f t="shared" si="6"/>
        <v>0</v>
      </c>
      <c r="K51" s="15"/>
      <c r="M51" s="27" t="str">
        <f t="shared" si="7"/>
        <v>-</v>
      </c>
      <c r="N51" s="27" t="str">
        <f t="shared" si="4"/>
        <v>-</v>
      </c>
      <c r="O51" s="28" t="str">
        <f t="shared" si="8"/>
        <v>-</v>
      </c>
      <c r="P51" s="29" t="str">
        <f t="shared" si="9"/>
        <v>-</v>
      </c>
      <c r="Q51"/>
      <c r="R51" s="29" t="str">
        <f t="shared" si="5"/>
        <v>-</v>
      </c>
    </row>
    <row r="52" spans="1:18" s="16" customFormat="1" ht="14.4" x14ac:dyDescent="0.3">
      <c r="A52" s="34" t="s">
        <v>107</v>
      </c>
      <c r="B52" s="10">
        <v>878941003554</v>
      </c>
      <c r="C52" s="11" t="s">
        <v>299</v>
      </c>
      <c r="D52" s="12" t="s">
        <v>312</v>
      </c>
      <c r="E52" s="42">
        <v>6</v>
      </c>
      <c r="F52" s="42">
        <v>0.10296546798999999</v>
      </c>
      <c r="G52" s="45" t="s">
        <v>346</v>
      </c>
      <c r="H52" s="13">
        <v>22.517459999999993</v>
      </c>
      <c r="I52" s="14"/>
      <c r="J52" s="48">
        <f t="shared" si="6"/>
        <v>0</v>
      </c>
      <c r="K52" s="15"/>
      <c r="M52" s="27" t="str">
        <f t="shared" si="7"/>
        <v>-</v>
      </c>
      <c r="N52" s="27" t="str">
        <f t="shared" si="4"/>
        <v>-</v>
      </c>
      <c r="O52" s="28" t="str">
        <f t="shared" si="8"/>
        <v>-</v>
      </c>
      <c r="P52" s="29" t="str">
        <f t="shared" si="9"/>
        <v>-</v>
      </c>
      <c r="Q52"/>
      <c r="R52" s="29" t="str">
        <f t="shared" si="5"/>
        <v>-</v>
      </c>
    </row>
    <row r="53" spans="1:18" s="16" customFormat="1" ht="14.4" x14ac:dyDescent="0.3">
      <c r="A53" s="34" t="s">
        <v>61</v>
      </c>
      <c r="B53" s="10">
        <v>878941000058</v>
      </c>
      <c r="C53" s="11" t="s">
        <v>154</v>
      </c>
      <c r="D53" s="12" t="s">
        <v>302</v>
      </c>
      <c r="E53" s="42">
        <v>12</v>
      </c>
      <c r="F53" s="42">
        <v>0.41186187195999996</v>
      </c>
      <c r="G53" s="45" t="s">
        <v>346</v>
      </c>
      <c r="H53" s="13">
        <v>24.333056999999993</v>
      </c>
      <c r="I53" s="14"/>
      <c r="J53" s="48">
        <f t="shared" si="6"/>
        <v>0</v>
      </c>
      <c r="K53" s="15"/>
      <c r="M53" s="27" t="str">
        <f t="shared" si="7"/>
        <v>-</v>
      </c>
      <c r="N53" s="27" t="str">
        <f t="shared" si="4"/>
        <v>-</v>
      </c>
      <c r="O53" s="28" t="str">
        <f t="shared" si="8"/>
        <v>-</v>
      </c>
      <c r="P53" s="29" t="str">
        <f t="shared" si="9"/>
        <v>-</v>
      </c>
      <c r="Q53"/>
      <c r="R53" s="29" t="str">
        <f t="shared" si="5"/>
        <v>-</v>
      </c>
    </row>
    <row r="54" spans="1:18" s="16" customFormat="1" ht="14.4" x14ac:dyDescent="0.3">
      <c r="A54" s="34" t="s">
        <v>59</v>
      </c>
      <c r="B54" s="10">
        <v>878941000072</v>
      </c>
      <c r="C54" s="11" t="s">
        <v>154</v>
      </c>
      <c r="D54" s="12" t="s">
        <v>304</v>
      </c>
      <c r="E54" s="42">
        <v>12</v>
      </c>
      <c r="F54" s="42">
        <v>0.10296546798999999</v>
      </c>
      <c r="G54" s="45" t="s">
        <v>346</v>
      </c>
      <c r="H54" s="13">
        <v>10.944296999999999</v>
      </c>
      <c r="I54" s="14"/>
      <c r="J54" s="48">
        <f t="shared" si="6"/>
        <v>0</v>
      </c>
      <c r="K54" s="15"/>
      <c r="M54" s="27" t="str">
        <f t="shared" si="7"/>
        <v>-</v>
      </c>
      <c r="N54" s="27" t="str">
        <f t="shared" si="4"/>
        <v>-</v>
      </c>
      <c r="O54" s="28" t="str">
        <f t="shared" si="8"/>
        <v>-</v>
      </c>
      <c r="P54" s="29" t="str">
        <f t="shared" si="9"/>
        <v>-</v>
      </c>
      <c r="Q54"/>
      <c r="R54" s="29" t="str">
        <f t="shared" si="5"/>
        <v>-</v>
      </c>
    </row>
    <row r="55" spans="1:18" s="16" customFormat="1" ht="14.4" x14ac:dyDescent="0.3">
      <c r="A55" s="34" t="s">
        <v>58</v>
      </c>
      <c r="B55" s="10">
        <v>878941000089</v>
      </c>
      <c r="C55" s="11" t="s">
        <v>154</v>
      </c>
      <c r="D55" s="12" t="s">
        <v>305</v>
      </c>
      <c r="E55" s="42">
        <v>176</v>
      </c>
      <c r="F55" s="42">
        <v>2.5741366997500001E-2</v>
      </c>
      <c r="G55" s="45" t="s">
        <v>346</v>
      </c>
      <c r="H55" s="13">
        <v>4.2499169999999999</v>
      </c>
      <c r="I55" s="14"/>
      <c r="J55" s="48">
        <f t="shared" si="6"/>
        <v>0</v>
      </c>
      <c r="K55" s="15"/>
      <c r="M55" s="27" t="str">
        <f t="shared" si="7"/>
        <v>-</v>
      </c>
      <c r="N55" s="27" t="str">
        <f t="shared" si="4"/>
        <v>-</v>
      </c>
      <c r="O55" s="28" t="str">
        <f t="shared" si="8"/>
        <v>-</v>
      </c>
      <c r="P55" s="29" t="str">
        <f t="shared" si="9"/>
        <v>-</v>
      </c>
      <c r="Q55"/>
      <c r="R55" s="29" t="str">
        <f t="shared" si="5"/>
        <v>-</v>
      </c>
    </row>
    <row r="56" spans="1:18" s="16" customFormat="1" ht="14.4" x14ac:dyDescent="0.3">
      <c r="A56" s="34" t="s">
        <v>62</v>
      </c>
      <c r="B56" s="10">
        <v>878941002113</v>
      </c>
      <c r="C56" s="11" t="s">
        <v>155</v>
      </c>
      <c r="D56" s="12" t="s">
        <v>303</v>
      </c>
      <c r="E56" s="42">
        <v>12</v>
      </c>
      <c r="F56" s="42">
        <v>0.30889640397000007</v>
      </c>
      <c r="G56" s="45" t="s">
        <v>346</v>
      </c>
      <c r="H56" s="13">
        <v>23.115896999999997</v>
      </c>
      <c r="I56" s="14"/>
      <c r="J56" s="48">
        <f t="shared" si="6"/>
        <v>0</v>
      </c>
      <c r="K56" s="15"/>
      <c r="M56" s="27" t="str">
        <f t="shared" si="7"/>
        <v>-</v>
      </c>
      <c r="N56" s="27" t="str">
        <f t="shared" si="4"/>
        <v>-</v>
      </c>
      <c r="O56" s="28" t="str">
        <f t="shared" si="8"/>
        <v>-</v>
      </c>
      <c r="P56" s="29" t="str">
        <f t="shared" si="9"/>
        <v>-</v>
      </c>
      <c r="Q56"/>
      <c r="R56" s="29" t="str">
        <f t="shared" si="5"/>
        <v>-</v>
      </c>
    </row>
    <row r="57" spans="1:18" s="16" customFormat="1" ht="14.4" x14ac:dyDescent="0.3">
      <c r="A57" s="34" t="s">
        <v>63</v>
      </c>
      <c r="B57" s="10">
        <v>878941006234</v>
      </c>
      <c r="C57" s="11" t="s">
        <v>156</v>
      </c>
      <c r="D57" s="12" t="s">
        <v>306</v>
      </c>
      <c r="E57" s="42">
        <v>6</v>
      </c>
      <c r="F57" s="42">
        <v>0.12870683498750002</v>
      </c>
      <c r="G57" s="45" t="s">
        <v>346</v>
      </c>
      <c r="H57" s="13">
        <v>15.204357</v>
      </c>
      <c r="I57" s="14"/>
      <c r="J57" s="48">
        <f t="shared" si="6"/>
        <v>0</v>
      </c>
      <c r="K57" s="15"/>
      <c r="M57" s="27" t="str">
        <f t="shared" si="7"/>
        <v>-</v>
      </c>
      <c r="N57" s="27" t="str">
        <f t="shared" si="4"/>
        <v>-</v>
      </c>
      <c r="O57" s="28" t="str">
        <f t="shared" si="8"/>
        <v>-</v>
      </c>
      <c r="P57" s="29" t="str">
        <f t="shared" si="9"/>
        <v>-</v>
      </c>
      <c r="Q57"/>
      <c r="R57" s="29" t="str">
        <f t="shared" si="5"/>
        <v>-</v>
      </c>
    </row>
    <row r="58" spans="1:18" s="16" customFormat="1" ht="14.4" x14ac:dyDescent="0.3">
      <c r="A58" s="34" t="s">
        <v>87</v>
      </c>
      <c r="B58" s="10">
        <v>878941001055</v>
      </c>
      <c r="C58" s="11" t="s">
        <v>145</v>
      </c>
      <c r="D58" s="12" t="s">
        <v>306</v>
      </c>
      <c r="E58" s="42">
        <v>6</v>
      </c>
      <c r="F58" s="42">
        <v>0.25741366997500004</v>
      </c>
      <c r="G58" s="45" t="s">
        <v>346</v>
      </c>
      <c r="H58" s="13">
        <v>15.204357</v>
      </c>
      <c r="I58" s="14"/>
      <c r="J58" s="48">
        <f t="shared" si="6"/>
        <v>0</v>
      </c>
      <c r="K58" s="15"/>
      <c r="M58" s="27" t="str">
        <f t="shared" si="7"/>
        <v>-</v>
      </c>
      <c r="N58" s="27" t="str">
        <f t="shared" si="4"/>
        <v>-</v>
      </c>
      <c r="O58" s="28" t="str">
        <f t="shared" si="8"/>
        <v>-</v>
      </c>
      <c r="P58" s="29" t="str">
        <f t="shared" si="9"/>
        <v>-</v>
      </c>
      <c r="Q58"/>
      <c r="R58" s="29" t="str">
        <f t="shared" si="5"/>
        <v>-</v>
      </c>
    </row>
    <row r="59" spans="1:18" s="16" customFormat="1" ht="14.4" x14ac:dyDescent="0.3">
      <c r="A59" s="34" t="s">
        <v>88</v>
      </c>
      <c r="B59" s="10">
        <v>878941001062</v>
      </c>
      <c r="C59" s="11" t="s">
        <v>145</v>
      </c>
      <c r="D59" s="12" t="s">
        <v>307</v>
      </c>
      <c r="E59" s="42">
        <v>6</v>
      </c>
      <c r="F59" s="42">
        <v>0.61779280794000013</v>
      </c>
      <c r="G59" s="45" t="s">
        <v>346</v>
      </c>
      <c r="H59" s="13">
        <v>33.461756999999999</v>
      </c>
      <c r="I59" s="14"/>
      <c r="J59" s="48">
        <f t="shared" si="6"/>
        <v>0</v>
      </c>
      <c r="K59" s="15"/>
      <c r="M59" s="27" t="str">
        <f t="shared" si="7"/>
        <v>-</v>
      </c>
      <c r="N59" s="27" t="str">
        <f t="shared" si="4"/>
        <v>-</v>
      </c>
      <c r="O59" s="28" t="str">
        <f t="shared" si="8"/>
        <v>-</v>
      </c>
      <c r="P59" s="29" t="str">
        <f t="shared" si="9"/>
        <v>-</v>
      </c>
      <c r="Q59"/>
      <c r="R59" s="29" t="str">
        <f t="shared" si="5"/>
        <v>-</v>
      </c>
    </row>
    <row r="60" spans="1:18" s="16" customFormat="1" ht="14.4" x14ac:dyDescent="0.3">
      <c r="A60" s="34" t="s">
        <v>138</v>
      </c>
      <c r="B60" s="10">
        <v>878941009440</v>
      </c>
      <c r="C60" s="11" t="s">
        <v>157</v>
      </c>
      <c r="D60" s="12" t="s">
        <v>308</v>
      </c>
      <c r="E60" s="42">
        <v>6</v>
      </c>
      <c r="F60" s="42">
        <v>0.19563438918100001</v>
      </c>
      <c r="G60" s="45" t="s">
        <v>346</v>
      </c>
      <c r="H60" s="13">
        <v>21.290156999999997</v>
      </c>
      <c r="I60" s="14"/>
      <c r="J60" s="48">
        <f t="shared" si="6"/>
        <v>0</v>
      </c>
      <c r="K60" s="15"/>
      <c r="M60" s="27" t="str">
        <f t="shared" si="7"/>
        <v>-</v>
      </c>
      <c r="N60" s="27" t="str">
        <f t="shared" si="4"/>
        <v>-</v>
      </c>
      <c r="O60" s="28" t="str">
        <f t="shared" si="8"/>
        <v>-</v>
      </c>
      <c r="P60" s="29" t="str">
        <f t="shared" si="9"/>
        <v>-</v>
      </c>
      <c r="Q60"/>
      <c r="R60" s="29" t="str">
        <f t="shared" ref="R60:R117" si="10">IFERROR(IF(P60+J60=0, "-", IF(P60&gt;0, P60+J60, "-")), "-")</f>
        <v>-</v>
      </c>
    </row>
    <row r="61" spans="1:18" s="16" customFormat="1" ht="14.4" x14ac:dyDescent="0.3">
      <c r="A61" s="34" t="s">
        <v>139</v>
      </c>
      <c r="B61" s="10">
        <v>878941009457</v>
      </c>
      <c r="C61" s="11" t="s">
        <v>157</v>
      </c>
      <c r="D61" s="12" t="s">
        <v>308</v>
      </c>
      <c r="E61" s="42">
        <v>6</v>
      </c>
      <c r="F61" s="42">
        <v>0.19563438918100001</v>
      </c>
      <c r="G61" s="45" t="s">
        <v>346</v>
      </c>
      <c r="H61" s="13">
        <v>21.290156999999997</v>
      </c>
      <c r="I61" s="14"/>
      <c r="J61" s="48">
        <f t="shared" si="6"/>
        <v>0</v>
      </c>
      <c r="K61" s="15"/>
      <c r="M61" s="27" t="str">
        <f t="shared" si="7"/>
        <v>-</v>
      </c>
      <c r="N61" s="27" t="str">
        <f t="shared" si="4"/>
        <v>-</v>
      </c>
      <c r="O61" s="28" t="str">
        <f t="shared" si="8"/>
        <v>-</v>
      </c>
      <c r="P61" s="29" t="str">
        <f t="shared" si="9"/>
        <v>-</v>
      </c>
      <c r="Q61"/>
      <c r="R61" s="29" t="str">
        <f t="shared" si="10"/>
        <v>-</v>
      </c>
    </row>
    <row r="62" spans="1:18" s="16" customFormat="1" ht="14.4" x14ac:dyDescent="0.3">
      <c r="A62" s="34" t="s">
        <v>140</v>
      </c>
      <c r="B62" s="10">
        <v>878941009464</v>
      </c>
      <c r="C62" s="11" t="s">
        <v>157</v>
      </c>
      <c r="D62" s="12" t="s">
        <v>308</v>
      </c>
      <c r="E62" s="42">
        <v>6</v>
      </c>
      <c r="F62" s="42">
        <v>0.19563438918100001</v>
      </c>
      <c r="G62" s="45" t="s">
        <v>346</v>
      </c>
      <c r="H62" s="13">
        <v>21.290156999999997</v>
      </c>
      <c r="I62" s="14"/>
      <c r="J62" s="48">
        <f t="shared" si="6"/>
        <v>0</v>
      </c>
      <c r="K62" s="15"/>
      <c r="M62" s="27" t="str">
        <f t="shared" si="7"/>
        <v>-</v>
      </c>
      <c r="N62" s="27" t="str">
        <f t="shared" si="4"/>
        <v>-</v>
      </c>
      <c r="O62" s="28" t="str">
        <f t="shared" si="8"/>
        <v>-</v>
      </c>
      <c r="P62" s="29" t="str">
        <f t="shared" si="9"/>
        <v>-</v>
      </c>
      <c r="Q62"/>
      <c r="R62" s="29" t="str">
        <f t="shared" si="10"/>
        <v>-</v>
      </c>
    </row>
    <row r="63" spans="1:18" s="16" customFormat="1" ht="14.4" x14ac:dyDescent="0.3">
      <c r="A63" s="34" t="s">
        <v>94</v>
      </c>
      <c r="B63" s="10">
        <v>878941000348</v>
      </c>
      <c r="C63" s="11" t="s">
        <v>158</v>
      </c>
      <c r="D63" s="12" t="s">
        <v>309</v>
      </c>
      <c r="E63" s="42">
        <v>6</v>
      </c>
      <c r="F63" s="42">
        <v>0.30889640397000007</v>
      </c>
      <c r="G63" s="45" t="s">
        <v>346</v>
      </c>
      <c r="H63" s="13">
        <v>13.378617</v>
      </c>
      <c r="I63" s="14"/>
      <c r="J63" s="48">
        <f t="shared" si="6"/>
        <v>0</v>
      </c>
      <c r="K63" s="15"/>
      <c r="M63" s="27" t="str">
        <f t="shared" si="7"/>
        <v>-</v>
      </c>
      <c r="N63" s="27" t="str">
        <f t="shared" si="4"/>
        <v>-</v>
      </c>
      <c r="O63" s="28" t="str">
        <f t="shared" si="8"/>
        <v>-</v>
      </c>
      <c r="P63" s="29" t="str">
        <f t="shared" si="9"/>
        <v>-</v>
      </c>
      <c r="Q63"/>
      <c r="R63" s="29" t="str">
        <f t="shared" si="10"/>
        <v>-</v>
      </c>
    </row>
    <row r="64" spans="1:18" s="16" customFormat="1" ht="14.4" x14ac:dyDescent="0.3">
      <c r="A64" s="34" t="s">
        <v>90</v>
      </c>
      <c r="B64" s="10">
        <v>878941000379</v>
      </c>
      <c r="C64" s="11" t="s">
        <v>159</v>
      </c>
      <c r="D64" s="12" t="s">
        <v>310</v>
      </c>
      <c r="E64" s="42">
        <v>6</v>
      </c>
      <c r="F64" s="42">
        <v>0.51482733995000007</v>
      </c>
      <c r="G64" s="45" t="s">
        <v>346</v>
      </c>
      <c r="H64" s="13">
        <v>46.850516999999989</v>
      </c>
      <c r="I64" s="14"/>
      <c r="J64" s="48">
        <f t="shared" si="6"/>
        <v>0</v>
      </c>
      <c r="K64" s="15"/>
      <c r="M64" s="27" t="str">
        <f t="shared" si="7"/>
        <v>-</v>
      </c>
      <c r="N64" s="27" t="str">
        <f t="shared" si="4"/>
        <v>-</v>
      </c>
      <c r="O64" s="28" t="str">
        <f t="shared" si="8"/>
        <v>-</v>
      </c>
      <c r="P64" s="29" t="str">
        <f t="shared" si="9"/>
        <v>-</v>
      </c>
      <c r="Q64"/>
      <c r="R64" s="29" t="str">
        <f t="shared" si="10"/>
        <v>-</v>
      </c>
    </row>
    <row r="65" spans="1:18" s="16" customFormat="1" ht="14.4" x14ac:dyDescent="0.3">
      <c r="A65" s="34" t="s">
        <v>53</v>
      </c>
      <c r="B65" s="10">
        <v>878941005145</v>
      </c>
      <c r="C65" s="11" t="s">
        <v>160</v>
      </c>
      <c r="D65" s="12" t="s">
        <v>311</v>
      </c>
      <c r="E65" s="42">
        <v>3</v>
      </c>
      <c r="F65" s="42">
        <v>1.0450995000985002</v>
      </c>
      <c r="G65" s="45" t="s">
        <v>346</v>
      </c>
      <c r="H65" s="13">
        <v>15.204357</v>
      </c>
      <c r="I65" s="14"/>
      <c r="J65" s="48">
        <f t="shared" si="6"/>
        <v>0</v>
      </c>
      <c r="K65" s="15"/>
      <c r="M65" s="27" t="str">
        <f t="shared" si="7"/>
        <v>-</v>
      </c>
      <c r="N65" s="27" t="str">
        <f t="shared" si="4"/>
        <v>-</v>
      </c>
      <c r="O65" s="28" t="str">
        <f t="shared" si="8"/>
        <v>-</v>
      </c>
      <c r="P65" s="29" t="str">
        <f t="shared" si="9"/>
        <v>-</v>
      </c>
      <c r="Q65"/>
      <c r="R65" s="29" t="str">
        <f t="shared" si="10"/>
        <v>-</v>
      </c>
    </row>
    <row r="66" spans="1:18" s="16" customFormat="1" ht="14.4" x14ac:dyDescent="0.3">
      <c r="A66" s="34" t="s">
        <v>95</v>
      </c>
      <c r="B66" s="10">
        <v>878941000508</v>
      </c>
      <c r="C66" s="11" t="s">
        <v>161</v>
      </c>
      <c r="D66" s="12" t="s">
        <v>312</v>
      </c>
      <c r="E66" s="42">
        <v>6</v>
      </c>
      <c r="F66" s="42">
        <v>0.12870683498750002</v>
      </c>
      <c r="G66" s="45" t="s">
        <v>346</v>
      </c>
      <c r="H66" s="13">
        <v>20.681577000000001</v>
      </c>
      <c r="I66" s="14"/>
      <c r="J66" s="48">
        <f t="shared" si="6"/>
        <v>0</v>
      </c>
      <c r="K66" s="15"/>
      <c r="M66" s="27" t="str">
        <f t="shared" si="7"/>
        <v>-</v>
      </c>
      <c r="N66" s="27" t="str">
        <f t="shared" si="4"/>
        <v>-</v>
      </c>
      <c r="O66" s="28" t="str">
        <f t="shared" si="8"/>
        <v>-</v>
      </c>
      <c r="P66" s="29" t="str">
        <f t="shared" si="9"/>
        <v>-</v>
      </c>
      <c r="Q66"/>
      <c r="R66" s="29" t="str">
        <f t="shared" si="10"/>
        <v>-</v>
      </c>
    </row>
    <row r="67" spans="1:18" s="16" customFormat="1" ht="14.4" x14ac:dyDescent="0.3">
      <c r="A67" s="34" t="s">
        <v>91</v>
      </c>
      <c r="B67" s="10">
        <v>878941000621</v>
      </c>
      <c r="C67" s="11" t="s">
        <v>162</v>
      </c>
      <c r="D67" s="12" t="s">
        <v>313</v>
      </c>
      <c r="E67" s="42">
        <v>6</v>
      </c>
      <c r="F67" s="42">
        <v>0.41186187195999996</v>
      </c>
      <c r="G67" s="45" t="s">
        <v>346</v>
      </c>
      <c r="H67" s="13">
        <v>36.504656999999995</v>
      </c>
      <c r="I67" s="14"/>
      <c r="J67" s="48">
        <f t="shared" ref="J67:J98" si="11">I67*H67</f>
        <v>0</v>
      </c>
      <c r="K67" s="15"/>
      <c r="M67" s="27" t="str">
        <f t="shared" ref="M67:M98" si="12">IFERROR(IF($M$2*F67=0, "-", $M$2*F67), "-")</f>
        <v>-</v>
      </c>
      <c r="N67" s="27" t="str">
        <f t="shared" ref="N67:N128" si="13">IFERROR(IF(M67&gt;0,H67+M67,"-"),"-")</f>
        <v>-</v>
      </c>
      <c r="O67" s="28" t="str">
        <f t="shared" ref="O67:O98" si="14">IF(I67&gt;0,I67*F67, "-")</f>
        <v>-</v>
      </c>
      <c r="P67" s="29" t="str">
        <f t="shared" ref="P67:P98" si="15">IFERROR(IF($M$2&gt;0, $M$2*O67, "-"), "-")</f>
        <v>-</v>
      </c>
      <c r="Q67"/>
      <c r="R67" s="29" t="str">
        <f t="shared" si="10"/>
        <v>-</v>
      </c>
    </row>
    <row r="68" spans="1:18" s="16" customFormat="1" ht="14.4" x14ac:dyDescent="0.3">
      <c r="A68" s="34" t="s">
        <v>72</v>
      </c>
      <c r="B68" s="10">
        <v>878941000140</v>
      </c>
      <c r="C68" s="11" t="s">
        <v>163</v>
      </c>
      <c r="D68" s="12" t="s">
        <v>304</v>
      </c>
      <c r="E68" s="42">
        <v>12</v>
      </c>
      <c r="F68" s="42">
        <v>0.15444820198500003</v>
      </c>
      <c r="G68" s="45" t="s">
        <v>346</v>
      </c>
      <c r="H68" s="13">
        <v>13.378617</v>
      </c>
      <c r="I68" s="14"/>
      <c r="J68" s="48">
        <f t="shared" si="11"/>
        <v>0</v>
      </c>
      <c r="K68" s="15"/>
      <c r="M68" s="27" t="str">
        <f t="shared" si="12"/>
        <v>-</v>
      </c>
      <c r="N68" s="27" t="str">
        <f t="shared" si="13"/>
        <v>-</v>
      </c>
      <c r="O68" s="28" t="str">
        <f t="shared" si="14"/>
        <v>-</v>
      </c>
      <c r="P68" s="29" t="str">
        <f t="shared" si="15"/>
        <v>-</v>
      </c>
      <c r="Q68"/>
      <c r="R68" s="29" t="str">
        <f t="shared" si="10"/>
        <v>-</v>
      </c>
    </row>
    <row r="69" spans="1:18" s="16" customFormat="1" ht="14.4" x14ac:dyDescent="0.3">
      <c r="A69" s="34" t="s">
        <v>83</v>
      </c>
      <c r="B69" s="10">
        <v>878941002762</v>
      </c>
      <c r="C69" s="11" t="s">
        <v>171</v>
      </c>
      <c r="D69" s="12" t="s">
        <v>304</v>
      </c>
      <c r="E69" s="42">
        <v>12</v>
      </c>
      <c r="F69" s="42">
        <v>0.15444820198500003</v>
      </c>
      <c r="G69" s="45" t="s">
        <v>346</v>
      </c>
      <c r="H69" s="13">
        <v>10.335716999999999</v>
      </c>
      <c r="I69" s="14"/>
      <c r="J69" s="48">
        <f t="shared" si="11"/>
        <v>0</v>
      </c>
      <c r="K69" s="15"/>
      <c r="M69" s="27" t="str">
        <f t="shared" si="12"/>
        <v>-</v>
      </c>
      <c r="N69" s="27" t="str">
        <f t="shared" si="13"/>
        <v>-</v>
      </c>
      <c r="O69" s="28" t="str">
        <f t="shared" si="14"/>
        <v>-</v>
      </c>
      <c r="P69" s="29" t="str">
        <f t="shared" si="15"/>
        <v>-</v>
      </c>
      <c r="Q69"/>
      <c r="R69" s="29" t="str">
        <f t="shared" si="10"/>
        <v>-</v>
      </c>
    </row>
    <row r="70" spans="1:18" s="16" customFormat="1" ht="14.4" x14ac:dyDescent="0.3">
      <c r="A70" s="34" t="s">
        <v>175</v>
      </c>
      <c r="B70" s="10">
        <v>878941000430</v>
      </c>
      <c r="C70" s="11" t="s">
        <v>176</v>
      </c>
      <c r="D70" s="12" t="s">
        <v>315</v>
      </c>
      <c r="E70" s="42">
        <v>6</v>
      </c>
      <c r="F70" s="42">
        <v>0.72075827593000008</v>
      </c>
      <c r="G70" s="45" t="s">
        <v>346</v>
      </c>
      <c r="H70" s="13">
        <v>15.204357</v>
      </c>
      <c r="I70" s="14"/>
      <c r="J70" s="48">
        <f t="shared" si="11"/>
        <v>0</v>
      </c>
      <c r="K70" s="15"/>
      <c r="M70" s="27" t="str">
        <f t="shared" si="12"/>
        <v>-</v>
      </c>
      <c r="N70" s="27" t="str">
        <f t="shared" si="13"/>
        <v>-</v>
      </c>
      <c r="O70" s="28" t="str">
        <f t="shared" si="14"/>
        <v>-</v>
      </c>
      <c r="P70" s="29" t="str">
        <f t="shared" si="15"/>
        <v>-</v>
      </c>
      <c r="Q70"/>
      <c r="R70" s="29" t="str">
        <f t="shared" si="10"/>
        <v>-</v>
      </c>
    </row>
    <row r="71" spans="1:18" s="16" customFormat="1" ht="14.4" x14ac:dyDescent="0.3">
      <c r="A71" s="34" t="s">
        <v>96</v>
      </c>
      <c r="B71" s="10">
        <v>878941000447</v>
      </c>
      <c r="C71" s="11" t="s">
        <v>176</v>
      </c>
      <c r="D71" s="12" t="s">
        <v>316</v>
      </c>
      <c r="E71" s="42">
        <v>3</v>
      </c>
      <c r="F71" s="42">
        <v>1.4415165518600002</v>
      </c>
      <c r="G71" s="45" t="s">
        <v>346</v>
      </c>
      <c r="H71" s="13">
        <v>24.333056999999993</v>
      </c>
      <c r="I71" s="14"/>
      <c r="J71" s="48">
        <f t="shared" si="11"/>
        <v>0</v>
      </c>
      <c r="K71" s="15"/>
      <c r="M71" s="27" t="str">
        <f t="shared" si="12"/>
        <v>-</v>
      </c>
      <c r="N71" s="27" t="str">
        <f t="shared" si="13"/>
        <v>-</v>
      </c>
      <c r="O71" s="28" t="str">
        <f t="shared" si="14"/>
        <v>-</v>
      </c>
      <c r="P71" s="29" t="str">
        <f t="shared" si="15"/>
        <v>-</v>
      </c>
      <c r="Q71"/>
      <c r="R71" s="29" t="str">
        <f t="shared" si="10"/>
        <v>-</v>
      </c>
    </row>
    <row r="72" spans="1:18" s="16" customFormat="1" ht="14.4" x14ac:dyDescent="0.3">
      <c r="A72" s="34" t="s">
        <v>97</v>
      </c>
      <c r="B72" s="10">
        <v>878941002304</v>
      </c>
      <c r="C72" s="11" t="s">
        <v>176</v>
      </c>
      <c r="D72" s="12" t="s">
        <v>316</v>
      </c>
      <c r="E72" s="42">
        <v>3</v>
      </c>
      <c r="F72" s="42">
        <v>1.4415165518600002</v>
      </c>
      <c r="G72" s="45" t="s">
        <v>346</v>
      </c>
      <c r="H72" s="13">
        <v>24.333056999999993</v>
      </c>
      <c r="I72" s="14"/>
      <c r="J72" s="48">
        <f t="shared" si="11"/>
        <v>0</v>
      </c>
      <c r="K72" s="15"/>
      <c r="M72" s="27" t="str">
        <f t="shared" si="12"/>
        <v>-</v>
      </c>
      <c r="N72" s="27" t="str">
        <f t="shared" si="13"/>
        <v>-</v>
      </c>
      <c r="O72" s="28" t="str">
        <f t="shared" si="14"/>
        <v>-</v>
      </c>
      <c r="P72" s="29" t="str">
        <f t="shared" si="15"/>
        <v>-</v>
      </c>
      <c r="Q72"/>
      <c r="R72" s="29" t="str">
        <f t="shared" si="10"/>
        <v>-</v>
      </c>
    </row>
    <row r="73" spans="1:18" s="16" customFormat="1" ht="14.4" x14ac:dyDescent="0.3">
      <c r="A73" s="34" t="s">
        <v>177</v>
      </c>
      <c r="B73" s="10">
        <v>878941009297</v>
      </c>
      <c r="C73" s="11" t="s">
        <v>176</v>
      </c>
      <c r="D73" s="12" t="s">
        <v>316</v>
      </c>
      <c r="E73" s="42">
        <v>3</v>
      </c>
      <c r="F73" s="42">
        <v>1.3385510838700001</v>
      </c>
      <c r="G73" s="45" t="s">
        <v>346</v>
      </c>
      <c r="H73" s="13">
        <v>24.333056999999993</v>
      </c>
      <c r="I73" s="14"/>
      <c r="J73" s="48">
        <f t="shared" si="11"/>
        <v>0</v>
      </c>
      <c r="K73" s="15"/>
      <c r="M73" s="27" t="str">
        <f t="shared" si="12"/>
        <v>-</v>
      </c>
      <c r="N73" s="27" t="str">
        <f t="shared" si="13"/>
        <v>-</v>
      </c>
      <c r="O73" s="28" t="str">
        <f t="shared" si="14"/>
        <v>-</v>
      </c>
      <c r="P73" s="29" t="str">
        <f t="shared" si="15"/>
        <v>-</v>
      </c>
      <c r="Q73"/>
      <c r="R73" s="29" t="str">
        <f t="shared" si="10"/>
        <v>-</v>
      </c>
    </row>
    <row r="74" spans="1:18" s="16" customFormat="1" ht="14.4" x14ac:dyDescent="0.3">
      <c r="A74" s="34" t="s">
        <v>178</v>
      </c>
      <c r="B74" s="10">
        <v>878941000775</v>
      </c>
      <c r="C74" s="11" t="s">
        <v>179</v>
      </c>
      <c r="D74" s="12" t="s">
        <v>311</v>
      </c>
      <c r="E74" s="42">
        <v>3</v>
      </c>
      <c r="F74" s="42">
        <v>1.4415165518600002</v>
      </c>
      <c r="G74" s="45" t="s">
        <v>346</v>
      </c>
      <c r="H74" s="13">
        <v>38.938976999999994</v>
      </c>
      <c r="I74" s="14"/>
      <c r="J74" s="48">
        <f t="shared" si="11"/>
        <v>0</v>
      </c>
      <c r="K74" s="15"/>
      <c r="M74" s="27" t="str">
        <f t="shared" si="12"/>
        <v>-</v>
      </c>
      <c r="N74" s="27" t="str">
        <f t="shared" si="13"/>
        <v>-</v>
      </c>
      <c r="O74" s="28" t="str">
        <f t="shared" si="14"/>
        <v>-</v>
      </c>
      <c r="P74" s="29" t="str">
        <f t="shared" si="15"/>
        <v>-</v>
      </c>
      <c r="Q74"/>
      <c r="R74" s="29" t="str">
        <f t="shared" si="10"/>
        <v>-</v>
      </c>
    </row>
    <row r="75" spans="1:18" s="16" customFormat="1" ht="14.4" x14ac:dyDescent="0.3">
      <c r="A75" s="34" t="s">
        <v>93</v>
      </c>
      <c r="B75" s="10">
        <v>878941001260</v>
      </c>
      <c r="C75" s="11" t="s">
        <v>184</v>
      </c>
      <c r="D75" s="12" t="s">
        <v>316</v>
      </c>
      <c r="E75" s="42">
        <v>3</v>
      </c>
      <c r="F75" s="42">
        <v>1.3900338178649998</v>
      </c>
      <c r="G75" s="45" t="s">
        <v>346</v>
      </c>
      <c r="H75" s="13">
        <v>26.767376999999996</v>
      </c>
      <c r="I75" s="14"/>
      <c r="J75" s="48">
        <f t="shared" si="11"/>
        <v>0</v>
      </c>
      <c r="K75" s="15"/>
      <c r="M75" s="27" t="str">
        <f t="shared" si="12"/>
        <v>-</v>
      </c>
      <c r="N75" s="27" t="str">
        <f t="shared" si="13"/>
        <v>-</v>
      </c>
      <c r="O75" s="28" t="str">
        <f t="shared" si="14"/>
        <v>-</v>
      </c>
      <c r="P75" s="29" t="str">
        <f t="shared" si="15"/>
        <v>-</v>
      </c>
      <c r="Q75"/>
      <c r="R75" s="29" t="str">
        <f t="shared" si="10"/>
        <v>-</v>
      </c>
    </row>
    <row r="76" spans="1:18" s="16" customFormat="1" ht="14.4" x14ac:dyDescent="0.3">
      <c r="A76" s="34" t="s">
        <v>89</v>
      </c>
      <c r="B76" s="10">
        <v>878941003172</v>
      </c>
      <c r="C76" s="11" t="s">
        <v>182</v>
      </c>
      <c r="D76" s="12" t="s">
        <v>312</v>
      </c>
      <c r="E76" s="42">
        <v>6</v>
      </c>
      <c r="F76" s="42">
        <v>0.15444820198500003</v>
      </c>
      <c r="G76" s="45" t="s">
        <v>346</v>
      </c>
      <c r="H76" s="13">
        <v>13.08447</v>
      </c>
      <c r="I76" s="14"/>
      <c r="J76" s="48">
        <f t="shared" si="11"/>
        <v>0</v>
      </c>
      <c r="K76" s="15"/>
      <c r="M76" s="27" t="str">
        <f t="shared" si="12"/>
        <v>-</v>
      </c>
      <c r="N76" s="27" t="str">
        <f t="shared" si="13"/>
        <v>-</v>
      </c>
      <c r="O76" s="28" t="str">
        <f t="shared" si="14"/>
        <v>-</v>
      </c>
      <c r="P76" s="29" t="str">
        <f t="shared" si="15"/>
        <v>-</v>
      </c>
      <c r="Q76"/>
      <c r="R76" s="29" t="str">
        <f t="shared" si="10"/>
        <v>-</v>
      </c>
    </row>
    <row r="77" spans="1:18" s="16" customFormat="1" ht="14.4" x14ac:dyDescent="0.3">
      <c r="A77" s="34" t="s">
        <v>65</v>
      </c>
      <c r="B77" s="10">
        <v>878941004988</v>
      </c>
      <c r="C77" s="11" t="s">
        <v>185</v>
      </c>
      <c r="D77" s="12" t="s">
        <v>309</v>
      </c>
      <c r="E77" s="42">
        <v>6</v>
      </c>
      <c r="F77" s="42">
        <v>0.25741366997500004</v>
      </c>
      <c r="G77" s="45" t="s">
        <v>346</v>
      </c>
      <c r="H77" s="13">
        <v>18.247256999999994</v>
      </c>
      <c r="I77" s="14"/>
      <c r="J77" s="48">
        <f t="shared" si="11"/>
        <v>0</v>
      </c>
      <c r="K77" s="15"/>
      <c r="M77" s="27" t="str">
        <f t="shared" si="12"/>
        <v>-</v>
      </c>
      <c r="N77" s="27" t="str">
        <f t="shared" si="13"/>
        <v>-</v>
      </c>
      <c r="O77" s="28" t="str">
        <f t="shared" si="14"/>
        <v>-</v>
      </c>
      <c r="P77" s="29" t="str">
        <f t="shared" si="15"/>
        <v>-</v>
      </c>
      <c r="Q77"/>
      <c r="R77" s="29" t="str">
        <f t="shared" si="10"/>
        <v>-</v>
      </c>
    </row>
    <row r="78" spans="1:18" s="16" customFormat="1" ht="14.4" x14ac:dyDescent="0.3">
      <c r="A78" s="34" t="s">
        <v>66</v>
      </c>
      <c r="B78" s="10">
        <v>878941003929</v>
      </c>
      <c r="C78" s="11" t="s">
        <v>186</v>
      </c>
      <c r="D78" s="12" t="s">
        <v>317</v>
      </c>
      <c r="E78" s="42">
        <v>14</v>
      </c>
      <c r="F78" s="42">
        <v>0.53027216014850009</v>
      </c>
      <c r="G78" s="45" t="s">
        <v>346</v>
      </c>
      <c r="H78" s="13">
        <v>36.210509999999992</v>
      </c>
      <c r="I78" s="14"/>
      <c r="J78" s="48">
        <f t="shared" si="11"/>
        <v>0</v>
      </c>
      <c r="K78" s="15"/>
      <c r="M78" s="27" t="str">
        <f t="shared" si="12"/>
        <v>-</v>
      </c>
      <c r="N78" s="27" t="str">
        <f t="shared" si="13"/>
        <v>-</v>
      </c>
      <c r="O78" s="28" t="str">
        <f t="shared" si="14"/>
        <v>-</v>
      </c>
      <c r="P78" s="29" t="str">
        <f t="shared" si="15"/>
        <v>-</v>
      </c>
      <c r="Q78"/>
      <c r="R78" s="29" t="str">
        <f t="shared" si="10"/>
        <v>-</v>
      </c>
    </row>
    <row r="79" spans="1:18" s="16" customFormat="1" ht="14.4" x14ac:dyDescent="0.3">
      <c r="A79" s="34" t="s">
        <v>67</v>
      </c>
      <c r="B79" s="10">
        <v>878941004827</v>
      </c>
      <c r="C79" s="11" t="s">
        <v>186</v>
      </c>
      <c r="D79" s="12" t="s">
        <v>317</v>
      </c>
      <c r="E79" s="42">
        <v>14</v>
      </c>
      <c r="F79" s="42">
        <v>0.54056870694750003</v>
      </c>
      <c r="G79" s="45" t="s">
        <v>346</v>
      </c>
      <c r="H79" s="13">
        <v>36.210509999999992</v>
      </c>
      <c r="I79" s="14"/>
      <c r="J79" s="48">
        <f t="shared" si="11"/>
        <v>0</v>
      </c>
      <c r="K79" s="15"/>
      <c r="M79" s="27" t="str">
        <f t="shared" si="12"/>
        <v>-</v>
      </c>
      <c r="N79" s="27" t="str">
        <f t="shared" si="13"/>
        <v>-</v>
      </c>
      <c r="O79" s="28" t="str">
        <f t="shared" si="14"/>
        <v>-</v>
      </c>
      <c r="P79" s="29" t="str">
        <f t="shared" si="15"/>
        <v>-</v>
      </c>
      <c r="Q79"/>
      <c r="R79" s="29" t="str">
        <f t="shared" si="10"/>
        <v>-</v>
      </c>
    </row>
    <row r="80" spans="1:18" s="16" customFormat="1" ht="14.4" x14ac:dyDescent="0.3">
      <c r="A80" s="34" t="s">
        <v>15</v>
      </c>
      <c r="B80" s="10">
        <v>878941005039</v>
      </c>
      <c r="C80" s="11" t="s">
        <v>187</v>
      </c>
      <c r="D80" s="12" t="s">
        <v>309</v>
      </c>
      <c r="E80" s="42">
        <v>12</v>
      </c>
      <c r="F80" s="42">
        <v>0.48908597295250006</v>
      </c>
      <c r="G80" s="45" t="s">
        <v>346</v>
      </c>
      <c r="H80" s="13">
        <v>18.247256999999994</v>
      </c>
      <c r="I80" s="14"/>
      <c r="J80" s="48">
        <f t="shared" si="11"/>
        <v>0</v>
      </c>
      <c r="K80" s="15"/>
      <c r="M80" s="27" t="str">
        <f t="shared" si="12"/>
        <v>-</v>
      </c>
      <c r="N80" s="27" t="str">
        <f t="shared" si="13"/>
        <v>-</v>
      </c>
      <c r="O80" s="28" t="str">
        <f t="shared" si="14"/>
        <v>-</v>
      </c>
      <c r="P80" s="29" t="str">
        <f t="shared" si="15"/>
        <v>-</v>
      </c>
      <c r="Q80"/>
      <c r="R80" s="29" t="str">
        <f t="shared" si="10"/>
        <v>-</v>
      </c>
    </row>
    <row r="81" spans="1:18" s="16" customFormat="1" ht="14.4" x14ac:dyDescent="0.3">
      <c r="A81" s="34" t="s">
        <v>16</v>
      </c>
      <c r="B81" s="10">
        <v>878941004889</v>
      </c>
      <c r="C81" s="11" t="s">
        <v>187</v>
      </c>
      <c r="D81" s="12" t="s">
        <v>309</v>
      </c>
      <c r="E81" s="42">
        <v>12</v>
      </c>
      <c r="F81" s="42">
        <v>0.48908597295250006</v>
      </c>
      <c r="G81" s="45" t="s">
        <v>346</v>
      </c>
      <c r="H81" s="13">
        <v>18.247256999999994</v>
      </c>
      <c r="I81" s="14"/>
      <c r="J81" s="48">
        <f t="shared" si="11"/>
        <v>0</v>
      </c>
      <c r="K81" s="15"/>
      <c r="M81" s="27" t="str">
        <f t="shared" si="12"/>
        <v>-</v>
      </c>
      <c r="N81" s="27" t="str">
        <f t="shared" si="13"/>
        <v>-</v>
      </c>
      <c r="O81" s="28" t="str">
        <f t="shared" si="14"/>
        <v>-</v>
      </c>
      <c r="P81" s="29" t="str">
        <f t="shared" si="15"/>
        <v>-</v>
      </c>
      <c r="Q81"/>
      <c r="R81" s="29" t="str">
        <f t="shared" si="10"/>
        <v>-</v>
      </c>
    </row>
    <row r="82" spans="1:18" s="16" customFormat="1" ht="14.4" x14ac:dyDescent="0.3">
      <c r="A82" s="34" t="s">
        <v>17</v>
      </c>
      <c r="B82" s="10">
        <v>878941006890</v>
      </c>
      <c r="C82" s="11" t="s">
        <v>187</v>
      </c>
      <c r="D82" s="12" t="s">
        <v>309</v>
      </c>
      <c r="E82" s="42">
        <v>12</v>
      </c>
      <c r="F82" s="42">
        <v>0.43760323895749997</v>
      </c>
      <c r="G82" s="45" t="s">
        <v>346</v>
      </c>
      <c r="H82" s="13">
        <v>18.247256999999994</v>
      </c>
      <c r="I82" s="14"/>
      <c r="J82" s="48">
        <f t="shared" si="11"/>
        <v>0</v>
      </c>
      <c r="K82" s="15"/>
      <c r="M82" s="27" t="str">
        <f t="shared" si="12"/>
        <v>-</v>
      </c>
      <c r="N82" s="27" t="str">
        <f t="shared" si="13"/>
        <v>-</v>
      </c>
      <c r="O82" s="28" t="str">
        <f t="shared" si="14"/>
        <v>-</v>
      </c>
      <c r="P82" s="29" t="str">
        <f t="shared" si="15"/>
        <v>-</v>
      </c>
      <c r="Q82"/>
      <c r="R82" s="29" t="str">
        <f t="shared" si="10"/>
        <v>-</v>
      </c>
    </row>
    <row r="83" spans="1:18" s="16" customFormat="1" ht="14.4" x14ac:dyDescent="0.3">
      <c r="A83" s="34" t="s">
        <v>188</v>
      </c>
      <c r="B83" s="10">
        <v>878941008917</v>
      </c>
      <c r="C83" s="11" t="s">
        <v>189</v>
      </c>
      <c r="D83" s="12" t="s">
        <v>309</v>
      </c>
      <c r="E83" s="42">
        <v>12</v>
      </c>
      <c r="F83" s="42">
        <v>0.43760323895749997</v>
      </c>
      <c r="G83" s="45" t="s">
        <v>346</v>
      </c>
      <c r="H83" s="13">
        <v>18.247256999999994</v>
      </c>
      <c r="I83" s="14"/>
      <c r="J83" s="48">
        <f t="shared" si="11"/>
        <v>0</v>
      </c>
      <c r="K83" s="15"/>
      <c r="M83" s="27" t="str">
        <f t="shared" si="12"/>
        <v>-</v>
      </c>
      <c r="N83" s="27" t="str">
        <f t="shared" si="13"/>
        <v>-</v>
      </c>
      <c r="O83" s="28" t="str">
        <f t="shared" si="14"/>
        <v>-</v>
      </c>
      <c r="P83" s="29" t="str">
        <f t="shared" si="15"/>
        <v>-</v>
      </c>
      <c r="Q83"/>
      <c r="R83" s="29" t="str">
        <f t="shared" si="10"/>
        <v>-</v>
      </c>
    </row>
    <row r="84" spans="1:18" s="16" customFormat="1" ht="14.4" x14ac:dyDescent="0.3">
      <c r="A84" s="34" t="s">
        <v>190</v>
      </c>
      <c r="B84" s="10">
        <v>810201740014</v>
      </c>
      <c r="C84" s="11" t="s">
        <v>191</v>
      </c>
      <c r="D84" s="12" t="s">
        <v>318</v>
      </c>
      <c r="E84" s="42"/>
      <c r="F84" s="42">
        <v>0.24970000000000001</v>
      </c>
      <c r="G84" s="45" t="s">
        <v>346</v>
      </c>
      <c r="H84" s="13">
        <v>20.275856999999998</v>
      </c>
      <c r="I84" s="14"/>
      <c r="J84" s="48">
        <f t="shared" si="11"/>
        <v>0</v>
      </c>
      <c r="K84" s="15"/>
      <c r="M84" s="27" t="str">
        <f t="shared" si="12"/>
        <v>-</v>
      </c>
      <c r="N84" s="27" t="str">
        <f t="shared" si="13"/>
        <v>-</v>
      </c>
      <c r="O84" s="28" t="str">
        <f t="shared" si="14"/>
        <v>-</v>
      </c>
      <c r="P84" s="29" t="str">
        <f t="shared" si="15"/>
        <v>-</v>
      </c>
      <c r="Q84"/>
      <c r="R84" s="29" t="str">
        <f t="shared" si="10"/>
        <v>-</v>
      </c>
    </row>
    <row r="85" spans="1:18" s="16" customFormat="1" ht="14.4" x14ac:dyDescent="0.3">
      <c r="A85" s="34" t="s">
        <v>192</v>
      </c>
      <c r="B85" s="10">
        <v>810201740021</v>
      </c>
      <c r="C85" s="11" t="s">
        <v>191</v>
      </c>
      <c r="D85" s="12" t="s">
        <v>318</v>
      </c>
      <c r="E85" s="42"/>
      <c r="F85" s="42">
        <v>0.24970000000000001</v>
      </c>
      <c r="G85" s="45" t="s">
        <v>346</v>
      </c>
      <c r="H85" s="13">
        <v>20.275856999999998</v>
      </c>
      <c r="I85" s="14"/>
      <c r="J85" s="48">
        <f t="shared" si="11"/>
        <v>0</v>
      </c>
      <c r="K85" s="15"/>
      <c r="M85" s="27" t="str">
        <f t="shared" si="12"/>
        <v>-</v>
      </c>
      <c r="N85" s="27" t="str">
        <f t="shared" si="13"/>
        <v>-</v>
      </c>
      <c r="O85" s="28" t="str">
        <f t="shared" si="14"/>
        <v>-</v>
      </c>
      <c r="P85" s="29" t="str">
        <f t="shared" si="15"/>
        <v>-</v>
      </c>
      <c r="Q85"/>
      <c r="R85" s="29" t="str">
        <f t="shared" si="10"/>
        <v>-</v>
      </c>
    </row>
    <row r="86" spans="1:18" s="16" customFormat="1" ht="14.4" x14ac:dyDescent="0.3">
      <c r="A86" s="34" t="s">
        <v>193</v>
      </c>
      <c r="B86" s="10">
        <v>810201740038</v>
      </c>
      <c r="C86" s="11" t="s">
        <v>191</v>
      </c>
      <c r="D86" s="12" t="s">
        <v>318</v>
      </c>
      <c r="E86" s="42"/>
      <c r="F86" s="42">
        <v>0.24970000000000001</v>
      </c>
      <c r="G86" s="45" t="s">
        <v>346</v>
      </c>
      <c r="H86" s="13">
        <v>20.275856999999998</v>
      </c>
      <c r="I86" s="14"/>
      <c r="J86" s="48">
        <f t="shared" si="11"/>
        <v>0</v>
      </c>
      <c r="K86" s="15"/>
      <c r="M86" s="27" t="str">
        <f t="shared" si="12"/>
        <v>-</v>
      </c>
      <c r="N86" s="27" t="str">
        <f t="shared" si="13"/>
        <v>-</v>
      </c>
      <c r="O86" s="28" t="str">
        <f t="shared" si="14"/>
        <v>-</v>
      </c>
      <c r="P86" s="29" t="str">
        <f t="shared" si="15"/>
        <v>-</v>
      </c>
      <c r="Q86"/>
      <c r="R86" s="29" t="str">
        <f t="shared" si="10"/>
        <v>-</v>
      </c>
    </row>
    <row r="87" spans="1:18" s="16" customFormat="1" ht="14.4" x14ac:dyDescent="0.3">
      <c r="A87" s="34" t="s">
        <v>143</v>
      </c>
      <c r="B87" s="10">
        <v>878941009228</v>
      </c>
      <c r="C87" s="11" t="s">
        <v>195</v>
      </c>
      <c r="D87" s="12" t="s">
        <v>320</v>
      </c>
      <c r="E87" s="42">
        <v>3</v>
      </c>
      <c r="F87" s="42">
        <v>0.18018956898250002</v>
      </c>
      <c r="G87" s="45" t="s">
        <v>346</v>
      </c>
      <c r="H87" s="13">
        <v>15.204357</v>
      </c>
      <c r="I87" s="14"/>
      <c r="J87" s="48">
        <f t="shared" si="11"/>
        <v>0</v>
      </c>
      <c r="K87" s="15"/>
      <c r="M87" s="27" t="str">
        <f t="shared" si="12"/>
        <v>-</v>
      </c>
      <c r="N87" s="27" t="str">
        <f t="shared" si="13"/>
        <v>-</v>
      </c>
      <c r="O87" s="28" t="str">
        <f t="shared" si="14"/>
        <v>-</v>
      </c>
      <c r="P87" s="29" t="str">
        <f t="shared" si="15"/>
        <v>-</v>
      </c>
      <c r="Q87"/>
      <c r="R87" s="29" t="str">
        <f t="shared" si="10"/>
        <v>-</v>
      </c>
    </row>
    <row r="88" spans="1:18" s="16" customFormat="1" ht="14.4" x14ac:dyDescent="0.3">
      <c r="A88" s="34" t="s">
        <v>142</v>
      </c>
      <c r="B88" s="10">
        <v>878941009235</v>
      </c>
      <c r="C88" s="11" t="s">
        <v>195</v>
      </c>
      <c r="D88" s="12" t="s">
        <v>320</v>
      </c>
      <c r="E88" s="42">
        <v>3</v>
      </c>
      <c r="F88" s="42">
        <v>0.18018956898250002</v>
      </c>
      <c r="G88" s="45" t="s">
        <v>346</v>
      </c>
      <c r="H88" s="13">
        <v>15.204357</v>
      </c>
      <c r="I88" s="14"/>
      <c r="J88" s="48">
        <f t="shared" si="11"/>
        <v>0</v>
      </c>
      <c r="K88" s="15"/>
      <c r="M88" s="27" t="str">
        <f t="shared" si="12"/>
        <v>-</v>
      </c>
      <c r="N88" s="27" t="str">
        <f t="shared" si="13"/>
        <v>-</v>
      </c>
      <c r="O88" s="28" t="str">
        <f t="shared" si="14"/>
        <v>-</v>
      </c>
      <c r="P88" s="29" t="str">
        <f t="shared" si="15"/>
        <v>-</v>
      </c>
      <c r="Q88"/>
      <c r="R88" s="29" t="str">
        <f t="shared" si="10"/>
        <v>-</v>
      </c>
    </row>
    <row r="89" spans="1:18" s="16" customFormat="1" ht="14.4" x14ac:dyDescent="0.3">
      <c r="A89" s="34" t="s">
        <v>141</v>
      </c>
      <c r="B89" s="10">
        <v>878941009242</v>
      </c>
      <c r="C89" s="11" t="s">
        <v>195</v>
      </c>
      <c r="D89" s="12" t="s">
        <v>320</v>
      </c>
      <c r="E89" s="42">
        <v>3</v>
      </c>
      <c r="F89" s="42">
        <v>0.18018956898250002</v>
      </c>
      <c r="G89" s="45" t="s">
        <v>346</v>
      </c>
      <c r="H89" s="13">
        <v>15.204357</v>
      </c>
      <c r="I89" s="14"/>
      <c r="J89" s="48">
        <f t="shared" si="11"/>
        <v>0</v>
      </c>
      <c r="K89" s="15"/>
      <c r="M89" s="27" t="str">
        <f t="shared" si="12"/>
        <v>-</v>
      </c>
      <c r="N89" s="27" t="str">
        <f t="shared" si="13"/>
        <v>-</v>
      </c>
      <c r="O89" s="28" t="str">
        <f t="shared" si="14"/>
        <v>-</v>
      </c>
      <c r="P89" s="29" t="str">
        <f t="shared" si="15"/>
        <v>-</v>
      </c>
      <c r="Q89"/>
      <c r="R89" s="29" t="str">
        <f t="shared" si="10"/>
        <v>-</v>
      </c>
    </row>
    <row r="90" spans="1:18" s="16" customFormat="1" ht="14.4" x14ac:dyDescent="0.3">
      <c r="A90" s="34" t="s">
        <v>196</v>
      </c>
      <c r="B90" s="10">
        <v>878941009815</v>
      </c>
      <c r="C90" s="11" t="s">
        <v>197</v>
      </c>
      <c r="D90" s="12" t="s">
        <v>321</v>
      </c>
      <c r="E90" s="42">
        <v>6</v>
      </c>
      <c r="F90" s="42">
        <v>4.0842968969366671E-2</v>
      </c>
      <c r="G90" s="45" t="s">
        <v>346</v>
      </c>
      <c r="H90" s="13">
        <v>7.0025339999999989</v>
      </c>
      <c r="I90" s="14"/>
      <c r="J90" s="48">
        <f t="shared" si="11"/>
        <v>0</v>
      </c>
      <c r="K90" s="15"/>
      <c r="M90" s="27" t="str">
        <f t="shared" si="12"/>
        <v>-</v>
      </c>
      <c r="N90" s="27" t="str">
        <f t="shared" si="13"/>
        <v>-</v>
      </c>
      <c r="O90" s="28" t="str">
        <f t="shared" si="14"/>
        <v>-</v>
      </c>
      <c r="P90" s="29" t="str">
        <f t="shared" si="15"/>
        <v>-</v>
      </c>
      <c r="Q90"/>
      <c r="R90" s="29" t="str">
        <f t="shared" si="10"/>
        <v>-</v>
      </c>
    </row>
    <row r="91" spans="1:18" s="16" customFormat="1" ht="14.4" x14ac:dyDescent="0.3">
      <c r="A91" s="34" t="s">
        <v>134</v>
      </c>
      <c r="B91" s="10">
        <v>878941009129</v>
      </c>
      <c r="C91" s="11" t="s">
        <v>135</v>
      </c>
      <c r="D91" s="12" t="s">
        <v>322</v>
      </c>
      <c r="E91" s="42">
        <v>12</v>
      </c>
      <c r="F91" s="42">
        <v>0.23167230297750002</v>
      </c>
      <c r="G91" s="45" t="s">
        <v>346</v>
      </c>
      <c r="H91" s="13">
        <v>23.115896999999997</v>
      </c>
      <c r="I91" s="14"/>
      <c r="J91" s="48">
        <f t="shared" si="11"/>
        <v>0</v>
      </c>
      <c r="K91" s="15"/>
      <c r="M91" s="27" t="str">
        <f t="shared" si="12"/>
        <v>-</v>
      </c>
      <c r="N91" s="27" t="str">
        <f t="shared" si="13"/>
        <v>-</v>
      </c>
      <c r="O91" s="28" t="str">
        <f t="shared" si="14"/>
        <v>-</v>
      </c>
      <c r="P91" s="29" t="str">
        <f t="shared" si="15"/>
        <v>-</v>
      </c>
      <c r="Q91"/>
      <c r="R91" s="29" t="str">
        <f t="shared" si="10"/>
        <v>-</v>
      </c>
    </row>
    <row r="92" spans="1:18" s="16" customFormat="1" ht="14.4" x14ac:dyDescent="0.3">
      <c r="A92" s="34" t="s">
        <v>132</v>
      </c>
      <c r="B92" s="10">
        <v>878941009136</v>
      </c>
      <c r="C92" s="11" t="s">
        <v>133</v>
      </c>
      <c r="D92" s="12" t="s">
        <v>322</v>
      </c>
      <c r="E92" s="42">
        <v>12</v>
      </c>
      <c r="F92" s="42">
        <v>0.38097223156300003</v>
      </c>
      <c r="G92" s="45" t="s">
        <v>346</v>
      </c>
      <c r="H92" s="13">
        <v>23.115896999999997</v>
      </c>
      <c r="I92" s="14"/>
      <c r="J92" s="48">
        <f t="shared" si="11"/>
        <v>0</v>
      </c>
      <c r="K92" s="15"/>
      <c r="M92" s="27" t="str">
        <f t="shared" si="12"/>
        <v>-</v>
      </c>
      <c r="N92" s="27" t="str">
        <f t="shared" si="13"/>
        <v>-</v>
      </c>
      <c r="O92" s="28" t="str">
        <f t="shared" si="14"/>
        <v>-</v>
      </c>
      <c r="P92" s="29" t="str">
        <f t="shared" si="15"/>
        <v>-</v>
      </c>
      <c r="Q92"/>
      <c r="R92" s="29" t="str">
        <f t="shared" si="10"/>
        <v>-</v>
      </c>
    </row>
    <row r="93" spans="1:18" s="16" customFormat="1" ht="14.4" x14ac:dyDescent="0.3">
      <c r="A93" s="34" t="s">
        <v>120</v>
      </c>
      <c r="B93" s="10">
        <v>878941008900</v>
      </c>
      <c r="C93" s="11" t="s">
        <v>136</v>
      </c>
      <c r="D93" s="12" t="s">
        <v>323</v>
      </c>
      <c r="E93" s="42">
        <v>6</v>
      </c>
      <c r="F93" s="42">
        <v>0.17504129558300002</v>
      </c>
      <c r="G93" s="45" t="s">
        <v>346</v>
      </c>
      <c r="H93" s="13">
        <v>18.247256999999994</v>
      </c>
      <c r="I93" s="14"/>
      <c r="J93" s="48">
        <f t="shared" si="11"/>
        <v>0</v>
      </c>
      <c r="K93" s="15"/>
      <c r="M93" s="27" t="str">
        <f t="shared" si="12"/>
        <v>-</v>
      </c>
      <c r="N93" s="27" t="str">
        <f t="shared" si="13"/>
        <v>-</v>
      </c>
      <c r="O93" s="28" t="str">
        <f t="shared" si="14"/>
        <v>-</v>
      </c>
      <c r="P93" s="29" t="str">
        <f t="shared" si="15"/>
        <v>-</v>
      </c>
      <c r="Q93"/>
      <c r="R93" s="29" t="str">
        <f t="shared" si="10"/>
        <v>-</v>
      </c>
    </row>
    <row r="94" spans="1:18" s="16" customFormat="1" ht="14.4" x14ac:dyDescent="0.3">
      <c r="A94" s="34" t="s">
        <v>130</v>
      </c>
      <c r="B94" s="10">
        <v>878941008924</v>
      </c>
      <c r="C94" s="11" t="s">
        <v>137</v>
      </c>
      <c r="D94" s="12" t="s">
        <v>324</v>
      </c>
      <c r="E94" s="42">
        <v>12</v>
      </c>
      <c r="F94" s="42">
        <v>0.18533784238200002</v>
      </c>
      <c r="G94" s="45" t="s">
        <v>346</v>
      </c>
      <c r="H94" s="13">
        <v>23.115896999999997</v>
      </c>
      <c r="I94" s="14"/>
      <c r="J94" s="48">
        <f t="shared" si="11"/>
        <v>0</v>
      </c>
      <c r="K94" s="15"/>
      <c r="M94" s="27" t="str">
        <f t="shared" si="12"/>
        <v>-</v>
      </c>
      <c r="N94" s="27" t="str">
        <f t="shared" si="13"/>
        <v>-</v>
      </c>
      <c r="O94" s="28" t="str">
        <f t="shared" si="14"/>
        <v>-</v>
      </c>
      <c r="P94" s="29" t="str">
        <f t="shared" si="15"/>
        <v>-</v>
      </c>
      <c r="Q94"/>
      <c r="R94" s="29" t="str">
        <f t="shared" si="10"/>
        <v>-</v>
      </c>
    </row>
    <row r="95" spans="1:18" s="16" customFormat="1" ht="14.4" x14ac:dyDescent="0.3">
      <c r="A95" s="34" t="s">
        <v>70</v>
      </c>
      <c r="B95" s="10">
        <v>878941000201</v>
      </c>
      <c r="C95" s="11" t="s">
        <v>198</v>
      </c>
      <c r="D95" s="12" t="s">
        <v>325</v>
      </c>
      <c r="E95" s="42">
        <v>12</v>
      </c>
      <c r="F95" s="42">
        <v>0.6950169089324999</v>
      </c>
      <c r="G95" s="45" t="s">
        <v>346</v>
      </c>
      <c r="H95" s="13">
        <v>9.1185569999999991</v>
      </c>
      <c r="I95" s="14"/>
      <c r="J95" s="48">
        <f t="shared" si="11"/>
        <v>0</v>
      </c>
      <c r="K95" s="15"/>
      <c r="M95" s="27" t="str">
        <f t="shared" si="12"/>
        <v>-</v>
      </c>
      <c r="N95" s="27" t="str">
        <f t="shared" si="13"/>
        <v>-</v>
      </c>
      <c r="O95" s="28" t="str">
        <f t="shared" si="14"/>
        <v>-</v>
      </c>
      <c r="P95" s="29" t="str">
        <f t="shared" si="15"/>
        <v>-</v>
      </c>
      <c r="Q95"/>
      <c r="R95" s="29" t="str">
        <f t="shared" si="10"/>
        <v>-</v>
      </c>
    </row>
    <row r="96" spans="1:18" s="16" customFormat="1" ht="14.4" x14ac:dyDescent="0.3">
      <c r="A96" s="34" t="s">
        <v>199</v>
      </c>
      <c r="B96" s="10">
        <v>878941009693</v>
      </c>
      <c r="C96" s="11" t="s">
        <v>200</v>
      </c>
      <c r="D96" s="12" t="s">
        <v>310</v>
      </c>
      <c r="E96" s="42">
        <v>6</v>
      </c>
      <c r="F96" s="42">
        <v>0.5675</v>
      </c>
      <c r="G96" s="45" t="s">
        <v>346</v>
      </c>
      <c r="H96" s="13">
        <v>30.418856999999996</v>
      </c>
      <c r="I96" s="14"/>
      <c r="J96" s="48">
        <f t="shared" si="11"/>
        <v>0</v>
      </c>
      <c r="K96" s="15"/>
      <c r="M96" s="27" t="str">
        <f t="shared" si="12"/>
        <v>-</v>
      </c>
      <c r="N96" s="27" t="str">
        <f t="shared" si="13"/>
        <v>-</v>
      </c>
      <c r="O96" s="28" t="str">
        <f t="shared" si="14"/>
        <v>-</v>
      </c>
      <c r="P96" s="29" t="str">
        <f t="shared" si="15"/>
        <v>-</v>
      </c>
      <c r="Q96"/>
      <c r="R96" s="29" t="str">
        <f t="shared" si="10"/>
        <v>-</v>
      </c>
    </row>
    <row r="97" spans="1:18" s="16" customFormat="1" ht="14.4" x14ac:dyDescent="0.3">
      <c r="A97" s="34" t="s">
        <v>201</v>
      </c>
      <c r="B97" s="10">
        <v>810201740083</v>
      </c>
      <c r="C97" s="11" t="s">
        <v>202</v>
      </c>
      <c r="D97" s="12" t="s">
        <v>326</v>
      </c>
      <c r="E97" s="42"/>
      <c r="F97" s="42">
        <v>0.29510000000000003</v>
      </c>
      <c r="G97" s="45" t="s">
        <v>346</v>
      </c>
      <c r="H97" s="13">
        <v>15.204357</v>
      </c>
      <c r="I97" s="14"/>
      <c r="J97" s="48">
        <f t="shared" si="11"/>
        <v>0</v>
      </c>
      <c r="K97" s="15"/>
      <c r="M97" s="27" t="str">
        <f t="shared" si="12"/>
        <v>-</v>
      </c>
      <c r="N97" s="27" t="str">
        <f t="shared" si="13"/>
        <v>-</v>
      </c>
      <c r="O97" s="28" t="str">
        <f t="shared" si="14"/>
        <v>-</v>
      </c>
      <c r="P97" s="29" t="str">
        <f t="shared" si="15"/>
        <v>-</v>
      </c>
      <c r="Q97"/>
      <c r="R97" s="29" t="str">
        <f t="shared" si="10"/>
        <v>-</v>
      </c>
    </row>
    <row r="98" spans="1:18" s="16" customFormat="1" ht="14.4" x14ac:dyDescent="0.3">
      <c r="A98" s="34" t="s">
        <v>203</v>
      </c>
      <c r="B98" s="10">
        <v>810201740090</v>
      </c>
      <c r="C98" s="11" t="s">
        <v>202</v>
      </c>
      <c r="D98" s="12" t="s">
        <v>327</v>
      </c>
      <c r="E98" s="42"/>
      <c r="F98" s="42">
        <v>0.35185</v>
      </c>
      <c r="G98" s="45" t="s">
        <v>346</v>
      </c>
      <c r="H98" s="13">
        <v>15.204357</v>
      </c>
      <c r="I98" s="14"/>
      <c r="J98" s="48">
        <f t="shared" si="11"/>
        <v>0</v>
      </c>
      <c r="K98" s="15"/>
      <c r="M98" s="27" t="str">
        <f t="shared" si="12"/>
        <v>-</v>
      </c>
      <c r="N98" s="27" t="str">
        <f t="shared" si="13"/>
        <v>-</v>
      </c>
      <c r="O98" s="28" t="str">
        <f t="shared" si="14"/>
        <v>-</v>
      </c>
      <c r="P98" s="29" t="str">
        <f t="shared" si="15"/>
        <v>-</v>
      </c>
      <c r="Q98"/>
      <c r="R98" s="29" t="str">
        <f t="shared" si="10"/>
        <v>-</v>
      </c>
    </row>
    <row r="99" spans="1:18" s="16" customFormat="1" ht="14.4" x14ac:dyDescent="0.3">
      <c r="A99" s="34" t="s">
        <v>204</v>
      </c>
      <c r="B99" s="10">
        <v>810201740106</v>
      </c>
      <c r="C99" s="11" t="s">
        <v>202</v>
      </c>
      <c r="D99" s="12" t="s">
        <v>327</v>
      </c>
      <c r="E99" s="42"/>
      <c r="F99" s="42">
        <v>0.35185</v>
      </c>
      <c r="G99" s="45" t="s">
        <v>346</v>
      </c>
      <c r="H99" s="13">
        <v>15.204357</v>
      </c>
      <c r="I99" s="14"/>
      <c r="J99" s="48">
        <f t="shared" ref="J99:J130" si="16">I99*H99</f>
        <v>0</v>
      </c>
      <c r="K99" s="15"/>
      <c r="M99" s="27" t="str">
        <f t="shared" ref="M99:M128" si="17">IFERROR(IF($M$2*F99=0, "-", $M$2*F99), "-")</f>
        <v>-</v>
      </c>
      <c r="N99" s="27" t="str">
        <f t="shared" si="13"/>
        <v>-</v>
      </c>
      <c r="O99" s="28" t="str">
        <f t="shared" ref="O99:O128" si="18">IF(I99&gt;0,I99*F99, "-")</f>
        <v>-</v>
      </c>
      <c r="P99" s="29" t="str">
        <f t="shared" ref="P99:P128" si="19">IFERROR(IF($M$2&gt;0, $M$2*O99, "-"), "-")</f>
        <v>-</v>
      </c>
      <c r="Q99"/>
      <c r="R99" s="29" t="str">
        <f t="shared" si="10"/>
        <v>-</v>
      </c>
    </row>
    <row r="100" spans="1:18" s="16" customFormat="1" ht="14.4" x14ac:dyDescent="0.3">
      <c r="A100" s="34" t="s">
        <v>18</v>
      </c>
      <c r="B100" s="10">
        <v>878941007088</v>
      </c>
      <c r="C100" s="11" t="s">
        <v>205</v>
      </c>
      <c r="D100" s="12" t="s">
        <v>306</v>
      </c>
      <c r="E100" s="42">
        <v>12</v>
      </c>
      <c r="F100" s="42">
        <v>0.41186187195999996</v>
      </c>
      <c r="G100" s="45" t="s">
        <v>346</v>
      </c>
      <c r="H100" s="13">
        <v>18.247256999999994</v>
      </c>
      <c r="I100" s="14"/>
      <c r="J100" s="48">
        <f t="shared" si="16"/>
        <v>0</v>
      </c>
      <c r="K100" s="15"/>
      <c r="M100" s="27" t="str">
        <f t="shared" si="17"/>
        <v>-</v>
      </c>
      <c r="N100" s="27" t="str">
        <f t="shared" si="13"/>
        <v>-</v>
      </c>
      <c r="O100" s="28" t="str">
        <f t="shared" si="18"/>
        <v>-</v>
      </c>
      <c r="P100" s="29" t="str">
        <f t="shared" si="19"/>
        <v>-</v>
      </c>
      <c r="Q100"/>
      <c r="R100" s="29" t="str">
        <f t="shared" si="10"/>
        <v>-</v>
      </c>
    </row>
    <row r="101" spans="1:18" s="16" customFormat="1" ht="14.4" x14ac:dyDescent="0.3">
      <c r="A101" s="34" t="s">
        <v>206</v>
      </c>
      <c r="B101" s="10">
        <v>878941007439</v>
      </c>
      <c r="C101" s="11" t="s">
        <v>205</v>
      </c>
      <c r="D101" s="12" t="s">
        <v>306</v>
      </c>
      <c r="E101" s="42">
        <v>12</v>
      </c>
      <c r="F101" s="42">
        <v>0.3861205049625</v>
      </c>
      <c r="G101" s="45" t="s">
        <v>346</v>
      </c>
      <c r="H101" s="13">
        <v>18.247256999999994</v>
      </c>
      <c r="I101" s="14"/>
      <c r="J101" s="48">
        <f t="shared" si="16"/>
        <v>0</v>
      </c>
      <c r="K101" s="15"/>
      <c r="M101" s="27" t="str">
        <f t="shared" si="17"/>
        <v>-</v>
      </c>
      <c r="N101" s="27" t="str">
        <f t="shared" si="13"/>
        <v>-</v>
      </c>
      <c r="O101" s="28" t="str">
        <f t="shared" si="18"/>
        <v>-</v>
      </c>
      <c r="P101" s="29" t="str">
        <f t="shared" si="19"/>
        <v>-</v>
      </c>
      <c r="Q101"/>
      <c r="R101" s="29" t="str">
        <f t="shared" si="10"/>
        <v>-</v>
      </c>
    </row>
    <row r="102" spans="1:18" s="16" customFormat="1" ht="14.4" x14ac:dyDescent="0.3">
      <c r="A102" s="34" t="s">
        <v>23</v>
      </c>
      <c r="B102" s="10">
        <v>878941000119</v>
      </c>
      <c r="C102" s="11" t="s">
        <v>207</v>
      </c>
      <c r="D102" s="12" t="s">
        <v>303</v>
      </c>
      <c r="E102" s="42">
        <v>12</v>
      </c>
      <c r="F102" s="42">
        <v>0.18018956898250002</v>
      </c>
      <c r="G102" s="45" t="s">
        <v>346</v>
      </c>
      <c r="H102" s="13">
        <v>15.812936999999998</v>
      </c>
      <c r="I102" s="14"/>
      <c r="J102" s="48">
        <f t="shared" si="16"/>
        <v>0</v>
      </c>
      <c r="K102" s="15"/>
      <c r="M102" s="27" t="str">
        <f t="shared" si="17"/>
        <v>-</v>
      </c>
      <c r="N102" s="27" t="str">
        <f t="shared" si="13"/>
        <v>-</v>
      </c>
      <c r="O102" s="28" t="str">
        <f t="shared" si="18"/>
        <v>-</v>
      </c>
      <c r="P102" s="29" t="str">
        <f t="shared" si="19"/>
        <v>-</v>
      </c>
      <c r="Q102"/>
      <c r="R102" s="29" t="str">
        <f t="shared" si="10"/>
        <v>-</v>
      </c>
    </row>
    <row r="103" spans="1:18" s="16" customFormat="1" ht="14.4" x14ac:dyDescent="0.3">
      <c r="A103" s="34" t="s">
        <v>21</v>
      </c>
      <c r="B103" s="10">
        <v>878941000584</v>
      </c>
      <c r="C103" s="11" t="s">
        <v>208</v>
      </c>
      <c r="D103" s="12" t="s">
        <v>306</v>
      </c>
      <c r="E103" s="42">
        <v>6</v>
      </c>
      <c r="F103" s="42">
        <v>0.15444820198500003</v>
      </c>
      <c r="G103" s="45" t="s">
        <v>346</v>
      </c>
      <c r="H103" s="13">
        <v>13.378617</v>
      </c>
      <c r="I103" s="14"/>
      <c r="J103" s="48">
        <f t="shared" si="16"/>
        <v>0</v>
      </c>
      <c r="K103" s="15"/>
      <c r="M103" s="27" t="str">
        <f t="shared" si="17"/>
        <v>-</v>
      </c>
      <c r="N103" s="27" t="str">
        <f t="shared" si="13"/>
        <v>-</v>
      </c>
      <c r="O103" s="28" t="str">
        <f t="shared" si="18"/>
        <v>-</v>
      </c>
      <c r="P103" s="29" t="str">
        <f t="shared" si="19"/>
        <v>-</v>
      </c>
      <c r="Q103"/>
      <c r="R103" s="29" t="str">
        <f t="shared" si="10"/>
        <v>-</v>
      </c>
    </row>
    <row r="104" spans="1:18" s="16" customFormat="1" ht="14.4" x14ac:dyDescent="0.3">
      <c r="A104" s="34" t="s">
        <v>25</v>
      </c>
      <c r="B104" s="10">
        <v>878941004124</v>
      </c>
      <c r="C104" s="11" t="s">
        <v>210</v>
      </c>
      <c r="D104" s="12" t="s">
        <v>317</v>
      </c>
      <c r="E104" s="42">
        <v>14</v>
      </c>
      <c r="F104" s="42">
        <v>0.56631007394499999</v>
      </c>
      <c r="G104" s="45" t="s">
        <v>346</v>
      </c>
      <c r="H104" s="13">
        <v>34.384769999999989</v>
      </c>
      <c r="I104" s="14"/>
      <c r="J104" s="48">
        <f t="shared" si="16"/>
        <v>0</v>
      </c>
      <c r="K104" s="15"/>
      <c r="M104" s="27" t="str">
        <f t="shared" si="17"/>
        <v>-</v>
      </c>
      <c r="N104" s="27" t="str">
        <f t="shared" si="13"/>
        <v>-</v>
      </c>
      <c r="O104" s="28" t="str">
        <f t="shared" si="18"/>
        <v>-</v>
      </c>
      <c r="P104" s="29" t="str">
        <f t="shared" si="19"/>
        <v>-</v>
      </c>
      <c r="Q104"/>
      <c r="R104" s="29" t="str">
        <f t="shared" si="10"/>
        <v>-</v>
      </c>
    </row>
    <row r="105" spans="1:18" s="16" customFormat="1" ht="14.4" x14ac:dyDescent="0.3">
      <c r="A105" s="34" t="s">
        <v>26</v>
      </c>
      <c r="B105" s="10">
        <v>878941004148</v>
      </c>
      <c r="C105" s="11" t="s">
        <v>211</v>
      </c>
      <c r="D105" s="12" t="s">
        <v>317</v>
      </c>
      <c r="E105" s="42">
        <v>14</v>
      </c>
      <c r="F105" s="42">
        <v>0.56631007394499999</v>
      </c>
      <c r="G105" s="45" t="s">
        <v>346</v>
      </c>
      <c r="H105" s="13">
        <v>34.384769999999989</v>
      </c>
      <c r="I105" s="14"/>
      <c r="J105" s="48">
        <f t="shared" si="16"/>
        <v>0</v>
      </c>
      <c r="K105" s="15"/>
      <c r="M105" s="27" t="str">
        <f t="shared" si="17"/>
        <v>-</v>
      </c>
      <c r="N105" s="27" t="str">
        <f t="shared" si="13"/>
        <v>-</v>
      </c>
      <c r="O105" s="28" t="str">
        <f t="shared" si="18"/>
        <v>-</v>
      </c>
      <c r="P105" s="29" t="str">
        <f t="shared" si="19"/>
        <v>-</v>
      </c>
      <c r="Q105"/>
      <c r="R105" s="29" t="str">
        <f t="shared" si="10"/>
        <v>-</v>
      </c>
    </row>
    <row r="106" spans="1:18" s="16" customFormat="1" ht="14.4" x14ac:dyDescent="0.3">
      <c r="A106" s="34" t="s">
        <v>212</v>
      </c>
      <c r="B106" s="10">
        <v>878941009495</v>
      </c>
      <c r="C106" s="11" t="s">
        <v>213</v>
      </c>
      <c r="D106" s="12" t="s">
        <v>322</v>
      </c>
      <c r="E106" s="42">
        <v>3</v>
      </c>
      <c r="F106" s="42">
        <v>0.35185</v>
      </c>
      <c r="G106" s="45" t="s">
        <v>346</v>
      </c>
      <c r="H106" s="13">
        <v>21.290156999999997</v>
      </c>
      <c r="I106" s="14"/>
      <c r="J106" s="48">
        <f t="shared" si="16"/>
        <v>0</v>
      </c>
      <c r="K106" s="15"/>
      <c r="M106" s="27" t="str">
        <f t="shared" si="17"/>
        <v>-</v>
      </c>
      <c r="N106" s="27" t="str">
        <f t="shared" si="13"/>
        <v>-</v>
      </c>
      <c r="O106" s="28" t="str">
        <f t="shared" si="18"/>
        <v>-</v>
      </c>
      <c r="P106" s="29" t="str">
        <f t="shared" si="19"/>
        <v>-</v>
      </c>
      <c r="Q106"/>
      <c r="R106" s="29" t="str">
        <f t="shared" si="10"/>
        <v>-</v>
      </c>
    </row>
    <row r="107" spans="1:18" s="16" customFormat="1" ht="14.4" x14ac:dyDescent="0.3">
      <c r="A107" s="34" t="s">
        <v>214</v>
      </c>
      <c r="B107" s="10">
        <v>878941009518</v>
      </c>
      <c r="C107" s="11" t="s">
        <v>213</v>
      </c>
      <c r="D107" s="12" t="s">
        <v>322</v>
      </c>
      <c r="E107" s="42">
        <v>3</v>
      </c>
      <c r="F107" s="42">
        <v>0.35185</v>
      </c>
      <c r="G107" s="45" t="s">
        <v>346</v>
      </c>
      <c r="H107" s="13">
        <v>21.290156999999997</v>
      </c>
      <c r="I107" s="14"/>
      <c r="J107" s="48">
        <f t="shared" si="16"/>
        <v>0</v>
      </c>
      <c r="K107" s="15"/>
      <c r="M107" s="27" t="str">
        <f t="shared" si="17"/>
        <v>-</v>
      </c>
      <c r="N107" s="27" t="str">
        <f t="shared" si="13"/>
        <v>-</v>
      </c>
      <c r="O107" s="28" t="str">
        <f t="shared" si="18"/>
        <v>-</v>
      </c>
      <c r="P107" s="29" t="str">
        <f t="shared" si="19"/>
        <v>-</v>
      </c>
      <c r="Q107"/>
      <c r="R107" s="29" t="str">
        <f t="shared" si="10"/>
        <v>-</v>
      </c>
    </row>
    <row r="108" spans="1:18" s="16" customFormat="1" ht="14.4" x14ac:dyDescent="0.3">
      <c r="A108" s="34" t="s">
        <v>215</v>
      </c>
      <c r="B108" s="10">
        <v>878941009471</v>
      </c>
      <c r="C108" s="11" t="s">
        <v>213</v>
      </c>
      <c r="D108" s="12" t="s">
        <v>322</v>
      </c>
      <c r="E108" s="42">
        <v>3</v>
      </c>
      <c r="F108" s="42">
        <v>0.35185</v>
      </c>
      <c r="G108" s="45" t="s">
        <v>346</v>
      </c>
      <c r="H108" s="13">
        <v>21.290156999999997</v>
      </c>
      <c r="I108" s="14"/>
      <c r="J108" s="48">
        <f t="shared" si="16"/>
        <v>0</v>
      </c>
      <c r="K108" s="15"/>
      <c r="M108" s="27" t="str">
        <f t="shared" si="17"/>
        <v>-</v>
      </c>
      <c r="N108" s="27" t="str">
        <f t="shared" si="13"/>
        <v>-</v>
      </c>
      <c r="O108" s="28" t="str">
        <f t="shared" si="18"/>
        <v>-</v>
      </c>
      <c r="P108" s="29" t="str">
        <f t="shared" si="19"/>
        <v>-</v>
      </c>
      <c r="Q108"/>
      <c r="R108" s="29" t="str">
        <f t="shared" si="10"/>
        <v>-</v>
      </c>
    </row>
    <row r="109" spans="1:18" s="16" customFormat="1" ht="14.4" x14ac:dyDescent="0.3">
      <c r="A109" s="34" t="s">
        <v>216</v>
      </c>
      <c r="B109" s="10">
        <v>878941009891</v>
      </c>
      <c r="C109" s="11" t="s">
        <v>217</v>
      </c>
      <c r="D109" s="12" t="s">
        <v>321</v>
      </c>
      <c r="E109" s="42"/>
      <c r="F109" s="42">
        <v>0.35185</v>
      </c>
      <c r="G109" s="45" t="s">
        <v>346</v>
      </c>
      <c r="H109" s="13">
        <v>9.5537399999999995</v>
      </c>
      <c r="I109" s="14"/>
      <c r="J109" s="48">
        <f t="shared" si="16"/>
        <v>0</v>
      </c>
      <c r="K109" s="15"/>
      <c r="M109" s="27" t="str">
        <f t="shared" si="17"/>
        <v>-</v>
      </c>
      <c r="N109" s="27" t="str">
        <f t="shared" si="13"/>
        <v>-</v>
      </c>
      <c r="O109" s="28" t="str">
        <f t="shared" si="18"/>
        <v>-</v>
      </c>
      <c r="P109" s="29" t="str">
        <f t="shared" si="19"/>
        <v>-</v>
      </c>
      <c r="Q109"/>
      <c r="R109" s="29" t="str">
        <f t="shared" si="10"/>
        <v>-</v>
      </c>
    </row>
    <row r="110" spans="1:18" s="16" customFormat="1" ht="14.4" x14ac:dyDescent="0.3">
      <c r="A110" s="34" t="s">
        <v>34</v>
      </c>
      <c r="B110" s="10">
        <v>878941005596</v>
      </c>
      <c r="C110" s="11" t="s">
        <v>219</v>
      </c>
      <c r="D110" s="12" t="s">
        <v>328</v>
      </c>
      <c r="E110" s="42">
        <v>6</v>
      </c>
      <c r="F110" s="42">
        <v>0.37582395816350006</v>
      </c>
      <c r="G110" s="45" t="s">
        <v>346</v>
      </c>
      <c r="H110" s="13">
        <v>24.333056999999993</v>
      </c>
      <c r="I110" s="14"/>
      <c r="J110" s="48">
        <f t="shared" si="16"/>
        <v>0</v>
      </c>
      <c r="K110" s="15"/>
      <c r="M110" s="27" t="str">
        <f t="shared" si="17"/>
        <v>-</v>
      </c>
      <c r="N110" s="27" t="str">
        <f t="shared" si="13"/>
        <v>-</v>
      </c>
      <c r="O110" s="28" t="str">
        <f t="shared" si="18"/>
        <v>-</v>
      </c>
      <c r="P110" s="29" t="str">
        <f t="shared" si="19"/>
        <v>-</v>
      </c>
      <c r="Q110"/>
      <c r="R110" s="29" t="str">
        <f t="shared" si="10"/>
        <v>-</v>
      </c>
    </row>
    <row r="111" spans="1:18" s="16" customFormat="1" ht="14.4" x14ac:dyDescent="0.3">
      <c r="A111" s="34" t="s">
        <v>128</v>
      </c>
      <c r="B111" s="10">
        <v>878941009105</v>
      </c>
      <c r="C111" s="11" t="s">
        <v>218</v>
      </c>
      <c r="D111" s="12" t="s">
        <v>328</v>
      </c>
      <c r="E111" s="42">
        <v>6</v>
      </c>
      <c r="F111" s="42">
        <v>0.37582395816350006</v>
      </c>
      <c r="G111" s="45" t="s">
        <v>346</v>
      </c>
      <c r="H111" s="13">
        <v>24.333056999999993</v>
      </c>
      <c r="I111" s="14"/>
      <c r="J111" s="48">
        <f t="shared" si="16"/>
        <v>0</v>
      </c>
      <c r="K111" s="15"/>
      <c r="M111" s="27" t="str">
        <f t="shared" si="17"/>
        <v>-</v>
      </c>
      <c r="N111" s="27" t="str">
        <f t="shared" si="13"/>
        <v>-</v>
      </c>
      <c r="O111" s="28" t="str">
        <f t="shared" si="18"/>
        <v>-</v>
      </c>
      <c r="P111" s="29" t="str">
        <f t="shared" si="19"/>
        <v>-</v>
      </c>
      <c r="Q111"/>
      <c r="R111" s="29" t="str">
        <f t="shared" si="10"/>
        <v>-</v>
      </c>
    </row>
    <row r="112" spans="1:18" s="16" customFormat="1" ht="14.4" x14ac:dyDescent="0.3">
      <c r="A112" s="34" t="s">
        <v>129</v>
      </c>
      <c r="B112" s="10">
        <v>878941009112</v>
      </c>
      <c r="C112" s="11" t="s">
        <v>218</v>
      </c>
      <c r="D112" s="12" t="s">
        <v>328</v>
      </c>
      <c r="E112" s="42">
        <v>6</v>
      </c>
      <c r="F112" s="42">
        <v>0.37582395816350006</v>
      </c>
      <c r="G112" s="45" t="s">
        <v>346</v>
      </c>
      <c r="H112" s="13">
        <v>24.333056999999993</v>
      </c>
      <c r="I112" s="14"/>
      <c r="J112" s="48">
        <f t="shared" si="16"/>
        <v>0</v>
      </c>
      <c r="K112" s="15"/>
      <c r="M112" s="27" t="str">
        <f t="shared" si="17"/>
        <v>-</v>
      </c>
      <c r="N112" s="27" t="str">
        <f t="shared" si="13"/>
        <v>-</v>
      </c>
      <c r="O112" s="28" t="str">
        <f t="shared" si="18"/>
        <v>-</v>
      </c>
      <c r="P112" s="29" t="str">
        <f t="shared" si="19"/>
        <v>-</v>
      </c>
      <c r="Q112"/>
      <c r="R112" s="29" t="str">
        <f t="shared" si="10"/>
        <v>-</v>
      </c>
    </row>
    <row r="113" spans="1:18" s="16" customFormat="1" ht="14.4" x14ac:dyDescent="0.3">
      <c r="A113" s="34" t="s">
        <v>220</v>
      </c>
      <c r="B113" s="10">
        <v>878941009822</v>
      </c>
      <c r="C113" s="11" t="s">
        <v>221</v>
      </c>
      <c r="D113" s="12" t="s">
        <v>322</v>
      </c>
      <c r="E113" s="42">
        <v>3</v>
      </c>
      <c r="F113" s="42">
        <v>0.30645</v>
      </c>
      <c r="G113" s="45" t="s">
        <v>346</v>
      </c>
      <c r="H113" s="13">
        <v>21.290156999999997</v>
      </c>
      <c r="I113" s="14"/>
      <c r="J113" s="48">
        <f t="shared" si="16"/>
        <v>0</v>
      </c>
      <c r="K113" s="15"/>
      <c r="M113" s="27" t="str">
        <f t="shared" si="17"/>
        <v>-</v>
      </c>
      <c r="N113" s="27" t="str">
        <f t="shared" si="13"/>
        <v>-</v>
      </c>
      <c r="O113" s="28" t="str">
        <f t="shared" si="18"/>
        <v>-</v>
      </c>
      <c r="P113" s="29" t="str">
        <f t="shared" si="19"/>
        <v>-</v>
      </c>
      <c r="Q113"/>
      <c r="R113" s="29" t="str">
        <f t="shared" si="10"/>
        <v>-</v>
      </c>
    </row>
    <row r="114" spans="1:18" s="16" customFormat="1" ht="14.4" x14ac:dyDescent="0.3">
      <c r="A114" s="34" t="s">
        <v>222</v>
      </c>
      <c r="B114" s="10">
        <v>878941009839</v>
      </c>
      <c r="C114" s="11" t="s">
        <v>221</v>
      </c>
      <c r="D114" s="12" t="s">
        <v>322</v>
      </c>
      <c r="E114" s="42">
        <v>3</v>
      </c>
      <c r="F114" s="42">
        <v>0.30645</v>
      </c>
      <c r="G114" s="45" t="s">
        <v>346</v>
      </c>
      <c r="H114" s="13">
        <v>21.290156999999997</v>
      </c>
      <c r="I114" s="14"/>
      <c r="J114" s="48">
        <f t="shared" si="16"/>
        <v>0</v>
      </c>
      <c r="K114" s="15"/>
      <c r="M114" s="27" t="str">
        <f t="shared" si="17"/>
        <v>-</v>
      </c>
      <c r="N114" s="27" t="str">
        <f t="shared" si="13"/>
        <v>-</v>
      </c>
      <c r="O114" s="28" t="str">
        <f t="shared" si="18"/>
        <v>-</v>
      </c>
      <c r="P114" s="29" t="str">
        <f t="shared" si="19"/>
        <v>-</v>
      </c>
      <c r="Q114"/>
      <c r="R114" s="29" t="str">
        <f t="shared" si="10"/>
        <v>-</v>
      </c>
    </row>
    <row r="115" spans="1:18" s="16" customFormat="1" ht="14.4" x14ac:dyDescent="0.3">
      <c r="A115" s="34" t="s">
        <v>223</v>
      </c>
      <c r="B115" s="10">
        <v>878941009846</v>
      </c>
      <c r="C115" s="11" t="s">
        <v>221</v>
      </c>
      <c r="D115" s="12" t="s">
        <v>322</v>
      </c>
      <c r="E115" s="42">
        <v>3</v>
      </c>
      <c r="F115" s="42">
        <v>0.30645</v>
      </c>
      <c r="G115" s="45" t="s">
        <v>346</v>
      </c>
      <c r="H115" s="13">
        <v>21.290156999999997</v>
      </c>
      <c r="I115" s="14"/>
      <c r="J115" s="48">
        <f t="shared" si="16"/>
        <v>0</v>
      </c>
      <c r="K115" s="15"/>
      <c r="M115" s="27" t="str">
        <f t="shared" si="17"/>
        <v>-</v>
      </c>
      <c r="N115" s="27" t="str">
        <f t="shared" si="13"/>
        <v>-</v>
      </c>
      <c r="O115" s="28" t="str">
        <f t="shared" si="18"/>
        <v>-</v>
      </c>
      <c r="P115" s="29" t="str">
        <f t="shared" si="19"/>
        <v>-</v>
      </c>
      <c r="Q115"/>
      <c r="R115" s="29" t="str">
        <f t="shared" si="10"/>
        <v>-</v>
      </c>
    </row>
    <row r="116" spans="1:18" s="16" customFormat="1" ht="14.4" x14ac:dyDescent="0.3">
      <c r="A116" s="34" t="s">
        <v>224</v>
      </c>
      <c r="B116" s="10">
        <v>878941009853</v>
      </c>
      <c r="C116" s="11" t="s">
        <v>225</v>
      </c>
      <c r="D116" s="12" t="s">
        <v>321</v>
      </c>
      <c r="E116" s="42"/>
      <c r="F116" s="42">
        <v>0.35185</v>
      </c>
      <c r="G116" s="45" t="s">
        <v>346</v>
      </c>
      <c r="H116" s="13">
        <v>9.5537399999999995</v>
      </c>
      <c r="I116" s="14"/>
      <c r="J116" s="48">
        <f t="shared" si="16"/>
        <v>0</v>
      </c>
      <c r="K116" s="15"/>
      <c r="M116" s="27" t="str">
        <f t="shared" si="17"/>
        <v>-</v>
      </c>
      <c r="N116" s="27" t="str">
        <f t="shared" si="13"/>
        <v>-</v>
      </c>
      <c r="O116" s="28" t="str">
        <f t="shared" si="18"/>
        <v>-</v>
      </c>
      <c r="P116" s="29" t="str">
        <f t="shared" si="19"/>
        <v>-</v>
      </c>
      <c r="Q116"/>
      <c r="R116" s="29" t="str">
        <f t="shared" si="10"/>
        <v>-</v>
      </c>
    </row>
    <row r="117" spans="1:18" s="16" customFormat="1" ht="14.4" x14ac:dyDescent="0.3">
      <c r="A117" s="34" t="s">
        <v>35</v>
      </c>
      <c r="B117" s="10">
        <v>878941004483</v>
      </c>
      <c r="C117" s="11" t="s">
        <v>218</v>
      </c>
      <c r="D117" s="12" t="s">
        <v>306</v>
      </c>
      <c r="E117" s="42">
        <v>6</v>
      </c>
      <c r="F117" s="42">
        <v>0.15444820198500003</v>
      </c>
      <c r="G117" s="45" t="s">
        <v>346</v>
      </c>
      <c r="H117" s="13">
        <v>15.214499999999999</v>
      </c>
      <c r="I117" s="14"/>
      <c r="J117" s="48">
        <f t="shared" si="16"/>
        <v>0</v>
      </c>
      <c r="K117" s="15"/>
      <c r="M117" s="27" t="str">
        <f t="shared" si="17"/>
        <v>-</v>
      </c>
      <c r="N117" s="27" t="str">
        <f t="shared" si="13"/>
        <v>-</v>
      </c>
      <c r="O117" s="28" t="str">
        <f t="shared" si="18"/>
        <v>-</v>
      </c>
      <c r="P117" s="29" t="str">
        <f t="shared" si="19"/>
        <v>-</v>
      </c>
      <c r="Q117"/>
      <c r="R117" s="29" t="str">
        <f t="shared" si="10"/>
        <v>-</v>
      </c>
    </row>
    <row r="118" spans="1:18" s="16" customFormat="1" ht="14.4" x14ac:dyDescent="0.3">
      <c r="A118" s="34" t="s">
        <v>27</v>
      </c>
      <c r="B118" s="10">
        <v>878941003288</v>
      </c>
      <c r="C118" s="11" t="s">
        <v>226</v>
      </c>
      <c r="D118" s="12" t="s">
        <v>329</v>
      </c>
      <c r="E118" s="42">
        <v>6</v>
      </c>
      <c r="F118" s="42">
        <v>0.59205144094250006</v>
      </c>
      <c r="G118" s="45" t="s">
        <v>346</v>
      </c>
      <c r="H118" s="13">
        <v>36.504656999999995</v>
      </c>
      <c r="I118" s="14"/>
      <c r="J118" s="48">
        <f t="shared" si="16"/>
        <v>0</v>
      </c>
      <c r="K118" s="15"/>
      <c r="M118" s="27" t="str">
        <f t="shared" si="17"/>
        <v>-</v>
      </c>
      <c r="N118" s="27" t="str">
        <f t="shared" si="13"/>
        <v>-</v>
      </c>
      <c r="O118" s="28" t="str">
        <f t="shared" si="18"/>
        <v>-</v>
      </c>
      <c r="P118" s="29" t="str">
        <f t="shared" si="19"/>
        <v>-</v>
      </c>
      <c r="Q118"/>
      <c r="R118" s="29" t="str">
        <f t="shared" ref="R118:R131" si="20">IFERROR(IF(P118+J118=0, "-", IF(P118&gt;0, P118+J118, "-")), "-")</f>
        <v>-</v>
      </c>
    </row>
    <row r="119" spans="1:18" s="16" customFormat="1" ht="14.4" x14ac:dyDescent="0.3">
      <c r="A119" s="34" t="s">
        <v>28</v>
      </c>
      <c r="B119" s="10">
        <v>878941003295</v>
      </c>
      <c r="C119" s="11" t="s">
        <v>227</v>
      </c>
      <c r="D119" s="12" t="s">
        <v>330</v>
      </c>
      <c r="E119" s="42">
        <v>6</v>
      </c>
      <c r="F119" s="42">
        <v>0.66927554193500005</v>
      </c>
      <c r="G119" s="45" t="s">
        <v>346</v>
      </c>
      <c r="H119" s="13">
        <v>36.504656999999995</v>
      </c>
      <c r="I119" s="14"/>
      <c r="J119" s="48">
        <f t="shared" si="16"/>
        <v>0</v>
      </c>
      <c r="K119" s="15"/>
      <c r="M119" s="27" t="str">
        <f t="shared" si="17"/>
        <v>-</v>
      </c>
      <c r="N119" s="27" t="str">
        <f t="shared" si="13"/>
        <v>-</v>
      </c>
      <c r="O119" s="28" t="str">
        <f t="shared" si="18"/>
        <v>-</v>
      </c>
      <c r="P119" s="29" t="str">
        <f t="shared" si="19"/>
        <v>-</v>
      </c>
      <c r="Q119"/>
      <c r="R119" s="29" t="str">
        <f t="shared" si="20"/>
        <v>-</v>
      </c>
    </row>
    <row r="120" spans="1:18" s="16" customFormat="1" ht="14.4" x14ac:dyDescent="0.3">
      <c r="A120" s="34" t="s">
        <v>20</v>
      </c>
      <c r="B120" s="10">
        <v>878941001109</v>
      </c>
      <c r="C120" s="11" t="s">
        <v>228</v>
      </c>
      <c r="D120" s="12" t="s">
        <v>302</v>
      </c>
      <c r="E120" s="42">
        <v>12</v>
      </c>
      <c r="F120" s="42">
        <v>0.36037913796500004</v>
      </c>
      <c r="G120" s="45" t="s">
        <v>346</v>
      </c>
      <c r="H120" s="13">
        <v>15.812936999999998</v>
      </c>
      <c r="I120" s="14"/>
      <c r="J120" s="48">
        <f t="shared" si="16"/>
        <v>0</v>
      </c>
      <c r="K120" s="15"/>
      <c r="M120" s="27" t="str">
        <f t="shared" si="17"/>
        <v>-</v>
      </c>
      <c r="N120" s="27" t="str">
        <f t="shared" si="13"/>
        <v>-</v>
      </c>
      <c r="O120" s="28" t="str">
        <f t="shared" si="18"/>
        <v>-</v>
      </c>
      <c r="P120" s="29" t="str">
        <f t="shared" si="19"/>
        <v>-</v>
      </c>
      <c r="Q120"/>
      <c r="R120" s="29" t="str">
        <f t="shared" si="20"/>
        <v>-</v>
      </c>
    </row>
    <row r="121" spans="1:18" s="16" customFormat="1" ht="14.4" x14ac:dyDescent="0.3">
      <c r="A121" s="34" t="s">
        <v>144</v>
      </c>
      <c r="B121" s="10">
        <v>878941009341</v>
      </c>
      <c r="C121" s="11" t="s">
        <v>229</v>
      </c>
      <c r="D121" s="12" t="s">
        <v>320</v>
      </c>
      <c r="E121" s="42">
        <v>3</v>
      </c>
      <c r="F121" s="42">
        <v>0.33463777096750003</v>
      </c>
      <c r="G121" s="45" t="s">
        <v>346</v>
      </c>
      <c r="H121" s="13">
        <v>23.115896999999997</v>
      </c>
      <c r="I121" s="14"/>
      <c r="J121" s="48">
        <f t="shared" si="16"/>
        <v>0</v>
      </c>
      <c r="K121" s="15"/>
      <c r="M121" s="27" t="str">
        <f t="shared" si="17"/>
        <v>-</v>
      </c>
      <c r="N121" s="27" t="str">
        <f t="shared" si="13"/>
        <v>-</v>
      </c>
      <c r="O121" s="28" t="str">
        <f t="shared" si="18"/>
        <v>-</v>
      </c>
      <c r="P121" s="29" t="str">
        <f t="shared" si="19"/>
        <v>-</v>
      </c>
      <c r="Q121"/>
      <c r="R121" s="29" t="str">
        <f t="shared" si="20"/>
        <v>-</v>
      </c>
    </row>
    <row r="122" spans="1:18" s="16" customFormat="1" ht="14.4" x14ac:dyDescent="0.3">
      <c r="A122" s="34" t="s">
        <v>231</v>
      </c>
      <c r="B122" s="10">
        <v>878941009143</v>
      </c>
      <c r="C122" s="11" t="s">
        <v>232</v>
      </c>
      <c r="D122" s="12" t="s">
        <v>331</v>
      </c>
      <c r="E122" s="42">
        <v>6</v>
      </c>
      <c r="F122" s="42">
        <v>0.46334460595500004</v>
      </c>
      <c r="G122" s="45" t="s">
        <v>346</v>
      </c>
      <c r="H122" s="13">
        <v>24.333056999999993</v>
      </c>
      <c r="I122" s="14"/>
      <c r="J122" s="48">
        <f t="shared" si="16"/>
        <v>0</v>
      </c>
      <c r="K122" s="15"/>
      <c r="M122" s="27" t="str">
        <f t="shared" si="17"/>
        <v>-</v>
      </c>
      <c r="N122" s="27" t="str">
        <f t="shared" si="13"/>
        <v>-</v>
      </c>
      <c r="O122" s="28" t="str">
        <f t="shared" si="18"/>
        <v>-</v>
      </c>
      <c r="P122" s="29" t="str">
        <f t="shared" si="19"/>
        <v>-</v>
      </c>
      <c r="Q122"/>
      <c r="R122" s="29" t="str">
        <f t="shared" si="20"/>
        <v>-</v>
      </c>
    </row>
    <row r="123" spans="1:18" s="16" customFormat="1" ht="14.4" x14ac:dyDescent="0.3">
      <c r="A123" s="34" t="s">
        <v>233</v>
      </c>
      <c r="B123" s="10">
        <v>878941009150</v>
      </c>
      <c r="C123" s="11" t="s">
        <v>232</v>
      </c>
      <c r="D123" s="12" t="s">
        <v>331</v>
      </c>
      <c r="E123" s="42">
        <v>6</v>
      </c>
      <c r="F123" s="42">
        <v>0.46334460595500004</v>
      </c>
      <c r="G123" s="45" t="s">
        <v>346</v>
      </c>
      <c r="H123" s="13">
        <v>24.333056999999993</v>
      </c>
      <c r="I123" s="14"/>
      <c r="J123" s="48">
        <f t="shared" si="16"/>
        <v>0</v>
      </c>
      <c r="K123" s="15"/>
      <c r="M123" s="27" t="str">
        <f t="shared" si="17"/>
        <v>-</v>
      </c>
      <c r="N123" s="27" t="str">
        <f t="shared" si="13"/>
        <v>-</v>
      </c>
      <c r="O123" s="28" t="str">
        <f t="shared" si="18"/>
        <v>-</v>
      </c>
      <c r="P123" s="29" t="str">
        <f t="shared" si="19"/>
        <v>-</v>
      </c>
      <c r="Q123"/>
      <c r="R123" s="29" t="str">
        <f t="shared" si="20"/>
        <v>-</v>
      </c>
    </row>
    <row r="124" spans="1:18" s="16" customFormat="1" ht="14.4" x14ac:dyDescent="0.3">
      <c r="A124" s="34" t="s">
        <v>234</v>
      </c>
      <c r="B124" s="10">
        <v>878941009167</v>
      </c>
      <c r="C124" s="11" t="s">
        <v>232</v>
      </c>
      <c r="D124" s="12" t="s">
        <v>332</v>
      </c>
      <c r="E124" s="42">
        <v>6</v>
      </c>
      <c r="F124" s="42">
        <v>0.43760323895749997</v>
      </c>
      <c r="G124" s="45" t="s">
        <v>346</v>
      </c>
      <c r="H124" s="13">
        <v>24.333056999999993</v>
      </c>
      <c r="I124" s="14"/>
      <c r="J124" s="48">
        <f t="shared" si="16"/>
        <v>0</v>
      </c>
      <c r="K124" s="15"/>
      <c r="M124" s="27" t="str">
        <f t="shared" si="17"/>
        <v>-</v>
      </c>
      <c r="N124" s="27" t="str">
        <f t="shared" si="13"/>
        <v>-</v>
      </c>
      <c r="O124" s="28" t="str">
        <f t="shared" si="18"/>
        <v>-</v>
      </c>
      <c r="P124" s="29" t="str">
        <f t="shared" si="19"/>
        <v>-</v>
      </c>
      <c r="Q124"/>
      <c r="R124" s="29" t="str">
        <f t="shared" si="20"/>
        <v>-</v>
      </c>
    </row>
    <row r="125" spans="1:18" s="16" customFormat="1" ht="14.4" x14ac:dyDescent="0.3">
      <c r="A125" s="34" t="s">
        <v>235</v>
      </c>
      <c r="B125" s="10">
        <v>878941009174</v>
      </c>
      <c r="C125" s="11" t="s">
        <v>232</v>
      </c>
      <c r="D125" s="12" t="s">
        <v>332</v>
      </c>
      <c r="E125" s="42">
        <v>6</v>
      </c>
      <c r="F125" s="42">
        <v>0.43760323895749997</v>
      </c>
      <c r="G125" s="45" t="s">
        <v>346</v>
      </c>
      <c r="H125" s="13">
        <v>24.333056999999993</v>
      </c>
      <c r="I125" s="14"/>
      <c r="J125" s="48">
        <f t="shared" si="16"/>
        <v>0</v>
      </c>
      <c r="K125" s="15"/>
      <c r="M125" s="27" t="str">
        <f t="shared" si="17"/>
        <v>-</v>
      </c>
      <c r="N125" s="27" t="str">
        <f t="shared" si="13"/>
        <v>-</v>
      </c>
      <c r="O125" s="28" t="str">
        <f t="shared" si="18"/>
        <v>-</v>
      </c>
      <c r="P125" s="29" t="str">
        <f t="shared" si="19"/>
        <v>-</v>
      </c>
      <c r="Q125"/>
      <c r="R125" s="29" t="str">
        <f t="shared" si="20"/>
        <v>-</v>
      </c>
    </row>
    <row r="126" spans="1:18" s="16" customFormat="1" ht="14.4" x14ac:dyDescent="0.3">
      <c r="A126" s="34" t="s">
        <v>236</v>
      </c>
      <c r="B126" s="10">
        <v>878941009181</v>
      </c>
      <c r="C126" s="11" t="s">
        <v>232</v>
      </c>
      <c r="D126" s="12" t="s">
        <v>332</v>
      </c>
      <c r="E126" s="42">
        <v>6</v>
      </c>
      <c r="F126" s="42">
        <v>0.41186187195999996</v>
      </c>
      <c r="G126" s="45" t="s">
        <v>346</v>
      </c>
      <c r="H126" s="13">
        <v>24.333056999999993</v>
      </c>
      <c r="I126" s="14"/>
      <c r="J126" s="48">
        <f t="shared" si="16"/>
        <v>0</v>
      </c>
      <c r="K126" s="15"/>
      <c r="M126" s="27" t="str">
        <f t="shared" si="17"/>
        <v>-</v>
      </c>
      <c r="N126" s="27" t="str">
        <f t="shared" si="13"/>
        <v>-</v>
      </c>
      <c r="O126" s="28" t="str">
        <f t="shared" si="18"/>
        <v>-</v>
      </c>
      <c r="P126" s="29" t="str">
        <f t="shared" si="19"/>
        <v>-</v>
      </c>
      <c r="Q126"/>
      <c r="R126" s="29" t="str">
        <f t="shared" si="20"/>
        <v>-</v>
      </c>
    </row>
    <row r="127" spans="1:18" s="16" customFormat="1" ht="14.4" x14ac:dyDescent="0.3">
      <c r="A127" s="34" t="s">
        <v>237</v>
      </c>
      <c r="B127" s="10">
        <v>878941009433</v>
      </c>
      <c r="C127" s="11" t="s">
        <v>232</v>
      </c>
      <c r="D127" s="12" t="s">
        <v>333</v>
      </c>
      <c r="E127" s="42">
        <v>6</v>
      </c>
      <c r="F127" s="42">
        <v>0.44789978575649997</v>
      </c>
      <c r="G127" s="45" t="s">
        <v>346</v>
      </c>
      <c r="H127" s="13">
        <v>24.333056999999993</v>
      </c>
      <c r="I127" s="14"/>
      <c r="J127" s="48">
        <f t="shared" si="16"/>
        <v>0</v>
      </c>
      <c r="K127" s="15"/>
      <c r="M127" s="27" t="str">
        <f t="shared" si="17"/>
        <v>-</v>
      </c>
      <c r="N127" s="27" t="str">
        <f t="shared" si="13"/>
        <v>-</v>
      </c>
      <c r="O127" s="28" t="str">
        <f t="shared" si="18"/>
        <v>-</v>
      </c>
      <c r="P127" s="29" t="str">
        <f t="shared" si="19"/>
        <v>-</v>
      </c>
      <c r="Q127"/>
      <c r="R127" s="29" t="str">
        <f t="shared" si="20"/>
        <v>-</v>
      </c>
    </row>
    <row r="128" spans="1:18" s="16" customFormat="1" ht="14.4" x14ac:dyDescent="0.3">
      <c r="A128" s="34" t="s">
        <v>238</v>
      </c>
      <c r="B128" s="10">
        <v>878941009419</v>
      </c>
      <c r="C128" s="11" t="s">
        <v>239</v>
      </c>
      <c r="D128" s="12" t="s">
        <v>334</v>
      </c>
      <c r="E128" s="42">
        <v>6</v>
      </c>
      <c r="F128" s="42">
        <v>0.35185</v>
      </c>
      <c r="G128" s="45" t="s">
        <v>346</v>
      </c>
      <c r="H128" s="13">
        <v>9.5537399999999995</v>
      </c>
      <c r="I128" s="14"/>
      <c r="J128" s="48">
        <f t="shared" si="16"/>
        <v>0</v>
      </c>
      <c r="K128" s="15"/>
      <c r="M128" s="27" t="str">
        <f t="shared" si="17"/>
        <v>-</v>
      </c>
      <c r="N128" s="27" t="str">
        <f t="shared" si="13"/>
        <v>-</v>
      </c>
      <c r="O128" s="28" t="str">
        <f t="shared" si="18"/>
        <v>-</v>
      </c>
      <c r="P128" s="29" t="str">
        <f t="shared" si="19"/>
        <v>-</v>
      </c>
      <c r="Q128"/>
      <c r="R128" s="29" t="str">
        <f t="shared" si="20"/>
        <v>-</v>
      </c>
    </row>
    <row r="129" spans="1:18" s="16" customFormat="1" ht="14.4" x14ac:dyDescent="0.3">
      <c r="A129" s="34" t="s">
        <v>240</v>
      </c>
      <c r="B129" s="10">
        <v>878941009426</v>
      </c>
      <c r="C129" s="11" t="s">
        <v>241</v>
      </c>
      <c r="D129" s="12" t="s">
        <v>334</v>
      </c>
      <c r="E129" s="42">
        <v>6</v>
      </c>
      <c r="F129" s="42">
        <v>0.35185</v>
      </c>
      <c r="G129" s="45" t="s">
        <v>346</v>
      </c>
      <c r="H129" s="13">
        <v>9.5537399999999995</v>
      </c>
      <c r="I129" s="14"/>
      <c r="J129" s="48">
        <f t="shared" si="16"/>
        <v>0</v>
      </c>
      <c r="K129" s="15"/>
      <c r="M129" s="27" t="str">
        <f t="shared" ref="M129:M131" si="21">IFERROR(IF($M$2*F129=0, "-", $M$2*F129), "-")</f>
        <v>-</v>
      </c>
      <c r="N129" s="27" t="str">
        <f t="shared" ref="N129:N131" si="22">IFERROR(IF(M129&gt;0,H129+M129,"-"),"-")</f>
        <v>-</v>
      </c>
      <c r="O129" s="28" t="str">
        <f t="shared" ref="O129:O131" si="23">IF(I129&gt;0,I129*F129, "-")</f>
        <v>-</v>
      </c>
      <c r="P129" s="29" t="str">
        <f t="shared" ref="P129:P175" si="24">IFERROR(IF($M$2&gt;0, $M$2*O129, "-"), "-")</f>
        <v>-</v>
      </c>
      <c r="Q129"/>
      <c r="R129" s="29" t="str">
        <f t="shared" si="20"/>
        <v>-</v>
      </c>
    </row>
    <row r="130" spans="1:18" s="16" customFormat="1" ht="14.4" x14ac:dyDescent="0.3">
      <c r="A130" s="34" t="s">
        <v>55</v>
      </c>
      <c r="B130" s="10">
        <v>878941000041</v>
      </c>
      <c r="C130" s="11" t="s">
        <v>242</v>
      </c>
      <c r="D130" s="12" t="s">
        <v>302</v>
      </c>
      <c r="E130" s="42">
        <v>35</v>
      </c>
      <c r="F130" s="42">
        <v>0.30889640396999996</v>
      </c>
      <c r="G130" s="45" t="s">
        <v>346</v>
      </c>
      <c r="H130" s="13">
        <v>21.898736999999997</v>
      </c>
      <c r="I130" s="14"/>
      <c r="J130" s="48">
        <f t="shared" si="16"/>
        <v>0</v>
      </c>
      <c r="K130" s="15"/>
      <c r="M130" s="27" t="str">
        <f t="shared" si="21"/>
        <v>-</v>
      </c>
      <c r="N130" s="27" t="str">
        <f t="shared" si="22"/>
        <v>-</v>
      </c>
      <c r="O130" s="28" t="str">
        <f t="shared" si="23"/>
        <v>-</v>
      </c>
      <c r="P130" s="29" t="str">
        <f t="shared" si="24"/>
        <v>-</v>
      </c>
      <c r="Q130"/>
      <c r="R130" s="29" t="str">
        <f t="shared" si="20"/>
        <v>-</v>
      </c>
    </row>
    <row r="131" spans="1:18" s="16" customFormat="1" ht="14.4" x14ac:dyDescent="0.3">
      <c r="A131" s="34" t="s">
        <v>56</v>
      </c>
      <c r="B131" s="10">
        <v>878941003189</v>
      </c>
      <c r="C131" s="11" t="s">
        <v>242</v>
      </c>
      <c r="D131" s="12" t="s">
        <v>315</v>
      </c>
      <c r="E131" s="42">
        <v>20</v>
      </c>
      <c r="F131" s="42">
        <v>0.59205144094249995</v>
      </c>
      <c r="G131" s="45" t="s">
        <v>346</v>
      </c>
      <c r="H131" s="13">
        <v>30.418856999999996</v>
      </c>
      <c r="I131" s="14"/>
      <c r="J131" s="48">
        <f t="shared" ref="J131:J162" si="25">I131*H131</f>
        <v>0</v>
      </c>
      <c r="K131" s="15"/>
      <c r="M131" s="27" t="str">
        <f t="shared" si="21"/>
        <v>-</v>
      </c>
      <c r="N131" s="27" t="str">
        <f t="shared" si="22"/>
        <v>-</v>
      </c>
      <c r="O131" s="28" t="str">
        <f t="shared" si="23"/>
        <v>-</v>
      </c>
      <c r="P131" s="29" t="str">
        <f t="shared" si="24"/>
        <v>-</v>
      </c>
      <c r="Q131"/>
      <c r="R131" s="29" t="str">
        <f t="shared" si="20"/>
        <v>-</v>
      </c>
    </row>
    <row r="132" spans="1:18" ht="14.4" x14ac:dyDescent="0.3">
      <c r="A132" s="34" t="s">
        <v>54</v>
      </c>
      <c r="B132" s="10">
        <v>878941005770</v>
      </c>
      <c r="C132" s="11" t="s">
        <v>242</v>
      </c>
      <c r="D132" s="12" t="s">
        <v>303</v>
      </c>
      <c r="E132" s="42">
        <v>24</v>
      </c>
      <c r="F132" s="42">
        <v>0.15444820198500003</v>
      </c>
      <c r="G132" s="45" t="s">
        <v>346</v>
      </c>
      <c r="H132" s="13">
        <v>17.638677000000001</v>
      </c>
      <c r="I132" s="14"/>
      <c r="J132" s="48">
        <f t="shared" si="25"/>
        <v>0</v>
      </c>
      <c r="K132" s="15"/>
      <c r="L132" s="16"/>
      <c r="M132" s="27" t="str">
        <f t="shared" ref="M132:M175" si="26">IFERROR(IF($M$2*F132=0, "-", $M$2*F132), "-")</f>
        <v>-</v>
      </c>
      <c r="N132" s="27" t="str">
        <f t="shared" ref="N132:N175" si="27">IFERROR(IF(M132&gt;0,H132+M132,"-"),"-")</f>
        <v>-</v>
      </c>
      <c r="O132" s="28" t="str">
        <f t="shared" ref="O132:O175" si="28">IF(I132&gt;0,I132*F132, "-")</f>
        <v>-</v>
      </c>
      <c r="P132" s="29" t="str">
        <f t="shared" si="24"/>
        <v>-</v>
      </c>
      <c r="R132" s="29" t="str">
        <f t="shared" ref="R132:R175" si="29">IFERROR(IF(P132+J132=0, "-", IF(P132&gt;0, P132+J132, "-")), "-")</f>
        <v>-</v>
      </c>
    </row>
    <row r="133" spans="1:18" ht="14.4" x14ac:dyDescent="0.3">
      <c r="A133" s="34" t="s">
        <v>57</v>
      </c>
      <c r="B133" s="10">
        <v>878941003196</v>
      </c>
      <c r="C133" s="11" t="s">
        <v>243</v>
      </c>
      <c r="D133" s="12" t="s">
        <v>303</v>
      </c>
      <c r="E133" s="42">
        <v>12</v>
      </c>
      <c r="F133" s="42">
        <v>0.15444820198500003</v>
      </c>
      <c r="G133" s="45" t="s">
        <v>346</v>
      </c>
      <c r="H133" s="13">
        <v>17.638677000000001</v>
      </c>
      <c r="I133" s="14"/>
      <c r="J133" s="48">
        <f t="shared" si="25"/>
        <v>0</v>
      </c>
      <c r="K133" s="15"/>
      <c r="L133" s="16"/>
      <c r="M133" s="27" t="str">
        <f t="shared" si="26"/>
        <v>-</v>
      </c>
      <c r="N133" s="27" t="str">
        <f t="shared" si="27"/>
        <v>-</v>
      </c>
      <c r="O133" s="28" t="str">
        <f t="shared" si="28"/>
        <v>-</v>
      </c>
      <c r="P133" s="29" t="str">
        <f t="shared" si="24"/>
        <v>-</v>
      </c>
      <c r="R133" s="29" t="str">
        <f t="shared" si="29"/>
        <v>-</v>
      </c>
    </row>
    <row r="134" spans="1:18" ht="14.4" x14ac:dyDescent="0.3">
      <c r="A134" s="34" t="s">
        <v>37</v>
      </c>
      <c r="B134" s="10">
        <v>878941000539</v>
      </c>
      <c r="C134" s="11" t="s">
        <v>245</v>
      </c>
      <c r="D134" s="12" t="s">
        <v>320</v>
      </c>
      <c r="E134" s="42">
        <v>3</v>
      </c>
      <c r="F134" s="42">
        <v>0.23167230297750002</v>
      </c>
      <c r="G134" s="45" t="s">
        <v>346</v>
      </c>
      <c r="H134" s="13">
        <v>13.378617</v>
      </c>
      <c r="I134" s="14"/>
      <c r="J134" s="48">
        <f t="shared" si="25"/>
        <v>0</v>
      </c>
      <c r="K134" s="15"/>
      <c r="L134" s="16"/>
      <c r="M134" s="27" t="str">
        <f t="shared" si="26"/>
        <v>-</v>
      </c>
      <c r="N134" s="27" t="str">
        <f t="shared" si="27"/>
        <v>-</v>
      </c>
      <c r="O134" s="28" t="str">
        <f t="shared" si="28"/>
        <v>-</v>
      </c>
      <c r="P134" s="29" t="str">
        <f t="shared" si="24"/>
        <v>-</v>
      </c>
      <c r="R134" s="29" t="str">
        <f t="shared" si="29"/>
        <v>-</v>
      </c>
    </row>
    <row r="135" spans="1:18" ht="14.4" x14ac:dyDescent="0.3">
      <c r="A135" s="34" t="s">
        <v>38</v>
      </c>
      <c r="B135" s="10">
        <v>878941001130</v>
      </c>
      <c r="C135" s="11" t="s">
        <v>245</v>
      </c>
      <c r="D135" s="12" t="s">
        <v>320</v>
      </c>
      <c r="E135" s="42">
        <v>3</v>
      </c>
      <c r="F135" s="42">
        <v>0.25741366997500004</v>
      </c>
      <c r="G135" s="45" t="s">
        <v>346</v>
      </c>
      <c r="H135" s="13">
        <v>13.378617</v>
      </c>
      <c r="I135" s="14"/>
      <c r="J135" s="48">
        <f t="shared" si="25"/>
        <v>0</v>
      </c>
      <c r="K135" s="15"/>
      <c r="L135" s="16"/>
      <c r="M135" s="27" t="str">
        <f t="shared" si="26"/>
        <v>-</v>
      </c>
      <c r="N135" s="27" t="str">
        <f t="shared" si="27"/>
        <v>-</v>
      </c>
      <c r="O135" s="28" t="str">
        <f t="shared" si="28"/>
        <v>-</v>
      </c>
      <c r="P135" s="29" t="str">
        <f t="shared" si="24"/>
        <v>-</v>
      </c>
      <c r="R135" s="29" t="str">
        <f t="shared" si="29"/>
        <v>-</v>
      </c>
    </row>
    <row r="136" spans="1:18" ht="14.4" x14ac:dyDescent="0.3">
      <c r="A136" s="34" t="s">
        <v>40</v>
      </c>
      <c r="B136" s="10">
        <v>878941001505</v>
      </c>
      <c r="C136" s="11" t="s">
        <v>245</v>
      </c>
      <c r="D136" s="12" t="s">
        <v>320</v>
      </c>
      <c r="E136" s="42">
        <v>3</v>
      </c>
      <c r="F136" s="42">
        <v>0.25741366997500004</v>
      </c>
      <c r="G136" s="45" t="s">
        <v>346</v>
      </c>
      <c r="H136" s="13">
        <v>13.378617</v>
      </c>
      <c r="I136" s="14"/>
      <c r="J136" s="48">
        <f t="shared" si="25"/>
        <v>0</v>
      </c>
      <c r="K136" s="15"/>
      <c r="L136" s="16"/>
      <c r="M136" s="27" t="str">
        <f t="shared" si="26"/>
        <v>-</v>
      </c>
      <c r="N136" s="27" t="str">
        <f t="shared" si="27"/>
        <v>-</v>
      </c>
      <c r="O136" s="28" t="str">
        <f t="shared" si="28"/>
        <v>-</v>
      </c>
      <c r="P136" s="29" t="str">
        <f t="shared" si="24"/>
        <v>-</v>
      </c>
      <c r="R136" s="29" t="str">
        <f t="shared" si="29"/>
        <v>-</v>
      </c>
    </row>
    <row r="137" spans="1:18" ht="14.4" x14ac:dyDescent="0.3">
      <c r="A137" s="34" t="s">
        <v>41</v>
      </c>
      <c r="B137" s="10">
        <v>878941001819</v>
      </c>
      <c r="C137" s="11" t="s">
        <v>245</v>
      </c>
      <c r="D137" s="12" t="s">
        <v>320</v>
      </c>
      <c r="E137" s="42">
        <v>3</v>
      </c>
      <c r="F137" s="42">
        <v>0.25741366997500004</v>
      </c>
      <c r="G137" s="45" t="s">
        <v>346</v>
      </c>
      <c r="H137" s="13">
        <v>13.378617</v>
      </c>
      <c r="I137" s="14"/>
      <c r="J137" s="48">
        <f t="shared" si="25"/>
        <v>0</v>
      </c>
      <c r="K137" s="15"/>
      <c r="L137" s="16"/>
      <c r="M137" s="27" t="str">
        <f t="shared" si="26"/>
        <v>-</v>
      </c>
      <c r="N137" s="27" t="str">
        <f t="shared" si="27"/>
        <v>-</v>
      </c>
      <c r="O137" s="28" t="str">
        <f t="shared" si="28"/>
        <v>-</v>
      </c>
      <c r="P137" s="29" t="str">
        <f t="shared" si="24"/>
        <v>-</v>
      </c>
      <c r="R137" s="29" t="str">
        <f t="shared" si="29"/>
        <v>-</v>
      </c>
    </row>
    <row r="138" spans="1:18" ht="14.4" x14ac:dyDescent="0.3">
      <c r="A138" s="34" t="s">
        <v>42</v>
      </c>
      <c r="B138" s="10">
        <v>878941002496</v>
      </c>
      <c r="C138" s="11" t="s">
        <v>245</v>
      </c>
      <c r="D138" s="12" t="s">
        <v>320</v>
      </c>
      <c r="E138" s="42">
        <v>3</v>
      </c>
      <c r="F138" s="42">
        <v>0.25741366997500004</v>
      </c>
      <c r="G138" s="45" t="s">
        <v>346</v>
      </c>
      <c r="H138" s="13">
        <v>13.378617</v>
      </c>
      <c r="I138" s="14"/>
      <c r="J138" s="48">
        <f t="shared" si="25"/>
        <v>0</v>
      </c>
      <c r="K138" s="15"/>
      <c r="L138" s="16"/>
      <c r="M138" s="27" t="str">
        <f t="shared" si="26"/>
        <v>-</v>
      </c>
      <c r="N138" s="27" t="str">
        <f t="shared" si="27"/>
        <v>-</v>
      </c>
      <c r="O138" s="28" t="str">
        <f t="shared" si="28"/>
        <v>-</v>
      </c>
      <c r="P138" s="29" t="str">
        <f t="shared" si="24"/>
        <v>-</v>
      </c>
      <c r="R138" s="29" t="str">
        <f t="shared" si="29"/>
        <v>-</v>
      </c>
    </row>
    <row r="139" spans="1:18" ht="14.4" x14ac:dyDescent="0.3">
      <c r="A139" s="34" t="s">
        <v>45</v>
      </c>
      <c r="B139" s="10">
        <v>878941003493</v>
      </c>
      <c r="C139" s="11" t="s">
        <v>245</v>
      </c>
      <c r="D139" s="12" t="s">
        <v>320</v>
      </c>
      <c r="E139" s="42">
        <v>3</v>
      </c>
      <c r="F139" s="42">
        <v>0.23167230297750002</v>
      </c>
      <c r="G139" s="45" t="s">
        <v>346</v>
      </c>
      <c r="H139" s="13">
        <v>13.378617</v>
      </c>
      <c r="I139" s="14"/>
      <c r="J139" s="48">
        <f t="shared" si="25"/>
        <v>0</v>
      </c>
      <c r="K139" s="15"/>
      <c r="L139" s="16"/>
      <c r="M139" s="27" t="str">
        <f t="shared" si="26"/>
        <v>-</v>
      </c>
      <c r="N139" s="27" t="str">
        <f t="shared" si="27"/>
        <v>-</v>
      </c>
      <c r="O139" s="28" t="str">
        <f t="shared" si="28"/>
        <v>-</v>
      </c>
      <c r="P139" s="29" t="str">
        <f t="shared" si="24"/>
        <v>-</v>
      </c>
      <c r="R139" s="29" t="str">
        <f t="shared" si="29"/>
        <v>-</v>
      </c>
    </row>
    <row r="140" spans="1:18" ht="14.4" x14ac:dyDescent="0.3">
      <c r="A140" s="34" t="s">
        <v>46</v>
      </c>
      <c r="B140" s="10">
        <v>878941003479</v>
      </c>
      <c r="C140" s="11" t="s">
        <v>245</v>
      </c>
      <c r="D140" s="12" t="s">
        <v>320</v>
      </c>
      <c r="E140" s="42">
        <v>3</v>
      </c>
      <c r="F140" s="42">
        <v>0.25741366997500004</v>
      </c>
      <c r="G140" s="45" t="s">
        <v>346</v>
      </c>
      <c r="H140" s="13">
        <v>13.378617</v>
      </c>
      <c r="I140" s="14"/>
      <c r="J140" s="48">
        <f t="shared" si="25"/>
        <v>0</v>
      </c>
      <c r="K140" s="15"/>
      <c r="L140" s="16"/>
      <c r="M140" s="27" t="str">
        <f t="shared" si="26"/>
        <v>-</v>
      </c>
      <c r="N140" s="27" t="str">
        <f t="shared" si="27"/>
        <v>-</v>
      </c>
      <c r="O140" s="28" t="str">
        <f t="shared" si="28"/>
        <v>-</v>
      </c>
      <c r="P140" s="29" t="str">
        <f t="shared" si="24"/>
        <v>-</v>
      </c>
      <c r="R140" s="29" t="str">
        <f t="shared" si="29"/>
        <v>-</v>
      </c>
    </row>
    <row r="141" spans="1:18" ht="14.4" x14ac:dyDescent="0.3">
      <c r="A141" s="34" t="s">
        <v>47</v>
      </c>
      <c r="B141" s="10">
        <v>878941003653</v>
      </c>
      <c r="C141" s="11" t="s">
        <v>245</v>
      </c>
      <c r="D141" s="12" t="s">
        <v>320</v>
      </c>
      <c r="E141" s="42">
        <v>3</v>
      </c>
      <c r="F141" s="42">
        <v>0.23167230297750002</v>
      </c>
      <c r="G141" s="45" t="s">
        <v>346</v>
      </c>
      <c r="H141" s="13">
        <v>13.378617</v>
      </c>
      <c r="I141" s="14"/>
      <c r="J141" s="48">
        <f t="shared" si="25"/>
        <v>0</v>
      </c>
      <c r="K141" s="15"/>
      <c r="L141" s="16"/>
      <c r="M141" s="27" t="str">
        <f t="shared" si="26"/>
        <v>-</v>
      </c>
      <c r="N141" s="27" t="str">
        <f t="shared" si="27"/>
        <v>-</v>
      </c>
      <c r="O141" s="28" t="str">
        <f t="shared" si="28"/>
        <v>-</v>
      </c>
      <c r="P141" s="29" t="str">
        <f t="shared" si="24"/>
        <v>-</v>
      </c>
      <c r="R141" s="29" t="str">
        <f t="shared" si="29"/>
        <v>-</v>
      </c>
    </row>
    <row r="142" spans="1:18" ht="14.4" x14ac:dyDescent="0.3">
      <c r="A142" s="34" t="s">
        <v>248</v>
      </c>
      <c r="B142" s="10">
        <v>810201740045</v>
      </c>
      <c r="C142" s="11" t="s">
        <v>247</v>
      </c>
      <c r="D142" s="12" t="s">
        <v>320</v>
      </c>
      <c r="E142" s="42"/>
      <c r="F142" s="42">
        <v>0.30645</v>
      </c>
      <c r="G142" s="45" t="s">
        <v>346</v>
      </c>
      <c r="H142" s="13">
        <v>13.378617</v>
      </c>
      <c r="I142" s="14"/>
      <c r="J142" s="48">
        <f t="shared" si="25"/>
        <v>0</v>
      </c>
      <c r="K142" s="15"/>
      <c r="L142" s="16"/>
      <c r="M142" s="27" t="str">
        <f t="shared" si="26"/>
        <v>-</v>
      </c>
      <c r="N142" s="27" t="str">
        <f t="shared" si="27"/>
        <v>-</v>
      </c>
      <c r="O142" s="28" t="str">
        <f t="shared" si="28"/>
        <v>-</v>
      </c>
      <c r="P142" s="29" t="str">
        <f t="shared" si="24"/>
        <v>-</v>
      </c>
      <c r="R142" s="29" t="str">
        <f t="shared" si="29"/>
        <v>-</v>
      </c>
    </row>
    <row r="143" spans="1:18" ht="14.4" x14ac:dyDescent="0.3">
      <c r="A143" s="34" t="s">
        <v>249</v>
      </c>
      <c r="B143" s="10">
        <v>810201740069</v>
      </c>
      <c r="C143" s="11" t="s">
        <v>247</v>
      </c>
      <c r="D143" s="12" t="s">
        <v>320</v>
      </c>
      <c r="E143" s="42"/>
      <c r="F143" s="42">
        <v>0.30645</v>
      </c>
      <c r="G143" s="45" t="s">
        <v>346</v>
      </c>
      <c r="H143" s="13">
        <v>13.378617</v>
      </c>
      <c r="I143" s="14"/>
      <c r="J143" s="48">
        <f t="shared" si="25"/>
        <v>0</v>
      </c>
      <c r="K143" s="15"/>
      <c r="L143" s="16"/>
      <c r="M143" s="27" t="str">
        <f t="shared" si="26"/>
        <v>-</v>
      </c>
      <c r="N143" s="27" t="str">
        <f t="shared" si="27"/>
        <v>-</v>
      </c>
      <c r="O143" s="28" t="str">
        <f t="shared" si="28"/>
        <v>-</v>
      </c>
      <c r="P143" s="29" t="str">
        <f t="shared" si="24"/>
        <v>-</v>
      </c>
      <c r="R143" s="29" t="str">
        <f t="shared" si="29"/>
        <v>-</v>
      </c>
    </row>
    <row r="144" spans="1:18" ht="14.4" x14ac:dyDescent="0.3">
      <c r="A144" s="34" t="s">
        <v>250</v>
      </c>
      <c r="B144" s="10">
        <v>878941009198</v>
      </c>
      <c r="C144" s="11" t="s">
        <v>251</v>
      </c>
      <c r="D144" s="12" t="s">
        <v>335</v>
      </c>
      <c r="E144" s="42">
        <v>6</v>
      </c>
      <c r="F144" s="42">
        <v>0.42902278329166671</v>
      </c>
      <c r="G144" s="45" t="s">
        <v>346</v>
      </c>
      <c r="H144" s="13">
        <v>16.421516999999998</v>
      </c>
      <c r="I144" s="14"/>
      <c r="J144" s="48">
        <f t="shared" si="25"/>
        <v>0</v>
      </c>
      <c r="K144" s="15"/>
      <c r="L144" s="16"/>
      <c r="M144" s="27" t="str">
        <f t="shared" si="26"/>
        <v>-</v>
      </c>
      <c r="N144" s="27" t="str">
        <f t="shared" si="27"/>
        <v>-</v>
      </c>
      <c r="O144" s="28" t="str">
        <f t="shared" si="28"/>
        <v>-</v>
      </c>
      <c r="P144" s="29" t="str">
        <f t="shared" si="24"/>
        <v>-</v>
      </c>
      <c r="R144" s="29" t="str">
        <f t="shared" si="29"/>
        <v>-</v>
      </c>
    </row>
    <row r="145" spans="1:18" ht="14.4" x14ac:dyDescent="0.3">
      <c r="A145" s="34" t="s">
        <v>252</v>
      </c>
      <c r="B145" s="10">
        <v>878941009204</v>
      </c>
      <c r="C145" s="11" t="s">
        <v>251</v>
      </c>
      <c r="D145" s="12" t="s">
        <v>335</v>
      </c>
      <c r="E145" s="42">
        <v>6</v>
      </c>
      <c r="F145" s="42">
        <v>0.42902278329166671</v>
      </c>
      <c r="G145" s="45" t="s">
        <v>346</v>
      </c>
      <c r="H145" s="13">
        <v>16.421516999999998</v>
      </c>
      <c r="I145" s="14"/>
      <c r="J145" s="48">
        <f t="shared" si="25"/>
        <v>0</v>
      </c>
      <c r="K145" s="15"/>
      <c r="L145" s="16"/>
      <c r="M145" s="27" t="str">
        <f t="shared" si="26"/>
        <v>-</v>
      </c>
      <c r="N145" s="27" t="str">
        <f t="shared" si="27"/>
        <v>-</v>
      </c>
      <c r="O145" s="28" t="str">
        <f t="shared" si="28"/>
        <v>-</v>
      </c>
      <c r="P145" s="29" t="str">
        <f t="shared" si="24"/>
        <v>-</v>
      </c>
      <c r="R145" s="29" t="str">
        <f t="shared" si="29"/>
        <v>-</v>
      </c>
    </row>
    <row r="146" spans="1:18" ht="14.4" x14ac:dyDescent="0.3">
      <c r="A146" s="34" t="s">
        <v>253</v>
      </c>
      <c r="B146" s="10">
        <v>878941009211</v>
      </c>
      <c r="C146" s="11" t="s">
        <v>251</v>
      </c>
      <c r="D146" s="12" t="s">
        <v>335</v>
      </c>
      <c r="E146" s="42">
        <v>6</v>
      </c>
      <c r="F146" s="42">
        <v>0.42902278329166671</v>
      </c>
      <c r="G146" s="45" t="s">
        <v>346</v>
      </c>
      <c r="H146" s="13">
        <v>16.421516999999998</v>
      </c>
      <c r="I146" s="14"/>
      <c r="J146" s="48">
        <f t="shared" si="25"/>
        <v>0</v>
      </c>
      <c r="K146" s="15"/>
      <c r="L146" s="16"/>
      <c r="M146" s="27" t="str">
        <f t="shared" si="26"/>
        <v>-</v>
      </c>
      <c r="N146" s="27" t="str">
        <f t="shared" si="27"/>
        <v>-</v>
      </c>
      <c r="O146" s="28" t="str">
        <f t="shared" si="28"/>
        <v>-</v>
      </c>
      <c r="P146" s="29" t="str">
        <f t="shared" si="24"/>
        <v>-</v>
      </c>
      <c r="R146" s="29" t="str">
        <f t="shared" si="29"/>
        <v>-</v>
      </c>
    </row>
    <row r="147" spans="1:18" ht="14.4" x14ac:dyDescent="0.3">
      <c r="A147" s="34" t="s">
        <v>254</v>
      </c>
      <c r="B147" s="10">
        <v>878941009310</v>
      </c>
      <c r="C147" s="11" t="s">
        <v>255</v>
      </c>
      <c r="D147" s="12" t="s">
        <v>320</v>
      </c>
      <c r="E147" s="42">
        <v>3</v>
      </c>
      <c r="F147" s="42">
        <v>0.25741366997500004</v>
      </c>
      <c r="G147" s="45" t="s">
        <v>346</v>
      </c>
      <c r="H147" s="13">
        <v>13.378617</v>
      </c>
      <c r="I147" s="14"/>
      <c r="J147" s="48">
        <f t="shared" si="25"/>
        <v>0</v>
      </c>
      <c r="K147" s="15"/>
      <c r="L147" s="16"/>
      <c r="M147" s="27" t="str">
        <f t="shared" si="26"/>
        <v>-</v>
      </c>
      <c r="N147" s="27" t="str">
        <f t="shared" si="27"/>
        <v>-</v>
      </c>
      <c r="O147" s="28" t="str">
        <f t="shared" si="28"/>
        <v>-</v>
      </c>
      <c r="P147" s="29" t="str">
        <f t="shared" si="24"/>
        <v>-</v>
      </c>
      <c r="R147" s="29" t="str">
        <f t="shared" si="29"/>
        <v>-</v>
      </c>
    </row>
    <row r="148" spans="1:18" ht="14.4" x14ac:dyDescent="0.3">
      <c r="A148" s="34" t="s">
        <v>256</v>
      </c>
      <c r="B148" s="10">
        <v>878941009327</v>
      </c>
      <c r="C148" s="11" t="s">
        <v>255</v>
      </c>
      <c r="D148" s="12" t="s">
        <v>320</v>
      </c>
      <c r="E148" s="42">
        <v>3</v>
      </c>
      <c r="F148" s="42">
        <v>0.25741366997500004</v>
      </c>
      <c r="G148" s="45" t="s">
        <v>346</v>
      </c>
      <c r="H148" s="13">
        <v>13.378617</v>
      </c>
      <c r="I148" s="14"/>
      <c r="J148" s="48">
        <f t="shared" si="25"/>
        <v>0</v>
      </c>
      <c r="K148" s="15"/>
      <c r="L148" s="16"/>
      <c r="M148" s="27" t="str">
        <f t="shared" si="26"/>
        <v>-</v>
      </c>
      <c r="N148" s="27" t="str">
        <f t="shared" si="27"/>
        <v>-</v>
      </c>
      <c r="O148" s="28" t="str">
        <f t="shared" si="28"/>
        <v>-</v>
      </c>
      <c r="P148" s="29" t="str">
        <f t="shared" si="24"/>
        <v>-</v>
      </c>
      <c r="R148" s="29" t="str">
        <f t="shared" si="29"/>
        <v>-</v>
      </c>
    </row>
    <row r="149" spans="1:18" ht="14.4" x14ac:dyDescent="0.3">
      <c r="A149" s="34" t="s">
        <v>257</v>
      </c>
      <c r="B149" s="10">
        <v>878941009334</v>
      </c>
      <c r="C149" s="11" t="s">
        <v>255</v>
      </c>
      <c r="D149" s="12" t="s">
        <v>320</v>
      </c>
      <c r="E149" s="42">
        <v>3</v>
      </c>
      <c r="F149" s="42">
        <v>0.25741366997500004</v>
      </c>
      <c r="G149" s="45" t="s">
        <v>346</v>
      </c>
      <c r="H149" s="13">
        <v>13.378617</v>
      </c>
      <c r="I149" s="14"/>
      <c r="J149" s="48">
        <f t="shared" si="25"/>
        <v>0</v>
      </c>
      <c r="K149" s="15"/>
      <c r="L149" s="16"/>
      <c r="M149" s="27" t="str">
        <f t="shared" si="26"/>
        <v>-</v>
      </c>
      <c r="N149" s="27" t="str">
        <f t="shared" si="27"/>
        <v>-</v>
      </c>
      <c r="O149" s="28" t="str">
        <f t="shared" si="28"/>
        <v>-</v>
      </c>
      <c r="P149" s="29" t="str">
        <f t="shared" si="24"/>
        <v>-</v>
      </c>
      <c r="R149" s="29" t="str">
        <f t="shared" si="29"/>
        <v>-</v>
      </c>
    </row>
    <row r="150" spans="1:18" ht="14.4" x14ac:dyDescent="0.3">
      <c r="A150" s="34" t="s">
        <v>258</v>
      </c>
      <c r="B150" s="10">
        <v>878941009907</v>
      </c>
      <c r="C150" s="11" t="s">
        <v>259</v>
      </c>
      <c r="D150" s="12" t="s">
        <v>321</v>
      </c>
      <c r="E150" s="42"/>
      <c r="F150" s="42">
        <v>0.30645</v>
      </c>
      <c r="G150" s="45" t="s">
        <v>346</v>
      </c>
      <c r="H150" s="13">
        <v>6.3659399999999993</v>
      </c>
      <c r="I150" s="14"/>
      <c r="J150" s="48">
        <f t="shared" si="25"/>
        <v>0</v>
      </c>
      <c r="K150" s="15"/>
      <c r="L150" s="16"/>
      <c r="M150" s="27" t="str">
        <f t="shared" si="26"/>
        <v>-</v>
      </c>
      <c r="N150" s="27" t="str">
        <f t="shared" si="27"/>
        <v>-</v>
      </c>
      <c r="O150" s="28" t="str">
        <f t="shared" si="28"/>
        <v>-</v>
      </c>
      <c r="P150" s="29" t="str">
        <f t="shared" si="24"/>
        <v>-</v>
      </c>
      <c r="R150" s="29" t="str">
        <f t="shared" si="29"/>
        <v>-</v>
      </c>
    </row>
    <row r="151" spans="1:18" ht="14.4" x14ac:dyDescent="0.3">
      <c r="A151" s="34" t="s">
        <v>260</v>
      </c>
      <c r="B151" s="10">
        <v>878941009914</v>
      </c>
      <c r="C151" s="11" t="s">
        <v>261</v>
      </c>
      <c r="D151" s="12" t="s">
        <v>321</v>
      </c>
      <c r="E151" s="42"/>
      <c r="F151" s="42">
        <v>0.30645</v>
      </c>
      <c r="G151" s="45" t="s">
        <v>346</v>
      </c>
      <c r="H151" s="13">
        <v>6.3659399999999993</v>
      </c>
      <c r="I151" s="14"/>
      <c r="J151" s="48">
        <f t="shared" si="25"/>
        <v>0</v>
      </c>
      <c r="K151" s="15"/>
      <c r="L151" s="16"/>
      <c r="M151" s="27" t="str">
        <f t="shared" si="26"/>
        <v>-</v>
      </c>
      <c r="N151" s="27" t="str">
        <f t="shared" si="27"/>
        <v>-</v>
      </c>
      <c r="O151" s="28" t="str">
        <f t="shared" si="28"/>
        <v>-</v>
      </c>
      <c r="P151" s="29" t="str">
        <f t="shared" si="24"/>
        <v>-</v>
      </c>
      <c r="R151" s="29" t="str">
        <f t="shared" si="29"/>
        <v>-</v>
      </c>
    </row>
    <row r="152" spans="1:18" ht="14.4" x14ac:dyDescent="0.3">
      <c r="A152" s="34" t="s">
        <v>262</v>
      </c>
      <c r="B152" s="10">
        <v>878941009976</v>
      </c>
      <c r="C152" s="11" t="s">
        <v>263</v>
      </c>
      <c r="D152" s="12" t="s">
        <v>334</v>
      </c>
      <c r="E152" s="42"/>
      <c r="F152" s="42">
        <v>0.30645</v>
      </c>
      <c r="G152" s="45" t="s">
        <v>346</v>
      </c>
      <c r="H152" s="13">
        <v>6.3659399999999993</v>
      </c>
      <c r="I152" s="14"/>
      <c r="J152" s="48">
        <f t="shared" si="25"/>
        <v>0</v>
      </c>
      <c r="K152" s="15"/>
      <c r="L152" s="16"/>
      <c r="M152" s="27" t="str">
        <f t="shared" si="26"/>
        <v>-</v>
      </c>
      <c r="N152" s="27" t="str">
        <f t="shared" si="27"/>
        <v>-</v>
      </c>
      <c r="O152" s="28" t="str">
        <f t="shared" si="28"/>
        <v>-</v>
      </c>
      <c r="P152" s="29" t="str">
        <f t="shared" si="24"/>
        <v>-</v>
      </c>
      <c r="R152" s="29" t="str">
        <f t="shared" si="29"/>
        <v>-</v>
      </c>
    </row>
    <row r="153" spans="1:18" ht="14.4" x14ac:dyDescent="0.3">
      <c r="A153" s="34" t="s">
        <v>19</v>
      </c>
      <c r="B153" s="10">
        <v>878941006227</v>
      </c>
      <c r="C153" s="11" t="s">
        <v>265</v>
      </c>
      <c r="D153" s="12" t="s">
        <v>312</v>
      </c>
      <c r="E153" s="42">
        <v>12</v>
      </c>
      <c r="F153" s="42">
        <v>0.30374813057050004</v>
      </c>
      <c r="G153" s="45" t="s">
        <v>346</v>
      </c>
      <c r="H153" s="13">
        <v>13.378617</v>
      </c>
      <c r="I153" s="14"/>
      <c r="J153" s="48">
        <f t="shared" si="25"/>
        <v>0</v>
      </c>
      <c r="K153" s="15"/>
      <c r="L153" s="16"/>
      <c r="M153" s="27" t="str">
        <f t="shared" si="26"/>
        <v>-</v>
      </c>
      <c r="N153" s="27" t="str">
        <f t="shared" si="27"/>
        <v>-</v>
      </c>
      <c r="O153" s="28" t="str">
        <f t="shared" si="28"/>
        <v>-</v>
      </c>
      <c r="P153" s="29" t="str">
        <f t="shared" si="24"/>
        <v>-</v>
      </c>
      <c r="R153" s="29" t="str">
        <f t="shared" si="29"/>
        <v>-</v>
      </c>
    </row>
    <row r="154" spans="1:18" ht="14.4" x14ac:dyDescent="0.3">
      <c r="A154" s="34" t="s">
        <v>69</v>
      </c>
      <c r="B154" s="10">
        <v>878941004971</v>
      </c>
      <c r="C154" s="11" t="s">
        <v>266</v>
      </c>
      <c r="D154" s="12" t="s">
        <v>312</v>
      </c>
      <c r="E154" s="42">
        <v>6</v>
      </c>
      <c r="F154" s="42">
        <v>0.18018956898250002</v>
      </c>
      <c r="G154" s="45" t="s">
        <v>346</v>
      </c>
      <c r="H154" s="13">
        <v>12.161456999999999</v>
      </c>
      <c r="I154" s="14"/>
      <c r="J154" s="48">
        <f t="shared" si="25"/>
        <v>0</v>
      </c>
      <c r="K154" s="15"/>
      <c r="L154" s="16"/>
      <c r="M154" s="27" t="str">
        <f t="shared" si="26"/>
        <v>-</v>
      </c>
      <c r="N154" s="27" t="str">
        <f t="shared" si="27"/>
        <v>-</v>
      </c>
      <c r="O154" s="28" t="str">
        <f t="shared" si="28"/>
        <v>-</v>
      </c>
      <c r="P154" s="29" t="str">
        <f t="shared" si="24"/>
        <v>-</v>
      </c>
      <c r="R154" s="29" t="str">
        <f t="shared" si="29"/>
        <v>-</v>
      </c>
    </row>
    <row r="155" spans="1:18" ht="14.4" x14ac:dyDescent="0.3">
      <c r="A155" s="34" t="s">
        <v>13</v>
      </c>
      <c r="B155" s="10">
        <v>878941005657</v>
      </c>
      <c r="C155" s="11" t="s">
        <v>267</v>
      </c>
      <c r="D155" s="12" t="s">
        <v>312</v>
      </c>
      <c r="E155" s="42">
        <v>12</v>
      </c>
      <c r="F155" s="42">
        <v>0.33463777096750003</v>
      </c>
      <c r="G155" s="45" t="s">
        <v>346</v>
      </c>
      <c r="H155" s="13">
        <v>13.378617</v>
      </c>
      <c r="I155" s="14"/>
      <c r="J155" s="48">
        <f t="shared" si="25"/>
        <v>0</v>
      </c>
      <c r="K155" s="15"/>
      <c r="L155" s="16"/>
      <c r="M155" s="27" t="str">
        <f t="shared" si="26"/>
        <v>-</v>
      </c>
      <c r="N155" s="27" t="str">
        <f t="shared" si="27"/>
        <v>-</v>
      </c>
      <c r="O155" s="28" t="str">
        <f t="shared" si="28"/>
        <v>-</v>
      </c>
      <c r="P155" s="29" t="str">
        <f t="shared" si="24"/>
        <v>-</v>
      </c>
      <c r="R155" s="29" t="str">
        <f t="shared" si="29"/>
        <v>-</v>
      </c>
    </row>
    <row r="156" spans="1:18" ht="14.4" x14ac:dyDescent="0.3">
      <c r="A156" s="34" t="s">
        <v>14</v>
      </c>
      <c r="B156" s="10">
        <v>878941006685</v>
      </c>
      <c r="C156" s="11" t="s">
        <v>268</v>
      </c>
      <c r="D156" s="12" t="s">
        <v>312</v>
      </c>
      <c r="E156" s="42">
        <v>12</v>
      </c>
      <c r="F156" s="42">
        <v>0.25741366997500004</v>
      </c>
      <c r="G156" s="45" t="s">
        <v>346</v>
      </c>
      <c r="H156" s="13">
        <v>15.812936999999998</v>
      </c>
      <c r="I156" s="14"/>
      <c r="J156" s="48">
        <f t="shared" si="25"/>
        <v>0</v>
      </c>
      <c r="K156" s="15"/>
      <c r="L156" s="16"/>
      <c r="M156" s="27" t="str">
        <f t="shared" si="26"/>
        <v>-</v>
      </c>
      <c r="N156" s="27" t="str">
        <f t="shared" si="27"/>
        <v>-</v>
      </c>
      <c r="O156" s="28" t="str">
        <f t="shared" si="28"/>
        <v>-</v>
      </c>
      <c r="P156" s="29" t="str">
        <f t="shared" si="24"/>
        <v>-</v>
      </c>
      <c r="R156" s="29" t="str">
        <f t="shared" si="29"/>
        <v>-</v>
      </c>
    </row>
    <row r="157" spans="1:18" ht="14.4" x14ac:dyDescent="0.3">
      <c r="A157" s="34" t="s">
        <v>269</v>
      </c>
      <c r="B157" s="10">
        <v>878941004704</v>
      </c>
      <c r="C157" s="11" t="s">
        <v>270</v>
      </c>
      <c r="D157" s="12" t="s">
        <v>306</v>
      </c>
      <c r="E157" s="42"/>
      <c r="F157" s="42">
        <v>0.39724999999999999</v>
      </c>
      <c r="G157" s="45" t="s">
        <v>346</v>
      </c>
      <c r="H157" s="13">
        <v>22.517459999999993</v>
      </c>
      <c r="I157" s="14"/>
      <c r="J157" s="48">
        <f t="shared" si="25"/>
        <v>0</v>
      </c>
      <c r="K157" s="15"/>
      <c r="L157" s="16"/>
      <c r="M157" s="27" t="str">
        <f t="shared" si="26"/>
        <v>-</v>
      </c>
      <c r="N157" s="27" t="str">
        <f t="shared" si="27"/>
        <v>-</v>
      </c>
      <c r="O157" s="28" t="str">
        <f t="shared" si="28"/>
        <v>-</v>
      </c>
      <c r="P157" s="29" t="str">
        <f t="shared" si="24"/>
        <v>-</v>
      </c>
      <c r="R157" s="29" t="str">
        <f t="shared" si="29"/>
        <v>-</v>
      </c>
    </row>
    <row r="158" spans="1:18" ht="14.4" x14ac:dyDescent="0.3">
      <c r="A158" s="34" t="s">
        <v>74</v>
      </c>
      <c r="B158" s="10">
        <v>878941006579</v>
      </c>
      <c r="C158" s="11" t="s">
        <v>273</v>
      </c>
      <c r="D158" s="12" t="s">
        <v>304</v>
      </c>
      <c r="E158" s="42">
        <v>12</v>
      </c>
      <c r="F158" s="42">
        <v>0.15444820198500003</v>
      </c>
      <c r="G158" s="45" t="s">
        <v>346</v>
      </c>
      <c r="H158" s="13">
        <v>18.247256999999994</v>
      </c>
      <c r="I158" s="14"/>
      <c r="J158" s="48">
        <f t="shared" si="25"/>
        <v>0</v>
      </c>
      <c r="K158" s="15"/>
      <c r="L158" s="16"/>
      <c r="M158" s="27" t="str">
        <f t="shared" si="26"/>
        <v>-</v>
      </c>
      <c r="N158" s="27" t="str">
        <f t="shared" si="27"/>
        <v>-</v>
      </c>
      <c r="O158" s="28" t="str">
        <f t="shared" si="28"/>
        <v>-</v>
      </c>
      <c r="P158" s="29" t="str">
        <f t="shared" si="24"/>
        <v>-</v>
      </c>
      <c r="R158" s="29" t="str">
        <f t="shared" si="29"/>
        <v>-</v>
      </c>
    </row>
    <row r="159" spans="1:18" ht="14.4" x14ac:dyDescent="0.3">
      <c r="A159" s="34" t="s">
        <v>75</v>
      </c>
      <c r="B159" s="10">
        <v>878941006678</v>
      </c>
      <c r="C159" s="11" t="s">
        <v>274</v>
      </c>
      <c r="D159" s="12" t="s">
        <v>304</v>
      </c>
      <c r="E159" s="42">
        <v>12</v>
      </c>
      <c r="F159" s="42">
        <v>0.15444820198500003</v>
      </c>
      <c r="G159" s="45" t="s">
        <v>346</v>
      </c>
      <c r="H159" s="13">
        <v>19.464417000000001</v>
      </c>
      <c r="I159" s="14"/>
      <c r="J159" s="48">
        <f t="shared" si="25"/>
        <v>0</v>
      </c>
      <c r="K159" s="15"/>
      <c r="L159" s="16"/>
      <c r="M159" s="27" t="str">
        <f t="shared" si="26"/>
        <v>-</v>
      </c>
      <c r="N159" s="27" t="str">
        <f t="shared" si="27"/>
        <v>-</v>
      </c>
      <c r="O159" s="28" t="str">
        <f t="shared" si="28"/>
        <v>-</v>
      </c>
      <c r="P159" s="29" t="str">
        <f t="shared" si="24"/>
        <v>-</v>
      </c>
      <c r="R159" s="29" t="str">
        <f t="shared" si="29"/>
        <v>-</v>
      </c>
    </row>
    <row r="160" spans="1:18" ht="14.4" x14ac:dyDescent="0.3">
      <c r="A160" s="34" t="s">
        <v>29</v>
      </c>
      <c r="B160" s="10">
        <v>878941001741</v>
      </c>
      <c r="C160" s="11" t="s">
        <v>276</v>
      </c>
      <c r="D160" s="12" t="s">
        <v>336</v>
      </c>
      <c r="E160" s="42">
        <v>6</v>
      </c>
      <c r="F160" s="42">
        <v>0.6950169089324999</v>
      </c>
      <c r="G160" s="45" t="s">
        <v>346</v>
      </c>
      <c r="H160" s="13">
        <v>18.247256999999994</v>
      </c>
      <c r="I160" s="14"/>
      <c r="J160" s="48">
        <f t="shared" si="25"/>
        <v>0</v>
      </c>
      <c r="K160" s="15"/>
      <c r="L160" s="16"/>
      <c r="M160" s="27" t="str">
        <f t="shared" si="26"/>
        <v>-</v>
      </c>
      <c r="N160" s="27" t="str">
        <f t="shared" si="27"/>
        <v>-</v>
      </c>
      <c r="O160" s="28" t="str">
        <f t="shared" si="28"/>
        <v>-</v>
      </c>
      <c r="P160" s="29" t="str">
        <f t="shared" si="24"/>
        <v>-</v>
      </c>
      <c r="R160" s="29" t="str">
        <f t="shared" si="29"/>
        <v>-</v>
      </c>
    </row>
    <row r="161" spans="1:18" ht="14.4" x14ac:dyDescent="0.3">
      <c r="A161" s="34" t="s">
        <v>102</v>
      </c>
      <c r="B161" s="10">
        <v>878941003431</v>
      </c>
      <c r="C161" s="11" t="s">
        <v>280</v>
      </c>
      <c r="D161" s="12" t="s">
        <v>303</v>
      </c>
      <c r="E161" s="42">
        <v>12</v>
      </c>
      <c r="F161" s="42">
        <v>0.30889640397000007</v>
      </c>
      <c r="G161" s="45" t="s">
        <v>346</v>
      </c>
      <c r="H161" s="13">
        <v>13.378617</v>
      </c>
      <c r="I161" s="14"/>
      <c r="J161" s="48">
        <f t="shared" si="25"/>
        <v>0</v>
      </c>
      <c r="K161" s="15"/>
      <c r="L161" s="16"/>
      <c r="M161" s="27" t="str">
        <f t="shared" si="26"/>
        <v>-</v>
      </c>
      <c r="N161" s="27" t="str">
        <f t="shared" si="27"/>
        <v>-</v>
      </c>
      <c r="O161" s="28" t="str">
        <f t="shared" si="28"/>
        <v>-</v>
      </c>
      <c r="P161" s="29" t="str">
        <f t="shared" si="24"/>
        <v>-</v>
      </c>
      <c r="R161" s="29" t="str">
        <f t="shared" si="29"/>
        <v>-</v>
      </c>
    </row>
    <row r="162" spans="1:18" ht="14.4" x14ac:dyDescent="0.3">
      <c r="A162" s="34" t="s">
        <v>103</v>
      </c>
      <c r="B162" s="10">
        <v>878941002397</v>
      </c>
      <c r="C162" s="11" t="s">
        <v>104</v>
      </c>
      <c r="D162" s="12" t="s">
        <v>338</v>
      </c>
      <c r="E162" s="42">
        <v>48</v>
      </c>
      <c r="F162" s="42">
        <v>7.7224100992500017E-2</v>
      </c>
      <c r="G162" s="45" t="s">
        <v>346</v>
      </c>
      <c r="H162" s="13">
        <v>12.475889999999998</v>
      </c>
      <c r="I162" s="14"/>
      <c r="J162" s="48">
        <f t="shared" si="25"/>
        <v>0</v>
      </c>
      <c r="K162" s="15"/>
      <c r="L162" s="16"/>
      <c r="M162" s="27" t="str">
        <f t="shared" si="26"/>
        <v>-</v>
      </c>
      <c r="N162" s="27" t="str">
        <f t="shared" si="27"/>
        <v>-</v>
      </c>
      <c r="O162" s="28" t="str">
        <f t="shared" si="28"/>
        <v>-</v>
      </c>
      <c r="P162" s="29" t="str">
        <f t="shared" si="24"/>
        <v>-</v>
      </c>
      <c r="R162" s="29" t="str">
        <f t="shared" si="29"/>
        <v>-</v>
      </c>
    </row>
    <row r="163" spans="1:18" ht="14.4" x14ac:dyDescent="0.3">
      <c r="A163" s="34" t="s">
        <v>281</v>
      </c>
      <c r="B163" s="10">
        <v>878941009396</v>
      </c>
      <c r="C163" s="11" t="s">
        <v>282</v>
      </c>
      <c r="D163" s="12" t="s">
        <v>339</v>
      </c>
      <c r="E163" s="42">
        <v>6</v>
      </c>
      <c r="F163" s="42">
        <v>0.36466936579791664</v>
      </c>
      <c r="G163" s="45" t="s">
        <v>346</v>
      </c>
      <c r="H163" s="13">
        <v>23.115896999999997</v>
      </c>
      <c r="I163" s="14"/>
      <c r="J163" s="48">
        <f t="shared" ref="J163:J194" si="30">I163*H163</f>
        <v>0</v>
      </c>
      <c r="K163" s="15"/>
      <c r="L163" s="16"/>
      <c r="M163" s="27" t="str">
        <f t="shared" si="26"/>
        <v>-</v>
      </c>
      <c r="N163" s="27" t="str">
        <f t="shared" si="27"/>
        <v>-</v>
      </c>
      <c r="O163" s="28" t="str">
        <f t="shared" si="28"/>
        <v>-</v>
      </c>
      <c r="P163" s="29" t="str">
        <f t="shared" si="24"/>
        <v>-</v>
      </c>
      <c r="R163" s="29" t="str">
        <f t="shared" si="29"/>
        <v>-</v>
      </c>
    </row>
    <row r="164" spans="1:18" ht="14.4" x14ac:dyDescent="0.3">
      <c r="A164" s="34" t="s">
        <v>30</v>
      </c>
      <c r="B164" s="10">
        <v>878941002120</v>
      </c>
      <c r="C164" s="11" t="s">
        <v>283</v>
      </c>
      <c r="D164" s="12" t="s">
        <v>322</v>
      </c>
      <c r="E164" s="42">
        <v>12</v>
      </c>
      <c r="F164" s="42">
        <v>5.1482733994999995E-2</v>
      </c>
      <c r="G164" s="45" t="s">
        <v>346</v>
      </c>
      <c r="H164" s="13">
        <v>24.333056999999993</v>
      </c>
      <c r="I164" s="14"/>
      <c r="J164" s="48">
        <f t="shared" si="30"/>
        <v>0</v>
      </c>
      <c r="K164" s="15"/>
      <c r="L164" s="16"/>
      <c r="M164" s="27" t="str">
        <f t="shared" si="26"/>
        <v>-</v>
      </c>
      <c r="N164" s="27" t="str">
        <f t="shared" si="27"/>
        <v>-</v>
      </c>
      <c r="O164" s="28" t="str">
        <f t="shared" si="28"/>
        <v>-</v>
      </c>
      <c r="P164" s="29" t="str">
        <f t="shared" si="24"/>
        <v>-</v>
      </c>
      <c r="R164" s="29" t="str">
        <f t="shared" si="29"/>
        <v>-</v>
      </c>
    </row>
    <row r="165" spans="1:18" ht="14.4" x14ac:dyDescent="0.3">
      <c r="A165" s="34" t="s">
        <v>284</v>
      </c>
      <c r="B165" s="10">
        <v>878941007590</v>
      </c>
      <c r="C165" s="11" t="s">
        <v>285</v>
      </c>
      <c r="D165" s="12" t="s">
        <v>312</v>
      </c>
      <c r="E165" s="42"/>
      <c r="F165" s="42">
        <v>0.28375</v>
      </c>
      <c r="G165" s="45" t="s">
        <v>346</v>
      </c>
      <c r="H165" s="13">
        <v>18.865979999999997</v>
      </c>
      <c r="I165" s="14"/>
      <c r="J165" s="48">
        <f t="shared" si="30"/>
        <v>0</v>
      </c>
      <c r="K165" s="15"/>
      <c r="L165" s="16"/>
      <c r="M165" s="27" t="str">
        <f t="shared" si="26"/>
        <v>-</v>
      </c>
      <c r="N165" s="27" t="str">
        <f t="shared" si="27"/>
        <v>-</v>
      </c>
      <c r="O165" s="28" t="str">
        <f t="shared" si="28"/>
        <v>-</v>
      </c>
      <c r="P165" s="29" t="str">
        <f t="shared" si="24"/>
        <v>-</v>
      </c>
      <c r="R165" s="29" t="str">
        <f t="shared" si="29"/>
        <v>-</v>
      </c>
    </row>
    <row r="166" spans="1:18" ht="14.4" x14ac:dyDescent="0.3">
      <c r="A166" s="34" t="s">
        <v>286</v>
      </c>
      <c r="B166" s="10">
        <v>878941000997</v>
      </c>
      <c r="C166" s="11" t="s">
        <v>287</v>
      </c>
      <c r="D166" s="12" t="s">
        <v>309</v>
      </c>
      <c r="E166" s="42">
        <v>6</v>
      </c>
      <c r="F166" s="42">
        <v>0.2831550369725</v>
      </c>
      <c r="G166" s="45" t="s">
        <v>346</v>
      </c>
      <c r="H166" s="13">
        <v>30.428999999999998</v>
      </c>
      <c r="I166" s="14"/>
      <c r="J166" s="48">
        <f t="shared" si="30"/>
        <v>0</v>
      </c>
      <c r="K166" s="15"/>
      <c r="L166" s="16"/>
      <c r="M166" s="27" t="str">
        <f t="shared" si="26"/>
        <v>-</v>
      </c>
      <c r="N166" s="27" t="str">
        <f t="shared" si="27"/>
        <v>-</v>
      </c>
      <c r="O166" s="28" t="str">
        <f t="shared" si="28"/>
        <v>-</v>
      </c>
      <c r="P166" s="29" t="str">
        <f t="shared" si="24"/>
        <v>-</v>
      </c>
      <c r="R166" s="29" t="str">
        <f t="shared" si="29"/>
        <v>-</v>
      </c>
    </row>
    <row r="167" spans="1:18" ht="14.4" x14ac:dyDescent="0.3">
      <c r="A167" s="34" t="s">
        <v>31</v>
      </c>
      <c r="B167" s="10">
        <v>878941002748</v>
      </c>
      <c r="C167" s="11" t="s">
        <v>288</v>
      </c>
      <c r="D167" s="12" t="s">
        <v>340</v>
      </c>
      <c r="E167" s="42">
        <v>6</v>
      </c>
      <c r="F167" s="42">
        <v>0.48908597295250006</v>
      </c>
      <c r="G167" s="45" t="s">
        <v>346</v>
      </c>
      <c r="H167" s="13">
        <v>13.378617</v>
      </c>
      <c r="I167" s="14"/>
      <c r="J167" s="48">
        <f t="shared" si="30"/>
        <v>0</v>
      </c>
      <c r="K167" s="15"/>
      <c r="L167" s="16"/>
      <c r="M167" s="27" t="str">
        <f t="shared" si="26"/>
        <v>-</v>
      </c>
      <c r="N167" s="27" t="str">
        <f t="shared" si="27"/>
        <v>-</v>
      </c>
      <c r="O167" s="28" t="str">
        <f t="shared" si="28"/>
        <v>-</v>
      </c>
      <c r="P167" s="29" t="str">
        <f t="shared" si="24"/>
        <v>-</v>
      </c>
      <c r="R167" s="29" t="str">
        <f t="shared" si="29"/>
        <v>-</v>
      </c>
    </row>
    <row r="168" spans="1:18" ht="14.4" x14ac:dyDescent="0.3">
      <c r="A168" s="34" t="s">
        <v>32</v>
      </c>
      <c r="B168" s="10">
        <v>878941003523</v>
      </c>
      <c r="C168" s="11" t="s">
        <v>288</v>
      </c>
      <c r="D168" s="12" t="s">
        <v>341</v>
      </c>
      <c r="E168" s="42">
        <v>6</v>
      </c>
      <c r="F168" s="42">
        <v>0.48908597295250006</v>
      </c>
      <c r="G168" s="45" t="s">
        <v>346</v>
      </c>
      <c r="H168" s="13">
        <v>13.378617</v>
      </c>
      <c r="I168" s="14"/>
      <c r="J168" s="48">
        <f t="shared" si="30"/>
        <v>0</v>
      </c>
      <c r="K168" s="15"/>
      <c r="L168" s="16"/>
      <c r="M168" s="27" t="str">
        <f t="shared" si="26"/>
        <v>-</v>
      </c>
      <c r="N168" s="27" t="str">
        <f t="shared" si="27"/>
        <v>-</v>
      </c>
      <c r="O168" s="28" t="str">
        <f t="shared" si="28"/>
        <v>-</v>
      </c>
      <c r="P168" s="29" t="str">
        <f t="shared" si="24"/>
        <v>-</v>
      </c>
      <c r="R168" s="29" t="str">
        <f t="shared" si="29"/>
        <v>-</v>
      </c>
    </row>
    <row r="169" spans="1:18" ht="14.4" x14ac:dyDescent="0.3">
      <c r="A169" s="34" t="s">
        <v>98</v>
      </c>
      <c r="B169" s="10">
        <v>878941002861</v>
      </c>
      <c r="C169" s="11" t="s">
        <v>146</v>
      </c>
      <c r="D169" s="12" t="s">
        <v>325</v>
      </c>
      <c r="E169" s="42">
        <v>12</v>
      </c>
      <c r="F169" s="42">
        <v>0.59205144094250006</v>
      </c>
      <c r="G169" s="45" t="s">
        <v>346</v>
      </c>
      <c r="H169" s="13">
        <v>8.509977000000001</v>
      </c>
      <c r="I169" s="14"/>
      <c r="J169" s="48">
        <f t="shared" si="30"/>
        <v>0</v>
      </c>
      <c r="K169" s="15"/>
      <c r="L169" s="16"/>
      <c r="M169" s="27" t="str">
        <f t="shared" si="26"/>
        <v>-</v>
      </c>
      <c r="N169" s="27" t="str">
        <f t="shared" si="27"/>
        <v>-</v>
      </c>
      <c r="O169" s="28" t="str">
        <f t="shared" si="28"/>
        <v>-</v>
      </c>
      <c r="P169" s="29" t="str">
        <f t="shared" si="24"/>
        <v>-</v>
      </c>
      <c r="R169" s="29" t="str">
        <f t="shared" si="29"/>
        <v>-</v>
      </c>
    </row>
    <row r="170" spans="1:18" ht="14.4" x14ac:dyDescent="0.3">
      <c r="A170" s="34" t="s">
        <v>289</v>
      </c>
      <c r="B170" s="10">
        <v>878941004964</v>
      </c>
      <c r="C170" s="11" t="s">
        <v>290</v>
      </c>
      <c r="D170" s="12" t="s">
        <v>342</v>
      </c>
      <c r="E170" s="42">
        <v>6</v>
      </c>
      <c r="F170" s="42">
        <v>0.56631007394499999</v>
      </c>
      <c r="G170" s="45" t="s">
        <v>346</v>
      </c>
      <c r="H170" s="13">
        <v>10.335716999999999</v>
      </c>
      <c r="I170" s="14"/>
      <c r="J170" s="48">
        <f t="shared" si="30"/>
        <v>0</v>
      </c>
      <c r="K170" s="15"/>
      <c r="L170" s="16"/>
      <c r="M170" s="27" t="str">
        <f t="shared" si="26"/>
        <v>-</v>
      </c>
      <c r="N170" s="27" t="str">
        <f t="shared" si="27"/>
        <v>-</v>
      </c>
      <c r="O170" s="28" t="str">
        <f t="shared" si="28"/>
        <v>-</v>
      </c>
      <c r="P170" s="29" t="str">
        <f t="shared" si="24"/>
        <v>-</v>
      </c>
      <c r="R170" s="29" t="str">
        <f t="shared" si="29"/>
        <v>-</v>
      </c>
    </row>
    <row r="171" spans="1:18" ht="14.4" x14ac:dyDescent="0.3">
      <c r="A171" s="34" t="s">
        <v>109</v>
      </c>
      <c r="B171" s="10">
        <v>878941004896</v>
      </c>
      <c r="C171" s="11" t="s">
        <v>291</v>
      </c>
      <c r="D171" s="12" t="s">
        <v>302</v>
      </c>
      <c r="E171" s="42">
        <v>36</v>
      </c>
      <c r="F171" s="42">
        <v>0.31404467736949998</v>
      </c>
      <c r="G171" s="45" t="s">
        <v>346</v>
      </c>
      <c r="H171" s="13">
        <v>10.944296999999999</v>
      </c>
      <c r="I171" s="14"/>
      <c r="J171" s="48">
        <f t="shared" si="30"/>
        <v>0</v>
      </c>
      <c r="K171" s="15"/>
      <c r="L171" s="16"/>
      <c r="M171" s="27" t="str">
        <f t="shared" si="26"/>
        <v>-</v>
      </c>
      <c r="N171" s="27" t="str">
        <f t="shared" si="27"/>
        <v>-</v>
      </c>
      <c r="O171" s="28" t="str">
        <f t="shared" si="28"/>
        <v>-</v>
      </c>
      <c r="P171" s="29" t="str">
        <f t="shared" si="24"/>
        <v>-</v>
      </c>
      <c r="R171" s="29" t="str">
        <f t="shared" si="29"/>
        <v>-</v>
      </c>
    </row>
    <row r="172" spans="1:18" ht="14.4" x14ac:dyDescent="0.3">
      <c r="A172" s="34" t="s">
        <v>110</v>
      </c>
      <c r="B172" s="10">
        <v>878941005022</v>
      </c>
      <c r="C172" s="11" t="s">
        <v>292</v>
      </c>
      <c r="D172" s="12" t="s">
        <v>343</v>
      </c>
      <c r="E172" s="42">
        <v>3</v>
      </c>
      <c r="F172" s="42">
        <v>1.5959647538450004</v>
      </c>
      <c r="G172" s="45" t="s">
        <v>346</v>
      </c>
      <c r="H172" s="13">
        <v>10.944296999999999</v>
      </c>
      <c r="I172" s="14"/>
      <c r="J172" s="48">
        <f t="shared" si="30"/>
        <v>0</v>
      </c>
      <c r="K172" s="15"/>
      <c r="L172" s="16"/>
      <c r="M172" s="27" t="str">
        <f t="shared" si="26"/>
        <v>-</v>
      </c>
      <c r="N172" s="27" t="str">
        <f t="shared" si="27"/>
        <v>-</v>
      </c>
      <c r="O172" s="28" t="str">
        <f t="shared" si="28"/>
        <v>-</v>
      </c>
      <c r="P172" s="29" t="str">
        <f t="shared" si="24"/>
        <v>-</v>
      </c>
      <c r="R172" s="29" t="str">
        <f t="shared" si="29"/>
        <v>-</v>
      </c>
    </row>
    <row r="173" spans="1:18" ht="14.4" x14ac:dyDescent="0.3">
      <c r="A173" s="34" t="s">
        <v>8</v>
      </c>
      <c r="B173" s="10">
        <v>878941007453</v>
      </c>
      <c r="C173" s="11" t="s">
        <v>294</v>
      </c>
      <c r="D173" s="12" t="s">
        <v>313</v>
      </c>
      <c r="E173" s="42">
        <v>6</v>
      </c>
      <c r="F173" s="42">
        <v>0.18533784238200002</v>
      </c>
      <c r="G173" s="45" t="s">
        <v>346</v>
      </c>
      <c r="H173" s="13">
        <v>23.115896999999997</v>
      </c>
      <c r="I173" s="14"/>
      <c r="J173" s="48">
        <f t="shared" si="30"/>
        <v>0</v>
      </c>
      <c r="K173" s="15"/>
      <c r="L173" s="16"/>
      <c r="M173" s="27" t="str">
        <f t="shared" si="26"/>
        <v>-</v>
      </c>
      <c r="N173" s="27" t="str">
        <f t="shared" si="27"/>
        <v>-</v>
      </c>
      <c r="O173" s="28" t="str">
        <f t="shared" si="28"/>
        <v>-</v>
      </c>
      <c r="P173" s="29" t="str">
        <f t="shared" si="24"/>
        <v>-</v>
      </c>
      <c r="R173" s="29" t="str">
        <f t="shared" si="29"/>
        <v>-</v>
      </c>
    </row>
    <row r="174" spans="1:18" ht="14.4" x14ac:dyDescent="0.3">
      <c r="A174" s="34" t="s">
        <v>9</v>
      </c>
      <c r="B174" s="10">
        <v>878941007460</v>
      </c>
      <c r="C174" s="11" t="s">
        <v>295</v>
      </c>
      <c r="D174" s="12" t="s">
        <v>313</v>
      </c>
      <c r="E174" s="42">
        <v>6</v>
      </c>
      <c r="F174" s="42">
        <v>0.18533784238200002</v>
      </c>
      <c r="G174" s="45" t="s">
        <v>346</v>
      </c>
      <c r="H174" s="13">
        <v>26.767376999999996</v>
      </c>
      <c r="I174" s="14"/>
      <c r="J174" s="48">
        <f t="shared" si="30"/>
        <v>0</v>
      </c>
      <c r="K174" s="15"/>
      <c r="L174" s="16"/>
      <c r="M174" s="27" t="str">
        <f t="shared" si="26"/>
        <v>-</v>
      </c>
      <c r="N174" s="27" t="str">
        <f t="shared" si="27"/>
        <v>-</v>
      </c>
      <c r="O174" s="28" t="str">
        <f t="shared" si="28"/>
        <v>-</v>
      </c>
      <c r="P174" s="29" t="str">
        <f t="shared" si="24"/>
        <v>-</v>
      </c>
      <c r="R174" s="29" t="str">
        <f t="shared" si="29"/>
        <v>-</v>
      </c>
    </row>
    <row r="175" spans="1:18" ht="15" thickBot="1" x14ac:dyDescent="0.35">
      <c r="A175" s="35" t="s">
        <v>297</v>
      </c>
      <c r="B175" s="36">
        <v>878941003271</v>
      </c>
      <c r="C175" s="37" t="s">
        <v>298</v>
      </c>
      <c r="D175" s="38" t="s">
        <v>344</v>
      </c>
      <c r="E175" s="43"/>
      <c r="F175" s="43">
        <v>0.17024999999999998</v>
      </c>
      <c r="G175" s="46" t="s">
        <v>346</v>
      </c>
      <c r="H175" s="39">
        <v>11.447099999999997</v>
      </c>
      <c r="I175" s="40"/>
      <c r="J175" s="49">
        <f t="shared" si="30"/>
        <v>0</v>
      </c>
      <c r="K175" s="15"/>
      <c r="L175" s="16"/>
      <c r="M175" s="27" t="str">
        <f t="shared" si="26"/>
        <v>-</v>
      </c>
      <c r="N175" s="27" t="str">
        <f t="shared" si="27"/>
        <v>-</v>
      </c>
      <c r="O175" s="28" t="str">
        <f t="shared" si="28"/>
        <v>-</v>
      </c>
      <c r="P175" s="29" t="str">
        <f t="shared" si="24"/>
        <v>-</v>
      </c>
      <c r="R175" s="29" t="str">
        <f t="shared" si="29"/>
        <v>-</v>
      </c>
    </row>
    <row r="176" spans="1:18" ht="14.4" x14ac:dyDescent="0.3">
      <c r="M176" s="27"/>
      <c r="N176" s="27"/>
      <c r="O176" s="28"/>
      <c r="P176" s="29"/>
      <c r="R176" s="29"/>
    </row>
    <row r="177" spans="3:18" ht="14.4" x14ac:dyDescent="0.3">
      <c r="M177" s="27"/>
      <c r="N177" s="27"/>
      <c r="O177" s="28"/>
      <c r="P177" s="29"/>
      <c r="R177" s="29"/>
    </row>
    <row r="178" spans="3:18" ht="14.4" x14ac:dyDescent="0.3">
      <c r="M178" s="27"/>
      <c r="N178" s="27"/>
      <c r="O178" s="28"/>
      <c r="P178" s="29"/>
      <c r="R178" s="29"/>
    </row>
    <row r="179" spans="3:18" ht="15" thickBot="1" x14ac:dyDescent="0.35">
      <c r="M179" s="27"/>
      <c r="N179" s="27"/>
      <c r="O179" s="28"/>
      <c r="P179" s="29"/>
      <c r="R179" s="29"/>
    </row>
    <row r="180" spans="3:18" ht="30" customHeight="1" thickBot="1" x14ac:dyDescent="0.35">
      <c r="C180" s="1" t="e" vm="1">
        <v>#VALUE!</v>
      </c>
      <c r="M180" s="27"/>
      <c r="N180" s="27"/>
      <c r="O180" s="28"/>
      <c r="P180" s="29"/>
      <c r="R180" s="29"/>
    </row>
    <row r="181" spans="3:18" ht="14.4" x14ac:dyDescent="0.3">
      <c r="C181" s="2" t="s">
        <v>113</v>
      </c>
      <c r="M181" s="27"/>
      <c r="N181" s="27"/>
      <c r="O181" s="28"/>
      <c r="P181" s="29"/>
      <c r="R181" s="29"/>
    </row>
    <row r="182" spans="3:18" ht="14.4" x14ac:dyDescent="0.3">
      <c r="C182" s="3" t="s">
        <v>114</v>
      </c>
      <c r="M182" s="27"/>
      <c r="N182" s="27"/>
      <c r="O182" s="28"/>
      <c r="P182" s="29"/>
      <c r="R182" s="29"/>
    </row>
    <row r="183" spans="3:18" ht="15" thickBot="1" x14ac:dyDescent="0.35">
      <c r="C183" s="4" t="s">
        <v>115</v>
      </c>
      <c r="M183" s="27"/>
      <c r="N183" s="27"/>
      <c r="O183" s="28"/>
      <c r="P183" s="29"/>
      <c r="R183" s="29"/>
    </row>
    <row r="184" spans="3:18" ht="14.4" x14ac:dyDescent="0.3">
      <c r="C184" s="5" t="s">
        <v>116</v>
      </c>
      <c r="M184" s="27"/>
      <c r="N184" s="27"/>
      <c r="O184" s="28"/>
      <c r="P184" s="29"/>
      <c r="R184" s="29"/>
    </row>
    <row r="185" spans="3:18" ht="15" thickBot="1" x14ac:dyDescent="0.35">
      <c r="C185" s="6" t="s">
        <v>117</v>
      </c>
      <c r="M185" s="27"/>
      <c r="N185" s="27"/>
      <c r="O185" s="28"/>
      <c r="P185" s="29"/>
      <c r="R185" s="29"/>
    </row>
    <row r="186" spans="3:18" ht="14.4" x14ac:dyDescent="0.3">
      <c r="M186" s="27"/>
      <c r="N186" s="27"/>
      <c r="O186" s="28"/>
      <c r="P186" s="29"/>
      <c r="R186" s="29"/>
    </row>
    <row r="187" spans="3:18" ht="14.4" x14ac:dyDescent="0.3">
      <c r="M187" s="27"/>
      <c r="N187" s="27"/>
      <c r="O187" s="28"/>
      <c r="P187" s="29"/>
      <c r="R187" s="29"/>
    </row>
    <row r="188" spans="3:18" ht="14.4" x14ac:dyDescent="0.3">
      <c r="M188" s="27"/>
      <c r="N188" s="27"/>
      <c r="O188" s="28"/>
      <c r="P188" s="29"/>
      <c r="R188" s="29"/>
    </row>
    <row r="189" spans="3:18" ht="14.4" x14ac:dyDescent="0.3">
      <c r="M189" s="27"/>
      <c r="N189" s="27"/>
      <c r="O189" s="28"/>
      <c r="P189" s="29"/>
      <c r="R189" s="29"/>
    </row>
    <row r="190" spans="3:18" ht="14.4" x14ac:dyDescent="0.3">
      <c r="M190" s="27"/>
      <c r="N190" s="27"/>
      <c r="O190" s="28"/>
      <c r="P190" s="29"/>
      <c r="R190" s="29"/>
    </row>
    <row r="191" spans="3:18" ht="14.4" x14ac:dyDescent="0.3">
      <c r="M191" s="27"/>
      <c r="N191" s="27"/>
      <c r="O191" s="28"/>
      <c r="P191" s="29"/>
      <c r="R191" s="29"/>
    </row>
    <row r="192" spans="3:18" ht="14.4" x14ac:dyDescent="0.3">
      <c r="M192" s="27"/>
      <c r="N192" s="27"/>
      <c r="O192" s="28"/>
      <c r="P192" s="29"/>
      <c r="R192" s="29"/>
    </row>
    <row r="193" spans="13:18" ht="14.4" x14ac:dyDescent="0.3">
      <c r="M193" s="27"/>
      <c r="N193" s="27"/>
      <c r="O193" s="28"/>
      <c r="P193" s="29"/>
      <c r="R193" s="29"/>
    </row>
    <row r="194" spans="13:18" ht="14.4" x14ac:dyDescent="0.3">
      <c r="M194" s="27"/>
      <c r="N194" s="27"/>
      <c r="O194" s="28"/>
      <c r="P194" s="29"/>
      <c r="R194" s="29"/>
    </row>
    <row r="195" spans="13:18" ht="14.4" x14ac:dyDescent="0.3">
      <c r="M195" s="27"/>
      <c r="N195" s="27"/>
      <c r="O195" s="28"/>
      <c r="P195" s="29"/>
      <c r="R195" s="29"/>
    </row>
    <row r="196" spans="13:18" ht="14.4" x14ac:dyDescent="0.3">
      <c r="M196" s="27"/>
      <c r="N196" s="27"/>
      <c r="O196" s="28"/>
      <c r="P196" s="29"/>
      <c r="R196" s="29"/>
    </row>
    <row r="197" spans="13:18" ht="14.4" x14ac:dyDescent="0.3">
      <c r="M197" s="27"/>
      <c r="N197" s="27"/>
      <c r="O197" s="28"/>
      <c r="P197" s="29"/>
      <c r="R197" s="29"/>
    </row>
    <row r="198" spans="13:18" ht="14.4" x14ac:dyDescent="0.3">
      <c r="M198" s="27"/>
      <c r="N198" s="27"/>
      <c r="O198" s="28"/>
      <c r="P198" s="29"/>
      <c r="R198" s="29"/>
    </row>
    <row r="199" spans="13:18" ht="14.4" x14ac:dyDescent="0.3">
      <c r="M199" s="27"/>
      <c r="N199" s="27"/>
      <c r="O199" s="28"/>
      <c r="P199" s="29"/>
      <c r="R199" s="29"/>
    </row>
    <row r="200" spans="13:18" ht="14.4" x14ac:dyDescent="0.3">
      <c r="M200" s="27"/>
      <c r="N200" s="27"/>
      <c r="O200" s="28"/>
      <c r="P200" s="29"/>
      <c r="R200" s="29"/>
    </row>
    <row r="201" spans="13:18" ht="14.4" x14ac:dyDescent="0.3">
      <c r="M201" s="27"/>
      <c r="N201" s="27"/>
      <c r="O201" s="28"/>
      <c r="P201" s="29"/>
      <c r="R201" s="29"/>
    </row>
    <row r="202" spans="13:18" ht="14.4" x14ac:dyDescent="0.3">
      <c r="M202" s="27"/>
      <c r="N202" s="27"/>
      <c r="O202" s="28"/>
      <c r="P202" s="29"/>
      <c r="R202" s="29"/>
    </row>
    <row r="203" spans="13:18" ht="14.4" x14ac:dyDescent="0.3">
      <c r="M203" s="27"/>
      <c r="N203" s="27"/>
      <c r="O203" s="28"/>
      <c r="P203" s="29"/>
      <c r="R203" s="29"/>
    </row>
    <row r="204" spans="13:18" ht="14.4" x14ac:dyDescent="0.3">
      <c r="M204" s="27"/>
      <c r="N204" s="27"/>
      <c r="O204" s="28"/>
      <c r="P204" s="29"/>
      <c r="R204" s="29"/>
    </row>
    <row r="205" spans="13:18" ht="14.4" x14ac:dyDescent="0.3">
      <c r="M205" s="27"/>
      <c r="N205" s="27"/>
      <c r="O205" s="28"/>
      <c r="P205" s="29"/>
      <c r="R205" s="29"/>
    </row>
    <row r="206" spans="13:18" ht="14.4" x14ac:dyDescent="0.3">
      <c r="M206" s="27"/>
      <c r="N206" s="27"/>
      <c r="O206" s="28"/>
      <c r="P206" s="29"/>
      <c r="R206" s="29"/>
    </row>
    <row r="207" spans="13:18" ht="14.4" x14ac:dyDescent="0.3">
      <c r="M207" s="27"/>
      <c r="N207" s="27"/>
      <c r="O207" s="28"/>
      <c r="P207" s="29"/>
      <c r="R207" s="29"/>
    </row>
    <row r="208" spans="13:18" ht="14.4" x14ac:dyDescent="0.3">
      <c r="M208" s="27"/>
      <c r="N208" s="27"/>
      <c r="O208" s="28"/>
      <c r="P208" s="29"/>
      <c r="R208" s="29"/>
    </row>
    <row r="209" spans="13:18" ht="14.4" x14ac:dyDescent="0.3">
      <c r="M209" s="27"/>
      <c r="N209" s="27"/>
      <c r="O209" s="28"/>
      <c r="P209" s="29"/>
      <c r="R209" s="29"/>
    </row>
    <row r="210" spans="13:18" ht="14.4" x14ac:dyDescent="0.3">
      <c r="M210" s="27"/>
      <c r="N210" s="27"/>
      <c r="O210" s="28"/>
      <c r="P210" s="29"/>
      <c r="R210" s="29"/>
    </row>
    <row r="211" spans="13:18" ht="14.4" x14ac:dyDescent="0.3">
      <c r="M211" s="27"/>
      <c r="N211" s="27"/>
      <c r="O211" s="28"/>
      <c r="P211" s="29"/>
      <c r="R211" s="29"/>
    </row>
    <row r="212" spans="13:18" ht="14.4" x14ac:dyDescent="0.3">
      <c r="M212" s="27"/>
      <c r="N212" s="27"/>
      <c r="O212" s="28"/>
      <c r="P212" s="29"/>
      <c r="R212" s="29"/>
    </row>
    <row r="213" spans="13:18" ht="14.4" x14ac:dyDescent="0.3">
      <c r="M213" s="27"/>
      <c r="N213" s="27"/>
      <c r="O213" s="28"/>
      <c r="P213" s="29"/>
      <c r="R213" s="29"/>
    </row>
    <row r="214" spans="13:18" ht="14.4" x14ac:dyDescent="0.3">
      <c r="M214" s="27"/>
      <c r="N214" s="27"/>
      <c r="O214" s="28"/>
      <c r="P214" s="29"/>
      <c r="R214" s="29"/>
    </row>
    <row r="215" spans="13:18" ht="14.4" x14ac:dyDescent="0.3">
      <c r="M215" s="27"/>
      <c r="N215" s="27"/>
      <c r="O215" s="28"/>
      <c r="P215" s="29"/>
      <c r="R215" s="29"/>
    </row>
    <row r="216" spans="13:18" ht="14.4" x14ac:dyDescent="0.3">
      <c r="M216" s="27"/>
      <c r="N216" s="27"/>
      <c r="O216" s="28"/>
      <c r="P216" s="29"/>
      <c r="R216" s="29"/>
    </row>
    <row r="217" spans="13:18" ht="14.4" x14ac:dyDescent="0.3">
      <c r="M217" s="27"/>
      <c r="N217" s="27"/>
      <c r="O217" s="28"/>
      <c r="P217" s="29"/>
      <c r="R217" s="29"/>
    </row>
    <row r="218" spans="13:18" ht="14.4" x14ac:dyDescent="0.3">
      <c r="M218" s="27"/>
      <c r="N218" s="27"/>
      <c r="O218" s="28"/>
      <c r="P218" s="29"/>
      <c r="R218" s="29"/>
    </row>
    <row r="219" spans="13:18" ht="14.4" x14ac:dyDescent="0.3">
      <c r="M219" s="27"/>
      <c r="N219" s="27"/>
      <c r="O219" s="28"/>
      <c r="P219" s="29"/>
      <c r="R219" s="29"/>
    </row>
    <row r="220" spans="13:18" ht="14.4" x14ac:dyDescent="0.3">
      <c r="M220" s="27"/>
      <c r="N220" s="27"/>
      <c r="O220" s="28"/>
      <c r="P220" s="29"/>
      <c r="R220" s="29"/>
    </row>
    <row r="221" spans="13:18" ht="14.4" x14ac:dyDescent="0.3">
      <c r="M221" s="27"/>
      <c r="N221" s="27"/>
      <c r="O221" s="28"/>
      <c r="P221" s="29"/>
      <c r="R221" s="29"/>
    </row>
    <row r="222" spans="13:18" ht="14.4" x14ac:dyDescent="0.3">
      <c r="M222" s="27"/>
      <c r="N222" s="27"/>
      <c r="O222" s="28"/>
      <c r="P222" s="29"/>
      <c r="R222" s="29"/>
    </row>
    <row r="223" spans="13:18" ht="14.4" x14ac:dyDescent="0.3">
      <c r="M223" s="27"/>
      <c r="N223" s="27"/>
      <c r="O223" s="28"/>
      <c r="P223" s="29"/>
      <c r="R223" s="29"/>
    </row>
    <row r="224" spans="13:18" ht="14.4" x14ac:dyDescent="0.3">
      <c r="M224" s="27"/>
      <c r="N224" s="27"/>
      <c r="O224" s="28"/>
      <c r="P224" s="29"/>
      <c r="R224" s="29"/>
    </row>
    <row r="225" spans="13:18" ht="14.4" x14ac:dyDescent="0.3">
      <c r="M225" s="27"/>
      <c r="N225" s="27"/>
      <c r="O225" s="28"/>
      <c r="P225" s="29"/>
      <c r="R225" s="29"/>
    </row>
    <row r="226" spans="13:18" ht="14.4" x14ac:dyDescent="0.3">
      <c r="M226" s="27"/>
      <c r="N226" s="27"/>
      <c r="O226" s="28"/>
      <c r="P226" s="29"/>
      <c r="R226" s="29"/>
    </row>
    <row r="227" spans="13:18" ht="14.4" x14ac:dyDescent="0.3">
      <c r="M227" s="27"/>
      <c r="N227" s="27"/>
      <c r="O227" s="28"/>
      <c r="P227" s="29"/>
      <c r="R227" s="29"/>
    </row>
    <row r="228" spans="13:18" ht="14.4" x14ac:dyDescent="0.3">
      <c r="M228" s="27"/>
      <c r="N228" s="27"/>
      <c r="O228" s="28"/>
      <c r="P228" s="29"/>
      <c r="R228" s="29"/>
    </row>
    <row r="229" spans="13:18" ht="14.4" x14ac:dyDescent="0.3">
      <c r="M229" s="27"/>
      <c r="N229" s="27"/>
      <c r="O229" s="28"/>
      <c r="P229" s="29"/>
      <c r="R229" s="29"/>
    </row>
    <row r="230" spans="13:18" ht="14.4" x14ac:dyDescent="0.3">
      <c r="M230" s="27"/>
      <c r="N230" s="27"/>
      <c r="O230" s="28"/>
      <c r="P230" s="29"/>
      <c r="R230" s="29"/>
    </row>
    <row r="231" spans="13:18" ht="14.4" x14ac:dyDescent="0.3">
      <c r="M231" s="27"/>
      <c r="N231" s="27"/>
      <c r="O231" s="28"/>
      <c r="P231" s="29"/>
      <c r="R231" s="29"/>
    </row>
    <row r="232" spans="13:18" ht="14.4" x14ac:dyDescent="0.3">
      <c r="M232" s="27"/>
      <c r="N232" s="27"/>
      <c r="O232" s="28"/>
      <c r="P232" s="29"/>
      <c r="R232" s="29"/>
    </row>
    <row r="233" spans="13:18" ht="14.4" x14ac:dyDescent="0.3">
      <c r="M233" s="27"/>
      <c r="N233" s="27"/>
      <c r="O233" s="28"/>
      <c r="P233" s="29"/>
      <c r="R233" s="29"/>
    </row>
    <row r="234" spans="13:18" ht="14.4" x14ac:dyDescent="0.3">
      <c r="M234" s="27"/>
      <c r="N234" s="27"/>
      <c r="O234" s="28"/>
      <c r="P234" s="29"/>
      <c r="R234" s="29"/>
    </row>
    <row r="235" spans="13:18" ht="14.4" x14ac:dyDescent="0.3">
      <c r="M235" s="27"/>
      <c r="N235" s="27"/>
      <c r="O235" s="28"/>
      <c r="P235" s="29"/>
      <c r="R235" s="29"/>
    </row>
    <row r="236" spans="13:18" ht="14.4" x14ac:dyDescent="0.3">
      <c r="M236" s="27"/>
      <c r="N236" s="27"/>
      <c r="O236" s="28"/>
      <c r="P236" s="29"/>
      <c r="R236" s="29"/>
    </row>
    <row r="237" spans="13:18" ht="14.4" x14ac:dyDescent="0.3">
      <c r="M237" s="27"/>
      <c r="N237" s="27"/>
      <c r="O237" s="28"/>
      <c r="P237" s="29"/>
      <c r="R237" s="29"/>
    </row>
    <row r="238" spans="13:18" ht="14.4" x14ac:dyDescent="0.3">
      <c r="M238" s="27"/>
      <c r="N238" s="27"/>
      <c r="O238" s="28"/>
      <c r="P238" s="29"/>
      <c r="R238" s="29"/>
    </row>
    <row r="239" spans="13:18" ht="14.4" x14ac:dyDescent="0.3">
      <c r="M239" s="27"/>
      <c r="N239" s="27"/>
      <c r="O239" s="28"/>
      <c r="P239" s="29"/>
      <c r="R239" s="29"/>
    </row>
    <row r="240" spans="13:18" ht="14.4" x14ac:dyDescent="0.3">
      <c r="M240" s="27"/>
      <c r="N240" s="27"/>
      <c r="O240" s="28"/>
      <c r="P240" s="29"/>
      <c r="R240" s="29"/>
    </row>
    <row r="241" spans="13:18" ht="14.4" x14ac:dyDescent="0.3">
      <c r="M241" s="27"/>
      <c r="N241" s="27"/>
      <c r="O241" s="28"/>
      <c r="P241" s="29"/>
      <c r="R241" s="29"/>
    </row>
    <row r="242" spans="13:18" ht="14.4" x14ac:dyDescent="0.3">
      <c r="M242" s="27"/>
      <c r="N242" s="27"/>
      <c r="O242" s="28"/>
      <c r="P242" s="29"/>
      <c r="R242" s="29"/>
    </row>
    <row r="243" spans="13:18" ht="14.4" x14ac:dyDescent="0.3">
      <c r="M243" s="27"/>
      <c r="N243" s="27"/>
      <c r="O243" s="28"/>
      <c r="P243" s="29"/>
      <c r="R243" s="29"/>
    </row>
    <row r="244" spans="13:18" ht="14.4" x14ac:dyDescent="0.3">
      <c r="M244" s="27"/>
      <c r="N244" s="27"/>
      <c r="O244" s="28"/>
      <c r="P244" s="29"/>
      <c r="R244" s="29"/>
    </row>
    <row r="245" spans="13:18" ht="14.4" x14ac:dyDescent="0.3">
      <c r="M245" s="27"/>
      <c r="N245" s="27"/>
      <c r="O245" s="28"/>
      <c r="P245" s="29"/>
      <c r="R245" s="29"/>
    </row>
    <row r="246" spans="13:18" ht="14.4" x14ac:dyDescent="0.3">
      <c r="M246" s="27"/>
      <c r="N246" s="27"/>
      <c r="O246" s="28"/>
      <c r="P246" s="29"/>
      <c r="R246" s="29"/>
    </row>
    <row r="247" spans="13:18" ht="14.4" x14ac:dyDescent="0.3">
      <c r="M247" s="27"/>
      <c r="N247" s="27"/>
      <c r="O247" s="28"/>
      <c r="P247" s="29"/>
      <c r="R247" s="29"/>
    </row>
    <row r="248" spans="13:18" ht="14.4" x14ac:dyDescent="0.3">
      <c r="M248" s="27"/>
      <c r="N248" s="27"/>
      <c r="O248" s="28"/>
      <c r="P248" s="29"/>
      <c r="R248" s="29"/>
    </row>
    <row r="249" spans="13:18" ht="14.4" x14ac:dyDescent="0.3">
      <c r="M249" s="27"/>
      <c r="N249" s="27"/>
      <c r="O249" s="28"/>
      <c r="P249" s="29"/>
      <c r="R249" s="29"/>
    </row>
    <row r="250" spans="13:18" ht="14.4" x14ac:dyDescent="0.3">
      <c r="M250" s="27"/>
      <c r="N250" s="27"/>
      <c r="O250" s="28"/>
      <c r="P250" s="29"/>
      <c r="R250" s="29"/>
    </row>
    <row r="251" spans="13:18" ht="14.4" x14ac:dyDescent="0.3">
      <c r="M251" s="27"/>
      <c r="N251" s="27"/>
      <c r="O251" s="28"/>
      <c r="P251" s="29"/>
      <c r="R251" s="29"/>
    </row>
    <row r="252" spans="13:18" ht="14.4" x14ac:dyDescent="0.3">
      <c r="M252" s="27"/>
      <c r="N252" s="27"/>
      <c r="O252" s="28"/>
      <c r="P252" s="29"/>
      <c r="R252" s="29"/>
    </row>
    <row r="253" spans="13:18" ht="14.4" x14ac:dyDescent="0.3">
      <c r="M253" s="27"/>
      <c r="N253" s="27"/>
      <c r="O253" s="28"/>
      <c r="P253" s="29"/>
      <c r="R253" s="29"/>
    </row>
    <row r="254" spans="13:18" ht="14.4" x14ac:dyDescent="0.3">
      <c r="M254" s="27"/>
      <c r="N254" s="27"/>
      <c r="O254" s="28"/>
      <c r="P254" s="29"/>
      <c r="R254" s="29"/>
    </row>
    <row r="255" spans="13:18" ht="14.4" x14ac:dyDescent="0.3">
      <c r="M255" s="27"/>
      <c r="N255" s="27"/>
      <c r="O255" s="28"/>
      <c r="P255" s="29"/>
      <c r="R255" s="29"/>
    </row>
    <row r="256" spans="13:18" ht="14.4" x14ac:dyDescent="0.3">
      <c r="M256" s="27"/>
      <c r="N256" s="27"/>
      <c r="O256" s="28"/>
      <c r="P256" s="29"/>
      <c r="R256" s="29"/>
    </row>
    <row r="257" spans="13:18" ht="14.4" x14ac:dyDescent="0.3">
      <c r="M257" s="27"/>
      <c r="N257" s="27"/>
      <c r="O257" s="28"/>
      <c r="P257" s="29"/>
      <c r="R257" s="29"/>
    </row>
    <row r="258" spans="13:18" ht="14.4" x14ac:dyDescent="0.3">
      <c r="M258" s="27"/>
      <c r="N258" s="27"/>
      <c r="O258" s="28"/>
      <c r="P258" s="29"/>
      <c r="R258" s="29"/>
    </row>
    <row r="259" spans="13:18" ht="14.4" x14ac:dyDescent="0.3">
      <c r="M259" s="27"/>
      <c r="N259" s="27"/>
      <c r="O259" s="28"/>
      <c r="P259" s="29"/>
      <c r="R259" s="29"/>
    </row>
    <row r="260" spans="13:18" ht="14.4" x14ac:dyDescent="0.3">
      <c r="M260" s="27"/>
      <c r="N260" s="27"/>
      <c r="O260" s="28"/>
      <c r="P260" s="29"/>
      <c r="R260" s="29"/>
    </row>
    <row r="261" spans="13:18" ht="14.4" x14ac:dyDescent="0.3">
      <c r="M261" s="27"/>
      <c r="N261" s="27"/>
      <c r="O261" s="28"/>
      <c r="P261" s="29"/>
      <c r="R261" s="29"/>
    </row>
    <row r="262" spans="13:18" ht="14.4" x14ac:dyDescent="0.3">
      <c r="M262" s="27"/>
      <c r="N262" s="27"/>
      <c r="O262" s="28"/>
      <c r="P262" s="29"/>
      <c r="R262" s="29"/>
    </row>
    <row r="263" spans="13:18" ht="14.4" x14ac:dyDescent="0.3">
      <c r="M263" s="27"/>
      <c r="N263" s="27"/>
      <c r="O263" s="28"/>
      <c r="P263" s="29"/>
      <c r="R263" s="29"/>
    </row>
    <row r="264" spans="13:18" ht="14.4" x14ac:dyDescent="0.3">
      <c r="M264" s="27"/>
      <c r="N264" s="27"/>
      <c r="O264" s="28"/>
      <c r="P264" s="29"/>
      <c r="R264" s="29"/>
    </row>
    <row r="265" spans="13:18" ht="14.4" x14ac:dyDescent="0.3">
      <c r="M265" s="27"/>
      <c r="N265" s="27"/>
      <c r="O265" s="28"/>
      <c r="P265" s="29"/>
      <c r="R265" s="29"/>
    </row>
    <row r="266" spans="13:18" ht="14.4" x14ac:dyDescent="0.3">
      <c r="M266" s="27"/>
      <c r="N266" s="27"/>
      <c r="O266" s="28"/>
      <c r="P266" s="29"/>
      <c r="R266" s="29"/>
    </row>
    <row r="267" spans="13:18" ht="14.4" x14ac:dyDescent="0.3">
      <c r="M267" s="27"/>
      <c r="N267" s="27"/>
      <c r="O267" s="28"/>
      <c r="P267" s="29"/>
      <c r="R267" s="29"/>
    </row>
    <row r="268" spans="13:18" ht="14.4" x14ac:dyDescent="0.3">
      <c r="M268" s="27"/>
      <c r="N268" s="27"/>
      <c r="O268" s="28"/>
      <c r="P268" s="29"/>
      <c r="R268" s="29"/>
    </row>
    <row r="269" spans="13:18" ht="14.4" x14ac:dyDescent="0.3">
      <c r="M269" s="27"/>
      <c r="N269" s="27"/>
      <c r="O269" s="28"/>
      <c r="P269" s="29"/>
      <c r="R269" s="29"/>
    </row>
    <row r="270" spans="13:18" ht="14.4" x14ac:dyDescent="0.3">
      <c r="M270" s="27"/>
      <c r="N270" s="27"/>
      <c r="O270" s="28"/>
      <c r="P270" s="29"/>
      <c r="R270" s="29"/>
    </row>
    <row r="271" spans="13:18" ht="14.4" x14ac:dyDescent="0.3">
      <c r="M271" s="27"/>
      <c r="N271" s="27"/>
      <c r="O271" s="28"/>
      <c r="P271" s="29"/>
      <c r="R271" s="29"/>
    </row>
    <row r="272" spans="13:18" ht="14.4" x14ac:dyDescent="0.3">
      <c r="M272" s="27"/>
      <c r="N272" s="27"/>
      <c r="O272" s="28"/>
      <c r="P272" s="29"/>
      <c r="R272" s="29"/>
    </row>
    <row r="273" spans="13:18" ht="14.4" x14ac:dyDescent="0.3">
      <c r="M273" s="27"/>
      <c r="N273" s="27"/>
      <c r="O273" s="28"/>
      <c r="P273" s="29"/>
      <c r="R273" s="29"/>
    </row>
    <row r="274" spans="13:18" ht="14.4" x14ac:dyDescent="0.3">
      <c r="M274" s="27"/>
      <c r="N274" s="27"/>
      <c r="O274" s="28"/>
      <c r="P274" s="29"/>
      <c r="R274" s="29"/>
    </row>
    <row r="275" spans="13:18" ht="14.4" x14ac:dyDescent="0.3">
      <c r="M275" s="27"/>
      <c r="N275" s="27"/>
      <c r="O275" s="28"/>
      <c r="P275" s="29"/>
      <c r="R275" s="29"/>
    </row>
    <row r="276" spans="13:18" ht="14.4" x14ac:dyDescent="0.3">
      <c r="M276" s="27"/>
      <c r="N276" s="27"/>
      <c r="O276" s="28"/>
      <c r="P276" s="29"/>
      <c r="R276" s="29"/>
    </row>
    <row r="277" spans="13:18" ht="14.4" x14ac:dyDescent="0.3">
      <c r="M277" s="27"/>
      <c r="N277" s="27"/>
      <c r="O277" s="28"/>
      <c r="P277" s="29"/>
      <c r="R277" s="29"/>
    </row>
    <row r="278" spans="13:18" ht="14.4" x14ac:dyDescent="0.3">
      <c r="M278" s="27"/>
      <c r="N278" s="27"/>
      <c r="O278" s="28"/>
      <c r="P278" s="29"/>
      <c r="R278" s="29"/>
    </row>
    <row r="279" spans="13:18" ht="14.4" x14ac:dyDescent="0.3">
      <c r="M279" s="27"/>
      <c r="N279" s="27"/>
      <c r="O279" s="28"/>
      <c r="P279" s="29"/>
      <c r="R279" s="29"/>
    </row>
    <row r="280" spans="13:18" ht="14.4" x14ac:dyDescent="0.3">
      <c r="M280" s="27"/>
      <c r="N280" s="27"/>
      <c r="O280" s="28"/>
      <c r="P280" s="29"/>
      <c r="R280" s="29"/>
    </row>
    <row r="281" spans="13:18" ht="14.4" x14ac:dyDescent="0.3">
      <c r="M281" s="27"/>
      <c r="N281" s="27"/>
      <c r="O281" s="28"/>
      <c r="P281" s="29"/>
      <c r="R281" s="29"/>
    </row>
    <row r="282" spans="13:18" ht="14.4" x14ac:dyDescent="0.3">
      <c r="M282" s="27"/>
      <c r="N282" s="27"/>
      <c r="O282" s="28"/>
      <c r="P282" s="29"/>
      <c r="R282" s="29"/>
    </row>
    <row r="283" spans="13:18" ht="14.4" x14ac:dyDescent="0.3">
      <c r="M283" s="27"/>
      <c r="N283" s="27"/>
      <c r="O283" s="28"/>
      <c r="P283" s="29"/>
      <c r="R283" s="29"/>
    </row>
    <row r="284" spans="13:18" ht="14.4" x14ac:dyDescent="0.3">
      <c r="M284" s="27"/>
      <c r="N284" s="27"/>
      <c r="O284" s="28"/>
      <c r="P284" s="29"/>
      <c r="R284" s="29"/>
    </row>
    <row r="285" spans="13:18" ht="14.4" x14ac:dyDescent="0.3">
      <c r="M285" s="27"/>
      <c r="N285" s="27"/>
      <c r="O285" s="28"/>
      <c r="P285" s="29"/>
      <c r="R285" s="29"/>
    </row>
    <row r="286" spans="13:18" ht="14.4" x14ac:dyDescent="0.3">
      <c r="M286" s="27"/>
      <c r="N286" s="27"/>
      <c r="O286" s="28"/>
      <c r="P286" s="29"/>
      <c r="R286" s="29"/>
    </row>
    <row r="287" spans="13:18" ht="14.4" x14ac:dyDescent="0.3">
      <c r="M287" s="27"/>
      <c r="N287" s="27"/>
      <c r="O287" s="28"/>
      <c r="P287" s="29"/>
      <c r="R287" s="29"/>
    </row>
    <row r="288" spans="13:18" ht="14.4" x14ac:dyDescent="0.3">
      <c r="M288" s="27"/>
      <c r="N288" s="27"/>
      <c r="O288" s="28"/>
      <c r="P288" s="29"/>
      <c r="R288" s="29"/>
    </row>
    <row r="289" spans="13:18" ht="14.4" x14ac:dyDescent="0.3">
      <c r="M289" s="27"/>
      <c r="N289" s="27"/>
      <c r="O289" s="28"/>
      <c r="P289" s="29"/>
      <c r="R289" s="29"/>
    </row>
    <row r="290" spans="13:18" ht="14.4" x14ac:dyDescent="0.3">
      <c r="M290" s="27"/>
      <c r="N290" s="27"/>
      <c r="O290" s="28"/>
      <c r="P290" s="29"/>
      <c r="R290" s="29"/>
    </row>
    <row r="291" spans="13:18" ht="14.4" x14ac:dyDescent="0.3">
      <c r="M291" s="27"/>
      <c r="N291" s="27"/>
      <c r="O291" s="28"/>
      <c r="P291" s="29"/>
      <c r="R291" s="29"/>
    </row>
    <row r="292" spans="13:18" ht="14.4" x14ac:dyDescent="0.3">
      <c r="M292" s="27"/>
      <c r="N292" s="27"/>
      <c r="O292" s="28"/>
      <c r="P292" s="29"/>
      <c r="R292" s="29"/>
    </row>
    <row r="293" spans="13:18" ht="14.4" x14ac:dyDescent="0.3">
      <c r="M293" s="27"/>
      <c r="N293" s="27"/>
      <c r="O293" s="28"/>
      <c r="P293" s="29"/>
      <c r="R293" s="29"/>
    </row>
    <row r="294" spans="13:18" ht="14.4" x14ac:dyDescent="0.3">
      <c r="M294" s="27"/>
      <c r="N294" s="27"/>
      <c r="O294" s="28"/>
      <c r="P294" s="29"/>
      <c r="R294" s="29"/>
    </row>
    <row r="295" spans="13:18" ht="14.4" x14ac:dyDescent="0.3">
      <c r="M295" s="27"/>
      <c r="N295" s="27"/>
      <c r="O295" s="28"/>
      <c r="P295" s="29"/>
      <c r="R295" s="29"/>
    </row>
    <row r="296" spans="13:18" ht="14.4" x14ac:dyDescent="0.3">
      <c r="M296" s="27"/>
      <c r="N296" s="27"/>
      <c r="O296" s="28"/>
      <c r="P296" s="29"/>
      <c r="R296" s="29"/>
    </row>
    <row r="297" spans="13:18" ht="14.4" x14ac:dyDescent="0.3">
      <c r="M297" s="27"/>
      <c r="N297" s="27"/>
      <c r="O297" s="28"/>
      <c r="P297" s="29"/>
      <c r="R297" s="29"/>
    </row>
    <row r="298" spans="13:18" ht="14.4" x14ac:dyDescent="0.3">
      <c r="M298" s="27"/>
      <c r="N298" s="27"/>
      <c r="O298" s="28"/>
      <c r="P298" s="29"/>
      <c r="R298" s="29"/>
    </row>
    <row r="299" spans="13:18" ht="14.4" x14ac:dyDescent="0.3">
      <c r="M299" s="27"/>
      <c r="N299" s="27"/>
      <c r="O299" s="28"/>
      <c r="P299" s="29"/>
      <c r="R299" s="29"/>
    </row>
    <row r="300" spans="13:18" ht="14.4" x14ac:dyDescent="0.3">
      <c r="M300" s="27"/>
      <c r="N300" s="27"/>
      <c r="O300" s="28"/>
      <c r="P300" s="29"/>
      <c r="R300" s="29"/>
    </row>
    <row r="301" spans="13:18" ht="14.4" x14ac:dyDescent="0.3">
      <c r="M301" s="27"/>
      <c r="N301" s="27"/>
      <c r="O301" s="28"/>
      <c r="P301" s="29"/>
      <c r="R301" s="29"/>
    </row>
    <row r="302" spans="13:18" ht="14.4" x14ac:dyDescent="0.3">
      <c r="M302" s="27"/>
      <c r="N302" s="27"/>
      <c r="O302" s="28"/>
      <c r="P302" s="29"/>
      <c r="R302" s="29"/>
    </row>
    <row r="303" spans="13:18" ht="14.4" x14ac:dyDescent="0.3">
      <c r="M303" s="27"/>
      <c r="N303" s="27"/>
      <c r="O303" s="28"/>
      <c r="P303" s="29"/>
      <c r="R303" s="29"/>
    </row>
    <row r="304" spans="13:18" ht="14.4" x14ac:dyDescent="0.3">
      <c r="M304" s="27"/>
      <c r="N304" s="27"/>
      <c r="O304" s="28"/>
      <c r="P304" s="29"/>
      <c r="R304" s="29"/>
    </row>
    <row r="305" spans="13:18" ht="14.4" x14ac:dyDescent="0.3">
      <c r="M305" s="27"/>
      <c r="N305" s="27"/>
      <c r="O305" s="28"/>
      <c r="P305" s="29"/>
      <c r="R305" s="29"/>
    </row>
    <row r="306" spans="13:18" ht="14.4" x14ac:dyDescent="0.3">
      <c r="M306" s="27"/>
      <c r="N306" s="27"/>
      <c r="O306" s="28"/>
      <c r="P306" s="29"/>
      <c r="R306" s="29"/>
    </row>
    <row r="307" spans="13:18" ht="14.4" x14ac:dyDescent="0.3">
      <c r="M307" s="27"/>
      <c r="N307" s="27"/>
      <c r="O307" s="28"/>
      <c r="P307" s="29"/>
      <c r="R307" s="29"/>
    </row>
    <row r="308" spans="13:18" ht="14.4" x14ac:dyDescent="0.3">
      <c r="M308" s="27"/>
      <c r="N308" s="27"/>
      <c r="O308" s="28"/>
      <c r="P308" s="29"/>
      <c r="R308" s="29"/>
    </row>
    <row r="309" spans="13:18" ht="14.4" x14ac:dyDescent="0.3">
      <c r="M309" s="27"/>
      <c r="N309" s="27"/>
      <c r="O309" s="28"/>
      <c r="P309" s="29"/>
      <c r="R309" s="29"/>
    </row>
    <row r="310" spans="13:18" ht="14.4" x14ac:dyDescent="0.3">
      <c r="M310" s="27"/>
      <c r="N310" s="27"/>
      <c r="O310" s="28"/>
      <c r="P310" s="29"/>
      <c r="R310" s="29"/>
    </row>
    <row r="311" spans="13:18" ht="14.4" x14ac:dyDescent="0.3">
      <c r="M311" s="27"/>
      <c r="N311" s="27"/>
      <c r="O311" s="28"/>
      <c r="P311" s="29"/>
      <c r="R311" s="29"/>
    </row>
    <row r="312" spans="13:18" ht="14.4" x14ac:dyDescent="0.3">
      <c r="M312" s="27"/>
      <c r="N312" s="27"/>
      <c r="O312" s="28"/>
      <c r="P312" s="29"/>
      <c r="R312" s="29"/>
    </row>
    <row r="313" spans="13:18" ht="14.4" x14ac:dyDescent="0.3">
      <c r="M313" s="27"/>
      <c r="N313" s="27"/>
      <c r="O313" s="28"/>
      <c r="P313" s="29"/>
      <c r="R313" s="29"/>
    </row>
    <row r="314" spans="13:18" ht="14.4" x14ac:dyDescent="0.3">
      <c r="M314" s="27"/>
      <c r="N314" s="27"/>
      <c r="O314" s="28"/>
      <c r="P314" s="29"/>
      <c r="R314" s="29"/>
    </row>
    <row r="315" spans="13:18" ht="14.4" x14ac:dyDescent="0.3">
      <c r="M315" s="27"/>
      <c r="N315" s="27"/>
      <c r="O315" s="28"/>
      <c r="P315" s="29"/>
      <c r="R315" s="29"/>
    </row>
    <row r="316" spans="13:18" ht="14.4" x14ac:dyDescent="0.3">
      <c r="M316" s="27"/>
      <c r="N316" s="27"/>
      <c r="O316" s="28"/>
      <c r="P316" s="29"/>
      <c r="R316" s="29"/>
    </row>
    <row r="317" spans="13:18" ht="14.4" x14ac:dyDescent="0.3">
      <c r="M317" s="27"/>
      <c r="N317" s="27"/>
      <c r="O317" s="28"/>
      <c r="P317" s="29"/>
      <c r="R317" s="29"/>
    </row>
    <row r="318" spans="13:18" ht="14.4" x14ac:dyDescent="0.3">
      <c r="M318" s="27"/>
      <c r="N318" s="27"/>
      <c r="O318" s="28"/>
      <c r="P318" s="29"/>
      <c r="R318" s="29"/>
    </row>
    <row r="319" spans="13:18" ht="14.4" x14ac:dyDescent="0.3">
      <c r="M319" s="27"/>
      <c r="N319" s="27"/>
      <c r="O319" s="28"/>
      <c r="P319" s="29"/>
      <c r="R319" s="29"/>
    </row>
    <row r="320" spans="13:18" ht="14.4" x14ac:dyDescent="0.3">
      <c r="M320" s="27"/>
      <c r="N320" s="27"/>
      <c r="O320" s="28"/>
      <c r="P320" s="29"/>
      <c r="R320" s="29"/>
    </row>
    <row r="321" spans="13:18" ht="14.4" x14ac:dyDescent="0.3">
      <c r="M321" s="27"/>
      <c r="N321" s="27"/>
      <c r="O321" s="28"/>
      <c r="P321" s="29"/>
      <c r="R321" s="29"/>
    </row>
    <row r="322" spans="13:18" ht="14.4" x14ac:dyDescent="0.3">
      <c r="M322" s="27"/>
      <c r="N322" s="27"/>
      <c r="O322" s="28"/>
      <c r="P322" s="29"/>
      <c r="R322" s="29"/>
    </row>
    <row r="323" spans="13:18" ht="14.4" x14ac:dyDescent="0.3">
      <c r="M323" s="27"/>
      <c r="N323" s="27"/>
      <c r="O323" s="28"/>
      <c r="P323" s="29"/>
      <c r="R323" s="29"/>
    </row>
    <row r="324" spans="13:18" ht="14.4" x14ac:dyDescent="0.3">
      <c r="M324" s="27"/>
      <c r="N324" s="27"/>
      <c r="O324" s="28"/>
      <c r="P324" s="29"/>
      <c r="R324" s="29"/>
    </row>
    <row r="325" spans="13:18" ht="14.4" x14ac:dyDescent="0.3">
      <c r="M325" s="27"/>
      <c r="N325" s="27"/>
      <c r="O325" s="28"/>
      <c r="P325" s="29"/>
      <c r="R325" s="29"/>
    </row>
    <row r="326" spans="13:18" ht="14.4" x14ac:dyDescent="0.3">
      <c r="M326" s="27"/>
      <c r="N326" s="27"/>
      <c r="O326" s="28"/>
      <c r="P326" s="29"/>
      <c r="R326" s="29"/>
    </row>
    <row r="327" spans="13:18" ht="14.4" x14ac:dyDescent="0.3">
      <c r="M327" s="27"/>
      <c r="N327" s="27"/>
      <c r="O327" s="28"/>
      <c r="P327" s="29"/>
      <c r="R327" s="29"/>
    </row>
    <row r="328" spans="13:18" ht="14.4" x14ac:dyDescent="0.3">
      <c r="M328" s="27"/>
      <c r="N328" s="27"/>
      <c r="O328" s="28"/>
      <c r="P328" s="29"/>
      <c r="R328" s="29"/>
    </row>
    <row r="329" spans="13:18" ht="14.4" x14ac:dyDescent="0.3">
      <c r="M329" s="27"/>
      <c r="N329" s="27"/>
      <c r="O329" s="28"/>
      <c r="P329" s="29"/>
      <c r="R329" s="29"/>
    </row>
    <row r="330" spans="13:18" ht="14.4" x14ac:dyDescent="0.3">
      <c r="M330" s="27"/>
      <c r="N330" s="27"/>
      <c r="O330" s="28"/>
      <c r="P330" s="29"/>
      <c r="R330" s="29"/>
    </row>
    <row r="331" spans="13:18" ht="14.4" x14ac:dyDescent="0.3">
      <c r="M331" s="27"/>
      <c r="N331" s="27"/>
      <c r="O331" s="28"/>
      <c r="P331" s="29"/>
      <c r="R331" s="29"/>
    </row>
    <row r="332" spans="13:18" ht="14.4" x14ac:dyDescent="0.3">
      <c r="M332" s="27"/>
      <c r="N332" s="27"/>
      <c r="O332" s="28"/>
      <c r="P332" s="29"/>
      <c r="R332" s="29"/>
    </row>
    <row r="333" spans="13:18" ht="14.4" x14ac:dyDescent="0.3">
      <c r="M333" s="27"/>
      <c r="N333" s="27"/>
      <c r="O333" s="28"/>
      <c r="P333" s="29"/>
      <c r="R333" s="29"/>
    </row>
    <row r="334" spans="13:18" ht="14.4" x14ac:dyDescent="0.3">
      <c r="M334" s="27"/>
      <c r="N334" s="27"/>
      <c r="O334" s="28"/>
      <c r="P334" s="29"/>
      <c r="R334" s="29"/>
    </row>
    <row r="335" spans="13:18" ht="14.4" x14ac:dyDescent="0.3">
      <c r="M335" s="27"/>
      <c r="N335" s="27"/>
      <c r="O335" s="28"/>
      <c r="P335" s="29"/>
      <c r="R335" s="29"/>
    </row>
    <row r="336" spans="13:18" ht="14.4" x14ac:dyDescent="0.3">
      <c r="M336" s="27"/>
      <c r="N336" s="27"/>
      <c r="O336" s="28"/>
      <c r="P336" s="29"/>
      <c r="R336" s="29"/>
    </row>
    <row r="337" spans="13:18" ht="14.4" x14ac:dyDescent="0.3">
      <c r="M337" s="27"/>
      <c r="N337" s="27"/>
      <c r="O337" s="28"/>
      <c r="P337" s="29"/>
      <c r="R337" s="29"/>
    </row>
    <row r="338" spans="13:18" ht="14.4" x14ac:dyDescent="0.3">
      <c r="M338" s="27"/>
      <c r="N338" s="27"/>
      <c r="O338" s="28"/>
      <c r="P338" s="29"/>
      <c r="R338" s="29"/>
    </row>
    <row r="339" spans="13:18" ht="14.4" x14ac:dyDescent="0.3">
      <c r="M339" s="27"/>
      <c r="N339" s="27"/>
      <c r="O339" s="28"/>
      <c r="P339" s="29"/>
      <c r="R339" s="29"/>
    </row>
    <row r="340" spans="13:18" ht="14.4" x14ac:dyDescent="0.3">
      <c r="M340" s="27"/>
      <c r="N340" s="27"/>
      <c r="O340" s="28"/>
      <c r="P340" s="29"/>
      <c r="R340" s="29"/>
    </row>
    <row r="341" spans="13:18" ht="14.4" x14ac:dyDescent="0.3">
      <c r="M341" s="27"/>
      <c r="N341" s="27"/>
      <c r="O341" s="28"/>
      <c r="P341" s="29"/>
      <c r="R341" s="29"/>
    </row>
    <row r="342" spans="13:18" ht="14.4" x14ac:dyDescent="0.3">
      <c r="M342" s="27"/>
      <c r="N342" s="27"/>
      <c r="O342" s="28"/>
      <c r="P342" s="29"/>
      <c r="R342" s="29"/>
    </row>
    <row r="343" spans="13:18" ht="14.4" x14ac:dyDescent="0.3">
      <c r="M343" s="27"/>
      <c r="N343" s="27"/>
      <c r="O343" s="28"/>
      <c r="P343" s="29"/>
      <c r="R343" s="29"/>
    </row>
    <row r="344" spans="13:18" ht="14.4" x14ac:dyDescent="0.3">
      <c r="M344" s="27"/>
      <c r="N344" s="27"/>
      <c r="O344" s="28"/>
      <c r="P344" s="29"/>
      <c r="R344" s="29"/>
    </row>
    <row r="345" spans="13:18" ht="14.4" x14ac:dyDescent="0.3">
      <c r="M345" s="27"/>
      <c r="N345" s="27"/>
      <c r="O345" s="28"/>
      <c r="P345" s="29"/>
      <c r="R345" s="29"/>
    </row>
    <row r="346" spans="13:18" ht="14.4" x14ac:dyDescent="0.3">
      <c r="M346" s="27"/>
      <c r="N346" s="27"/>
      <c r="O346" s="28"/>
      <c r="P346" s="29"/>
      <c r="R346" s="29"/>
    </row>
    <row r="347" spans="13:18" ht="14.4" x14ac:dyDescent="0.3">
      <c r="M347" s="27"/>
      <c r="N347" s="27"/>
      <c r="O347" s="28"/>
      <c r="P347" s="29"/>
      <c r="R347" s="29"/>
    </row>
    <row r="348" spans="13:18" ht="14.4" x14ac:dyDescent="0.3">
      <c r="M348" s="27"/>
      <c r="N348" s="27"/>
      <c r="O348" s="28"/>
      <c r="P348" s="29"/>
      <c r="R348" s="29"/>
    </row>
    <row r="349" spans="13:18" ht="14.4" x14ac:dyDescent="0.3">
      <c r="M349" s="27"/>
      <c r="N349" s="27"/>
      <c r="O349" s="28"/>
      <c r="P349" s="29"/>
      <c r="R349" s="29"/>
    </row>
    <row r="350" spans="13:18" ht="14.4" x14ac:dyDescent="0.3">
      <c r="M350" s="27"/>
      <c r="N350" s="27"/>
      <c r="O350" s="28"/>
      <c r="P350" s="29"/>
      <c r="R350" s="29"/>
    </row>
    <row r="351" spans="13:18" ht="14.4" x14ac:dyDescent="0.3">
      <c r="M351" s="27"/>
      <c r="N351" s="27"/>
      <c r="O351" s="28"/>
      <c r="P351" s="29"/>
      <c r="R351" s="29"/>
    </row>
    <row r="352" spans="13:18" ht="14.4" x14ac:dyDescent="0.3">
      <c r="M352" s="27"/>
      <c r="N352" s="27"/>
      <c r="O352" s="28"/>
      <c r="P352" s="29"/>
      <c r="R352" s="29"/>
    </row>
    <row r="353" spans="13:18" ht="14.4" x14ac:dyDescent="0.3">
      <c r="M353" s="27"/>
      <c r="N353" s="27"/>
      <c r="O353" s="28"/>
      <c r="P353" s="29"/>
      <c r="R353" s="29"/>
    </row>
    <row r="354" spans="13:18" ht="14.4" x14ac:dyDescent="0.3">
      <c r="M354" s="27"/>
      <c r="N354" s="27"/>
      <c r="O354" s="28"/>
      <c r="P354" s="29"/>
      <c r="R354" s="29"/>
    </row>
    <row r="355" spans="13:18" ht="14.4" x14ac:dyDescent="0.3">
      <c r="M355" s="27"/>
      <c r="N355" s="27"/>
      <c r="O355" s="28"/>
      <c r="P355" s="29"/>
      <c r="R355" s="29"/>
    </row>
    <row r="356" spans="13:18" ht="14.4" x14ac:dyDescent="0.3">
      <c r="M356" s="27"/>
      <c r="N356" s="27"/>
      <c r="O356" s="28"/>
      <c r="P356" s="29"/>
      <c r="R356" s="29"/>
    </row>
    <row r="357" spans="13:18" ht="14.4" x14ac:dyDescent="0.3">
      <c r="M357" s="27"/>
      <c r="N357" s="27"/>
      <c r="O357" s="28"/>
      <c r="P357" s="29"/>
      <c r="R357" s="29"/>
    </row>
    <row r="358" spans="13:18" ht="14.4" x14ac:dyDescent="0.3">
      <c r="M358" s="27"/>
      <c r="N358" s="27"/>
      <c r="O358" s="28"/>
      <c r="P358" s="29"/>
      <c r="R358" s="29"/>
    </row>
    <row r="359" spans="13:18" ht="14.4" x14ac:dyDescent="0.3">
      <c r="M359" s="27"/>
      <c r="N359" s="27"/>
      <c r="O359" s="28"/>
      <c r="P359" s="29"/>
      <c r="R359" s="29"/>
    </row>
    <row r="360" spans="13:18" ht="14.4" x14ac:dyDescent="0.3">
      <c r="M360" s="27"/>
      <c r="N360" s="27"/>
      <c r="O360" s="28"/>
      <c r="P360" s="29"/>
      <c r="R360" s="29"/>
    </row>
    <row r="361" spans="13:18" ht="14.4" x14ac:dyDescent="0.3">
      <c r="M361" s="27"/>
      <c r="N361" s="27"/>
      <c r="O361" s="28"/>
      <c r="P361" s="29"/>
      <c r="R361" s="29"/>
    </row>
    <row r="362" spans="13:18" ht="14.4" x14ac:dyDescent="0.3">
      <c r="M362" s="27"/>
      <c r="N362" s="27"/>
      <c r="O362" s="28"/>
      <c r="P362" s="29"/>
      <c r="R362" s="29"/>
    </row>
    <row r="363" spans="13:18" ht="14.4" x14ac:dyDescent="0.3">
      <c r="M363" s="27"/>
      <c r="N363" s="27"/>
      <c r="O363" s="28"/>
      <c r="P363" s="29"/>
      <c r="R363" s="29"/>
    </row>
    <row r="364" spans="13:18" ht="14.4" x14ac:dyDescent="0.3">
      <c r="M364" s="27"/>
      <c r="N364" s="27"/>
      <c r="O364" s="28"/>
      <c r="P364" s="29"/>
      <c r="R364" s="29"/>
    </row>
    <row r="365" spans="13:18" ht="14.4" x14ac:dyDescent="0.3">
      <c r="M365" s="27"/>
      <c r="N365" s="27"/>
      <c r="O365" s="28"/>
      <c r="P365" s="29"/>
      <c r="R365" s="29"/>
    </row>
    <row r="366" spans="13:18" ht="14.4" x14ac:dyDescent="0.3">
      <c r="M366" s="27"/>
      <c r="N366" s="27"/>
      <c r="O366" s="28"/>
      <c r="P366" s="29"/>
      <c r="R366" s="29"/>
    </row>
    <row r="367" spans="13:18" ht="14.4" x14ac:dyDescent="0.3">
      <c r="M367" s="27"/>
      <c r="N367" s="27"/>
      <c r="O367" s="28"/>
      <c r="P367" s="29"/>
      <c r="R367" s="29"/>
    </row>
    <row r="368" spans="13:18" ht="14.4" x14ac:dyDescent="0.3">
      <c r="M368" s="27"/>
      <c r="N368" s="27"/>
      <c r="O368" s="28"/>
      <c r="P368" s="29"/>
      <c r="R368" s="29"/>
    </row>
    <row r="369" spans="13:18" ht="14.4" x14ac:dyDescent="0.3">
      <c r="M369" s="27"/>
      <c r="N369" s="27"/>
      <c r="O369" s="28"/>
      <c r="P369" s="29"/>
      <c r="R369" s="29"/>
    </row>
    <row r="370" spans="13:18" ht="14.4" x14ac:dyDescent="0.3">
      <c r="M370" s="27"/>
      <c r="N370" s="27"/>
      <c r="O370" s="28"/>
      <c r="P370" s="29"/>
      <c r="R370" s="29"/>
    </row>
    <row r="371" spans="13:18" ht="14.4" x14ac:dyDescent="0.3">
      <c r="M371" s="27"/>
      <c r="N371" s="27"/>
      <c r="O371" s="28"/>
      <c r="P371" s="29"/>
      <c r="R371" s="29"/>
    </row>
    <row r="372" spans="13:18" ht="14.4" x14ac:dyDescent="0.3">
      <c r="M372" s="27"/>
      <c r="N372" s="27"/>
      <c r="O372" s="28"/>
      <c r="P372" s="29"/>
      <c r="R372" s="29"/>
    </row>
    <row r="373" spans="13:18" ht="14.4" x14ac:dyDescent="0.3">
      <c r="M373" s="27"/>
      <c r="N373" s="27"/>
      <c r="O373" s="28"/>
      <c r="P373" s="29"/>
      <c r="R373" s="29"/>
    </row>
    <row r="374" spans="13:18" ht="14.4" x14ac:dyDescent="0.3">
      <c r="M374" s="27"/>
      <c r="N374" s="27"/>
      <c r="O374" s="28"/>
      <c r="P374" s="29"/>
      <c r="R374" s="29"/>
    </row>
    <row r="375" spans="13:18" ht="14.4" x14ac:dyDescent="0.3">
      <c r="M375" s="27"/>
      <c r="N375" s="27"/>
      <c r="O375" s="28"/>
      <c r="P375" s="29"/>
      <c r="R375" s="29"/>
    </row>
    <row r="376" spans="13:18" ht="14.4" x14ac:dyDescent="0.3">
      <c r="M376" s="27"/>
      <c r="N376" s="27"/>
      <c r="O376" s="28"/>
      <c r="P376" s="29"/>
      <c r="R376" s="29"/>
    </row>
    <row r="377" spans="13:18" ht="14.4" x14ac:dyDescent="0.3">
      <c r="M377" s="27"/>
      <c r="N377" s="27"/>
      <c r="O377" s="28"/>
      <c r="P377" s="29"/>
      <c r="R377" s="29"/>
    </row>
    <row r="378" spans="13:18" ht="14.4" x14ac:dyDescent="0.3">
      <c r="M378" s="27"/>
      <c r="N378" s="27"/>
      <c r="O378" s="28"/>
      <c r="P378" s="29"/>
      <c r="R378" s="29"/>
    </row>
    <row r="379" spans="13:18" ht="14.4" x14ac:dyDescent="0.3">
      <c r="M379" s="27"/>
      <c r="N379" s="27"/>
      <c r="O379" s="28"/>
      <c r="P379" s="29"/>
      <c r="R379" s="29"/>
    </row>
    <row r="380" spans="13:18" ht="14.4" x14ac:dyDescent="0.3">
      <c r="M380" s="27"/>
      <c r="N380" s="27"/>
      <c r="O380" s="28"/>
      <c r="P380" s="29"/>
      <c r="R380" s="29"/>
    </row>
    <row r="381" spans="13:18" ht="14.4" x14ac:dyDescent="0.3">
      <c r="M381" s="27"/>
      <c r="N381" s="27"/>
      <c r="O381" s="28"/>
      <c r="P381" s="29"/>
      <c r="R381" s="29"/>
    </row>
    <row r="382" spans="13:18" ht="14.4" x14ac:dyDescent="0.3">
      <c r="M382" s="27"/>
      <c r="N382" s="27"/>
      <c r="O382" s="28"/>
      <c r="P382" s="29"/>
      <c r="R382" s="29"/>
    </row>
    <row r="383" spans="13:18" ht="14.4" x14ac:dyDescent="0.3">
      <c r="M383" s="27"/>
      <c r="N383" s="27"/>
      <c r="O383" s="28"/>
      <c r="P383" s="29"/>
      <c r="R383" s="29"/>
    </row>
    <row r="384" spans="13:18" ht="14.4" x14ac:dyDescent="0.3">
      <c r="M384" s="27"/>
      <c r="N384" s="27"/>
      <c r="O384" s="28"/>
      <c r="P384" s="29"/>
      <c r="R384" s="29"/>
    </row>
    <row r="385" spans="13:18" ht="14.4" x14ac:dyDescent="0.3">
      <c r="M385" s="27"/>
      <c r="N385" s="27"/>
      <c r="O385" s="28"/>
      <c r="P385" s="29"/>
      <c r="R385" s="29"/>
    </row>
    <row r="386" spans="13:18" ht="14.4" x14ac:dyDescent="0.3">
      <c r="M386" s="27"/>
      <c r="N386" s="27"/>
      <c r="O386" s="28"/>
      <c r="P386" s="29"/>
      <c r="R386" s="29"/>
    </row>
    <row r="387" spans="13:18" ht="14.4" x14ac:dyDescent="0.3">
      <c r="M387" s="27"/>
      <c r="N387" s="27"/>
      <c r="O387" s="28"/>
      <c r="P387" s="29"/>
      <c r="R387" s="29"/>
    </row>
    <row r="388" spans="13:18" ht="14.4" x14ac:dyDescent="0.3">
      <c r="M388" s="27"/>
      <c r="N388" s="27"/>
      <c r="O388" s="28"/>
      <c r="P388" s="29"/>
      <c r="R388" s="29"/>
    </row>
    <row r="389" spans="13:18" ht="14.4" x14ac:dyDescent="0.3">
      <c r="M389" s="27"/>
      <c r="N389" s="27"/>
      <c r="O389" s="28"/>
      <c r="P389" s="29"/>
      <c r="R389" s="29"/>
    </row>
    <row r="390" spans="13:18" ht="14.4" x14ac:dyDescent="0.3">
      <c r="M390" s="27"/>
      <c r="N390" s="27"/>
      <c r="O390" s="28"/>
      <c r="P390" s="29"/>
      <c r="R390" s="29"/>
    </row>
    <row r="391" spans="13:18" ht="14.4" x14ac:dyDescent="0.3">
      <c r="M391" s="27"/>
      <c r="N391" s="27"/>
      <c r="O391" s="28"/>
      <c r="P391" s="29"/>
      <c r="R391" s="29"/>
    </row>
    <row r="392" spans="13:18" ht="14.4" x14ac:dyDescent="0.3">
      <c r="M392" s="27"/>
      <c r="N392" s="27"/>
      <c r="O392" s="28"/>
      <c r="P392" s="29"/>
      <c r="R392" s="29"/>
    </row>
    <row r="393" spans="13:18" ht="14.4" x14ac:dyDescent="0.3">
      <c r="M393" s="27"/>
      <c r="N393" s="27"/>
      <c r="O393" s="28"/>
      <c r="P393" s="29"/>
      <c r="R393" s="29"/>
    </row>
    <row r="394" spans="13:18" ht="14.4" x14ac:dyDescent="0.3">
      <c r="M394" s="27"/>
      <c r="N394" s="27"/>
      <c r="O394" s="28"/>
      <c r="P394" s="29"/>
      <c r="R394" s="29"/>
    </row>
    <row r="395" spans="13:18" ht="14.4" x14ac:dyDescent="0.3">
      <c r="M395" s="27"/>
      <c r="N395" s="27"/>
      <c r="O395" s="28"/>
      <c r="P395" s="29"/>
      <c r="R395" s="29"/>
    </row>
    <row r="396" spans="13:18" ht="14.4" x14ac:dyDescent="0.3">
      <c r="M396" s="27"/>
      <c r="N396" s="27"/>
      <c r="O396" s="28"/>
      <c r="P396" s="29"/>
      <c r="R396" s="29"/>
    </row>
    <row r="397" spans="13:18" ht="14.4" x14ac:dyDescent="0.3">
      <c r="M397" s="27"/>
      <c r="N397" s="27"/>
      <c r="O397" s="28"/>
      <c r="P397" s="29"/>
      <c r="R397" s="29"/>
    </row>
    <row r="398" spans="13:18" ht="14.4" x14ac:dyDescent="0.3">
      <c r="M398" s="27"/>
      <c r="N398" s="27"/>
      <c r="O398" s="28"/>
      <c r="P398" s="29"/>
      <c r="R398" s="29"/>
    </row>
    <row r="399" spans="13:18" ht="14.4" x14ac:dyDescent="0.3">
      <c r="M399" s="27"/>
      <c r="N399" s="27"/>
      <c r="O399" s="28"/>
      <c r="P399" s="29"/>
      <c r="R399" s="29"/>
    </row>
    <row r="400" spans="13:18" ht="14.4" x14ac:dyDescent="0.3">
      <c r="M400" s="27"/>
      <c r="N400" s="27"/>
      <c r="O400" s="28"/>
      <c r="P400" s="29"/>
      <c r="R400" s="29"/>
    </row>
    <row r="401" spans="13:18" ht="14.4" x14ac:dyDescent="0.3">
      <c r="M401" s="27"/>
      <c r="N401" s="27"/>
      <c r="O401" s="28"/>
      <c r="P401" s="29"/>
      <c r="R401" s="29"/>
    </row>
    <row r="402" spans="13:18" ht="14.4" x14ac:dyDescent="0.3">
      <c r="M402" s="27"/>
      <c r="N402" s="27"/>
      <c r="O402" s="28"/>
      <c r="P402" s="29"/>
      <c r="R402" s="29"/>
    </row>
    <row r="403" spans="13:18" ht="14.4" x14ac:dyDescent="0.3">
      <c r="M403" s="27"/>
      <c r="N403" s="27"/>
      <c r="O403" s="28"/>
      <c r="P403" s="29"/>
      <c r="R403" s="29"/>
    </row>
    <row r="404" spans="13:18" ht="14.4" x14ac:dyDescent="0.3">
      <c r="M404" s="27"/>
      <c r="N404" s="27"/>
      <c r="O404" s="28"/>
      <c r="P404" s="29"/>
      <c r="R404" s="29"/>
    </row>
    <row r="405" spans="13:18" ht="14.4" x14ac:dyDescent="0.3">
      <c r="M405" s="27"/>
      <c r="N405" s="27"/>
      <c r="O405" s="28"/>
      <c r="P405" s="29"/>
      <c r="R405" s="29"/>
    </row>
    <row r="406" spans="13:18" ht="14.4" x14ac:dyDescent="0.3">
      <c r="M406" s="27"/>
      <c r="N406" s="27"/>
      <c r="O406" s="28"/>
      <c r="P406" s="29"/>
      <c r="R406" s="29"/>
    </row>
    <row r="407" spans="13:18" ht="14.4" x14ac:dyDescent="0.3">
      <c r="M407" s="27"/>
      <c r="N407" s="27"/>
      <c r="O407" s="28"/>
      <c r="P407" s="29"/>
      <c r="R407" s="29"/>
    </row>
    <row r="408" spans="13:18" ht="14.4" x14ac:dyDescent="0.3">
      <c r="M408" s="27"/>
      <c r="N408" s="27"/>
      <c r="O408" s="28"/>
      <c r="P408" s="29"/>
      <c r="R408" s="29"/>
    </row>
    <row r="409" spans="13:18" ht="14.4" x14ac:dyDescent="0.3">
      <c r="M409" s="27"/>
      <c r="N409" s="27"/>
      <c r="O409" s="28"/>
      <c r="P409" s="29"/>
      <c r="R409" s="29"/>
    </row>
    <row r="410" spans="13:18" ht="14.4" x14ac:dyDescent="0.3">
      <c r="M410" s="27"/>
      <c r="N410" s="27"/>
      <c r="O410" s="28"/>
      <c r="P410" s="29"/>
      <c r="R410" s="29"/>
    </row>
    <row r="411" spans="13:18" ht="14.4" x14ac:dyDescent="0.3">
      <c r="M411" s="27"/>
      <c r="N411" s="27"/>
      <c r="O411" s="28"/>
      <c r="P411" s="29"/>
      <c r="R411" s="29"/>
    </row>
    <row r="412" spans="13:18" ht="14.4" x14ac:dyDescent="0.3">
      <c r="M412" s="27"/>
      <c r="N412" s="27"/>
      <c r="O412" s="28"/>
      <c r="P412" s="29"/>
      <c r="R412" s="29"/>
    </row>
    <row r="413" spans="13:18" ht="14.4" x14ac:dyDescent="0.3">
      <c r="M413" s="27"/>
      <c r="N413" s="27"/>
      <c r="O413" s="28"/>
      <c r="P413" s="29"/>
      <c r="R413" s="29"/>
    </row>
    <row r="414" spans="13:18" ht="14.4" x14ac:dyDescent="0.3">
      <c r="M414" s="27"/>
      <c r="N414" s="27"/>
      <c r="O414" s="28"/>
      <c r="P414" s="29"/>
      <c r="R414" s="29"/>
    </row>
    <row r="415" spans="13:18" ht="14.4" x14ac:dyDescent="0.3">
      <c r="M415" s="27"/>
      <c r="N415" s="27"/>
      <c r="O415" s="28"/>
      <c r="P415" s="29"/>
      <c r="R415" s="29"/>
    </row>
    <row r="416" spans="13:18" ht="14.4" x14ac:dyDescent="0.3">
      <c r="M416" s="27"/>
      <c r="N416" s="27"/>
      <c r="O416" s="28"/>
      <c r="P416" s="29"/>
      <c r="R416" s="29"/>
    </row>
    <row r="417" spans="13:18" ht="14.4" x14ac:dyDescent="0.3">
      <c r="M417" s="27"/>
      <c r="N417" s="27"/>
      <c r="O417" s="28"/>
      <c r="P417" s="29"/>
      <c r="R417" s="29"/>
    </row>
    <row r="418" spans="13:18" ht="14.4" x14ac:dyDescent="0.3">
      <c r="M418" s="27"/>
      <c r="N418" s="27"/>
      <c r="O418" s="28"/>
      <c r="P418" s="29"/>
      <c r="R418" s="29"/>
    </row>
    <row r="419" spans="13:18" ht="14.4" x14ac:dyDescent="0.3">
      <c r="M419" s="27"/>
      <c r="N419" s="27"/>
      <c r="O419" s="28"/>
      <c r="P419" s="29"/>
      <c r="R419" s="29"/>
    </row>
    <row r="420" spans="13:18" ht="14.4" x14ac:dyDescent="0.3">
      <c r="M420" s="27"/>
      <c r="N420" s="27"/>
      <c r="O420" s="28"/>
      <c r="P420" s="29"/>
      <c r="R420" s="29"/>
    </row>
    <row r="421" spans="13:18" ht="14.4" x14ac:dyDescent="0.3">
      <c r="M421" s="27"/>
      <c r="N421" s="27"/>
      <c r="O421" s="28"/>
      <c r="P421" s="29"/>
      <c r="R421" s="29"/>
    </row>
    <row r="422" spans="13:18" ht="14.4" x14ac:dyDescent="0.3">
      <c r="M422" s="27"/>
      <c r="N422" s="27"/>
      <c r="O422" s="28"/>
      <c r="P422" s="29"/>
      <c r="R422" s="29"/>
    </row>
    <row r="423" spans="13:18" ht="14.4" x14ac:dyDescent="0.3">
      <c r="M423" s="27"/>
      <c r="N423" s="27"/>
      <c r="O423" s="28"/>
      <c r="P423" s="29"/>
      <c r="R423" s="29"/>
    </row>
    <row r="424" spans="13:18" ht="14.4" x14ac:dyDescent="0.3">
      <c r="M424" s="27"/>
      <c r="N424" s="27"/>
      <c r="O424" s="28"/>
      <c r="P424" s="29"/>
      <c r="R424" s="29"/>
    </row>
    <row r="425" spans="13:18" ht="14.4" x14ac:dyDescent="0.3">
      <c r="M425" s="27"/>
      <c r="N425" s="27"/>
      <c r="O425" s="28"/>
      <c r="P425" s="29"/>
      <c r="R425" s="29"/>
    </row>
    <row r="426" spans="13:18" ht="14.4" x14ac:dyDescent="0.3">
      <c r="M426" s="27"/>
      <c r="N426" s="27"/>
      <c r="O426" s="28"/>
      <c r="P426" s="29"/>
      <c r="R426" s="29"/>
    </row>
    <row r="427" spans="13:18" ht="14.4" x14ac:dyDescent="0.3">
      <c r="M427" s="27"/>
      <c r="N427" s="27"/>
      <c r="O427" s="28"/>
      <c r="P427" s="29"/>
      <c r="R427" s="29"/>
    </row>
    <row r="428" spans="13:18" ht="14.4" x14ac:dyDescent="0.3">
      <c r="M428" s="27"/>
      <c r="N428" s="27"/>
      <c r="O428" s="28"/>
      <c r="P428" s="29"/>
      <c r="R428" s="29"/>
    </row>
    <row r="429" spans="13:18" ht="14.4" x14ac:dyDescent="0.3">
      <c r="M429" s="27"/>
      <c r="N429" s="27"/>
      <c r="O429" s="28"/>
      <c r="P429" s="29"/>
      <c r="R429" s="29"/>
    </row>
    <row r="430" spans="13:18" ht="14.4" x14ac:dyDescent="0.3">
      <c r="M430" s="27"/>
      <c r="N430" s="27"/>
      <c r="O430" s="28"/>
      <c r="P430" s="29"/>
      <c r="R430" s="29"/>
    </row>
    <row r="431" spans="13:18" ht="14.4" x14ac:dyDescent="0.3">
      <c r="M431" s="27"/>
      <c r="N431" s="27"/>
      <c r="O431" s="28"/>
      <c r="P431" s="29"/>
      <c r="R431" s="29"/>
    </row>
    <row r="432" spans="13:18" ht="14.4" x14ac:dyDescent="0.3">
      <c r="M432" s="27"/>
      <c r="N432" s="27"/>
      <c r="O432" s="28"/>
      <c r="P432" s="29"/>
      <c r="R432" s="29"/>
    </row>
    <row r="433" spans="13:18" ht="14.4" x14ac:dyDescent="0.3">
      <c r="M433" s="27"/>
      <c r="N433" s="27"/>
      <c r="O433" s="28"/>
      <c r="P433" s="29"/>
      <c r="R433" s="29"/>
    </row>
    <row r="434" spans="13:18" ht="14.4" x14ac:dyDescent="0.3">
      <c r="M434" s="27"/>
      <c r="N434" s="27"/>
      <c r="O434" s="28"/>
      <c r="P434" s="29"/>
      <c r="R434" s="29"/>
    </row>
    <row r="435" spans="13:18" ht="14.4" x14ac:dyDescent="0.3">
      <c r="M435" s="27"/>
      <c r="N435" s="27"/>
      <c r="O435" s="28"/>
      <c r="P435" s="29"/>
      <c r="R435" s="29"/>
    </row>
    <row r="436" spans="13:18" ht="14.4" x14ac:dyDescent="0.3">
      <c r="M436" s="27"/>
      <c r="N436" s="27"/>
      <c r="O436" s="28"/>
      <c r="P436" s="29"/>
      <c r="R436" s="29"/>
    </row>
    <row r="437" spans="13:18" ht="14.4" x14ac:dyDescent="0.3">
      <c r="M437" s="27"/>
      <c r="N437" s="27"/>
      <c r="O437" s="28"/>
      <c r="P437" s="29"/>
      <c r="R437" s="29"/>
    </row>
    <row r="438" spans="13:18" ht="14.4" x14ac:dyDescent="0.3">
      <c r="M438" s="27"/>
      <c r="N438" s="27"/>
      <c r="O438" s="28"/>
      <c r="P438" s="29"/>
      <c r="R438" s="29"/>
    </row>
    <row r="439" spans="13:18" ht="14.4" x14ac:dyDescent="0.3">
      <c r="M439" s="27"/>
      <c r="N439" s="27"/>
      <c r="O439" s="28"/>
      <c r="P439" s="29"/>
      <c r="R439" s="29"/>
    </row>
    <row r="440" spans="13:18" ht="14.4" x14ac:dyDescent="0.3">
      <c r="M440" s="27"/>
      <c r="N440" s="27"/>
      <c r="O440" s="28"/>
      <c r="P440" s="29"/>
      <c r="R440" s="29"/>
    </row>
    <row r="441" spans="13:18" ht="14.4" x14ac:dyDescent="0.3">
      <c r="M441" s="27"/>
      <c r="N441" s="27"/>
      <c r="O441" s="28"/>
      <c r="P441" s="29"/>
      <c r="R441" s="29"/>
    </row>
    <row r="442" spans="13:18" ht="14.4" x14ac:dyDescent="0.3">
      <c r="M442" s="27"/>
      <c r="N442" s="27"/>
      <c r="O442" s="28"/>
      <c r="P442" s="29"/>
      <c r="R442" s="29"/>
    </row>
    <row r="443" spans="13:18" ht="14.4" x14ac:dyDescent="0.3">
      <c r="M443" s="27"/>
      <c r="N443" s="27"/>
      <c r="O443" s="28"/>
      <c r="P443" s="29"/>
      <c r="R443" s="29"/>
    </row>
    <row r="444" spans="13:18" ht="14.4" x14ac:dyDescent="0.3">
      <c r="M444" s="27"/>
      <c r="N444" s="27"/>
      <c r="O444" s="28"/>
      <c r="P444" s="29"/>
      <c r="R444" s="29"/>
    </row>
    <row r="445" spans="13:18" ht="14.4" x14ac:dyDescent="0.3">
      <c r="M445" s="27"/>
      <c r="N445" s="27"/>
      <c r="O445" s="28"/>
      <c r="P445" s="29"/>
      <c r="R445" s="29"/>
    </row>
    <row r="446" spans="13:18" ht="14.4" x14ac:dyDescent="0.3">
      <c r="M446" s="27"/>
      <c r="N446" s="27"/>
      <c r="O446" s="28"/>
      <c r="P446" s="29"/>
      <c r="R446" s="29"/>
    </row>
    <row r="447" spans="13:18" ht="14.4" x14ac:dyDescent="0.3">
      <c r="M447" s="27"/>
      <c r="N447" s="27"/>
      <c r="O447" s="28"/>
      <c r="P447" s="29"/>
      <c r="R447" s="29"/>
    </row>
    <row r="448" spans="13:18" ht="14.4" x14ac:dyDescent="0.3">
      <c r="M448" s="27"/>
      <c r="N448" s="27"/>
      <c r="O448" s="28"/>
      <c r="P448" s="29"/>
      <c r="R448" s="29"/>
    </row>
    <row r="449" spans="13:18" ht="14.4" x14ac:dyDescent="0.3">
      <c r="M449" s="27"/>
      <c r="N449" s="27"/>
      <c r="O449" s="28"/>
      <c r="P449" s="29"/>
      <c r="R449" s="29"/>
    </row>
    <row r="450" spans="13:18" ht="14.4" x14ac:dyDescent="0.3">
      <c r="M450" s="27"/>
      <c r="N450" s="27"/>
      <c r="O450" s="28"/>
      <c r="P450" s="29"/>
      <c r="R450" s="29"/>
    </row>
    <row r="451" spans="13:18" ht="14.4" x14ac:dyDescent="0.3">
      <c r="M451" s="27"/>
      <c r="N451" s="27"/>
      <c r="O451" s="28"/>
      <c r="P451" s="29"/>
      <c r="R451" s="29"/>
    </row>
    <row r="452" spans="13:18" ht="14.4" x14ac:dyDescent="0.3">
      <c r="M452" s="27"/>
      <c r="N452" s="27"/>
      <c r="O452" s="28"/>
      <c r="P452" s="29"/>
      <c r="R452" s="29"/>
    </row>
    <row r="453" spans="13:18" ht="14.4" x14ac:dyDescent="0.3">
      <c r="M453" s="27"/>
      <c r="N453" s="27"/>
      <c r="O453" s="28"/>
      <c r="P453" s="29"/>
      <c r="R453" s="29"/>
    </row>
    <row r="454" spans="13:18" ht="14.4" x14ac:dyDescent="0.3">
      <c r="M454" s="27"/>
      <c r="N454" s="27"/>
      <c r="O454" s="28"/>
      <c r="P454" s="29"/>
      <c r="R454" s="29"/>
    </row>
    <row r="455" spans="13:18" ht="14.4" x14ac:dyDescent="0.3">
      <c r="M455" s="27"/>
      <c r="N455" s="27"/>
      <c r="O455" s="28"/>
      <c r="P455" s="29"/>
      <c r="R455" s="29"/>
    </row>
    <row r="456" spans="13:18" ht="14.4" x14ac:dyDescent="0.3">
      <c r="M456" s="27"/>
      <c r="N456" s="27"/>
      <c r="O456" s="28"/>
      <c r="P456" s="29"/>
      <c r="R456" s="29"/>
    </row>
    <row r="457" spans="13:18" ht="14.4" x14ac:dyDescent="0.3">
      <c r="M457" s="27"/>
      <c r="N457" s="27"/>
      <c r="O457" s="28"/>
      <c r="P457" s="29"/>
      <c r="R457" s="29"/>
    </row>
    <row r="458" spans="13:18" ht="14.4" x14ac:dyDescent="0.3">
      <c r="M458" s="27"/>
      <c r="N458" s="27"/>
      <c r="O458" s="28"/>
      <c r="P458" s="29"/>
      <c r="R458" s="29"/>
    </row>
    <row r="459" spans="13:18" ht="14.4" x14ac:dyDescent="0.3">
      <c r="M459" s="27"/>
      <c r="N459" s="27"/>
      <c r="O459" s="28"/>
      <c r="P459" s="29"/>
      <c r="R459" s="29"/>
    </row>
    <row r="460" spans="13:18" ht="14.4" x14ac:dyDescent="0.3">
      <c r="M460" s="27"/>
      <c r="N460" s="27"/>
      <c r="O460" s="28"/>
      <c r="P460" s="29"/>
      <c r="R460" s="29"/>
    </row>
    <row r="461" spans="13:18" ht="14.4" x14ac:dyDescent="0.3">
      <c r="M461" s="27"/>
      <c r="N461" s="27"/>
      <c r="O461" s="28"/>
      <c r="P461" s="29"/>
      <c r="R461" s="29"/>
    </row>
    <row r="462" spans="13:18" ht="14.4" x14ac:dyDescent="0.3">
      <c r="M462" s="27"/>
      <c r="N462" s="27"/>
      <c r="O462" s="28"/>
      <c r="P462" s="29"/>
      <c r="R462" s="29"/>
    </row>
    <row r="463" spans="13:18" ht="14.4" x14ac:dyDescent="0.3">
      <c r="M463" s="27"/>
      <c r="N463" s="27"/>
      <c r="O463" s="28"/>
      <c r="P463" s="29"/>
      <c r="R463" s="29"/>
    </row>
    <row r="464" spans="13:18" ht="14.4" x14ac:dyDescent="0.3">
      <c r="M464" s="27"/>
      <c r="N464" s="27"/>
      <c r="O464" s="28"/>
      <c r="P464" s="29"/>
      <c r="R464" s="29"/>
    </row>
    <row r="465" spans="13:18" ht="14.4" x14ac:dyDescent="0.3">
      <c r="M465" s="27"/>
      <c r="N465" s="27"/>
      <c r="O465" s="28"/>
      <c r="P465" s="29"/>
      <c r="R465" s="29"/>
    </row>
    <row r="466" spans="13:18" ht="14.4" x14ac:dyDescent="0.3">
      <c r="M466" s="27"/>
      <c r="N466" s="27"/>
      <c r="O466" s="28"/>
      <c r="P466" s="29"/>
      <c r="R466" s="29"/>
    </row>
    <row r="467" spans="13:18" ht="14.4" x14ac:dyDescent="0.3">
      <c r="M467" s="27"/>
      <c r="N467" s="27"/>
      <c r="O467" s="28"/>
      <c r="P467" s="29"/>
      <c r="R467" s="29"/>
    </row>
    <row r="468" spans="13:18" ht="14.4" x14ac:dyDescent="0.3">
      <c r="M468" s="27"/>
      <c r="N468" s="27"/>
      <c r="O468" s="28"/>
      <c r="P468" s="29"/>
      <c r="R468" s="29"/>
    </row>
    <row r="469" spans="13:18" ht="14.4" x14ac:dyDescent="0.3">
      <c r="M469" s="27"/>
      <c r="N469" s="27"/>
      <c r="O469" s="28"/>
      <c r="P469" s="29"/>
      <c r="R469" s="29"/>
    </row>
    <row r="470" spans="13:18" ht="14.4" x14ac:dyDescent="0.3">
      <c r="M470" s="27"/>
      <c r="N470" s="27"/>
      <c r="O470" s="28"/>
      <c r="P470" s="29"/>
      <c r="R470" s="29"/>
    </row>
    <row r="471" spans="13:18" ht="14.4" x14ac:dyDescent="0.3">
      <c r="M471" s="27"/>
      <c r="N471" s="27"/>
      <c r="O471" s="28"/>
      <c r="P471" s="29"/>
      <c r="R471" s="29"/>
    </row>
    <row r="472" spans="13:18" ht="14.4" x14ac:dyDescent="0.3">
      <c r="M472" s="27"/>
      <c r="N472" s="27"/>
      <c r="O472" s="28"/>
      <c r="P472" s="29"/>
      <c r="R472" s="29"/>
    </row>
    <row r="473" spans="13:18" ht="14.4" x14ac:dyDescent="0.3">
      <c r="M473" s="27"/>
      <c r="N473" s="27"/>
      <c r="O473" s="28"/>
      <c r="P473" s="29"/>
      <c r="R473" s="29"/>
    </row>
    <row r="474" spans="13:18" ht="14.4" x14ac:dyDescent="0.3">
      <c r="M474" s="27"/>
      <c r="N474" s="27"/>
      <c r="O474" s="28"/>
      <c r="P474" s="29"/>
      <c r="R474" s="29"/>
    </row>
    <row r="475" spans="13:18" ht="14.4" x14ac:dyDescent="0.3">
      <c r="M475" s="27"/>
      <c r="N475" s="27"/>
      <c r="O475" s="28"/>
      <c r="P475" s="29"/>
      <c r="R475" s="29"/>
    </row>
    <row r="476" spans="13:18" ht="14.4" x14ac:dyDescent="0.3">
      <c r="M476" s="27"/>
      <c r="N476" s="27"/>
      <c r="O476" s="28"/>
      <c r="P476" s="29"/>
      <c r="R476" s="29"/>
    </row>
    <row r="477" spans="13:18" ht="14.4" x14ac:dyDescent="0.3">
      <c r="M477" s="27"/>
      <c r="N477" s="27"/>
      <c r="O477" s="28"/>
      <c r="P477" s="29"/>
      <c r="R477" s="29"/>
    </row>
    <row r="478" spans="13:18" ht="14.4" x14ac:dyDescent="0.3">
      <c r="M478" s="27"/>
      <c r="N478" s="27"/>
      <c r="O478" s="28"/>
      <c r="P478" s="29"/>
      <c r="R478" s="29"/>
    </row>
    <row r="479" spans="13:18" ht="14.4" x14ac:dyDescent="0.3">
      <c r="M479" s="27"/>
      <c r="N479" s="27"/>
      <c r="O479" s="28"/>
      <c r="P479" s="29"/>
      <c r="R479" s="29"/>
    </row>
    <row r="480" spans="13:18" ht="14.4" x14ac:dyDescent="0.3">
      <c r="M480" s="27"/>
      <c r="N480" s="27"/>
      <c r="O480" s="28"/>
      <c r="P480" s="29"/>
      <c r="R480" s="29"/>
    </row>
    <row r="481" spans="13:18" ht="14.4" x14ac:dyDescent="0.3">
      <c r="M481" s="27"/>
      <c r="N481" s="27"/>
      <c r="O481" s="28"/>
      <c r="P481" s="29"/>
      <c r="R481" s="29"/>
    </row>
    <row r="482" spans="13:18" ht="14.4" x14ac:dyDescent="0.3">
      <c r="M482" s="27"/>
      <c r="N482" s="27"/>
      <c r="O482" s="28"/>
      <c r="P482" s="29"/>
      <c r="R482" s="29"/>
    </row>
    <row r="483" spans="13:18" ht="14.4" x14ac:dyDescent="0.3">
      <c r="M483" s="27"/>
      <c r="N483" s="27"/>
      <c r="O483" s="28"/>
      <c r="P483" s="29"/>
      <c r="R483" s="29"/>
    </row>
    <row r="484" spans="13:18" ht="14.4" x14ac:dyDescent="0.3">
      <c r="M484" s="27"/>
      <c r="N484" s="27"/>
      <c r="O484" s="28"/>
      <c r="P484" s="29"/>
      <c r="R484" s="29"/>
    </row>
    <row r="485" spans="13:18" ht="14.4" x14ac:dyDescent="0.3">
      <c r="M485" s="27"/>
      <c r="N485" s="27"/>
      <c r="O485" s="28"/>
      <c r="P485" s="29"/>
      <c r="R485" s="29"/>
    </row>
    <row r="486" spans="13:18" ht="14.4" x14ac:dyDescent="0.3">
      <c r="M486" s="27"/>
      <c r="N486" s="27"/>
      <c r="O486" s="28"/>
      <c r="P486" s="29"/>
      <c r="R486" s="29"/>
    </row>
    <row r="487" spans="13:18" ht="14.4" x14ac:dyDescent="0.3">
      <c r="M487" s="27"/>
      <c r="N487" s="27"/>
      <c r="O487" s="28"/>
      <c r="P487" s="29"/>
      <c r="R487" s="29"/>
    </row>
    <row r="488" spans="13:18" ht="14.4" x14ac:dyDescent="0.3">
      <c r="M488" s="27"/>
      <c r="N488" s="27"/>
      <c r="O488" s="28"/>
      <c r="P488" s="29"/>
      <c r="R488" s="29"/>
    </row>
    <row r="489" spans="13:18" ht="14.4" x14ac:dyDescent="0.3">
      <c r="M489" s="27"/>
      <c r="N489" s="27"/>
      <c r="O489" s="28"/>
      <c r="P489" s="29"/>
      <c r="R489" s="29"/>
    </row>
    <row r="490" spans="13:18" ht="14.4" x14ac:dyDescent="0.3">
      <c r="M490" s="27"/>
      <c r="N490" s="27"/>
      <c r="O490" s="28"/>
      <c r="P490" s="29"/>
      <c r="R490" s="29"/>
    </row>
    <row r="491" spans="13:18" ht="14.4" x14ac:dyDescent="0.3">
      <c r="M491" s="27"/>
      <c r="N491" s="27"/>
      <c r="O491" s="28"/>
      <c r="P491" s="29"/>
      <c r="R491" s="29"/>
    </row>
    <row r="492" spans="13:18" ht="14.4" x14ac:dyDescent="0.3">
      <c r="M492" s="27"/>
      <c r="N492" s="27"/>
      <c r="O492" s="28"/>
      <c r="P492" s="29"/>
      <c r="R492" s="29"/>
    </row>
    <row r="493" spans="13:18" ht="14.4" x14ac:dyDescent="0.3">
      <c r="M493" s="27"/>
      <c r="N493" s="27"/>
      <c r="O493" s="28"/>
      <c r="P493" s="29"/>
      <c r="R493" s="29"/>
    </row>
    <row r="494" spans="13:18" ht="14.4" x14ac:dyDescent="0.3">
      <c r="M494" s="27"/>
      <c r="N494" s="27"/>
      <c r="O494" s="28"/>
      <c r="P494" s="29"/>
      <c r="R494" s="29"/>
    </row>
    <row r="495" spans="13:18" ht="14.4" x14ac:dyDescent="0.3">
      <c r="M495" s="27"/>
      <c r="N495" s="27"/>
      <c r="O495" s="28"/>
      <c r="P495" s="29"/>
      <c r="R495" s="29"/>
    </row>
    <row r="496" spans="13:18" ht="14.4" x14ac:dyDescent="0.3">
      <c r="M496" s="27"/>
      <c r="N496" s="27"/>
      <c r="O496" s="28"/>
      <c r="P496" s="29"/>
      <c r="R496" s="29"/>
    </row>
    <row r="497" spans="13:18" ht="14.4" x14ac:dyDescent="0.3">
      <c r="M497" s="27"/>
      <c r="N497" s="27"/>
      <c r="O497" s="28"/>
      <c r="P497" s="29"/>
      <c r="R497" s="29"/>
    </row>
    <row r="498" spans="13:18" ht="14.4" x14ac:dyDescent="0.3">
      <c r="M498" s="27"/>
      <c r="N498" s="27"/>
      <c r="O498" s="28"/>
      <c r="P498" s="29"/>
      <c r="R498" s="29"/>
    </row>
    <row r="499" spans="13:18" ht="14.4" x14ac:dyDescent="0.3">
      <c r="M499" s="27"/>
      <c r="N499" s="27"/>
      <c r="O499" s="28"/>
      <c r="P499" s="29"/>
      <c r="R499" s="29"/>
    </row>
    <row r="500" spans="13:18" ht="14.4" x14ac:dyDescent="0.3">
      <c r="M500" s="27"/>
      <c r="N500" s="27"/>
      <c r="O500" s="28"/>
      <c r="P500" s="29"/>
      <c r="R500" s="29"/>
    </row>
    <row r="501" spans="13:18" ht="14.4" x14ac:dyDescent="0.3">
      <c r="M501" s="27"/>
      <c r="N501" s="27"/>
      <c r="O501" s="28"/>
      <c r="P501" s="29"/>
      <c r="R501" s="29"/>
    </row>
    <row r="502" spans="13:18" ht="14.4" x14ac:dyDescent="0.3">
      <c r="M502" s="27"/>
      <c r="N502" s="27"/>
      <c r="O502" s="28"/>
      <c r="P502" s="29"/>
      <c r="R502" s="29"/>
    </row>
    <row r="503" spans="13:18" ht="14.4" x14ac:dyDescent="0.3">
      <c r="M503" s="27"/>
      <c r="N503" s="27"/>
      <c r="O503" s="28"/>
      <c r="P503" s="29"/>
      <c r="R503" s="29"/>
    </row>
    <row r="504" spans="13:18" ht="14.4" x14ac:dyDescent="0.3">
      <c r="M504" s="27"/>
      <c r="N504" s="27"/>
      <c r="O504" s="28"/>
      <c r="P504" s="29"/>
      <c r="R504" s="29"/>
    </row>
    <row r="505" spans="13:18" ht="14.4" x14ac:dyDescent="0.3">
      <c r="M505" s="27"/>
      <c r="N505" s="27"/>
      <c r="O505" s="28"/>
      <c r="P505" s="29"/>
      <c r="R505" s="29"/>
    </row>
    <row r="506" spans="13:18" ht="14.4" x14ac:dyDescent="0.3">
      <c r="M506" s="27"/>
      <c r="N506" s="27"/>
      <c r="O506" s="28"/>
      <c r="P506" s="29"/>
      <c r="R506" s="29"/>
    </row>
    <row r="507" spans="13:18" ht="14.4" x14ac:dyDescent="0.3">
      <c r="M507" s="27"/>
      <c r="N507" s="27"/>
      <c r="O507" s="28"/>
      <c r="P507" s="29"/>
      <c r="R507" s="29"/>
    </row>
    <row r="508" spans="13:18" ht="14.4" x14ac:dyDescent="0.3">
      <c r="M508" s="27"/>
      <c r="N508" s="27"/>
      <c r="O508" s="28"/>
      <c r="P508" s="29"/>
      <c r="R508" s="29"/>
    </row>
    <row r="509" spans="13:18" ht="14.4" x14ac:dyDescent="0.3">
      <c r="M509" s="27"/>
      <c r="N509" s="27"/>
      <c r="O509" s="28"/>
      <c r="P509" s="29"/>
      <c r="R509" s="29"/>
    </row>
    <row r="510" spans="13:18" ht="14.4" x14ac:dyDescent="0.3">
      <c r="M510" s="27"/>
      <c r="N510" s="27"/>
      <c r="O510" s="28"/>
      <c r="P510" s="29"/>
      <c r="R510" s="29"/>
    </row>
    <row r="511" spans="13:18" ht="14.4" x14ac:dyDescent="0.3">
      <c r="M511" s="27"/>
      <c r="N511" s="27"/>
      <c r="O511" s="28"/>
      <c r="P511" s="29"/>
      <c r="R511" s="29"/>
    </row>
    <row r="512" spans="13:18" ht="14.4" x14ac:dyDescent="0.3">
      <c r="M512" s="27"/>
      <c r="N512" s="27"/>
      <c r="O512" s="28"/>
      <c r="P512" s="29"/>
      <c r="R512" s="29"/>
    </row>
    <row r="513" spans="13:18" ht="14.4" x14ac:dyDescent="0.3">
      <c r="M513" s="27"/>
      <c r="N513" s="27"/>
      <c r="O513" s="28"/>
      <c r="P513" s="29"/>
      <c r="R513" s="29"/>
    </row>
    <row r="514" spans="13:18" ht="14.4" x14ac:dyDescent="0.3">
      <c r="M514" s="27"/>
      <c r="N514" s="27"/>
      <c r="O514" s="28"/>
      <c r="P514" s="29"/>
      <c r="R514" s="29"/>
    </row>
    <row r="515" spans="13:18" ht="14.4" x14ac:dyDescent="0.3">
      <c r="M515" s="27"/>
      <c r="N515" s="27"/>
      <c r="O515" s="28"/>
      <c r="P515" s="29"/>
      <c r="R515" s="29"/>
    </row>
    <row r="516" spans="13:18" ht="14.4" x14ac:dyDescent="0.3">
      <c r="M516" s="27"/>
      <c r="N516" s="27"/>
      <c r="O516" s="28"/>
      <c r="P516" s="29"/>
      <c r="R516" s="29"/>
    </row>
    <row r="517" spans="13:18" ht="14.4" x14ac:dyDescent="0.3">
      <c r="M517" s="27"/>
      <c r="N517" s="27"/>
      <c r="O517" s="28"/>
      <c r="P517" s="29"/>
      <c r="R517" s="29"/>
    </row>
    <row r="518" spans="13:18" ht="14.4" x14ac:dyDescent="0.3">
      <c r="M518" s="27"/>
      <c r="N518" s="27"/>
      <c r="O518" s="28"/>
      <c r="P518" s="29"/>
      <c r="R518" s="29"/>
    </row>
    <row r="519" spans="13:18" ht="14.4" x14ac:dyDescent="0.3">
      <c r="M519" s="27"/>
      <c r="N519" s="27"/>
      <c r="O519" s="28"/>
      <c r="P519" s="29"/>
      <c r="R519" s="29"/>
    </row>
    <row r="520" spans="13:18" ht="14.4" x14ac:dyDescent="0.3">
      <c r="M520" s="27"/>
      <c r="N520" s="27"/>
      <c r="O520" s="28"/>
      <c r="P520" s="29"/>
      <c r="R520" s="29"/>
    </row>
    <row r="521" spans="13:18" ht="14.4" x14ac:dyDescent="0.3">
      <c r="M521" s="27"/>
      <c r="N521" s="27"/>
      <c r="O521" s="28"/>
      <c r="P521" s="29"/>
      <c r="R521" s="29"/>
    </row>
    <row r="522" spans="13:18" ht="14.4" x14ac:dyDescent="0.3">
      <c r="M522" s="27"/>
      <c r="N522" s="27"/>
      <c r="O522" s="28"/>
      <c r="P522" s="29"/>
      <c r="R522" s="29"/>
    </row>
    <row r="523" spans="13:18" ht="14.4" x14ac:dyDescent="0.3">
      <c r="M523" s="27"/>
      <c r="N523" s="27"/>
      <c r="O523" s="28"/>
      <c r="P523" s="29"/>
      <c r="R523" s="29"/>
    </row>
    <row r="524" spans="13:18" ht="14.4" x14ac:dyDescent="0.3">
      <c r="M524" s="27"/>
      <c r="N524" s="27"/>
      <c r="O524" s="28"/>
      <c r="P524" s="29"/>
      <c r="R524" s="29"/>
    </row>
    <row r="525" spans="13:18" ht="14.4" x14ac:dyDescent="0.3">
      <c r="M525" s="27"/>
      <c r="N525" s="27"/>
      <c r="O525" s="28"/>
      <c r="P525" s="29"/>
      <c r="R525" s="29"/>
    </row>
    <row r="526" spans="13:18" ht="14.4" x14ac:dyDescent="0.3">
      <c r="M526" s="27"/>
      <c r="N526" s="27"/>
      <c r="O526" s="28"/>
      <c r="P526" s="29"/>
      <c r="R526" s="29"/>
    </row>
    <row r="527" spans="13:18" ht="14.4" x14ac:dyDescent="0.3">
      <c r="M527" s="27"/>
      <c r="N527" s="27"/>
      <c r="O527" s="28"/>
      <c r="P527" s="29"/>
      <c r="R527" s="29"/>
    </row>
    <row r="528" spans="13:18" ht="14.4" x14ac:dyDescent="0.3">
      <c r="M528" s="27"/>
      <c r="N528" s="27"/>
      <c r="O528" s="28"/>
      <c r="P528" s="29"/>
      <c r="R528" s="29"/>
    </row>
    <row r="529" spans="13:18" ht="14.4" x14ac:dyDescent="0.3">
      <c r="M529" s="27"/>
      <c r="N529" s="27"/>
      <c r="O529" s="28"/>
      <c r="P529" s="29"/>
      <c r="R529" s="29"/>
    </row>
    <row r="530" spans="13:18" ht="14.4" x14ac:dyDescent="0.3">
      <c r="M530" s="27"/>
      <c r="N530" s="27"/>
      <c r="O530" s="28"/>
      <c r="P530" s="29"/>
      <c r="R530" s="29"/>
    </row>
    <row r="531" spans="13:18" ht="14.4" x14ac:dyDescent="0.3">
      <c r="M531" s="27"/>
      <c r="N531" s="27"/>
      <c r="O531" s="28"/>
      <c r="P531" s="29"/>
      <c r="R531" s="29"/>
    </row>
    <row r="532" spans="13:18" ht="14.4" x14ac:dyDescent="0.3">
      <c r="M532" s="27"/>
      <c r="N532" s="27"/>
      <c r="O532" s="28"/>
      <c r="P532" s="29"/>
      <c r="R532" s="29"/>
    </row>
    <row r="533" spans="13:18" ht="14.4" x14ac:dyDescent="0.3">
      <c r="M533" s="27"/>
      <c r="N533" s="27"/>
      <c r="O533" s="28"/>
      <c r="P533" s="29"/>
      <c r="R533" s="29"/>
    </row>
    <row r="534" spans="13:18" ht="14.4" x14ac:dyDescent="0.3">
      <c r="M534" s="27"/>
      <c r="N534" s="27"/>
      <c r="O534" s="28"/>
      <c r="P534" s="29"/>
      <c r="R534" s="29"/>
    </row>
    <row r="535" spans="13:18" ht="14.4" x14ac:dyDescent="0.3">
      <c r="M535" s="27"/>
      <c r="N535" s="27"/>
      <c r="O535" s="28"/>
      <c r="P535" s="29"/>
      <c r="R535" s="29"/>
    </row>
    <row r="536" spans="13:18" ht="14.4" x14ac:dyDescent="0.3">
      <c r="M536" s="27"/>
      <c r="N536" s="27"/>
      <c r="O536" s="28"/>
      <c r="P536" s="29"/>
      <c r="R536" s="29"/>
    </row>
    <row r="537" spans="13:18" ht="14.4" x14ac:dyDescent="0.3">
      <c r="M537" s="27"/>
      <c r="N537" s="27"/>
      <c r="O537" s="28"/>
      <c r="P537" s="29"/>
      <c r="R537" s="29"/>
    </row>
    <row r="538" spans="13:18" ht="14.4" x14ac:dyDescent="0.3">
      <c r="M538" s="27"/>
      <c r="N538" s="27"/>
      <c r="O538" s="28"/>
      <c r="P538" s="29"/>
      <c r="R538" s="29"/>
    </row>
    <row r="539" spans="13:18" ht="14.4" x14ac:dyDescent="0.3">
      <c r="M539" s="27"/>
      <c r="N539" s="27"/>
      <c r="O539" s="28"/>
      <c r="P539" s="29"/>
      <c r="R539" s="29"/>
    </row>
    <row r="540" spans="13:18" ht="14.4" x14ac:dyDescent="0.3">
      <c r="M540" s="27"/>
      <c r="N540" s="27"/>
      <c r="O540" s="28"/>
      <c r="P540" s="29"/>
      <c r="R540" s="29"/>
    </row>
    <row r="541" spans="13:18" ht="14.4" x14ac:dyDescent="0.3">
      <c r="M541" s="27"/>
      <c r="N541" s="27"/>
      <c r="O541" s="28"/>
      <c r="P541" s="29"/>
      <c r="R541" s="29"/>
    </row>
    <row r="542" spans="13:18" ht="14.4" x14ac:dyDescent="0.3">
      <c r="M542" s="27"/>
      <c r="N542" s="27"/>
      <c r="O542" s="28"/>
      <c r="P542" s="29"/>
      <c r="R542" s="29"/>
    </row>
    <row r="543" spans="13:18" ht="14.4" x14ac:dyDescent="0.3">
      <c r="M543" s="27"/>
      <c r="N543" s="27"/>
      <c r="O543" s="28"/>
      <c r="P543" s="29"/>
      <c r="R543" s="29"/>
    </row>
    <row r="544" spans="13:18" ht="14.4" x14ac:dyDescent="0.3">
      <c r="M544" s="27"/>
      <c r="N544" s="27"/>
      <c r="O544" s="28"/>
      <c r="P544" s="29"/>
      <c r="R544" s="29"/>
    </row>
    <row r="545" spans="13:18" ht="14.4" x14ac:dyDescent="0.3">
      <c r="M545" s="27"/>
      <c r="N545" s="27"/>
      <c r="O545" s="28"/>
      <c r="P545" s="29"/>
      <c r="R545" s="29"/>
    </row>
    <row r="546" spans="13:18" ht="14.4" x14ac:dyDescent="0.3">
      <c r="M546" s="27"/>
      <c r="N546" s="27"/>
      <c r="O546" s="28"/>
      <c r="P546" s="29"/>
      <c r="R546" s="29"/>
    </row>
    <row r="547" spans="13:18" ht="14.4" x14ac:dyDescent="0.3">
      <c r="M547" s="27"/>
      <c r="N547" s="27"/>
      <c r="O547" s="28"/>
      <c r="P547" s="29"/>
      <c r="R547" s="29"/>
    </row>
    <row r="548" spans="13:18" ht="14.4" x14ac:dyDescent="0.3">
      <c r="M548" s="27"/>
      <c r="N548" s="27"/>
      <c r="O548" s="28"/>
      <c r="P548" s="29"/>
      <c r="R548" s="29"/>
    </row>
    <row r="549" spans="13:18" ht="14.4" x14ac:dyDescent="0.3">
      <c r="M549" s="27"/>
      <c r="N549" s="27"/>
      <c r="O549" s="28"/>
      <c r="P549" s="29"/>
      <c r="R549" s="29"/>
    </row>
    <row r="550" spans="13:18" ht="14.4" x14ac:dyDescent="0.3">
      <c r="M550" s="27"/>
      <c r="N550" s="27"/>
      <c r="O550" s="28"/>
      <c r="P550" s="29"/>
      <c r="R550" s="29"/>
    </row>
    <row r="551" spans="13:18" ht="14.4" x14ac:dyDescent="0.3">
      <c r="M551" s="27"/>
      <c r="N551" s="27"/>
      <c r="O551" s="28"/>
      <c r="P551" s="29"/>
      <c r="R551" s="29"/>
    </row>
    <row r="552" spans="13:18" ht="14.4" x14ac:dyDescent="0.3">
      <c r="M552" s="27"/>
      <c r="N552" s="27"/>
      <c r="O552" s="28"/>
      <c r="P552" s="29"/>
      <c r="R552" s="29"/>
    </row>
    <row r="553" spans="13:18" ht="14.4" x14ac:dyDescent="0.3">
      <c r="M553" s="27"/>
      <c r="N553" s="27"/>
      <c r="O553" s="28"/>
      <c r="P553" s="29"/>
      <c r="R553" s="29"/>
    </row>
    <row r="554" spans="13:18" ht="14.4" x14ac:dyDescent="0.3">
      <c r="M554" s="27"/>
      <c r="N554" s="27"/>
      <c r="O554" s="28"/>
      <c r="P554" s="29"/>
      <c r="R554" s="29"/>
    </row>
    <row r="555" spans="13:18" ht="14.4" x14ac:dyDescent="0.3">
      <c r="M555" s="27"/>
      <c r="N555" s="27"/>
      <c r="O555" s="28"/>
      <c r="P555" s="29"/>
      <c r="R555" s="29"/>
    </row>
    <row r="556" spans="13:18" ht="14.4" x14ac:dyDescent="0.3">
      <c r="M556" s="27"/>
      <c r="N556" s="27"/>
      <c r="O556" s="28"/>
      <c r="P556" s="29"/>
      <c r="R556" s="29"/>
    </row>
    <row r="557" spans="13:18" ht="14.4" x14ac:dyDescent="0.3">
      <c r="M557" s="27"/>
      <c r="N557" s="27"/>
      <c r="O557" s="28"/>
      <c r="P557" s="29"/>
      <c r="R557" s="29"/>
    </row>
    <row r="558" spans="13:18" ht="14.4" x14ac:dyDescent="0.3">
      <c r="M558" s="27"/>
      <c r="N558" s="27"/>
      <c r="O558" s="28"/>
      <c r="P558" s="29"/>
      <c r="R558" s="29"/>
    </row>
    <row r="559" spans="13:18" ht="14.4" x14ac:dyDescent="0.3">
      <c r="M559" s="27"/>
      <c r="N559" s="27"/>
      <c r="O559" s="28"/>
      <c r="P559" s="29"/>
      <c r="R559" s="29"/>
    </row>
    <row r="560" spans="13:18" ht="14.4" x14ac:dyDescent="0.3">
      <c r="M560" s="27"/>
      <c r="N560" s="27"/>
      <c r="O560" s="28"/>
      <c r="P560" s="29"/>
      <c r="R560" s="29"/>
    </row>
    <row r="561" spans="13:18" ht="14.4" x14ac:dyDescent="0.3">
      <c r="M561" s="27"/>
      <c r="N561" s="27"/>
      <c r="O561" s="28"/>
      <c r="P561" s="29"/>
      <c r="R561" s="29"/>
    </row>
    <row r="562" spans="13:18" ht="14.4" x14ac:dyDescent="0.3">
      <c r="M562" s="27"/>
      <c r="N562" s="27"/>
      <c r="O562" s="28"/>
      <c r="P562" s="29"/>
      <c r="R562" s="29"/>
    </row>
    <row r="563" spans="13:18" ht="14.4" x14ac:dyDescent="0.3">
      <c r="M563" s="27"/>
      <c r="N563" s="27"/>
      <c r="O563" s="28"/>
      <c r="P563" s="29"/>
      <c r="R563" s="29"/>
    </row>
    <row r="564" spans="13:18" ht="14.4" x14ac:dyDescent="0.3">
      <c r="M564" s="27"/>
      <c r="N564" s="27"/>
      <c r="O564" s="28"/>
      <c r="P564" s="29"/>
      <c r="R564" s="29"/>
    </row>
    <row r="565" spans="13:18" ht="14.4" x14ac:dyDescent="0.3">
      <c r="M565" s="27"/>
      <c r="N565" s="27"/>
      <c r="O565" s="28"/>
      <c r="P565" s="29"/>
      <c r="R565" s="29"/>
    </row>
    <row r="566" spans="13:18" ht="14.4" x14ac:dyDescent="0.3">
      <c r="M566" s="27"/>
      <c r="N566" s="27"/>
      <c r="O566" s="28"/>
      <c r="P566" s="29"/>
      <c r="R566" s="29"/>
    </row>
    <row r="567" spans="13:18" ht="14.4" x14ac:dyDescent="0.3">
      <c r="M567" s="27"/>
      <c r="N567" s="27"/>
      <c r="O567" s="28"/>
      <c r="P567" s="29"/>
      <c r="R567" s="29"/>
    </row>
    <row r="568" spans="13:18" ht="14.4" x14ac:dyDescent="0.3">
      <c r="M568" s="27"/>
      <c r="N568" s="27"/>
      <c r="O568" s="28"/>
      <c r="P568" s="29"/>
      <c r="R568" s="29"/>
    </row>
    <row r="569" spans="13:18" ht="14.4" x14ac:dyDescent="0.3">
      <c r="M569" s="27"/>
      <c r="N569" s="27"/>
      <c r="O569" s="28"/>
      <c r="P569" s="29"/>
      <c r="R569" s="29"/>
    </row>
    <row r="570" spans="13:18" ht="14.4" x14ac:dyDescent="0.3">
      <c r="M570" s="27"/>
      <c r="N570" s="27"/>
      <c r="O570" s="28"/>
      <c r="P570" s="29"/>
      <c r="R570" s="29"/>
    </row>
    <row r="571" spans="13:18" ht="14.4" x14ac:dyDescent="0.3">
      <c r="M571" s="27"/>
      <c r="N571" s="27"/>
      <c r="O571" s="28"/>
      <c r="P571" s="29"/>
      <c r="R571" s="29"/>
    </row>
    <row r="572" spans="13:18" ht="14.4" x14ac:dyDescent="0.3">
      <c r="M572" s="27"/>
      <c r="N572" s="27"/>
      <c r="O572" s="28"/>
      <c r="P572" s="29"/>
      <c r="R572" s="29"/>
    </row>
    <row r="573" spans="13:18" ht="14.4" x14ac:dyDescent="0.3">
      <c r="M573" s="27"/>
      <c r="N573" s="27"/>
      <c r="O573" s="28"/>
      <c r="P573" s="29"/>
      <c r="R573" s="29"/>
    </row>
    <row r="574" spans="13:18" ht="14.4" x14ac:dyDescent="0.3">
      <c r="M574" s="27"/>
      <c r="N574" s="27"/>
      <c r="O574" s="28"/>
      <c r="P574" s="29"/>
      <c r="R574" s="29"/>
    </row>
    <row r="575" spans="13:18" ht="14.4" x14ac:dyDescent="0.3">
      <c r="M575" s="27"/>
      <c r="N575" s="27"/>
      <c r="O575" s="28"/>
      <c r="P575" s="29"/>
      <c r="R575" s="29"/>
    </row>
    <row r="576" spans="13:18" ht="14.4" x14ac:dyDescent="0.3">
      <c r="M576" s="27"/>
      <c r="N576" s="27"/>
      <c r="O576" s="28"/>
      <c r="P576" s="29"/>
      <c r="R576" s="29"/>
    </row>
    <row r="577" spans="13:18" ht="14.4" x14ac:dyDescent="0.3">
      <c r="M577" s="27"/>
      <c r="N577" s="27"/>
      <c r="O577" s="28"/>
      <c r="P577" s="29"/>
      <c r="R577" s="29"/>
    </row>
    <row r="578" spans="13:18" ht="14.4" x14ac:dyDescent="0.3">
      <c r="M578" s="27"/>
      <c r="N578" s="27"/>
      <c r="O578" s="28"/>
      <c r="P578" s="29"/>
      <c r="R578" s="29"/>
    </row>
    <row r="579" spans="13:18" ht="14.4" x14ac:dyDescent="0.3">
      <c r="M579" s="27"/>
      <c r="N579" s="27"/>
      <c r="O579" s="28"/>
      <c r="P579" s="29"/>
      <c r="R579" s="29"/>
    </row>
    <row r="580" spans="13:18" ht="14.4" x14ac:dyDescent="0.3">
      <c r="M580" s="27"/>
      <c r="N580" s="27"/>
      <c r="O580" s="28"/>
      <c r="P580" s="29"/>
      <c r="R580" s="29"/>
    </row>
    <row r="581" spans="13:18" ht="14.4" x14ac:dyDescent="0.3">
      <c r="M581" s="27"/>
      <c r="N581" s="27"/>
      <c r="O581" s="28"/>
      <c r="P581" s="29"/>
      <c r="R581" s="29"/>
    </row>
    <row r="582" spans="13:18" ht="14.4" x14ac:dyDescent="0.3">
      <c r="M582" s="27"/>
      <c r="N582" s="27"/>
      <c r="O582" s="28"/>
      <c r="P582" s="29"/>
      <c r="R582" s="29"/>
    </row>
    <row r="583" spans="13:18" ht="14.4" x14ac:dyDescent="0.3">
      <c r="M583" s="27"/>
      <c r="N583" s="27"/>
      <c r="O583" s="28"/>
      <c r="P583" s="29"/>
      <c r="R583" s="29"/>
    </row>
    <row r="584" spans="13:18" ht="14.4" x14ac:dyDescent="0.3">
      <c r="M584" s="27"/>
      <c r="N584" s="27"/>
      <c r="O584" s="28"/>
      <c r="P584" s="29"/>
      <c r="R584" s="29"/>
    </row>
    <row r="585" spans="13:18" ht="14.4" x14ac:dyDescent="0.3">
      <c r="M585" s="27"/>
      <c r="N585" s="27"/>
      <c r="O585" s="28"/>
      <c r="P585" s="29"/>
      <c r="R585" s="29"/>
    </row>
    <row r="586" spans="13:18" ht="14.4" x14ac:dyDescent="0.3">
      <c r="M586" s="27"/>
      <c r="N586" s="27"/>
      <c r="O586" s="28"/>
      <c r="P586" s="29"/>
      <c r="R586" s="29"/>
    </row>
    <row r="587" spans="13:18" ht="14.4" x14ac:dyDescent="0.3">
      <c r="M587" s="27"/>
      <c r="N587" s="27"/>
      <c r="O587" s="28"/>
      <c r="P587" s="29"/>
      <c r="R587" s="29"/>
    </row>
    <row r="588" spans="13:18" ht="14.4" x14ac:dyDescent="0.3">
      <c r="M588" s="27"/>
      <c r="N588" s="27"/>
      <c r="O588" s="28"/>
      <c r="P588" s="29"/>
      <c r="R588" s="29"/>
    </row>
    <row r="589" spans="13:18" ht="14.4" x14ac:dyDescent="0.3">
      <c r="M589" s="27"/>
      <c r="N589" s="27"/>
      <c r="O589" s="28"/>
      <c r="P589" s="29"/>
      <c r="R589" s="29"/>
    </row>
    <row r="590" spans="13:18" ht="14.4" x14ac:dyDescent="0.3">
      <c r="M590" s="27"/>
      <c r="N590" s="27"/>
      <c r="O590" s="28"/>
      <c r="P590" s="29"/>
      <c r="R590" s="29"/>
    </row>
    <row r="591" spans="13:18" ht="14.4" x14ac:dyDescent="0.3">
      <c r="M591" s="27"/>
      <c r="N591" s="27"/>
      <c r="O591" s="28"/>
      <c r="P591" s="29"/>
      <c r="R591" s="29"/>
    </row>
    <row r="592" spans="13:18" ht="14.4" x14ac:dyDescent="0.3">
      <c r="M592" s="27"/>
      <c r="N592" s="27"/>
      <c r="O592" s="28"/>
      <c r="P592" s="29"/>
      <c r="R592" s="29"/>
    </row>
    <row r="593" spans="13:18" ht="14.4" x14ac:dyDescent="0.3">
      <c r="M593" s="27"/>
      <c r="N593" s="27"/>
      <c r="O593" s="28"/>
      <c r="P593" s="29"/>
      <c r="R593" s="29"/>
    </row>
    <row r="594" spans="13:18" ht="14.4" x14ac:dyDescent="0.3">
      <c r="M594" s="27"/>
      <c r="N594" s="27"/>
      <c r="O594" s="28"/>
      <c r="P594" s="29"/>
      <c r="R594" s="29"/>
    </row>
    <row r="595" spans="13:18" ht="14.4" x14ac:dyDescent="0.3">
      <c r="M595" s="27"/>
      <c r="N595" s="27"/>
      <c r="O595" s="28"/>
      <c r="P595" s="29"/>
      <c r="R595" s="29"/>
    </row>
    <row r="596" spans="13:18" ht="14.4" x14ac:dyDescent="0.3">
      <c r="M596" s="27"/>
      <c r="N596" s="27"/>
      <c r="O596" s="28"/>
      <c r="P596" s="29"/>
      <c r="R596" s="29"/>
    </row>
    <row r="597" spans="13:18" ht="14.4" x14ac:dyDescent="0.3">
      <c r="M597" s="27"/>
      <c r="N597" s="27"/>
      <c r="O597" s="28"/>
      <c r="P597" s="29"/>
      <c r="R597" s="29"/>
    </row>
    <row r="598" spans="13:18" ht="14.4" x14ac:dyDescent="0.3">
      <c r="M598" s="27"/>
      <c r="N598" s="27"/>
      <c r="O598" s="28"/>
      <c r="P598" s="29"/>
      <c r="R598" s="29"/>
    </row>
    <row r="599" spans="13:18" ht="14.4" x14ac:dyDescent="0.3">
      <c r="M599" s="27"/>
      <c r="N599" s="27"/>
      <c r="O599" s="28"/>
      <c r="P599" s="29"/>
      <c r="R599" s="29"/>
    </row>
    <row r="600" spans="13:18" ht="14.4" x14ac:dyDescent="0.3">
      <c r="M600" s="27"/>
      <c r="N600" s="27"/>
      <c r="O600" s="28"/>
      <c r="P600" s="29"/>
      <c r="R600" s="29"/>
    </row>
    <row r="601" spans="13:18" ht="14.4" x14ac:dyDescent="0.3">
      <c r="M601" s="27"/>
      <c r="N601" s="27"/>
      <c r="O601" s="28"/>
      <c r="P601" s="29"/>
      <c r="R601" s="29"/>
    </row>
    <row r="602" spans="13:18" ht="14.4" x14ac:dyDescent="0.3">
      <c r="M602" s="27"/>
      <c r="N602" s="27"/>
      <c r="O602" s="28"/>
      <c r="P602" s="29"/>
      <c r="R602" s="29"/>
    </row>
    <row r="603" spans="13:18" ht="14.4" x14ac:dyDescent="0.3">
      <c r="M603" s="27"/>
      <c r="N603" s="27"/>
      <c r="O603" s="28"/>
      <c r="P603" s="29"/>
      <c r="R603" s="29"/>
    </row>
    <row r="604" spans="13:18" ht="14.4" x14ac:dyDescent="0.3">
      <c r="M604" s="27"/>
      <c r="N604" s="27"/>
      <c r="O604" s="28"/>
      <c r="P604" s="29"/>
      <c r="R604" s="29"/>
    </row>
    <row r="605" spans="13:18" ht="14.4" x14ac:dyDescent="0.3">
      <c r="M605" s="27"/>
      <c r="N605" s="27"/>
      <c r="O605" s="28"/>
      <c r="P605" s="29"/>
      <c r="R605" s="29"/>
    </row>
    <row r="606" spans="13:18" ht="14.4" x14ac:dyDescent="0.3">
      <c r="M606" s="27"/>
      <c r="N606" s="27"/>
      <c r="O606" s="28"/>
      <c r="P606" s="29"/>
      <c r="R606" s="29"/>
    </row>
    <row r="607" spans="13:18" ht="14.4" x14ac:dyDescent="0.3">
      <c r="M607" s="27"/>
      <c r="N607" s="27"/>
      <c r="O607" s="28"/>
      <c r="P607" s="29"/>
      <c r="R607" s="29"/>
    </row>
    <row r="608" spans="13:18" ht="14.4" x14ac:dyDescent="0.3">
      <c r="M608" s="27"/>
      <c r="N608" s="27"/>
      <c r="O608" s="28"/>
      <c r="P608" s="29"/>
      <c r="R608" s="29"/>
    </row>
    <row r="609" spans="13:18" ht="14.4" x14ac:dyDescent="0.3">
      <c r="M609" s="27"/>
      <c r="N609" s="27"/>
      <c r="O609" s="28"/>
      <c r="P609" s="29"/>
      <c r="R609" s="29"/>
    </row>
    <row r="610" spans="13:18" ht="14.4" x14ac:dyDescent="0.3">
      <c r="M610" s="27"/>
      <c r="N610" s="27"/>
      <c r="O610" s="28"/>
      <c r="P610" s="29"/>
      <c r="R610" s="29"/>
    </row>
    <row r="611" spans="13:18" ht="14.4" x14ac:dyDescent="0.3">
      <c r="M611" s="27"/>
      <c r="N611" s="27"/>
      <c r="O611" s="28"/>
      <c r="P611" s="29"/>
      <c r="R611" s="29"/>
    </row>
    <row r="612" spans="13:18" ht="14.4" x14ac:dyDescent="0.3">
      <c r="M612" s="27"/>
      <c r="N612" s="27"/>
      <c r="O612" s="28"/>
      <c r="P612" s="29"/>
      <c r="R612" s="29"/>
    </row>
    <row r="613" spans="13:18" ht="14.4" x14ac:dyDescent="0.3">
      <c r="M613" s="27"/>
      <c r="N613" s="27"/>
      <c r="O613" s="28"/>
      <c r="P613" s="29"/>
      <c r="R613" s="29"/>
    </row>
    <row r="614" spans="13:18" ht="14.4" x14ac:dyDescent="0.3">
      <c r="M614" s="27"/>
      <c r="N614" s="27"/>
      <c r="O614" s="28"/>
      <c r="P614" s="29"/>
      <c r="R614" s="29"/>
    </row>
    <row r="615" spans="13:18" ht="14.4" x14ac:dyDescent="0.3">
      <c r="M615" s="27"/>
      <c r="N615" s="27"/>
      <c r="O615" s="28"/>
      <c r="P615" s="29"/>
      <c r="R615" s="29"/>
    </row>
    <row r="616" spans="13:18" ht="14.4" x14ac:dyDescent="0.3">
      <c r="M616" s="27"/>
      <c r="N616" s="27"/>
      <c r="O616" s="28"/>
      <c r="P616" s="29"/>
      <c r="R616" s="29"/>
    </row>
    <row r="617" spans="13:18" ht="14.4" x14ac:dyDescent="0.3">
      <c r="M617" s="27"/>
      <c r="N617" s="27"/>
      <c r="O617" s="28"/>
      <c r="P617" s="29"/>
      <c r="R617" s="29"/>
    </row>
    <row r="618" spans="13:18" ht="14.4" x14ac:dyDescent="0.3">
      <c r="M618" s="27"/>
      <c r="N618" s="27"/>
      <c r="O618" s="28"/>
      <c r="P618" s="29"/>
      <c r="R618" s="29"/>
    </row>
    <row r="619" spans="13:18" ht="14.4" x14ac:dyDescent="0.3">
      <c r="M619" s="27"/>
      <c r="N619" s="27"/>
      <c r="O619" s="28"/>
      <c r="P619" s="29"/>
      <c r="R619" s="29"/>
    </row>
    <row r="620" spans="13:18" ht="14.4" x14ac:dyDescent="0.3">
      <c r="M620" s="27"/>
      <c r="N620" s="27"/>
      <c r="O620" s="28"/>
      <c r="P620" s="29"/>
      <c r="R620" s="29"/>
    </row>
    <row r="621" spans="13:18" ht="14.4" x14ac:dyDescent="0.3">
      <c r="M621" s="27"/>
      <c r="N621" s="27"/>
      <c r="O621" s="28"/>
      <c r="P621" s="29"/>
      <c r="R621" s="29"/>
    </row>
    <row r="622" spans="13:18" ht="14.4" x14ac:dyDescent="0.3">
      <c r="M622" s="27"/>
      <c r="N622" s="27"/>
      <c r="O622" s="28"/>
      <c r="P622" s="29"/>
      <c r="R622" s="29"/>
    </row>
    <row r="623" spans="13:18" ht="14.4" x14ac:dyDescent="0.3">
      <c r="M623" s="27"/>
      <c r="N623" s="27"/>
      <c r="O623" s="28"/>
      <c r="P623" s="29"/>
      <c r="R623" s="29"/>
    </row>
    <row r="624" spans="13:18" ht="14.4" x14ac:dyDescent="0.3">
      <c r="M624" s="27"/>
      <c r="N624" s="27"/>
      <c r="O624" s="28"/>
      <c r="P624" s="29"/>
      <c r="R624" s="29"/>
    </row>
    <row r="625" spans="13:18" ht="14.4" x14ac:dyDescent="0.3">
      <c r="M625" s="27"/>
      <c r="N625" s="27"/>
      <c r="O625" s="28"/>
      <c r="P625" s="29"/>
      <c r="R625" s="29"/>
    </row>
    <row r="626" spans="13:18" ht="14.4" x14ac:dyDescent="0.3">
      <c r="M626" s="27"/>
      <c r="N626" s="27"/>
      <c r="O626" s="28"/>
      <c r="P626" s="29"/>
      <c r="R626" s="29"/>
    </row>
    <row r="627" spans="13:18" ht="14.4" x14ac:dyDescent="0.3">
      <c r="M627" s="27"/>
      <c r="N627" s="27"/>
      <c r="O627" s="28"/>
      <c r="P627" s="29"/>
      <c r="R627" s="29"/>
    </row>
    <row r="628" spans="13:18" ht="14.4" x14ac:dyDescent="0.3">
      <c r="M628" s="27"/>
      <c r="N628" s="27"/>
      <c r="O628" s="28"/>
      <c r="P628" s="29"/>
      <c r="R628" s="29"/>
    </row>
    <row r="629" spans="13:18" ht="14.4" x14ac:dyDescent="0.3">
      <c r="M629" s="27"/>
      <c r="N629" s="27"/>
      <c r="O629" s="28"/>
      <c r="P629" s="29"/>
      <c r="R629" s="29"/>
    </row>
    <row r="630" spans="13:18" ht="14.4" x14ac:dyDescent="0.3">
      <c r="M630" s="27"/>
      <c r="N630" s="27"/>
      <c r="O630" s="28"/>
      <c r="P630" s="29"/>
      <c r="R630" s="29"/>
    </row>
    <row r="631" spans="13:18" ht="14.4" x14ac:dyDescent="0.3">
      <c r="M631" s="27"/>
      <c r="N631" s="27"/>
      <c r="O631" s="28"/>
      <c r="P631" s="29"/>
      <c r="R631" s="29"/>
    </row>
    <row r="632" spans="13:18" ht="14.4" x14ac:dyDescent="0.3">
      <c r="M632" s="27"/>
      <c r="N632" s="27"/>
      <c r="O632" s="28"/>
      <c r="P632" s="29"/>
      <c r="R632" s="29"/>
    </row>
    <row r="633" spans="13:18" ht="14.4" x14ac:dyDescent="0.3">
      <c r="M633" s="27"/>
      <c r="N633" s="27"/>
      <c r="O633" s="28"/>
      <c r="P633" s="29"/>
      <c r="R633" s="29"/>
    </row>
    <row r="634" spans="13:18" ht="14.4" x14ac:dyDescent="0.3">
      <c r="M634" s="27"/>
      <c r="N634" s="27"/>
      <c r="O634" s="28"/>
      <c r="P634" s="29"/>
      <c r="R634" s="29"/>
    </row>
    <row r="635" spans="13:18" ht="14.4" x14ac:dyDescent="0.3">
      <c r="M635" s="27"/>
      <c r="N635" s="27"/>
      <c r="O635" s="28"/>
      <c r="P635" s="29"/>
      <c r="R635" s="29"/>
    </row>
    <row r="636" spans="13:18" ht="14.4" x14ac:dyDescent="0.3">
      <c r="M636" s="27"/>
      <c r="N636" s="27"/>
      <c r="O636" s="28"/>
      <c r="P636" s="29"/>
      <c r="R636" s="29"/>
    </row>
    <row r="637" spans="13:18" ht="14.4" x14ac:dyDescent="0.3">
      <c r="M637" s="27"/>
      <c r="N637" s="27"/>
      <c r="O637" s="28"/>
      <c r="P637" s="29"/>
      <c r="R637" s="29"/>
    </row>
    <row r="638" spans="13:18" ht="14.4" x14ac:dyDescent="0.3">
      <c r="M638" s="27"/>
      <c r="N638" s="27"/>
      <c r="O638" s="28"/>
      <c r="P638" s="29"/>
      <c r="R638" s="29"/>
    </row>
    <row r="639" spans="13:18" ht="14.4" x14ac:dyDescent="0.3">
      <c r="M639" s="27"/>
      <c r="N639" s="27"/>
      <c r="O639" s="28"/>
      <c r="P639" s="29"/>
      <c r="R639" s="29"/>
    </row>
    <row r="640" spans="13:18" ht="14.4" x14ac:dyDescent="0.3">
      <c r="M640" s="27"/>
      <c r="N640" s="27"/>
      <c r="O640" s="28"/>
      <c r="P640" s="29"/>
      <c r="R640" s="29"/>
    </row>
    <row r="641" spans="13:18" ht="14.4" x14ac:dyDescent="0.3">
      <c r="M641" s="27"/>
      <c r="N641" s="27"/>
      <c r="O641" s="28"/>
      <c r="P641" s="29"/>
      <c r="R641" s="29"/>
    </row>
    <row r="642" spans="13:18" ht="14.4" x14ac:dyDescent="0.3">
      <c r="M642" s="27"/>
      <c r="N642" s="27"/>
      <c r="O642" s="28"/>
      <c r="P642" s="29"/>
      <c r="R642" s="29"/>
    </row>
    <row r="643" spans="13:18" ht="14.4" x14ac:dyDescent="0.3">
      <c r="M643" s="27"/>
      <c r="N643" s="27"/>
      <c r="O643" s="28"/>
      <c r="P643" s="29"/>
      <c r="R643" s="29"/>
    </row>
    <row r="644" spans="13:18" ht="14.4" x14ac:dyDescent="0.3">
      <c r="M644" s="27"/>
      <c r="N644" s="27"/>
      <c r="O644" s="28"/>
      <c r="P644" s="29"/>
      <c r="R644" s="29"/>
    </row>
    <row r="645" spans="13:18" ht="14.4" x14ac:dyDescent="0.3">
      <c r="M645" s="27"/>
      <c r="N645" s="27"/>
      <c r="O645" s="28"/>
      <c r="P645" s="29"/>
      <c r="R645" s="29"/>
    </row>
    <row r="646" spans="13:18" ht="14.4" x14ac:dyDescent="0.3">
      <c r="M646" s="27"/>
      <c r="N646" s="27"/>
      <c r="O646" s="28"/>
      <c r="P646" s="29"/>
      <c r="R646" s="29"/>
    </row>
    <row r="647" spans="13:18" ht="14.4" x14ac:dyDescent="0.3">
      <c r="M647" s="27"/>
      <c r="N647" s="27"/>
      <c r="O647" s="28"/>
      <c r="P647" s="29"/>
      <c r="R647" s="29"/>
    </row>
    <row r="648" spans="13:18" ht="14.4" x14ac:dyDescent="0.3">
      <c r="M648" s="27"/>
      <c r="N648" s="27"/>
      <c r="O648" s="28"/>
      <c r="P648" s="29"/>
      <c r="R648" s="29"/>
    </row>
    <row r="649" spans="13:18" ht="14.4" x14ac:dyDescent="0.3">
      <c r="M649" s="27"/>
      <c r="N649" s="27"/>
      <c r="O649" s="28"/>
      <c r="P649" s="29"/>
      <c r="R649" s="29"/>
    </row>
    <row r="650" spans="13:18" ht="14.4" x14ac:dyDescent="0.3">
      <c r="M650" s="27"/>
      <c r="N650" s="27"/>
      <c r="O650" s="28"/>
      <c r="P650" s="29"/>
      <c r="R650" s="29"/>
    </row>
    <row r="651" spans="13:18" ht="14.4" x14ac:dyDescent="0.3">
      <c r="M651" s="27"/>
      <c r="N651" s="27"/>
      <c r="O651" s="28"/>
      <c r="P651" s="29"/>
      <c r="R651" s="29"/>
    </row>
    <row r="652" spans="13:18" ht="14.4" x14ac:dyDescent="0.3">
      <c r="M652" s="27"/>
      <c r="N652" s="27"/>
      <c r="O652" s="28"/>
      <c r="P652" s="29"/>
      <c r="R652" s="29"/>
    </row>
    <row r="653" spans="13:18" ht="14.4" x14ac:dyDescent="0.3">
      <c r="M653" s="27"/>
      <c r="N653" s="27"/>
      <c r="O653" s="28"/>
      <c r="P653" s="29"/>
      <c r="R653" s="29"/>
    </row>
    <row r="654" spans="13:18" ht="14.4" x14ac:dyDescent="0.3">
      <c r="M654" s="27"/>
      <c r="N654" s="27"/>
      <c r="O654" s="28"/>
      <c r="P654" s="29"/>
      <c r="R654" s="29"/>
    </row>
    <row r="655" spans="13:18" ht="14.4" x14ac:dyDescent="0.3">
      <c r="M655" s="27"/>
      <c r="N655" s="27"/>
      <c r="O655" s="28"/>
      <c r="P655" s="29"/>
      <c r="R655" s="29"/>
    </row>
    <row r="656" spans="13:18" ht="14.4" x14ac:dyDescent="0.3">
      <c r="M656" s="27"/>
      <c r="N656" s="27"/>
      <c r="O656" s="28"/>
      <c r="P656" s="29"/>
      <c r="R656" s="29"/>
    </row>
    <row r="657" spans="13:18" ht="14.4" x14ac:dyDescent="0.3">
      <c r="M657" s="27"/>
      <c r="N657" s="27"/>
      <c r="O657" s="28"/>
      <c r="P657" s="29"/>
      <c r="R657" s="29"/>
    </row>
    <row r="658" spans="13:18" ht="14.4" x14ac:dyDescent="0.3">
      <c r="M658" s="27"/>
      <c r="N658" s="27"/>
      <c r="O658" s="28"/>
      <c r="P658" s="29"/>
      <c r="R658" s="29"/>
    </row>
    <row r="659" spans="13:18" ht="14.4" x14ac:dyDescent="0.3">
      <c r="M659" s="27"/>
      <c r="N659" s="27"/>
      <c r="O659" s="28"/>
      <c r="P659" s="29"/>
      <c r="R659" s="29"/>
    </row>
    <row r="660" spans="13:18" ht="14.4" x14ac:dyDescent="0.3">
      <c r="M660" s="27"/>
      <c r="N660" s="27"/>
      <c r="O660" s="28"/>
      <c r="P660" s="29"/>
      <c r="R660" s="29"/>
    </row>
    <row r="661" spans="13:18" ht="14.4" x14ac:dyDescent="0.3">
      <c r="M661" s="27"/>
      <c r="N661" s="27"/>
      <c r="O661" s="28"/>
      <c r="P661" s="29"/>
      <c r="R661" s="29"/>
    </row>
    <row r="662" spans="13:18" ht="14.4" x14ac:dyDescent="0.3">
      <c r="M662" s="27"/>
      <c r="N662" s="27"/>
      <c r="O662" s="28"/>
      <c r="P662" s="29"/>
      <c r="R662" s="29"/>
    </row>
    <row r="663" spans="13:18" ht="14.4" x14ac:dyDescent="0.3">
      <c r="M663" s="27"/>
      <c r="N663" s="27"/>
      <c r="O663" s="28"/>
      <c r="P663" s="29"/>
      <c r="R663" s="29"/>
    </row>
    <row r="664" spans="13:18" ht="14.4" x14ac:dyDescent="0.3">
      <c r="M664" s="27"/>
      <c r="N664" s="27"/>
      <c r="O664" s="28"/>
      <c r="P664" s="29"/>
      <c r="R664" s="29"/>
    </row>
    <row r="665" spans="13:18" ht="14.4" x14ac:dyDescent="0.3">
      <c r="M665" s="27"/>
      <c r="N665" s="27"/>
      <c r="O665" s="28"/>
      <c r="P665" s="29"/>
      <c r="R665" s="29"/>
    </row>
    <row r="666" spans="13:18" ht="14.4" x14ac:dyDescent="0.3">
      <c r="M666" s="27"/>
      <c r="N666" s="27"/>
      <c r="O666" s="28"/>
      <c r="P666" s="29"/>
      <c r="R666" s="29"/>
    </row>
    <row r="667" spans="13:18" ht="14.4" x14ac:dyDescent="0.3">
      <c r="M667" s="27"/>
      <c r="N667" s="27"/>
      <c r="O667" s="28"/>
      <c r="P667" s="29"/>
      <c r="R667" s="29"/>
    </row>
    <row r="668" spans="13:18" ht="14.4" x14ac:dyDescent="0.3">
      <c r="M668" s="27"/>
      <c r="N668" s="27"/>
      <c r="O668" s="28"/>
      <c r="P668" s="29"/>
      <c r="R668" s="29"/>
    </row>
    <row r="669" spans="13:18" ht="14.4" x14ac:dyDescent="0.3">
      <c r="M669" s="27"/>
      <c r="N669" s="27"/>
      <c r="O669" s="28"/>
      <c r="P669" s="29"/>
      <c r="R669" s="29"/>
    </row>
    <row r="670" spans="13:18" ht="14.4" x14ac:dyDescent="0.3">
      <c r="M670" s="27"/>
      <c r="N670" s="27"/>
      <c r="O670" s="28"/>
      <c r="P670" s="29"/>
      <c r="R670" s="29"/>
    </row>
    <row r="671" spans="13:18" ht="14.4" x14ac:dyDescent="0.3">
      <c r="M671" s="27"/>
      <c r="N671" s="27"/>
      <c r="O671" s="28"/>
      <c r="P671" s="29"/>
      <c r="R671" s="29"/>
    </row>
    <row r="672" spans="13:18" ht="14.4" x14ac:dyDescent="0.3">
      <c r="M672" s="27"/>
      <c r="N672" s="27"/>
      <c r="O672" s="28"/>
      <c r="P672" s="29"/>
      <c r="R672" s="29"/>
    </row>
    <row r="673" spans="13:18" ht="14.4" x14ac:dyDescent="0.3">
      <c r="M673" s="27"/>
      <c r="N673" s="27"/>
      <c r="O673" s="28"/>
      <c r="P673" s="29"/>
      <c r="R673" s="29"/>
    </row>
    <row r="674" spans="13:18" ht="14.4" x14ac:dyDescent="0.3">
      <c r="M674" s="27"/>
      <c r="N674" s="27"/>
      <c r="O674" s="28"/>
      <c r="P674" s="29"/>
      <c r="R674" s="29"/>
    </row>
    <row r="675" spans="13:18" ht="14.4" x14ac:dyDescent="0.3">
      <c r="M675" s="27"/>
      <c r="N675" s="27"/>
      <c r="O675" s="28"/>
      <c r="P675" s="29"/>
      <c r="R675" s="29"/>
    </row>
    <row r="676" spans="13:18" ht="14.4" x14ac:dyDescent="0.3">
      <c r="M676" s="27"/>
      <c r="N676" s="27"/>
      <c r="O676" s="28"/>
      <c r="P676" s="29"/>
      <c r="R676" s="29"/>
    </row>
    <row r="677" spans="13:18" ht="14.4" x14ac:dyDescent="0.3">
      <c r="M677" s="27"/>
      <c r="N677" s="27"/>
      <c r="O677" s="28"/>
      <c r="P677" s="29"/>
      <c r="R677" s="29"/>
    </row>
    <row r="678" spans="13:18" ht="14.4" x14ac:dyDescent="0.3">
      <c r="M678" s="27"/>
      <c r="N678" s="27"/>
      <c r="O678" s="28"/>
      <c r="P678" s="29"/>
      <c r="R678" s="29"/>
    </row>
    <row r="679" spans="13:18" ht="14.4" x14ac:dyDescent="0.3">
      <c r="M679" s="27"/>
      <c r="N679" s="27"/>
      <c r="O679" s="28"/>
      <c r="P679" s="29"/>
      <c r="R679" s="29"/>
    </row>
    <row r="680" spans="13:18" ht="14.4" x14ac:dyDescent="0.3">
      <c r="M680" s="27"/>
      <c r="N680" s="27"/>
      <c r="O680" s="28"/>
      <c r="P680" s="29"/>
      <c r="R680" s="29"/>
    </row>
    <row r="681" spans="13:18" ht="14.4" x14ac:dyDescent="0.3">
      <c r="M681" s="27"/>
      <c r="N681" s="27"/>
      <c r="O681" s="28"/>
      <c r="P681" s="29"/>
      <c r="R681" s="29"/>
    </row>
    <row r="682" spans="13:18" ht="14.4" x14ac:dyDescent="0.3">
      <c r="M682" s="27"/>
      <c r="N682" s="27"/>
      <c r="O682" s="28"/>
      <c r="P682" s="29"/>
      <c r="R682" s="29"/>
    </row>
    <row r="683" spans="13:18" ht="14.4" x14ac:dyDescent="0.3">
      <c r="M683" s="27"/>
      <c r="N683" s="27"/>
      <c r="O683" s="28"/>
      <c r="P683" s="29"/>
      <c r="R683" s="29"/>
    </row>
    <row r="684" spans="13:18" ht="14.4" x14ac:dyDescent="0.3">
      <c r="M684" s="27"/>
      <c r="N684" s="27"/>
      <c r="O684" s="28"/>
      <c r="P684" s="29"/>
      <c r="R684" s="29"/>
    </row>
    <row r="685" spans="13:18" ht="14.4" x14ac:dyDescent="0.3">
      <c r="M685" s="27"/>
      <c r="N685" s="27"/>
      <c r="O685" s="28"/>
      <c r="P685" s="29"/>
      <c r="R685" s="29"/>
    </row>
    <row r="686" spans="13:18" ht="14.4" x14ac:dyDescent="0.3">
      <c r="M686" s="27"/>
      <c r="N686" s="27"/>
      <c r="O686" s="28"/>
      <c r="P686" s="29"/>
      <c r="R686" s="29"/>
    </row>
    <row r="687" spans="13:18" ht="14.4" x14ac:dyDescent="0.3">
      <c r="M687" s="27"/>
      <c r="N687" s="27"/>
      <c r="O687" s="28"/>
      <c r="P687" s="29"/>
      <c r="R687" s="29"/>
    </row>
    <row r="688" spans="13:18" ht="14.4" x14ac:dyDescent="0.3">
      <c r="M688" s="27"/>
      <c r="N688" s="27"/>
      <c r="O688" s="28"/>
      <c r="P688" s="29"/>
      <c r="R688" s="29"/>
    </row>
    <row r="689" spans="13:18" ht="14.4" x14ac:dyDescent="0.3">
      <c r="M689" s="27"/>
      <c r="N689" s="27"/>
      <c r="O689" s="28"/>
      <c r="P689" s="29"/>
      <c r="R689" s="29"/>
    </row>
    <row r="690" spans="13:18" ht="14.4" x14ac:dyDescent="0.3">
      <c r="M690" s="27"/>
      <c r="N690" s="27"/>
      <c r="O690" s="28"/>
      <c r="P690" s="29"/>
      <c r="R690" s="29"/>
    </row>
    <row r="691" spans="13:18" ht="14.4" x14ac:dyDescent="0.3">
      <c r="M691" s="27"/>
      <c r="N691" s="27"/>
      <c r="O691" s="28"/>
      <c r="P691" s="29"/>
      <c r="R691" s="29"/>
    </row>
    <row r="692" spans="13:18" ht="14.4" x14ac:dyDescent="0.3">
      <c r="M692" s="27"/>
      <c r="N692" s="27"/>
      <c r="O692" s="28"/>
      <c r="P692" s="29"/>
      <c r="R692" s="29"/>
    </row>
    <row r="693" spans="13:18" ht="14.4" x14ac:dyDescent="0.3">
      <c r="M693" s="27"/>
      <c r="N693" s="27"/>
      <c r="O693" s="28"/>
      <c r="P693" s="29"/>
      <c r="R693" s="29"/>
    </row>
    <row r="694" spans="13:18" ht="14.4" x14ac:dyDescent="0.3">
      <c r="M694" s="27"/>
      <c r="N694" s="27"/>
      <c r="O694" s="28"/>
      <c r="P694" s="29"/>
      <c r="R694" s="29"/>
    </row>
    <row r="695" spans="13:18" ht="14.4" x14ac:dyDescent="0.3">
      <c r="M695" s="27"/>
      <c r="N695" s="27"/>
      <c r="O695" s="28"/>
      <c r="P695" s="29"/>
      <c r="R695" s="29"/>
    </row>
    <row r="696" spans="13:18" ht="14.4" x14ac:dyDescent="0.3">
      <c r="M696" s="27"/>
      <c r="N696" s="27"/>
      <c r="O696" s="28"/>
      <c r="P696" s="29"/>
      <c r="R696" s="29"/>
    </row>
    <row r="697" spans="13:18" ht="14.4" x14ac:dyDescent="0.3">
      <c r="M697" s="27"/>
      <c r="N697" s="27"/>
      <c r="O697" s="28"/>
      <c r="P697" s="29"/>
      <c r="R697" s="29"/>
    </row>
    <row r="698" spans="13:18" ht="14.4" x14ac:dyDescent="0.3">
      <c r="M698" s="27"/>
      <c r="N698" s="27"/>
      <c r="O698" s="28"/>
      <c r="P698" s="29"/>
      <c r="R698" s="29"/>
    </row>
    <row r="699" spans="13:18" ht="14.4" x14ac:dyDescent="0.3">
      <c r="M699" s="27"/>
      <c r="N699" s="27"/>
      <c r="O699" s="28"/>
      <c r="P699" s="29"/>
      <c r="R699" s="29"/>
    </row>
    <row r="700" spans="13:18" ht="14.4" x14ac:dyDescent="0.3">
      <c r="M700" s="27"/>
      <c r="N700" s="27"/>
      <c r="O700" s="28"/>
      <c r="P700" s="29"/>
      <c r="R700" s="29"/>
    </row>
    <row r="701" spans="13:18" ht="14.4" x14ac:dyDescent="0.3">
      <c r="M701" s="27"/>
      <c r="N701" s="27"/>
      <c r="O701" s="28"/>
      <c r="P701" s="29"/>
      <c r="R701" s="29"/>
    </row>
    <row r="702" spans="13:18" ht="14.4" x14ac:dyDescent="0.3">
      <c r="M702" s="27"/>
      <c r="N702" s="27"/>
      <c r="O702" s="28"/>
      <c r="P702" s="29"/>
      <c r="R702" s="29"/>
    </row>
    <row r="703" spans="13:18" ht="14.4" x14ac:dyDescent="0.3">
      <c r="M703" s="27"/>
      <c r="N703" s="27"/>
      <c r="O703" s="28"/>
      <c r="P703" s="29"/>
      <c r="R703" s="29"/>
    </row>
    <row r="704" spans="13:18" ht="14.4" x14ac:dyDescent="0.3">
      <c r="M704" s="27"/>
      <c r="N704" s="27"/>
      <c r="O704" s="28"/>
      <c r="P704" s="29"/>
      <c r="R704" s="29"/>
    </row>
    <row r="705" spans="13:18" ht="14.4" x14ac:dyDescent="0.3">
      <c r="M705" s="27"/>
      <c r="N705" s="27"/>
      <c r="O705" s="28"/>
      <c r="P705" s="29"/>
      <c r="R705" s="29"/>
    </row>
    <row r="706" spans="13:18" ht="14.4" x14ac:dyDescent="0.3">
      <c r="M706" s="27"/>
      <c r="N706" s="27"/>
      <c r="O706" s="28"/>
      <c r="P706" s="29"/>
      <c r="R706" s="29"/>
    </row>
    <row r="707" spans="13:18" ht="14.4" x14ac:dyDescent="0.3">
      <c r="M707" s="27"/>
      <c r="N707" s="27"/>
      <c r="O707" s="28"/>
      <c r="P707" s="29"/>
      <c r="R707" s="29"/>
    </row>
    <row r="708" spans="13:18" ht="14.4" x14ac:dyDescent="0.3">
      <c r="M708" s="27"/>
      <c r="N708" s="27"/>
      <c r="O708" s="28"/>
      <c r="P708" s="29"/>
      <c r="R708" s="29"/>
    </row>
  </sheetData>
  <sheetProtection algorithmName="SHA-512" hashValue="E1S0M2fR7dHMrw9Ao9575fZZVceF/WdUO6Hyf/J1HqoukfTb06vS8f4safhPWhDMjAOXXo/dXAkJkoilxwbUcw==" saltValue="9E0ihst1JFkUnqx61/rdRA==" spinCount="100000" sheet="1" formatCells="0" formatColumns="0" formatRows="0" insertColumns="0" insertRows="0" insertHyperlinks="0" deleteColumns="0" deleteRows="0" sort="0" autoFilter="0" pivotTables="0"/>
  <autoFilter ref="A2:K175" xr:uid="{00000000-0001-0000-0000-000000000000}"/>
  <mergeCells count="2">
    <mergeCell ref="A1:J1"/>
    <mergeCell ref="N1:N2"/>
  </mergeCells>
  <conditionalFormatting sqref="G3:G175">
    <cfRule type="containsText" dxfId="3" priority="1" operator="containsText" text="В">
      <formula>NOT(ISERROR(SEARCH("В",G3)))</formula>
    </cfRule>
    <cfRule type="containsText" dxfId="2" priority="2" operator="containsText" text="А">
      <formula>NOT(ISERROR(SEARCH("А",G3)))</formula>
    </cfRule>
    <cfRule type="containsText" dxfId="1" priority="3" operator="containsText" text="С">
      <formula>NOT(ISERROR(SEARCH("С",G3)))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">
    <cfRule type="expression" dxfId="0" priority="5">
      <formula>"&gt;0"</formula>
    </cfRule>
  </conditionalFormatting>
  <dataValidations disablePrompts="1" count="1">
    <dataValidation type="custom" allowBlank="1" showInputMessage="1" showErrorMessage="1" error="Order quantity must be a multiple of Sales per Unit Case (See Column E)." prompt="Order quantity must be a multiple of Sales per Unit Case (See Column E)." sqref="I5:I6 I48:I175 I10:I15 I19:I24 I26:I46" xr:uid="{03F6D150-5BB3-4413-8D32-6083B54E1674}">
      <formula1>MOD(I5,E5)=0</formula1>
    </dataValidation>
  </dataValidations>
  <printOptions horizontalCentered="1" verticalCentered="1"/>
  <pageMargins left="0.25" right="0.25" top="0.25" bottom="0.25" header="0" footer="0"/>
  <pageSetup orientation="portrait" r:id="rId1"/>
  <rowBreaks count="2" manualBreakCount="2">
    <brk id="57" man="1"/>
    <brk id="1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(Trace Minerals)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Денис Хомик</dc:creator>
  <cp:keywords/>
  <dc:description/>
  <cp:lastModifiedBy>Денис Хомик</cp:lastModifiedBy>
  <cp:revision/>
  <cp:lastPrinted>2023-05-23T16:08:50Z</cp:lastPrinted>
  <dcterms:created xsi:type="dcterms:W3CDTF">2005-03-08T18:01:49Z</dcterms:created>
  <dcterms:modified xsi:type="dcterms:W3CDTF">2026-03-10T11:40:04Z</dcterms:modified>
  <cp:category/>
  <cp:contentStatus/>
</cp:coreProperties>
</file>