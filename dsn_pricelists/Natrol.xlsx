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13_ncr:1_{2489484C-BBB4-4A6A-B35B-D8FAC2E85C5C}" xr6:coauthVersionLast="47" xr6:coauthVersionMax="47" xr10:uidLastSave="{00000000-0000-0000-0000-000000000000}"/>
  <bookViews>
    <workbookView xWindow="-108" yWindow="-108" windowWidth="23256" windowHeight="13896" tabRatio="783" xr2:uid="{00000000-000D-0000-FFFF-FFFF00000000}"/>
  </bookViews>
  <sheets>
    <sheet name="DNS GROUP (Natrol)" sheetId="6" r:id="rId1"/>
    <sheet name="List" sheetId="5" state="hidden" r:id="rId2"/>
  </sheets>
  <definedNames>
    <definedName name="_xlnm._FilterDatabase" localSheetId="0" hidden="1">'DNS GROUP (Natrol)'!$A$2:$L$117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4" i="6" l="1"/>
  <c r="N113" i="6"/>
  <c r="N112" i="6"/>
  <c r="N111" i="6"/>
  <c r="N110" i="6"/>
  <c r="N109" i="6"/>
  <c r="N108" i="6"/>
  <c r="N107" i="6"/>
  <c r="L2" i="6"/>
  <c r="O107" i="6"/>
  <c r="P107" i="6"/>
  <c r="Q107" i="6"/>
  <c r="O108" i="6"/>
  <c r="P108" i="6"/>
  <c r="Q108" i="6"/>
  <c r="S108" i="6"/>
  <c r="O109" i="6"/>
  <c r="P109" i="6"/>
  <c r="Q109" i="6"/>
  <c r="S109" i="6"/>
  <c r="O110" i="6"/>
  <c r="P110" i="6"/>
  <c r="Q110" i="6"/>
  <c r="O111" i="6"/>
  <c r="P111" i="6"/>
  <c r="Q111" i="6"/>
  <c r="O112" i="6"/>
  <c r="P112" i="6"/>
  <c r="Q112" i="6"/>
  <c r="S112" i="6" s="1"/>
  <c r="O113" i="6"/>
  <c r="P113" i="6"/>
  <c r="Q113" i="6"/>
  <c r="O114" i="6"/>
  <c r="P114" i="6"/>
  <c r="Q114" i="6"/>
  <c r="O115" i="6"/>
  <c r="P115" i="6"/>
  <c r="Q115" i="6"/>
  <c r="O116" i="6"/>
  <c r="P116" i="6"/>
  <c r="Q116" i="6"/>
  <c r="O117" i="6"/>
  <c r="P117" i="6"/>
  <c r="Q117" i="6"/>
  <c r="K115" i="6"/>
  <c r="K116" i="6"/>
  <c r="K117" i="6"/>
  <c r="K114" i="6"/>
  <c r="S114" i="6" s="1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S107" i="6" l="1"/>
  <c r="S111" i="6"/>
  <c r="S110" i="6"/>
  <c r="S113" i="6"/>
  <c r="S117" i="6"/>
  <c r="S116" i="6"/>
  <c r="S115" i="6"/>
  <c r="N115" i="6"/>
  <c r="N117" i="6"/>
  <c r="N116" i="6"/>
  <c r="P4" i="6"/>
  <c r="P5" i="6"/>
  <c r="Q5" i="6" s="1"/>
  <c r="P6" i="6"/>
  <c r="P7" i="6"/>
  <c r="P8" i="6"/>
  <c r="P9" i="6"/>
  <c r="P10" i="6"/>
  <c r="Q10" i="6" s="1"/>
  <c r="P11" i="6"/>
  <c r="Q11" i="6" s="1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3" i="6"/>
  <c r="Q106" i="6"/>
  <c r="O106" i="6"/>
  <c r="N106" i="6"/>
  <c r="Q105" i="6"/>
  <c r="O105" i="6"/>
  <c r="N105" i="6"/>
  <c r="Q104" i="6"/>
  <c r="O104" i="6"/>
  <c r="N104" i="6"/>
  <c r="Q103" i="6"/>
  <c r="O103" i="6"/>
  <c r="N103" i="6"/>
  <c r="Q102" i="6"/>
  <c r="O102" i="6"/>
  <c r="N102" i="6"/>
  <c r="Q101" i="6"/>
  <c r="O101" i="6"/>
  <c r="N101" i="6"/>
  <c r="Q100" i="6"/>
  <c r="O100" i="6"/>
  <c r="N100" i="6"/>
  <c r="Q99" i="6"/>
  <c r="O99" i="6"/>
  <c r="N99" i="6"/>
  <c r="Q98" i="6"/>
  <c r="O98" i="6"/>
  <c r="N98" i="6"/>
  <c r="Q97" i="6"/>
  <c r="O97" i="6"/>
  <c r="N97" i="6"/>
  <c r="Q96" i="6"/>
  <c r="O96" i="6"/>
  <c r="N96" i="6"/>
  <c r="Q95" i="6"/>
  <c r="O95" i="6"/>
  <c r="N95" i="6"/>
  <c r="Q94" i="6"/>
  <c r="O94" i="6"/>
  <c r="N94" i="6"/>
  <c r="Q93" i="6"/>
  <c r="O93" i="6"/>
  <c r="N93" i="6"/>
  <c r="Q92" i="6"/>
  <c r="O92" i="6"/>
  <c r="N92" i="6"/>
  <c r="Q91" i="6"/>
  <c r="O91" i="6"/>
  <c r="N91" i="6"/>
  <c r="Q90" i="6"/>
  <c r="O90" i="6"/>
  <c r="N90" i="6"/>
  <c r="Q89" i="6"/>
  <c r="O89" i="6"/>
  <c r="N89" i="6"/>
  <c r="Q88" i="6"/>
  <c r="O88" i="6"/>
  <c r="N88" i="6"/>
  <c r="Q87" i="6"/>
  <c r="O87" i="6"/>
  <c r="N87" i="6"/>
  <c r="Q86" i="6"/>
  <c r="O86" i="6"/>
  <c r="N86" i="6"/>
  <c r="Q85" i="6"/>
  <c r="O85" i="6"/>
  <c r="N85" i="6"/>
  <c r="Q84" i="6"/>
  <c r="O84" i="6"/>
  <c r="N84" i="6"/>
  <c r="Q83" i="6"/>
  <c r="O83" i="6"/>
  <c r="N83" i="6"/>
  <c r="Q82" i="6"/>
  <c r="O82" i="6"/>
  <c r="N82" i="6"/>
  <c r="Q81" i="6"/>
  <c r="O81" i="6"/>
  <c r="N81" i="6"/>
  <c r="Q80" i="6"/>
  <c r="O80" i="6"/>
  <c r="N80" i="6"/>
  <c r="Q79" i="6"/>
  <c r="O79" i="6"/>
  <c r="N79" i="6"/>
  <c r="Q78" i="6"/>
  <c r="O78" i="6"/>
  <c r="N78" i="6"/>
  <c r="Q77" i="6"/>
  <c r="O77" i="6"/>
  <c r="N77" i="6"/>
  <c r="Q76" i="6"/>
  <c r="O76" i="6"/>
  <c r="N76" i="6"/>
  <c r="Q75" i="6"/>
  <c r="O75" i="6"/>
  <c r="N75" i="6"/>
  <c r="Q74" i="6"/>
  <c r="O74" i="6"/>
  <c r="N74" i="6"/>
  <c r="Q73" i="6"/>
  <c r="O73" i="6"/>
  <c r="N73" i="6"/>
  <c r="Q72" i="6"/>
  <c r="O72" i="6"/>
  <c r="N72" i="6"/>
  <c r="Q71" i="6"/>
  <c r="O71" i="6"/>
  <c r="N71" i="6"/>
  <c r="Q70" i="6"/>
  <c r="O70" i="6"/>
  <c r="N70" i="6"/>
  <c r="Q69" i="6"/>
  <c r="O69" i="6"/>
  <c r="N69" i="6"/>
  <c r="Q68" i="6"/>
  <c r="O68" i="6"/>
  <c r="N68" i="6"/>
  <c r="Q67" i="6"/>
  <c r="O67" i="6"/>
  <c r="N67" i="6"/>
  <c r="Q66" i="6"/>
  <c r="O66" i="6"/>
  <c r="N66" i="6"/>
  <c r="Q65" i="6"/>
  <c r="O65" i="6"/>
  <c r="N65" i="6"/>
  <c r="Q64" i="6"/>
  <c r="O64" i="6"/>
  <c r="N64" i="6"/>
  <c r="Q63" i="6"/>
  <c r="O63" i="6"/>
  <c r="N63" i="6"/>
  <c r="Q62" i="6"/>
  <c r="O62" i="6"/>
  <c r="N62" i="6"/>
  <c r="Q61" i="6"/>
  <c r="O61" i="6"/>
  <c r="N61" i="6"/>
  <c r="Q60" i="6"/>
  <c r="O60" i="6"/>
  <c r="N60" i="6"/>
  <c r="Q59" i="6"/>
  <c r="O59" i="6"/>
  <c r="N59" i="6"/>
  <c r="Q58" i="6"/>
  <c r="O58" i="6"/>
  <c r="N58" i="6"/>
  <c r="Q57" i="6"/>
  <c r="O57" i="6"/>
  <c r="N57" i="6"/>
  <c r="Q56" i="6"/>
  <c r="O56" i="6"/>
  <c r="N56" i="6"/>
  <c r="Q55" i="6"/>
  <c r="O55" i="6"/>
  <c r="N55" i="6"/>
  <c r="Q54" i="6"/>
  <c r="O54" i="6"/>
  <c r="N54" i="6"/>
  <c r="Q53" i="6"/>
  <c r="O53" i="6"/>
  <c r="N53" i="6"/>
  <c r="Q52" i="6"/>
  <c r="O52" i="6"/>
  <c r="N52" i="6"/>
  <c r="Q51" i="6"/>
  <c r="O51" i="6"/>
  <c r="N51" i="6"/>
  <c r="Q50" i="6"/>
  <c r="O50" i="6"/>
  <c r="N50" i="6"/>
  <c r="Q49" i="6"/>
  <c r="O49" i="6"/>
  <c r="N49" i="6"/>
  <c r="Q48" i="6"/>
  <c r="O48" i="6"/>
  <c r="N48" i="6"/>
  <c r="Q47" i="6"/>
  <c r="O47" i="6"/>
  <c r="N47" i="6"/>
  <c r="Q46" i="6"/>
  <c r="O46" i="6"/>
  <c r="N46" i="6"/>
  <c r="Q45" i="6"/>
  <c r="O45" i="6"/>
  <c r="N45" i="6"/>
  <c r="Q44" i="6"/>
  <c r="O44" i="6"/>
  <c r="N44" i="6"/>
  <c r="Q43" i="6"/>
  <c r="O43" i="6"/>
  <c r="N43" i="6"/>
  <c r="Q42" i="6"/>
  <c r="O42" i="6"/>
  <c r="N42" i="6"/>
  <c r="Q41" i="6"/>
  <c r="O41" i="6"/>
  <c r="N41" i="6"/>
  <c r="Q40" i="6"/>
  <c r="O40" i="6"/>
  <c r="N40" i="6"/>
  <c r="Q39" i="6"/>
  <c r="O39" i="6"/>
  <c r="N39" i="6"/>
  <c r="Q38" i="6"/>
  <c r="O38" i="6"/>
  <c r="N38" i="6"/>
  <c r="Q37" i="6"/>
  <c r="O37" i="6"/>
  <c r="N37" i="6"/>
  <c r="Q36" i="6"/>
  <c r="O36" i="6"/>
  <c r="N36" i="6"/>
  <c r="Q35" i="6"/>
  <c r="O35" i="6"/>
  <c r="N35" i="6"/>
  <c r="Q34" i="6"/>
  <c r="O34" i="6"/>
  <c r="N34" i="6"/>
  <c r="Q33" i="6"/>
  <c r="O33" i="6"/>
  <c r="N33" i="6"/>
  <c r="Q32" i="6"/>
  <c r="O32" i="6"/>
  <c r="N32" i="6"/>
  <c r="Q31" i="6"/>
  <c r="O31" i="6"/>
  <c r="N31" i="6"/>
  <c r="Q30" i="6"/>
  <c r="O30" i="6"/>
  <c r="N30" i="6"/>
  <c r="Q29" i="6"/>
  <c r="O29" i="6"/>
  <c r="N29" i="6"/>
  <c r="Q28" i="6"/>
  <c r="O28" i="6"/>
  <c r="N28" i="6"/>
  <c r="Q27" i="6"/>
  <c r="O27" i="6"/>
  <c r="N27" i="6"/>
  <c r="Q26" i="6"/>
  <c r="O26" i="6"/>
  <c r="N26" i="6"/>
  <c r="Q25" i="6"/>
  <c r="O25" i="6"/>
  <c r="N25" i="6"/>
  <c r="Q24" i="6"/>
  <c r="O24" i="6"/>
  <c r="N24" i="6"/>
  <c r="Q23" i="6"/>
  <c r="O23" i="6"/>
  <c r="N23" i="6"/>
  <c r="Q22" i="6"/>
  <c r="O22" i="6"/>
  <c r="N22" i="6"/>
  <c r="Q21" i="6"/>
  <c r="O21" i="6"/>
  <c r="N21" i="6"/>
  <c r="Q20" i="6"/>
  <c r="O20" i="6"/>
  <c r="N20" i="6"/>
  <c r="Q19" i="6"/>
  <c r="O19" i="6"/>
  <c r="N19" i="6"/>
  <c r="Q18" i="6"/>
  <c r="O18" i="6"/>
  <c r="N18" i="6"/>
  <c r="Q17" i="6"/>
  <c r="O17" i="6"/>
  <c r="N17" i="6"/>
  <c r="Q16" i="6"/>
  <c r="O16" i="6"/>
  <c r="N16" i="6"/>
  <c r="Q15" i="6"/>
  <c r="O15" i="6"/>
  <c r="N15" i="6"/>
  <c r="K3" i="6"/>
  <c r="Q14" i="6"/>
  <c r="O14" i="6"/>
  <c r="N14" i="6"/>
  <c r="Q13" i="6"/>
  <c r="O13" i="6"/>
  <c r="N13" i="6"/>
  <c r="Q12" i="6"/>
  <c r="O12" i="6"/>
  <c r="N12" i="6"/>
  <c r="O11" i="6"/>
  <c r="N11" i="6"/>
  <c r="N10" i="6"/>
  <c r="Q9" i="6"/>
  <c r="N9" i="6"/>
  <c r="Q8" i="6"/>
  <c r="N8" i="6"/>
  <c r="Q7" i="6"/>
  <c r="N7" i="6"/>
  <c r="Q6" i="6"/>
  <c r="O6" i="6"/>
  <c r="N6" i="6"/>
  <c r="O5" i="6"/>
  <c r="N5" i="6"/>
  <c r="Q4" i="6"/>
  <c r="O4" i="6"/>
  <c r="N4" i="6"/>
  <c r="Q3" i="6"/>
  <c r="O3" i="6"/>
  <c r="N3" i="6"/>
  <c r="Q2" i="6" l="1"/>
  <c r="S17" i="6"/>
  <c r="S33" i="6"/>
  <c r="S49" i="6"/>
  <c r="S62" i="6"/>
  <c r="S78" i="6"/>
  <c r="S94" i="6"/>
  <c r="S18" i="6"/>
  <c r="S63" i="6"/>
  <c r="S95" i="6"/>
  <c r="S15" i="6"/>
  <c r="S76" i="6"/>
  <c r="S92" i="6"/>
  <c r="S10" i="6"/>
  <c r="S26" i="6"/>
  <c r="S42" i="6"/>
  <c r="S71" i="6"/>
  <c r="S87" i="6"/>
  <c r="S103" i="6"/>
  <c r="S7" i="6"/>
  <c r="S23" i="6"/>
  <c r="S39" i="6"/>
  <c r="S55" i="6"/>
  <c r="S68" i="6"/>
  <c r="S84" i="6"/>
  <c r="S100" i="6"/>
  <c r="S4" i="6"/>
  <c r="S20" i="6"/>
  <c r="S36" i="6"/>
  <c r="S52" i="6"/>
  <c r="S65" i="6"/>
  <c r="S81" i="6"/>
  <c r="S97" i="6"/>
  <c r="S34" i="6"/>
  <c r="S50" i="6"/>
  <c r="S31" i="6"/>
  <c r="S47" i="6"/>
  <c r="S12" i="6"/>
  <c r="S28" i="6"/>
  <c r="S44" i="6"/>
  <c r="S58" i="6"/>
  <c r="S73" i="6"/>
  <c r="S89" i="6"/>
  <c r="S105" i="6"/>
  <c r="S79" i="6"/>
  <c r="S9" i="6"/>
  <c r="S25" i="6"/>
  <c r="S41" i="6"/>
  <c r="S70" i="6"/>
  <c r="S86" i="6"/>
  <c r="S102" i="6"/>
  <c r="S46" i="6"/>
  <c r="S75" i="6"/>
  <c r="S91" i="6"/>
  <c r="S27" i="6"/>
  <c r="S8" i="6"/>
  <c r="S40" i="6"/>
  <c r="S56" i="6"/>
  <c r="S69" i="6"/>
  <c r="S85" i="6"/>
  <c r="S101" i="6"/>
  <c r="S14" i="6"/>
  <c r="S30" i="6"/>
  <c r="S60" i="6"/>
  <c r="S11" i="6"/>
  <c r="S43" i="6"/>
  <c r="S57" i="6"/>
  <c r="S72" i="6"/>
  <c r="S88" i="6"/>
  <c r="S104" i="6"/>
  <c r="S24" i="6"/>
  <c r="S5" i="6"/>
  <c r="S21" i="6"/>
  <c r="S37" i="6"/>
  <c r="S53" i="6"/>
  <c r="S66" i="6"/>
  <c r="S82" i="6"/>
  <c r="S98" i="6"/>
  <c r="S6" i="6"/>
  <c r="S22" i="6"/>
  <c r="S38" i="6"/>
  <c r="S54" i="6"/>
  <c r="S67" i="6"/>
  <c r="S83" i="6"/>
  <c r="S99" i="6"/>
  <c r="P2" i="6"/>
  <c r="O9" i="6" s="1"/>
  <c r="S3" i="6"/>
  <c r="S19" i="6"/>
  <c r="S35" i="6"/>
  <c r="S51" i="6"/>
  <c r="S64" i="6"/>
  <c r="S80" i="6"/>
  <c r="S96" i="6"/>
  <c r="S16" i="6"/>
  <c r="S32" i="6"/>
  <c r="S48" i="6"/>
  <c r="S61" i="6"/>
  <c r="S77" i="6"/>
  <c r="S93" i="6"/>
  <c r="S13" i="6"/>
  <c r="S29" i="6"/>
  <c r="S45" i="6"/>
  <c r="S59" i="6"/>
  <c r="S74" i="6"/>
  <c r="S90" i="6"/>
  <c r="S106" i="6"/>
  <c r="O7" i="6" l="1"/>
  <c r="O8" i="6"/>
  <c r="O10" i="6"/>
  <c r="S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 PC</author>
  </authors>
  <commentList>
    <comment ref="I3" authorId="0" shapeId="0" xr:uid="{42B264D6-C484-40E8-A9BF-E4AD5817771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4" authorId="0" shapeId="0" xr:uid="{9C3959D5-9983-42FA-BC43-3EF09CB5A8D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5" authorId="0" shapeId="0" xr:uid="{DF3F84CB-2BC2-4E20-930C-14C939DC51C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6" authorId="0" shapeId="0" xr:uid="{87C44BAF-CFCE-4ABB-ABD2-A68F34ACCD4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7" authorId="0" shapeId="0" xr:uid="{BE87D27D-9950-4C62-B616-7D9403967F7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8" authorId="0" shapeId="0" xr:uid="{55F2C5AB-6587-401F-96B0-7C358DAF212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9" authorId="0" shapeId="0" xr:uid="{620CFA7A-4C2C-4E50-A552-89FDA7959B5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0" authorId="0" shapeId="0" xr:uid="{D5E13EBC-B05F-4A06-A215-E35D36C5BD3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1" authorId="0" shapeId="0" xr:uid="{996FAF08-C6B8-454A-BEEF-2565E692344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2" authorId="0" shapeId="0" xr:uid="{436432A1-2D45-4264-B503-FD8B4C85FEA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3" authorId="0" shapeId="0" xr:uid="{A4C2EB65-A965-45E4-9680-ABB5E531350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4" authorId="0" shapeId="0" xr:uid="{56560ACD-D2A1-4921-B443-AABEA02BD0A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5" authorId="0" shapeId="0" xr:uid="{0DD31B59-EBF7-4484-9B80-F5AE0F181D15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6" authorId="0" shapeId="0" xr:uid="{9D97EA26-4046-426E-8949-9039C7FE0AE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A — core SKUs that generate the main revenue and should always be in stock.
</t>
        </r>
      </text>
    </comment>
    <comment ref="I17" authorId="0" shapeId="0" xr:uid="{AB718DC5-1A53-4089-9412-828459F9DC9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18" authorId="0" shapeId="0" xr:uid="{DD747908-0413-44CD-8053-2012E46B88D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1" authorId="0" shapeId="0" xr:uid="{28F9CD17-1481-43E2-B86F-BF2CEF4F03F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2" authorId="0" shapeId="0" xr:uid="{A13B5FA8-7E11-4AC4-A2D7-FFCA543B789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3" authorId="0" shapeId="0" xr:uid="{FD786C82-CD50-4083-AFE8-AE552CE71FE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4" authorId="0" shapeId="0" xr:uid="{751F4B5A-EDF5-42D0-844C-AB5D6B87179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5" authorId="0" shapeId="0" xr:uid="{99B90D94-1B8A-4E2C-B6B1-88F7BD8D9667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6" authorId="0" shapeId="0" xr:uid="{9F456A6D-240C-43B0-9A6A-8B0B2FA6A9F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7" authorId="0" shapeId="0" xr:uid="{71BA5C65-4F13-4206-B411-61D97E6E1A9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8" authorId="0" shapeId="0" xr:uid="{56FB1E40-8A6F-4AE8-91F8-240DFF38CF9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29" authorId="0" shapeId="0" xr:uid="{3D85C2AD-EC75-437A-ADE6-FD186D1F67F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0" authorId="0" shapeId="0" xr:uid="{6D8B4488-E5CF-4AC3-A600-29233B37EC2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B — products with growth potential, recommended for promotion and active support.</t>
        </r>
      </text>
    </comment>
    <comment ref="I31" authorId="0" shapeId="0" xr:uid="{CC46FB96-5085-4FD3-AC98-80C7A65BAEA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2" authorId="0" shapeId="0" xr:uid="{3A8D0C5E-E73C-46DE-AB58-54284683958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3" authorId="0" shapeId="0" xr:uid="{2B13CA0E-75CE-4439-B240-C90B19915A6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4" authorId="0" shapeId="0" xr:uid="{2FFBEA70-DC90-48F9-9E46-1C3A4DE7A936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6" authorId="0" shapeId="0" xr:uid="{1288CACB-A80A-4BE4-BF59-237E09F8677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7" authorId="0" shapeId="0" xr:uid="{B5B439BE-8049-48D7-87A9-6EECE4B42B7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8" authorId="0" shapeId="0" xr:uid="{08FD9C31-D41D-480D-AB91-CE491FFA9391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39" authorId="0" shapeId="0" xr:uid="{BC248D99-4F1E-45BF-BFE1-298A4978FE8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0" authorId="0" shapeId="0" xr:uid="{D040EA4D-305A-4377-AF72-9D9DF2C964D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1" authorId="0" shapeId="0" xr:uid="{7A828B2D-CFC2-41AA-9487-8C87726F05B4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2" authorId="0" shapeId="0" xr:uid="{5268FF85-4145-4217-A8C7-0A330C179E0D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3" authorId="0" shapeId="0" xr:uid="{F2A03BD3-3E7B-4E0D-9FDB-0C6BE2CD1473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4" authorId="0" shapeId="0" xr:uid="{3D0B5BEB-EB29-4A80-B5C1-CFC44ED8BB0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5" authorId="0" shapeId="0" xr:uid="{B8993397-F51A-4890-B15F-1C92FBEFCE4E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6" authorId="0" shapeId="0" xr:uid="{B053CCEE-FB19-4393-8243-E9553BC2CF02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7" authorId="0" shapeId="0" xr:uid="{6FDD9DCB-A797-40E0-B085-308EB9F7FDBF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8" authorId="0" shapeId="0" xr:uid="{21C51986-700F-4023-9DC8-A193B209CA89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49" authorId="0" shapeId="0" xr:uid="{2E92A6DE-B934-4B46-B3DF-D01654221A18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0" authorId="0" shapeId="0" xr:uid="{22067E0C-3A9B-4360-8D5B-B5B87B2E462C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1" authorId="0" shapeId="0" xr:uid="{FF2BBC7A-A636-432A-8986-41C02DD9E770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  <comment ref="I52" authorId="0" shapeId="0" xr:uid="{23C33F3F-6B6C-40F2-A20E-CEF338E1E6FA}">
      <text>
        <r>
          <rPr>
            <b/>
            <sz val="9"/>
            <color indexed="81"/>
            <rFont val="Tahoma"/>
            <family val="2"/>
            <charset val="204"/>
          </rPr>
          <t>My PC:</t>
        </r>
        <r>
          <rPr>
            <sz val="9"/>
            <color indexed="81"/>
            <rFont val="Tahoma"/>
            <family val="2"/>
            <charset val="204"/>
          </rPr>
          <t xml:space="preserve">
C — niche items ensuring assortment completeness with minimal stock levels.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<sst xmlns="http://schemas.openxmlformats.org/spreadsheetml/2006/main" count="374" uniqueCount="152">
  <si>
    <t xml:space="preserve">UPC </t>
  </si>
  <si>
    <t>Description</t>
  </si>
  <si>
    <t>Size /Ct</t>
  </si>
  <si>
    <t xml:space="preserve"> WLP </t>
  </si>
  <si>
    <t>Active</t>
  </si>
  <si>
    <t>Disco</t>
  </si>
  <si>
    <t>Disco W/Inv</t>
  </si>
  <si>
    <t>New</t>
  </si>
  <si>
    <t>Order Quantity</t>
  </si>
  <si>
    <t>Order Value</t>
  </si>
  <si>
    <r>
      <rPr>
        <b/>
        <sz val="10"/>
        <color rgb="FFFF0000"/>
        <rFont val="Arial"/>
        <family val="2"/>
        <charset val="204"/>
      </rPr>
      <t>Importantly!</t>
    </r>
    <r>
      <rPr>
        <sz val="10"/>
        <rFont val="Arial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</si>
  <si>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Item</t>
  </si>
  <si>
    <t>Soothing Night Adult Gummy</t>
  </si>
  <si>
    <t>Soothing Night Capsule</t>
  </si>
  <si>
    <t>WhatsApp → +380-9871-54085</t>
  </si>
  <si>
    <t>E-mail → info@dsn.group</t>
  </si>
  <si>
    <t>Instagram → https://www.instagram.com/dsngroup.official/</t>
  </si>
  <si>
    <t>Poland → +48-459-568-603</t>
  </si>
  <si>
    <t>USA → +13-322-093-910</t>
  </si>
  <si>
    <t>Kids Soothing Night Gummy</t>
  </si>
  <si>
    <t>047469079956​</t>
  </si>
  <si>
    <t>Melatonin 5mg T/R Tab-100 V4</t>
  </si>
  <si>
    <t>Biotin 10,000mcg Tab-100 V4</t>
  </si>
  <si>
    <t>Melatonin 5mg F/D Tab-90 HFF V5</t>
  </si>
  <si>
    <t>Adv Sleep Melatonin 10mg T/R Tab-60 V4</t>
  </si>
  <si>
    <t>Melatonin 3mg F/D Tab-90 HFF V4</t>
  </si>
  <si>
    <t>Melatonin 10mg F/D Tab-60 V4</t>
  </si>
  <si>
    <t>Melatonin 5mg F/D Tab-150 HFF V4</t>
  </si>
  <si>
    <t>Melatonin 10mg F/D Tab-100 V4</t>
  </si>
  <si>
    <t>Advanced Sleep Melatonin 10mg Tab-100 V3</t>
  </si>
  <si>
    <t>Melatonin 10mg  Gummy-90</t>
  </si>
  <si>
    <t>Melatonin 5mg Gummy-90</t>
  </si>
  <si>
    <t>Kids Melatonin 1mg Gummy-90</t>
  </si>
  <si>
    <t>Melatonin 5mg Gummy-60</t>
  </si>
  <si>
    <t>Melatonin 10mg Gummy-60</t>
  </si>
  <si>
    <t>Melatonin 10mg Gummy-140</t>
  </si>
  <si>
    <t>Kids Melatonin 1mg Gummy-60</t>
  </si>
  <si>
    <t>Sleep+ Calm Gummy</t>
  </si>
  <si>
    <t>MelatoninMax 10 mg Gummy 50ct</t>
  </si>
  <si>
    <t>Natrol Melatonin 1mg Gummy - 140</t>
  </si>
  <si>
    <t>Magnesium Gummy 60ct</t>
  </si>
  <si>
    <t xml:space="preserve">Melatonin 3mg 70ct </t>
  </si>
  <si>
    <t>Melatonin 3mg Gummy Time Release </t>
  </si>
  <si>
    <t>Melatonin 10mg Gummy Time Release </t>
  </si>
  <si>
    <t>Ashwagandha Complete Gummy 30ct</t>
  </si>
  <si>
    <t>Natrol Kids' Magnesium Gummy - 30ct</t>
  </si>
  <si>
    <t>5-HTP 200mg T/R Tab-30 V5</t>
  </si>
  <si>
    <t>Melatonin 1mg F/D Tab-90 HFF V4</t>
  </si>
  <si>
    <t>Biotin 10,000mcg F/D Tab-60 HFF V5</t>
  </si>
  <si>
    <t>AdvSleepMelatonin10mgT/RTab-60+15BNV4</t>
  </si>
  <si>
    <t>Melatonin 10mg F/D Tab-100 HFF V4</t>
  </si>
  <si>
    <t>Melatonin 5mg F/D Tab-30 HFF V4</t>
  </si>
  <si>
    <t>Melatonin 10mg F/D Tab-30 V4</t>
  </si>
  <si>
    <t>Adv Sleep Melatonin 10mg Tab-30 V4</t>
  </si>
  <si>
    <t>Cognium 100mg Tab-60 V4</t>
  </si>
  <si>
    <t>Melatonin 3mg F/D Tab-150 HFF V4</t>
  </si>
  <si>
    <t>Cognium Extra Strength 200mg Tab-60 V4</t>
  </si>
  <si>
    <t>Melatonin Liquid 1mg 2 oz (REFORMULATED)</t>
  </si>
  <si>
    <t>Melatonin Liquid  2.5mg 8 oz (REFORMULATED)</t>
  </si>
  <si>
    <t>Natrol Melatonin 5mg Gummy - 140</t>
  </si>
  <si>
    <t>Kids Sleep+ Calm Gummy</t>
  </si>
  <si>
    <t>Melatonin Gummy 5mg 10ct Pouch</t>
  </si>
  <si>
    <t>Melatonin 3mg T/R Tab-100 V5</t>
  </si>
  <si>
    <t>Melatonin 3mg Tab-60 V3</t>
  </si>
  <si>
    <t>Melatonin 5mg Tab-60 V3</t>
  </si>
  <si>
    <t>Melatonin 10mg F/D Tab-60+15 V4</t>
  </si>
  <si>
    <t>Adv Sleep Melatonin&amp;5-HTP B/L Tab-60 V4</t>
  </si>
  <si>
    <t>Kids Melatonin 1mg F/D Tab-40 V2</t>
  </si>
  <si>
    <t>Melatonin 10mg F/D Tab-60 HFF V2</t>
  </si>
  <si>
    <t>Kids Melatonin 1mg F/D Tab-30 V2</t>
  </si>
  <si>
    <t>MelatoninMax 10 mg Gummy 80ct</t>
  </si>
  <si>
    <t>MelatoninMax Downcount</t>
  </si>
  <si>
    <t>Melatonin 1mg Tab-180 V3</t>
  </si>
  <si>
    <t>Melatonin 3mg Tab-120 V3</t>
  </si>
  <si>
    <t>5-HTP 50mg Cap-30 V3</t>
  </si>
  <si>
    <t>5-HTP 100mg Cap-30 V3</t>
  </si>
  <si>
    <t>5-HTP T/R 100mg Tab-45 V5</t>
  </si>
  <si>
    <t>5-HTP 100mg F/D Tab-30 HFF V4</t>
  </si>
  <si>
    <t>Gluc/Chond/MSM Tab-150 V3</t>
  </si>
  <si>
    <t>Melatonin 1mg Tab-90 V3</t>
  </si>
  <si>
    <t>Melatonin 1mg T/R Biphasic Tab-90 V4</t>
  </si>
  <si>
    <t>Pycnogenol 50mg Cap-60 V4 REBD</t>
  </si>
  <si>
    <t>Tonalin CLA 1200mg SGel-60 V5</t>
  </si>
  <si>
    <t>Tonalin CLA 1200mg SGel-90 V5</t>
  </si>
  <si>
    <t>Quercetin w/Vit C TakeTwo450mgCap-50V3</t>
  </si>
  <si>
    <t>Omega-3 1000mg 30% SGel-90 PS V3</t>
  </si>
  <si>
    <t>Kava Kava Extract 200mg Cap-30 V3</t>
  </si>
  <si>
    <t>Acidophilus 100mg Cap-100 V3</t>
  </si>
  <si>
    <t>Omega-3 Cmplx 55% 3-6-9 SGel-60 PS V3</t>
  </si>
  <si>
    <t>Omega-3 Cmplx 55% 3-6-9 SGel-90 PS V3</t>
  </si>
  <si>
    <t>Yohimbe 500mg Cap-90 V4</t>
  </si>
  <si>
    <t>Complete Balance AM/PM Caps-30+30 V3</t>
  </si>
  <si>
    <t>Omega-3 1200mg 30% SGel-60 PS V3</t>
  </si>
  <si>
    <t>Omega-3 Extreme 30/20 SGel-60 PS V3</t>
  </si>
  <si>
    <t>Natrol High Caffeine 200mg Tab-100 V3</t>
  </si>
  <si>
    <t>Super Cinnamon Tab-60 V4</t>
  </si>
  <si>
    <t>Easy-C 500mg w/Bios VCap-120 V4</t>
  </si>
  <si>
    <t>ALA 600mg T/R Tab-45 V5 REBD</t>
  </si>
  <si>
    <t>Mood Positive 5-HTP Tab-50 V4</t>
  </si>
  <si>
    <t>Arginine 5000mg Tab-90 REBD</t>
  </si>
  <si>
    <t>Milk Thistle Std Plus VCap-60 V5</t>
  </si>
  <si>
    <t>Biotin 1000mcg Tab-100 V4</t>
  </si>
  <si>
    <t>Immune Boost Cap-30</t>
  </si>
  <si>
    <t>Biotin 5000mcg F/D Tab-90 HFF V5</t>
  </si>
  <si>
    <t>B-Complex F/D Tab-90 HFF V7</t>
  </si>
  <si>
    <t>Turmeric Extra Strength Cap-60 V4</t>
  </si>
  <si>
    <t>Easy-C 500mg 120-Tab V2</t>
  </si>
  <si>
    <t>3am Melatonin F/D Tab 60 V2</t>
  </si>
  <si>
    <t xml:space="preserve">Sleep+ Immune Fast Dissolve </t>
  </si>
  <si>
    <t>Magnesium Powder 16oz</t>
  </si>
  <si>
    <t>Magnesium Night Powder 16oz</t>
  </si>
  <si>
    <t>Melatonin Gummy 5mg 10ct Carton (Sellable)</t>
  </si>
  <si>
    <t>Natrol Sleep &amp; Restore Capsule with Melatonin 60ct</t>
  </si>
  <si>
    <t>Magnesium Glycinate Capsule 60ct</t>
  </si>
  <si>
    <t>Magnesium Glycinate Soft Chew 30ct</t>
  </si>
  <si>
    <t>Natrol Sleep &amp; Restore Capsule Non-Melatonin 60ct</t>
  </si>
  <si>
    <t>Natrol Sleep &amp; Restore Lemon Chamomile SS Powder 10ct</t>
  </si>
  <si>
    <t>Natrol Sleep &amp; Restore Tart Cherry SS Powder 10ct</t>
  </si>
  <si>
    <t>Natrol Sleep &amp; Restore Gummies Non-Melatonin 60ct</t>
  </si>
  <si>
    <t>Natrol Sleep &amp; Restore Gummies with Melatonin 60ct</t>
  </si>
  <si>
    <t>Melatonin 3mg Tab-240 V3</t>
  </si>
  <si>
    <t>Acidophilus 100mg Cap-150 VS V3</t>
  </si>
  <si>
    <t>Item UOM</t>
  </si>
  <si>
    <t>Tablets</t>
  </si>
  <si>
    <t>Gummies</t>
  </si>
  <si>
    <t>Dropper</t>
  </si>
  <si>
    <t>Fl Oz</t>
  </si>
  <si>
    <t>Dose Cap</t>
  </si>
  <si>
    <t>Capsule</t>
  </si>
  <si>
    <t>Soft Gels</t>
  </si>
  <si>
    <t>Oz</t>
  </si>
  <si>
    <t>Chewables</t>
  </si>
  <si>
    <t>Powder</t>
  </si>
  <si>
    <t>Cs Pk</t>
  </si>
  <si>
    <t>Weight, kg</t>
  </si>
  <si>
    <t>Unіt Freight Cost</t>
  </si>
  <si>
    <t>unit, key</t>
  </si>
  <si>
    <t>Logistic Price</t>
  </si>
  <si>
    <t>Landed Cost</t>
  </si>
  <si>
    <t>RATING</t>
  </si>
  <si>
    <t>В</t>
  </si>
  <si>
    <t>С</t>
  </si>
  <si>
    <t>А</t>
  </si>
  <si>
    <t>Ginkgo Biloba 120mg Cap-60 V3</t>
  </si>
  <si>
    <t>JuiceFestiv Cap-60+60 V9</t>
  </si>
  <si>
    <t>Vitamin B-12 5000mcg F/D Tab-100 HFF V4</t>
  </si>
  <si>
    <t>Vitamin D3 10,000IU Tab-60 V4</t>
  </si>
  <si>
    <t>Vitamin D3 2,000 IU F/D Tab-90 HFF V5</t>
  </si>
  <si>
    <t>Vitamin D3 5,000 IU F/D Tab-90 HFF V5</t>
  </si>
  <si>
    <t>Kid's 1mg Melatonin F/D Blue Razz 60ct</t>
  </si>
  <si>
    <t xml:space="preserve">Triple Mag 60ct Capsules Take 2 </t>
  </si>
  <si>
    <t>Methyl B-12 1000mcg Lemon Chewable Tab 60ct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</si>
</sst>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₴_-;\-* #,##0.00\ _₴_-;_-* &quot;-&quot;??\ _₴_-;_-@_-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\-00000\-00000\-0"/>
    <numFmt numFmtId="168" formatCode="000000000000"/>
    <numFmt numFmtId="169" formatCode="_-[$$-409]* #,##0.00_ ;_-[$$-409]* \-#,##0.00\ ;_-[$$-409]* &quot;-&quot;??_ ;_-@_ "/>
    <numFmt numFmtId="170" formatCode="[$$-409]#,##0.00"/>
  </numFmts>
  <fonts count="2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name val="Arial"/>
      <family val="2"/>
      <charset val="204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2"/>
      <color theme="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  <font>
      <b/>
      <sz val="11"/>
      <color theme="1"/>
      <name val="Segoe U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44258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rgb="FF0064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42">
    <xf numFmtId="0" fontId="0" fillId="0" borderId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  <xf numFmtId="0" fontId="2" fillId="0" borderId="0"/>
    <xf numFmtId="0" fontId="7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5" fillId="0" borderId="0"/>
  </cellStyleXfs>
  <cellXfs count="5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5" fontId="8" fillId="0" borderId="1" xfId="11" applyFont="1" applyFill="1" applyBorder="1" applyAlignment="1" applyProtection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7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2" fontId="9" fillId="2" borderId="0" xfId="0" applyNumberFormat="1" applyFont="1" applyFill="1" applyAlignment="1">
      <alignment vertical="center"/>
    </xf>
    <xf numFmtId="0" fontId="14" fillId="0" borderId="4" xfId="0" applyFont="1" applyBorder="1" applyAlignment="1">
      <alignment horizontal="center"/>
    </xf>
    <xf numFmtId="0" fontId="16" fillId="0" borderId="5" xfId="41" applyFont="1" applyBorder="1" applyAlignment="1">
      <alignment horizontal="center"/>
    </xf>
    <xf numFmtId="0" fontId="16" fillId="0" borderId="6" xfId="41" applyFont="1" applyBorder="1" applyAlignment="1">
      <alignment horizontal="center"/>
    </xf>
    <xf numFmtId="0" fontId="16" fillId="0" borderId="7" xfId="41" applyFont="1" applyBorder="1" applyAlignment="1">
      <alignment horizontal="center"/>
    </xf>
    <xf numFmtId="0" fontId="16" fillId="0" borderId="8" xfId="41" applyFont="1" applyBorder="1" applyAlignment="1">
      <alignment horizontal="center"/>
    </xf>
    <xf numFmtId="0" fontId="16" fillId="0" borderId="9" xfId="41" applyFont="1" applyBorder="1" applyAlignment="1">
      <alignment horizontal="center"/>
    </xf>
    <xf numFmtId="14" fontId="13" fillId="0" borderId="0" xfId="0" quotePrefix="1" applyNumberFormat="1" applyFont="1" applyAlignment="1">
      <alignment horizontal="center" vertical="center"/>
    </xf>
    <xf numFmtId="165" fontId="8" fillId="0" borderId="3" xfId="11" applyFont="1" applyFill="1" applyBorder="1" applyAlignment="1" applyProtection="1">
      <alignment horizontal="center" vertical="center" wrapText="1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>
      <alignment horizontal="center" vertical="center" wrapText="1"/>
    </xf>
    <xf numFmtId="1" fontId="10" fillId="3" borderId="2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165" fontId="9" fillId="0" borderId="11" xfId="0" applyNumberFormat="1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 applyProtection="1">
      <alignment horizontal="center" vertical="center"/>
      <protection locked="0"/>
    </xf>
    <xf numFmtId="1" fontId="8" fillId="2" borderId="0" xfId="0" applyNumberFormat="1" applyFont="1" applyFill="1" applyAlignment="1" applyProtection="1">
      <alignment horizontal="center" vertical="center"/>
      <protection locked="0"/>
    </xf>
    <xf numFmtId="2" fontId="8" fillId="0" borderId="3" xfId="0" applyNumberFormat="1" applyFont="1" applyBorder="1" applyAlignment="1">
      <alignment horizontal="center" vertical="center"/>
    </xf>
    <xf numFmtId="14" fontId="18" fillId="4" borderId="4" xfId="0" applyNumberFormat="1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169" fontId="19" fillId="4" borderId="4" xfId="0" applyNumberFormat="1" applyFont="1" applyFill="1" applyBorder="1" applyAlignment="1" applyProtection="1">
      <alignment horizontal="center" vertical="center" wrapText="1" readingOrder="1"/>
      <protection hidden="1"/>
    </xf>
    <xf numFmtId="170" fontId="18" fillId="4" borderId="4" xfId="0" applyNumberFormat="1" applyFont="1" applyFill="1" applyBorder="1" applyAlignment="1">
      <alignment horizontal="center" vertical="center"/>
    </xf>
    <xf numFmtId="0" fontId="20" fillId="5" borderId="4" xfId="0" applyFont="1" applyFill="1" applyBorder="1" applyAlignment="1" applyProtection="1">
      <alignment horizontal="center" vertical="center" wrapText="1" readingOrder="1"/>
      <protection locked="0"/>
    </xf>
    <xf numFmtId="4" fontId="18" fillId="5" borderId="13" xfId="0" applyNumberFormat="1" applyFont="1" applyFill="1" applyBorder="1" applyAlignment="1">
      <alignment horizontal="center" vertical="center"/>
    </xf>
    <xf numFmtId="169" fontId="19" fillId="0" borderId="0" xfId="0" applyNumberFormat="1" applyFont="1" applyAlignment="1" applyProtection="1">
      <alignment vertical="center" wrapText="1" readingOrder="1"/>
      <protection hidden="1"/>
    </xf>
    <xf numFmtId="0" fontId="18" fillId="6" borderId="4" xfId="0" applyFont="1" applyFill="1" applyBorder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0" fontId="18" fillId="0" borderId="0" xfId="0" applyNumberFormat="1" applyFont="1" applyAlignment="1">
      <alignment horizontal="center" vertical="center"/>
    </xf>
    <xf numFmtId="169" fontId="21" fillId="7" borderId="14" xfId="0" applyNumberFormat="1" applyFont="1" applyFill="1" applyBorder="1" applyAlignment="1" applyProtection="1">
      <alignment horizontal="center" vertical="center" readingOrder="1"/>
      <protection hidden="1"/>
    </xf>
    <xf numFmtId="0" fontId="18" fillId="0" borderId="15" xfId="0" applyFont="1" applyBorder="1" applyAlignment="1">
      <alignment horizontal="center"/>
    </xf>
    <xf numFmtId="13" fontId="11" fillId="2" borderId="0" xfId="0" applyNumberFormat="1" applyFont="1" applyFill="1" applyAlignment="1">
      <alignment horizontal="left" vertical="center" wrapText="1"/>
    </xf>
    <xf numFmtId="14" fontId="18" fillId="4" borderId="12" xfId="0" applyNumberFormat="1" applyFont="1" applyFill="1" applyBorder="1" applyAlignment="1">
      <alignment horizontal="center" vertical="center" wrapText="1"/>
    </xf>
    <xf numFmtId="14" fontId="18" fillId="4" borderId="13" xfId="0" applyNumberFormat="1" applyFont="1" applyFill="1" applyBorder="1" applyAlignment="1">
      <alignment horizontal="center" vertical="center" wrapText="1"/>
    </xf>
  </cellXfs>
  <cellStyles count="4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3" xfId="5" xr:uid="{00000000-0005-0000-0000-000004000000}"/>
    <cellStyle name="Comma 3 2" xfId="6" xr:uid="{00000000-0005-0000-0000-000005000000}"/>
    <cellStyle name="Comma 3 3" xfId="7" xr:uid="{00000000-0005-0000-0000-000006000000}"/>
    <cellStyle name="Comma 4" xfId="8" xr:uid="{00000000-0005-0000-0000-000007000000}"/>
    <cellStyle name="Comma 4 2" xfId="9" xr:uid="{00000000-0005-0000-0000-000008000000}"/>
    <cellStyle name="Comma 5" xfId="10" xr:uid="{00000000-0005-0000-0000-000009000000}"/>
    <cellStyle name="Currency 2" xfId="12" xr:uid="{00000000-0005-0000-0000-00000A000000}"/>
    <cellStyle name="Currency 2 2" xfId="13" xr:uid="{00000000-0005-0000-0000-00000B000000}"/>
    <cellStyle name="Currency 2 2 2" xfId="14" xr:uid="{00000000-0005-0000-0000-00000C000000}"/>
    <cellStyle name="Currency 2 2 3" xfId="15" xr:uid="{00000000-0005-0000-0000-00000D000000}"/>
    <cellStyle name="Currency 3" xfId="16" xr:uid="{00000000-0005-0000-0000-00000E000000}"/>
    <cellStyle name="Currency 4" xfId="17" xr:uid="{00000000-0005-0000-0000-00000F000000}"/>
    <cellStyle name="Currency 4 2" xfId="18" xr:uid="{00000000-0005-0000-0000-000010000000}"/>
    <cellStyle name="Currency 4 3" xfId="19" xr:uid="{00000000-0005-0000-0000-000011000000}"/>
    <cellStyle name="Currency 5" xfId="20" xr:uid="{00000000-0005-0000-0000-000012000000}"/>
    <cellStyle name="Currency 5 2" xfId="21" xr:uid="{00000000-0005-0000-0000-000013000000}"/>
    <cellStyle name="Currency 6" xfId="22" xr:uid="{00000000-0005-0000-0000-000014000000}"/>
    <cellStyle name="Currency 6 2" xfId="23" xr:uid="{00000000-0005-0000-0000-000015000000}"/>
    <cellStyle name="Currency 7" xfId="24" xr:uid="{00000000-0005-0000-0000-000016000000}"/>
    <cellStyle name="Excel Built-in Normal" xfId="41" xr:uid="{EE786027-48D6-4D0C-8606-D6FFDC30E463}"/>
    <cellStyle name="Normal 2" xfId="25" xr:uid="{00000000-0005-0000-0000-000017000000}"/>
    <cellStyle name="Normal 2 2" xfId="26" xr:uid="{00000000-0005-0000-0000-000018000000}"/>
    <cellStyle name="Normal 3" xfId="27" xr:uid="{00000000-0005-0000-0000-000019000000}"/>
    <cellStyle name="Normal 4" xfId="28" xr:uid="{00000000-0005-0000-0000-00001A000000}"/>
    <cellStyle name="Normal 4 2" xfId="29" xr:uid="{00000000-0005-0000-0000-00001B000000}"/>
    <cellStyle name="Percent 2" xfId="30" xr:uid="{00000000-0005-0000-0000-00001C000000}"/>
    <cellStyle name="Percent 2 2" xfId="31" xr:uid="{00000000-0005-0000-0000-00001D000000}"/>
    <cellStyle name="Percent 2 2 2" xfId="32" xr:uid="{00000000-0005-0000-0000-00001E000000}"/>
    <cellStyle name="Percent 2 2 3" xfId="33" xr:uid="{00000000-0005-0000-0000-00001F000000}"/>
    <cellStyle name="Percent 3" xfId="34" xr:uid="{00000000-0005-0000-0000-000020000000}"/>
    <cellStyle name="Percent 3 2" xfId="35" xr:uid="{00000000-0005-0000-0000-000021000000}"/>
    <cellStyle name="Percent 3 3" xfId="36" xr:uid="{00000000-0005-0000-0000-000022000000}"/>
    <cellStyle name="Percent 4" xfId="37" xr:uid="{00000000-0005-0000-0000-000023000000}"/>
    <cellStyle name="Percent 4 2" xfId="38" xr:uid="{00000000-0005-0000-0000-000024000000}"/>
    <cellStyle name="Percent 5" xfId="39" xr:uid="{00000000-0005-0000-0000-000025000000}"/>
    <cellStyle name="Percent 6" xfId="40" xr:uid="{00000000-0005-0000-0000-000026000000}"/>
    <cellStyle name="Грошовий" xfId="11" builtinId="4"/>
    <cellStyle name="Звичайний" xfId="0" builtinId="0"/>
  </cellStyles>
  <dxfs count="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gradientFill degree="180">
          <stop position="0">
            <color rgb="FFFF6600"/>
          </stop>
          <stop position="1">
            <color rgb="FFFFFF00"/>
          </stop>
        </gradient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60961</xdr:colOff>
      <xdr:row>0</xdr:row>
      <xdr:rowOff>29360</xdr:rowOff>
    </xdr:from>
    <xdr:to>
      <xdr:col>7</xdr:col>
      <xdr:colOff>513489</xdr:colOff>
      <xdr:row>0</xdr:row>
      <xdr:rowOff>1022638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B3C37C-2653-4D3B-8118-9E8FA68AA08E}"/>
            </a:ext>
            <a:ext uri="{147F2762-F138-4A5C-976F-8EAC2B608ADB}">
              <a16:predDERef xmlns:a16="http://schemas.microsoft.com/office/drawing/2014/main" pred="{89AB4BA6-5B2F-4659-A012-D89ED12F8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4041" y="29360"/>
          <a:ext cx="3393848" cy="993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22BE-868F-48D5-A36E-F1F7775F95B6}">
  <dimension ref="A1:S698"/>
  <sheetViews>
    <sheetView tabSelected="1" zoomScale="80" zoomScaleNormal="80" workbookViewId="0">
      <pane ySplit="2" topLeftCell="A3" activePane="bottomLeft" state="frozen"/>
      <selection activeCell="B1" sqref="B1"/>
      <selection pane="bottomLeft" activeCell="L3" sqref="L3"/>
    </sheetView>
  </sheetViews>
  <sheetFormatPr defaultRowHeight="13.8" x14ac:dyDescent="0.25"/>
  <cols>
    <col min="1" max="1" width="11.109375" style="19" customWidth="1"/>
    <col min="2" max="2" width="15.88671875" style="20" bestFit="1" customWidth="1"/>
    <col min="3" max="3" width="54.5546875" style="21" bestFit="1" customWidth="1"/>
    <col min="4" max="4" width="11.44140625" style="19" customWidth="1"/>
    <col min="5" max="5" width="12.21875" style="19" customWidth="1"/>
    <col min="6" max="6" width="10.88671875" style="19" customWidth="1"/>
    <col min="7" max="7" width="8.33203125" style="19" customWidth="1"/>
    <col min="8" max="9" width="11" style="22" customWidth="1"/>
    <col min="10" max="10" width="10.6640625" style="39" customWidth="1"/>
    <col min="11" max="11" width="15.21875" style="22" customWidth="1"/>
    <col min="12" max="12" width="15.5546875" style="3" bestFit="1" customWidth="1"/>
    <col min="13" max="13" width="13.44140625" style="3" bestFit="1" customWidth="1"/>
    <col min="14" max="16" width="10.21875" customWidth="1"/>
    <col min="17" max="17" width="13.88671875" customWidth="1"/>
    <col min="18" max="18" width="3.77734375" customWidth="1"/>
    <col min="19" max="19" width="13.88671875" customWidth="1"/>
  </cols>
  <sheetData>
    <row r="1" spans="1:19" ht="84.6" customHeight="1" thickBot="1" x14ac:dyDescent="0.3">
      <c r="A1" s="54" t="s">
        <v>10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9">
        <v>46135</v>
      </c>
      <c r="N1" s="41" t="s">
        <v>135</v>
      </c>
      <c r="O1" s="55" t="s">
        <v>136</v>
      </c>
      <c r="P1" s="42" t="s">
        <v>134</v>
      </c>
      <c r="Q1" s="43" t="s">
        <v>137</v>
      </c>
      <c r="S1" s="44" t="str">
        <f>IFERROR(IF(SUM(S3:S247)=0, "-", L2+Q2), "-")</f>
        <v>-</v>
      </c>
    </row>
    <row r="2" spans="1:19" ht="31.8" thickBot="1" x14ac:dyDescent="0.3">
      <c r="A2" s="32" t="s">
        <v>11</v>
      </c>
      <c r="B2" s="33" t="s">
        <v>0</v>
      </c>
      <c r="C2" s="34" t="s">
        <v>1</v>
      </c>
      <c r="D2" s="35" t="s">
        <v>2</v>
      </c>
      <c r="E2" s="37" t="s">
        <v>122</v>
      </c>
      <c r="F2" s="37" t="s">
        <v>134</v>
      </c>
      <c r="G2" s="37" t="s">
        <v>133</v>
      </c>
      <c r="H2" s="34" t="s">
        <v>3</v>
      </c>
      <c r="I2" s="52" t="s">
        <v>139</v>
      </c>
      <c r="J2" s="34" t="s">
        <v>8</v>
      </c>
      <c r="K2" s="34" t="s">
        <v>9</v>
      </c>
      <c r="L2" s="36">
        <f>SUM(K3:K117)</f>
        <v>0</v>
      </c>
      <c r="M2" s="5"/>
      <c r="N2" s="45"/>
      <c r="O2" s="56"/>
      <c r="P2" s="46" t="str">
        <f>IF(SUM(P3:P247)=0, "-", SUM(P3:P247))</f>
        <v>-</v>
      </c>
      <c r="Q2" s="46" t="str">
        <f>IF(SUM(Q3:Q247)=0, "-", SUM(Q3:Q247))</f>
        <v>-</v>
      </c>
      <c r="R2" s="47"/>
      <c r="S2" s="48" t="s">
        <v>138</v>
      </c>
    </row>
    <row r="3" spans="1:19" ht="14.4" x14ac:dyDescent="0.3">
      <c r="A3" s="13">
        <v>7279</v>
      </c>
      <c r="B3" s="14">
        <v>47469072797</v>
      </c>
      <c r="C3" s="15" t="s">
        <v>29</v>
      </c>
      <c r="D3" s="16">
        <v>100</v>
      </c>
      <c r="E3" s="16" t="s">
        <v>123</v>
      </c>
      <c r="F3" s="40">
        <v>0.1135</v>
      </c>
      <c r="G3" s="16">
        <v>12</v>
      </c>
      <c r="H3" s="30">
        <v>13.493249999999996</v>
      </c>
      <c r="I3" s="53" t="s">
        <v>142</v>
      </c>
      <c r="J3" s="31"/>
      <c r="K3" s="30">
        <f>J3*H3</f>
        <v>0</v>
      </c>
      <c r="L3" s="6"/>
      <c r="M3" s="4"/>
      <c r="N3" s="49" t="str">
        <f>IFERROR(IF($N$2*F3=0, "-", $N$2*F3), "-")</f>
        <v>-</v>
      </c>
      <c r="O3" s="49" t="str">
        <f>IF(J3&gt;0,H3+F3*J3/$P$2*$Q$2/J3,"-")</f>
        <v>-</v>
      </c>
      <c r="P3" s="50" t="str">
        <f>IF(J3&gt;0,J3*F3, "-")</f>
        <v>-</v>
      </c>
      <c r="Q3" s="51" t="str">
        <f>IFERROR(IF($N$2&gt;0, $N$2*P3, "-"), "-")</f>
        <v>-</v>
      </c>
      <c r="S3" s="51" t="str">
        <f>IFERROR(IF(Q3+K3=0, "-", IF(Q3&gt;0, Q3+K3, "-")), "-")</f>
        <v>-</v>
      </c>
    </row>
    <row r="4" spans="1:19" ht="14.4" x14ac:dyDescent="0.3">
      <c r="A4" s="7">
        <v>5229</v>
      </c>
      <c r="B4" s="8">
        <v>47469052294</v>
      </c>
      <c r="C4" s="9" t="s">
        <v>97</v>
      </c>
      <c r="D4" s="10">
        <v>45</v>
      </c>
      <c r="E4" s="16" t="s">
        <v>123</v>
      </c>
      <c r="F4" s="40">
        <v>0.11755224262191669</v>
      </c>
      <c r="G4" s="16">
        <v>12</v>
      </c>
      <c r="H4" s="30">
        <v>10.658249999999999</v>
      </c>
      <c r="I4" s="53" t="s">
        <v>142</v>
      </c>
      <c r="J4" s="31"/>
      <c r="K4" s="11">
        <f t="shared" ref="K4:K64" si="0">J4*H4</f>
        <v>0</v>
      </c>
      <c r="L4" s="6"/>
      <c r="M4" s="6"/>
      <c r="N4" s="49" t="str">
        <f t="shared" ref="N4:N64" si="1">IFERROR(IF($N$2*F4=0, "-", $N$2*F4), "-")</f>
        <v>-</v>
      </c>
      <c r="O4" s="49" t="str">
        <f t="shared" ref="O4:O64" si="2">IF(J4&gt;0,H4+F4*J4/$P$2*$Q$2/J4,"-")</f>
        <v>-</v>
      </c>
      <c r="P4" s="50" t="str">
        <f t="shared" ref="P4:P64" si="3">IF(J4&gt;0,J4*F4, "-")</f>
        <v>-</v>
      </c>
      <c r="Q4" s="51" t="str">
        <f t="shared" ref="Q4:Q64" si="4">IFERROR(IF($N$2&gt;0, $N$2*P4, "-"), "-")</f>
        <v>-</v>
      </c>
      <c r="S4" s="51" t="str">
        <f t="shared" ref="S4:S64" si="5">IFERROR(IF(Q4+K4=0, "-", IF(Q4&gt;0, Q4+K4, "-")), "-")</f>
        <v>-</v>
      </c>
    </row>
    <row r="5" spans="1:19" ht="14.4" x14ac:dyDescent="0.3">
      <c r="A5" s="7">
        <v>6885</v>
      </c>
      <c r="B5" s="8">
        <v>47469068851</v>
      </c>
      <c r="C5" s="9" t="s">
        <v>48</v>
      </c>
      <c r="D5" s="7">
        <v>60</v>
      </c>
      <c r="E5" s="13" t="s">
        <v>123</v>
      </c>
      <c r="F5" s="40">
        <v>8.5804556658333336E-2</v>
      </c>
      <c r="G5" s="13">
        <v>12</v>
      </c>
      <c r="H5" s="30">
        <v>7.4182500000000005</v>
      </c>
      <c r="I5" s="53" t="s">
        <v>142</v>
      </c>
      <c r="J5" s="31"/>
      <c r="K5" s="11">
        <f t="shared" si="0"/>
        <v>0</v>
      </c>
      <c r="L5" s="6"/>
      <c r="M5" s="6"/>
      <c r="N5" s="49" t="str">
        <f t="shared" si="1"/>
        <v>-</v>
      </c>
      <c r="O5" s="49" t="str">
        <f t="shared" si="2"/>
        <v>-</v>
      </c>
      <c r="P5" s="50" t="str">
        <f t="shared" si="3"/>
        <v>-</v>
      </c>
      <c r="Q5" s="51" t="str">
        <f t="shared" si="4"/>
        <v>-</v>
      </c>
      <c r="S5" s="51" t="str">
        <f t="shared" si="5"/>
        <v>-</v>
      </c>
    </row>
    <row r="6" spans="1:19" ht="14.4" x14ac:dyDescent="0.3">
      <c r="A6" s="7">
        <v>5396</v>
      </c>
      <c r="B6" s="8">
        <v>47469053963</v>
      </c>
      <c r="C6" s="9" t="s">
        <v>22</v>
      </c>
      <c r="D6" s="10">
        <v>100</v>
      </c>
      <c r="E6" s="16" t="s">
        <v>123</v>
      </c>
      <c r="F6" s="40">
        <v>8.5804556658333336E-2</v>
      </c>
      <c r="G6" s="16">
        <v>12</v>
      </c>
      <c r="H6" s="30">
        <v>12.143249999999998</v>
      </c>
      <c r="I6" s="53" t="s">
        <v>142</v>
      </c>
      <c r="J6" s="31"/>
      <c r="K6" s="11">
        <f t="shared" si="0"/>
        <v>0</v>
      </c>
      <c r="L6" s="6"/>
      <c r="M6" s="6"/>
      <c r="N6" s="49" t="str">
        <f t="shared" si="1"/>
        <v>-</v>
      </c>
      <c r="O6" s="49" t="str">
        <f t="shared" si="2"/>
        <v>-</v>
      </c>
      <c r="P6" s="50" t="str">
        <f t="shared" si="3"/>
        <v>-</v>
      </c>
      <c r="Q6" s="51" t="str">
        <f t="shared" si="4"/>
        <v>-</v>
      </c>
      <c r="S6" s="51" t="str">
        <f t="shared" si="5"/>
        <v>-</v>
      </c>
    </row>
    <row r="7" spans="1:19" ht="14.4" x14ac:dyDescent="0.3">
      <c r="A7" s="7">
        <v>7529</v>
      </c>
      <c r="B7" s="8">
        <v>47469075293</v>
      </c>
      <c r="C7" s="9" t="s">
        <v>67</v>
      </c>
      <c r="D7" s="10">
        <v>40</v>
      </c>
      <c r="E7" s="16" t="s">
        <v>123</v>
      </c>
      <c r="F7" s="40">
        <v>7.9450000000000007E-2</v>
      </c>
      <c r="G7" s="16">
        <v>12</v>
      </c>
      <c r="H7" s="30">
        <v>8.0932500000000012</v>
      </c>
      <c r="I7" s="53" t="s">
        <v>142</v>
      </c>
      <c r="J7" s="31"/>
      <c r="K7" s="11">
        <f t="shared" si="0"/>
        <v>0</v>
      </c>
      <c r="L7" s="6"/>
      <c r="M7" s="6"/>
      <c r="N7" s="49" t="str">
        <f t="shared" si="1"/>
        <v>-</v>
      </c>
      <c r="O7" s="49" t="str">
        <f t="shared" si="2"/>
        <v>-</v>
      </c>
      <c r="P7" s="50" t="str">
        <f t="shared" si="3"/>
        <v>-</v>
      </c>
      <c r="Q7" s="51" t="str">
        <f t="shared" si="4"/>
        <v>-</v>
      </c>
      <c r="S7" s="51" t="str">
        <f t="shared" si="5"/>
        <v>-</v>
      </c>
    </row>
    <row r="8" spans="1:19" ht="14.4" x14ac:dyDescent="0.3">
      <c r="A8" s="7">
        <v>7692</v>
      </c>
      <c r="B8" s="8">
        <v>47469076924</v>
      </c>
      <c r="C8" s="9" t="s">
        <v>36</v>
      </c>
      <c r="D8" s="10">
        <v>60</v>
      </c>
      <c r="E8" s="16" t="s">
        <v>124</v>
      </c>
      <c r="F8" s="40">
        <v>0.24111080420991665</v>
      </c>
      <c r="G8" s="16">
        <v>12</v>
      </c>
      <c r="H8" s="30">
        <v>9.1057499999999987</v>
      </c>
      <c r="I8" s="53" t="s">
        <v>142</v>
      </c>
      <c r="J8" s="31"/>
      <c r="K8" s="11">
        <f t="shared" si="0"/>
        <v>0</v>
      </c>
      <c r="L8" s="6"/>
      <c r="M8" s="6"/>
      <c r="N8" s="49" t="str">
        <f t="shared" si="1"/>
        <v>-</v>
      </c>
      <c r="O8" s="49" t="str">
        <f t="shared" si="2"/>
        <v>-</v>
      </c>
      <c r="P8" s="50" t="str">
        <f t="shared" si="3"/>
        <v>-</v>
      </c>
      <c r="Q8" s="51" t="str">
        <f t="shared" si="4"/>
        <v>-</v>
      </c>
      <c r="S8" s="51" t="str">
        <f t="shared" si="5"/>
        <v>-</v>
      </c>
    </row>
    <row r="9" spans="1:19" ht="14.4" x14ac:dyDescent="0.3">
      <c r="A9" s="7">
        <v>7530</v>
      </c>
      <c r="B9" s="8">
        <v>47469075309</v>
      </c>
      <c r="C9" s="9" t="s">
        <v>32</v>
      </c>
      <c r="D9" s="10">
        <v>90</v>
      </c>
      <c r="E9" s="16" t="s">
        <v>124</v>
      </c>
      <c r="F9" s="40">
        <v>0.35952109239841673</v>
      </c>
      <c r="G9" s="16">
        <v>12</v>
      </c>
      <c r="H9" s="30">
        <v>11.468249999999999</v>
      </c>
      <c r="I9" s="53" t="s">
        <v>142</v>
      </c>
      <c r="J9" s="31"/>
      <c r="K9" s="11">
        <f t="shared" si="0"/>
        <v>0</v>
      </c>
      <c r="L9" s="6"/>
      <c r="M9" s="6"/>
      <c r="N9" s="49" t="str">
        <f t="shared" si="1"/>
        <v>-</v>
      </c>
      <c r="O9" s="49" t="str">
        <f t="shared" si="2"/>
        <v>-</v>
      </c>
      <c r="P9" s="50" t="str">
        <f t="shared" si="3"/>
        <v>-</v>
      </c>
      <c r="Q9" s="51" t="str">
        <f t="shared" si="4"/>
        <v>-</v>
      </c>
      <c r="S9" s="51" t="str">
        <f t="shared" si="5"/>
        <v>-</v>
      </c>
    </row>
    <row r="10" spans="1:19" ht="14.4" x14ac:dyDescent="0.3">
      <c r="A10" s="7">
        <v>7331</v>
      </c>
      <c r="B10" s="8">
        <v>47469073312</v>
      </c>
      <c r="C10" s="9" t="s">
        <v>30</v>
      </c>
      <c r="D10" s="10">
        <v>90</v>
      </c>
      <c r="E10" s="16" t="s">
        <v>124</v>
      </c>
      <c r="F10" s="40">
        <v>0.37324982146374996</v>
      </c>
      <c r="G10" s="16">
        <v>12</v>
      </c>
      <c r="H10" s="30">
        <v>11.468249999999999</v>
      </c>
      <c r="I10" s="53" t="s">
        <v>142</v>
      </c>
      <c r="J10" s="31"/>
      <c r="K10" s="11">
        <f t="shared" si="0"/>
        <v>0</v>
      </c>
      <c r="L10" s="6"/>
      <c r="M10" s="6"/>
      <c r="N10" s="49" t="str">
        <f t="shared" si="1"/>
        <v>-</v>
      </c>
      <c r="O10" s="49" t="str">
        <f t="shared" si="2"/>
        <v>-</v>
      </c>
      <c r="P10" s="50" t="str">
        <f t="shared" si="3"/>
        <v>-</v>
      </c>
      <c r="Q10" s="51" t="str">
        <f t="shared" si="4"/>
        <v>-</v>
      </c>
      <c r="S10" s="51" t="str">
        <f t="shared" si="5"/>
        <v>-</v>
      </c>
    </row>
    <row r="11" spans="1:19" ht="14.4" x14ac:dyDescent="0.3">
      <c r="A11" s="7">
        <v>7150</v>
      </c>
      <c r="B11" s="8">
        <v>47469071509</v>
      </c>
      <c r="C11" s="9" t="s">
        <v>28</v>
      </c>
      <c r="D11" s="10">
        <v>100</v>
      </c>
      <c r="E11" s="16" t="s">
        <v>123</v>
      </c>
      <c r="F11" s="40">
        <v>9.0800000000000006E-2</v>
      </c>
      <c r="G11" s="16">
        <v>12</v>
      </c>
      <c r="H11" s="30">
        <v>13.493249999999996</v>
      </c>
      <c r="I11" s="53" t="s">
        <v>142</v>
      </c>
      <c r="J11" s="31"/>
      <c r="K11" s="11">
        <f t="shared" si="0"/>
        <v>0</v>
      </c>
      <c r="L11" s="6"/>
      <c r="M11" s="6"/>
      <c r="N11" s="49" t="str">
        <f t="shared" si="1"/>
        <v>-</v>
      </c>
      <c r="O11" s="49" t="str">
        <f t="shared" si="2"/>
        <v>-</v>
      </c>
      <c r="P11" s="50" t="str">
        <f t="shared" si="3"/>
        <v>-</v>
      </c>
      <c r="Q11" s="51" t="str">
        <f t="shared" si="4"/>
        <v>-</v>
      </c>
      <c r="S11" s="51" t="str">
        <f t="shared" si="5"/>
        <v>-</v>
      </c>
    </row>
    <row r="12" spans="1:19" ht="14.4" x14ac:dyDescent="0.3">
      <c r="A12" s="7">
        <v>6324</v>
      </c>
      <c r="B12" s="8">
        <v>47469063245</v>
      </c>
      <c r="C12" s="9" t="s">
        <v>47</v>
      </c>
      <c r="D12" s="10">
        <v>90</v>
      </c>
      <c r="E12" s="16" t="s">
        <v>123</v>
      </c>
      <c r="F12" s="40">
        <v>7.9450000000000007E-2</v>
      </c>
      <c r="G12" s="16">
        <v>12</v>
      </c>
      <c r="H12" s="30">
        <v>6.7432499999999997</v>
      </c>
      <c r="I12" s="53" t="s">
        <v>142</v>
      </c>
      <c r="J12" s="31"/>
      <c r="K12" s="11">
        <f t="shared" si="0"/>
        <v>0</v>
      </c>
      <c r="L12" s="6"/>
      <c r="M12" s="6"/>
      <c r="N12" s="49" t="str">
        <f t="shared" si="1"/>
        <v>-</v>
      </c>
      <c r="O12" s="49" t="str">
        <f t="shared" si="2"/>
        <v>-</v>
      </c>
      <c r="P12" s="50" t="str">
        <f t="shared" si="3"/>
        <v>-</v>
      </c>
      <c r="Q12" s="51" t="str">
        <f t="shared" si="4"/>
        <v>-</v>
      </c>
      <c r="S12" s="51" t="str">
        <f t="shared" si="5"/>
        <v>-</v>
      </c>
    </row>
    <row r="13" spans="1:19" ht="14.4" x14ac:dyDescent="0.3">
      <c r="A13" s="7">
        <v>7144</v>
      </c>
      <c r="B13" s="8">
        <v>47469071448</v>
      </c>
      <c r="C13" s="9" t="s">
        <v>27</v>
      </c>
      <c r="D13" s="10">
        <v>150</v>
      </c>
      <c r="E13" s="16" t="s">
        <v>123</v>
      </c>
      <c r="F13" s="40">
        <v>0.1135</v>
      </c>
      <c r="G13" s="16">
        <v>12</v>
      </c>
      <c r="H13" s="30">
        <v>13.493249999999996</v>
      </c>
      <c r="I13" s="53" t="s">
        <v>142</v>
      </c>
      <c r="J13" s="31"/>
      <c r="K13" s="11">
        <f t="shared" si="0"/>
        <v>0</v>
      </c>
      <c r="L13" s="6"/>
      <c r="M13" s="6"/>
      <c r="N13" s="49" t="str">
        <f t="shared" si="1"/>
        <v>-</v>
      </c>
      <c r="O13" s="49" t="str">
        <f t="shared" si="2"/>
        <v>-</v>
      </c>
      <c r="P13" s="50" t="str">
        <f t="shared" si="3"/>
        <v>-</v>
      </c>
      <c r="Q13" s="51" t="str">
        <f t="shared" si="4"/>
        <v>-</v>
      </c>
      <c r="S13" s="51" t="str">
        <f t="shared" si="5"/>
        <v>-</v>
      </c>
    </row>
    <row r="14" spans="1:19" ht="14.4" x14ac:dyDescent="0.3">
      <c r="A14" s="7">
        <v>5865</v>
      </c>
      <c r="B14" s="8">
        <v>47469058654</v>
      </c>
      <c r="C14" s="9" t="s">
        <v>23</v>
      </c>
      <c r="D14" s="10">
        <v>90</v>
      </c>
      <c r="E14" s="16" t="s">
        <v>123</v>
      </c>
      <c r="F14" s="40">
        <v>7.1646804809708323E-2</v>
      </c>
      <c r="G14" s="16">
        <v>12</v>
      </c>
      <c r="H14" s="30">
        <v>8.7682499999999983</v>
      </c>
      <c r="I14" s="53" t="s">
        <v>142</v>
      </c>
      <c r="J14" s="31"/>
      <c r="K14" s="11">
        <f t="shared" si="0"/>
        <v>0</v>
      </c>
      <c r="L14" s="6"/>
      <c r="M14" s="6"/>
      <c r="N14" s="49" t="str">
        <f t="shared" si="1"/>
        <v>-</v>
      </c>
      <c r="O14" s="49" t="str">
        <f t="shared" si="2"/>
        <v>-</v>
      </c>
      <c r="P14" s="50" t="str">
        <f t="shared" si="3"/>
        <v>-</v>
      </c>
      <c r="Q14" s="51" t="str">
        <f t="shared" si="4"/>
        <v>-</v>
      </c>
      <c r="S14" s="51" t="str">
        <f t="shared" si="5"/>
        <v>-</v>
      </c>
    </row>
    <row r="15" spans="1:19" ht="14.4" x14ac:dyDescent="0.3">
      <c r="A15" s="7">
        <v>7332</v>
      </c>
      <c r="B15" s="8">
        <v>47469073329</v>
      </c>
      <c r="C15" s="9" t="s">
        <v>31</v>
      </c>
      <c r="D15" s="10">
        <v>90</v>
      </c>
      <c r="E15" s="16" t="s">
        <v>124</v>
      </c>
      <c r="F15" s="40">
        <v>0.37324982146374996</v>
      </c>
      <c r="G15" s="16">
        <v>12</v>
      </c>
      <c r="H15" s="30">
        <v>11.468249999999999</v>
      </c>
      <c r="I15" s="53" t="s">
        <v>142</v>
      </c>
      <c r="J15" s="31"/>
      <c r="K15" s="11">
        <f t="shared" si="0"/>
        <v>0</v>
      </c>
      <c r="L15" s="6"/>
      <c r="M15" s="6"/>
      <c r="N15" s="49" t="str">
        <f t="shared" si="1"/>
        <v>-</v>
      </c>
      <c r="O15" s="49" t="str">
        <f t="shared" si="2"/>
        <v>-</v>
      </c>
      <c r="P15" s="50" t="str">
        <f t="shared" si="3"/>
        <v>-</v>
      </c>
      <c r="Q15" s="51" t="str">
        <f t="shared" si="4"/>
        <v>-</v>
      </c>
      <c r="S15" s="51" t="str">
        <f t="shared" si="5"/>
        <v>-</v>
      </c>
    </row>
    <row r="16" spans="1:19" ht="14.4" x14ac:dyDescent="0.3">
      <c r="A16" s="7">
        <v>4837</v>
      </c>
      <c r="B16" s="8">
        <v>47469048372</v>
      </c>
      <c r="C16" s="9" t="s">
        <v>21</v>
      </c>
      <c r="D16" s="10">
        <v>100</v>
      </c>
      <c r="E16" s="16" t="s">
        <v>123</v>
      </c>
      <c r="F16" s="40">
        <v>7.5078987076041673E-2</v>
      </c>
      <c r="G16" s="16">
        <v>12</v>
      </c>
      <c r="H16" s="30">
        <v>8.7682499999999983</v>
      </c>
      <c r="I16" s="53" t="s">
        <v>142</v>
      </c>
      <c r="J16" s="31"/>
      <c r="K16" s="11">
        <f t="shared" si="0"/>
        <v>0</v>
      </c>
      <c r="L16" s="6"/>
      <c r="M16" s="6"/>
      <c r="N16" s="49" t="str">
        <f t="shared" si="1"/>
        <v>-</v>
      </c>
      <c r="O16" s="49" t="str">
        <f t="shared" si="2"/>
        <v>-</v>
      </c>
      <c r="P16" s="50" t="str">
        <f t="shared" si="3"/>
        <v>-</v>
      </c>
      <c r="Q16" s="51" t="str">
        <f t="shared" si="4"/>
        <v>-</v>
      </c>
      <c r="S16" s="51" t="str">
        <f t="shared" si="5"/>
        <v>-</v>
      </c>
    </row>
    <row r="17" spans="1:19" ht="14.4" x14ac:dyDescent="0.3">
      <c r="A17" s="7">
        <v>7668</v>
      </c>
      <c r="B17" s="8">
        <v>47469076689</v>
      </c>
      <c r="C17" s="9" t="s">
        <v>68</v>
      </c>
      <c r="D17" s="10">
        <v>60</v>
      </c>
      <c r="E17" s="16" t="s">
        <v>123</v>
      </c>
      <c r="F17" s="40">
        <v>5.8347098527666674E-2</v>
      </c>
      <c r="G17" s="16">
        <v>12</v>
      </c>
      <c r="H17" s="30">
        <v>9.4432500000000008</v>
      </c>
      <c r="I17" s="53" t="s">
        <v>142</v>
      </c>
      <c r="J17" s="31"/>
      <c r="K17" s="11">
        <f t="shared" si="0"/>
        <v>0</v>
      </c>
      <c r="L17" s="6"/>
      <c r="M17" s="6"/>
      <c r="N17" s="49" t="str">
        <f t="shared" si="1"/>
        <v>-</v>
      </c>
      <c r="O17" s="49" t="str">
        <f t="shared" si="2"/>
        <v>-</v>
      </c>
      <c r="P17" s="50" t="str">
        <f t="shared" si="3"/>
        <v>-</v>
      </c>
      <c r="Q17" s="51" t="str">
        <f t="shared" si="4"/>
        <v>-</v>
      </c>
      <c r="S17" s="51" t="str">
        <f t="shared" si="5"/>
        <v>-</v>
      </c>
    </row>
    <row r="18" spans="1:19" ht="14.4" x14ac:dyDescent="0.3">
      <c r="A18" s="13">
        <v>458</v>
      </c>
      <c r="B18" s="14">
        <v>47469004583</v>
      </c>
      <c r="C18" s="15" t="s">
        <v>62</v>
      </c>
      <c r="D18" s="16">
        <v>100</v>
      </c>
      <c r="E18" s="16" t="s">
        <v>123</v>
      </c>
      <c r="F18" s="40">
        <v>7.4220941509458335E-2</v>
      </c>
      <c r="G18" s="16">
        <v>12</v>
      </c>
      <c r="H18" s="30">
        <v>8.4307499999999997</v>
      </c>
      <c r="I18" s="53" t="s">
        <v>142</v>
      </c>
      <c r="J18" s="31"/>
      <c r="K18" s="11">
        <f t="shared" si="0"/>
        <v>0</v>
      </c>
      <c r="L18" s="6"/>
      <c r="M18" s="6"/>
      <c r="N18" s="49" t="str">
        <f t="shared" si="1"/>
        <v>-</v>
      </c>
      <c r="O18" s="49" t="str">
        <f t="shared" si="2"/>
        <v>-</v>
      </c>
      <c r="P18" s="50" t="str">
        <f t="shared" si="3"/>
        <v>-</v>
      </c>
      <c r="Q18" s="51" t="str">
        <f t="shared" si="4"/>
        <v>-</v>
      </c>
      <c r="S18" s="51" t="str">
        <f t="shared" si="5"/>
        <v>-</v>
      </c>
    </row>
    <row r="19" spans="1:19" ht="14.4" x14ac:dyDescent="0.3">
      <c r="A19" s="7">
        <v>6672</v>
      </c>
      <c r="B19" s="8">
        <v>47469066727</v>
      </c>
      <c r="C19" s="9" t="s">
        <v>145</v>
      </c>
      <c r="D19" s="10">
        <v>100</v>
      </c>
      <c r="E19" s="16" t="s">
        <v>123</v>
      </c>
      <c r="F19" s="40">
        <v>7.9450000000000007E-2</v>
      </c>
      <c r="G19" s="16">
        <v>12</v>
      </c>
      <c r="H19" s="30">
        <v>13.5</v>
      </c>
      <c r="I19" s="53" t="s">
        <v>142</v>
      </c>
      <c r="J19" s="31"/>
      <c r="K19" s="11">
        <f t="shared" si="0"/>
        <v>0</v>
      </c>
      <c r="L19" s="6"/>
      <c r="M19" s="6"/>
      <c r="N19" s="49" t="str">
        <f t="shared" si="1"/>
        <v>-</v>
      </c>
      <c r="O19" s="49" t="str">
        <f t="shared" si="2"/>
        <v>-</v>
      </c>
      <c r="P19" s="50" t="str">
        <f t="shared" si="3"/>
        <v>-</v>
      </c>
      <c r="Q19" s="51" t="str">
        <f t="shared" si="4"/>
        <v>-</v>
      </c>
      <c r="S19" s="51" t="str">
        <f t="shared" si="5"/>
        <v>-</v>
      </c>
    </row>
    <row r="20" spans="1:19" ht="14.4" x14ac:dyDescent="0.3">
      <c r="A20" s="7">
        <v>5891</v>
      </c>
      <c r="B20" s="8">
        <v>47469058913</v>
      </c>
      <c r="C20" s="9" t="s">
        <v>148</v>
      </c>
      <c r="D20" s="10">
        <v>90</v>
      </c>
      <c r="E20" s="16" t="s">
        <v>123</v>
      </c>
      <c r="F20" s="40">
        <v>7.9450000000000007E-2</v>
      </c>
      <c r="G20" s="16">
        <v>12</v>
      </c>
      <c r="H20" s="30">
        <v>10.9575</v>
      </c>
      <c r="I20" s="53" t="s">
        <v>142</v>
      </c>
      <c r="J20" s="31"/>
      <c r="K20" s="11">
        <f t="shared" si="0"/>
        <v>0</v>
      </c>
      <c r="L20" s="6"/>
      <c r="M20" s="6"/>
      <c r="N20" s="49" t="str">
        <f t="shared" si="1"/>
        <v>-</v>
      </c>
      <c r="O20" s="49" t="str">
        <f t="shared" si="2"/>
        <v>-</v>
      </c>
      <c r="P20" s="50" t="str">
        <f t="shared" si="3"/>
        <v>-</v>
      </c>
      <c r="Q20" s="51" t="str">
        <f t="shared" si="4"/>
        <v>-</v>
      </c>
      <c r="S20" s="51" t="str">
        <f t="shared" si="5"/>
        <v>-</v>
      </c>
    </row>
    <row r="21" spans="1:19" ht="14.4" x14ac:dyDescent="0.3">
      <c r="A21" s="7">
        <v>6044</v>
      </c>
      <c r="B21" s="8">
        <v>47469060442</v>
      </c>
      <c r="C21" s="9" t="s">
        <v>77</v>
      </c>
      <c r="D21" s="10">
        <v>30</v>
      </c>
      <c r="E21" s="16" t="s">
        <v>123</v>
      </c>
      <c r="F21" s="40">
        <v>7.8511169342375009E-2</v>
      </c>
      <c r="G21" s="16">
        <v>12</v>
      </c>
      <c r="H21" s="30">
        <v>12.143249999999998</v>
      </c>
      <c r="I21" s="53" t="s">
        <v>140</v>
      </c>
      <c r="J21" s="31"/>
      <c r="K21" s="11">
        <f t="shared" si="0"/>
        <v>0</v>
      </c>
      <c r="L21" s="6"/>
      <c r="M21" s="6"/>
      <c r="N21" s="49" t="str">
        <f t="shared" si="1"/>
        <v>-</v>
      </c>
      <c r="O21" s="49" t="str">
        <f t="shared" si="2"/>
        <v>-</v>
      </c>
      <c r="P21" s="50" t="str">
        <f t="shared" si="3"/>
        <v>-</v>
      </c>
      <c r="Q21" s="51" t="str">
        <f t="shared" si="4"/>
        <v>-</v>
      </c>
      <c r="S21" s="51" t="str">
        <f t="shared" si="5"/>
        <v>-</v>
      </c>
    </row>
    <row r="22" spans="1:19" ht="14.4" x14ac:dyDescent="0.3">
      <c r="A22" s="7">
        <v>5234</v>
      </c>
      <c r="B22" s="8">
        <v>47469052348</v>
      </c>
      <c r="C22" s="9" t="s">
        <v>99</v>
      </c>
      <c r="D22" s="10">
        <v>90</v>
      </c>
      <c r="E22" s="16" t="s">
        <v>123</v>
      </c>
      <c r="F22" s="40">
        <v>0.19649243474758335</v>
      </c>
      <c r="G22" s="16">
        <v>12</v>
      </c>
      <c r="H22" s="30">
        <v>13.02075</v>
      </c>
      <c r="I22" s="53" t="s">
        <v>140</v>
      </c>
      <c r="J22" s="31"/>
      <c r="K22" s="11">
        <f t="shared" si="0"/>
        <v>0</v>
      </c>
      <c r="L22" s="6"/>
      <c r="M22" s="6"/>
      <c r="N22" s="49" t="str">
        <f t="shared" si="1"/>
        <v>-</v>
      </c>
      <c r="O22" s="49" t="str">
        <f t="shared" si="2"/>
        <v>-</v>
      </c>
      <c r="P22" s="50" t="str">
        <f t="shared" si="3"/>
        <v>-</v>
      </c>
      <c r="Q22" s="51" t="str">
        <f t="shared" si="4"/>
        <v>-</v>
      </c>
      <c r="S22" s="51" t="str">
        <f t="shared" si="5"/>
        <v>-</v>
      </c>
    </row>
    <row r="23" spans="1:19" ht="14.4" x14ac:dyDescent="0.3">
      <c r="A23" s="7">
        <v>7166</v>
      </c>
      <c r="B23" s="8">
        <v>47469071660</v>
      </c>
      <c r="C23" s="9" t="s">
        <v>50</v>
      </c>
      <c r="D23" s="10">
        <v>100</v>
      </c>
      <c r="E23" s="16" t="s">
        <v>123</v>
      </c>
      <c r="F23" s="40">
        <v>7.2933873159583343E-2</v>
      </c>
      <c r="G23" s="16">
        <v>12</v>
      </c>
      <c r="H23" s="30">
        <v>13.493249999999996</v>
      </c>
      <c r="I23" s="53" t="s">
        <v>140</v>
      </c>
      <c r="J23" s="31"/>
      <c r="K23" s="11">
        <f t="shared" si="0"/>
        <v>0</v>
      </c>
      <c r="L23" s="6"/>
      <c r="M23" s="6"/>
      <c r="N23" s="49" t="str">
        <f t="shared" si="1"/>
        <v>-</v>
      </c>
      <c r="O23" s="49" t="str">
        <f t="shared" si="2"/>
        <v>-</v>
      </c>
      <c r="P23" s="50" t="str">
        <f t="shared" si="3"/>
        <v>-</v>
      </c>
      <c r="Q23" s="51" t="str">
        <f t="shared" si="4"/>
        <v>-</v>
      </c>
      <c r="S23" s="51" t="str">
        <f t="shared" si="5"/>
        <v>-</v>
      </c>
    </row>
    <row r="24" spans="1:19" ht="14.4" x14ac:dyDescent="0.3">
      <c r="A24" s="7">
        <v>466</v>
      </c>
      <c r="B24" s="8">
        <v>47469004668</v>
      </c>
      <c r="C24" s="9" t="s">
        <v>72</v>
      </c>
      <c r="D24" s="10">
        <v>180</v>
      </c>
      <c r="E24" s="16" t="s">
        <v>123</v>
      </c>
      <c r="F24" s="40">
        <v>9.5846950360511371E-2</v>
      </c>
      <c r="G24" s="16">
        <v>12</v>
      </c>
      <c r="H24" s="30">
        <v>10.45575</v>
      </c>
      <c r="I24" s="53" t="s">
        <v>140</v>
      </c>
      <c r="J24" s="31"/>
      <c r="K24" s="11">
        <f t="shared" si="0"/>
        <v>0</v>
      </c>
      <c r="L24" s="6"/>
      <c r="M24" s="6"/>
      <c r="N24" s="49" t="str">
        <f t="shared" si="1"/>
        <v>-</v>
      </c>
      <c r="O24" s="49" t="str">
        <f t="shared" si="2"/>
        <v>-</v>
      </c>
      <c r="P24" s="50" t="str">
        <f t="shared" si="3"/>
        <v>-</v>
      </c>
      <c r="Q24" s="51" t="str">
        <f t="shared" si="4"/>
        <v>-</v>
      </c>
      <c r="S24" s="51" t="str">
        <f t="shared" si="5"/>
        <v>-</v>
      </c>
    </row>
    <row r="25" spans="1:19" ht="14.4" x14ac:dyDescent="0.3">
      <c r="A25" s="7">
        <v>7281</v>
      </c>
      <c r="B25" s="8">
        <v>47469072810</v>
      </c>
      <c r="C25" s="9" t="s">
        <v>55</v>
      </c>
      <c r="D25" s="10">
        <v>150</v>
      </c>
      <c r="E25" s="16" t="s">
        <v>123</v>
      </c>
      <c r="F25" s="40">
        <v>0.12870683498750002</v>
      </c>
      <c r="G25" s="16">
        <v>12</v>
      </c>
      <c r="H25" s="30">
        <v>10.11825</v>
      </c>
      <c r="I25" s="53" t="s">
        <v>140</v>
      </c>
      <c r="J25" s="31"/>
      <c r="K25" s="11">
        <f t="shared" si="0"/>
        <v>0</v>
      </c>
      <c r="L25" s="6"/>
      <c r="M25" s="6"/>
      <c r="N25" s="49" t="str">
        <f t="shared" si="1"/>
        <v>-</v>
      </c>
      <c r="O25" s="49" t="str">
        <f t="shared" si="2"/>
        <v>-</v>
      </c>
      <c r="P25" s="50" t="str">
        <f t="shared" si="3"/>
        <v>-</v>
      </c>
      <c r="Q25" s="51" t="str">
        <f t="shared" si="4"/>
        <v>-</v>
      </c>
      <c r="S25" s="51" t="str">
        <f t="shared" si="5"/>
        <v>-</v>
      </c>
    </row>
    <row r="26" spans="1:19" ht="14.4" x14ac:dyDescent="0.3">
      <c r="A26" s="7">
        <v>6076</v>
      </c>
      <c r="B26" s="8">
        <v>47469060763</v>
      </c>
      <c r="C26" s="9" t="s">
        <v>25</v>
      </c>
      <c r="D26" s="10">
        <v>90</v>
      </c>
      <c r="E26" s="16" t="s">
        <v>123</v>
      </c>
      <c r="F26" s="40">
        <v>7.1646804809708323E-2</v>
      </c>
      <c r="G26" s="16">
        <v>12</v>
      </c>
      <c r="H26" s="30">
        <v>7.4182500000000005</v>
      </c>
      <c r="I26" s="53" t="s">
        <v>140</v>
      </c>
      <c r="J26" s="31"/>
      <c r="K26" s="11">
        <f t="shared" si="0"/>
        <v>0</v>
      </c>
      <c r="L26" s="6"/>
      <c r="M26" s="6"/>
      <c r="N26" s="49" t="str">
        <f t="shared" si="1"/>
        <v>-</v>
      </c>
      <c r="O26" s="49" t="str">
        <f t="shared" si="2"/>
        <v>-</v>
      </c>
      <c r="P26" s="50" t="str">
        <f t="shared" si="3"/>
        <v>-</v>
      </c>
      <c r="Q26" s="51" t="str">
        <f t="shared" si="4"/>
        <v>-</v>
      </c>
      <c r="S26" s="51" t="str">
        <f t="shared" si="5"/>
        <v>-</v>
      </c>
    </row>
    <row r="27" spans="1:19" ht="14.4" x14ac:dyDescent="0.3">
      <c r="A27" s="7">
        <v>510</v>
      </c>
      <c r="B27" s="8">
        <v>47469005108</v>
      </c>
      <c r="C27" s="9" t="s">
        <v>63</v>
      </c>
      <c r="D27" s="10">
        <v>60</v>
      </c>
      <c r="E27" s="16" t="s">
        <v>123</v>
      </c>
      <c r="F27" s="40">
        <v>6.606950862691667E-2</v>
      </c>
      <c r="G27" s="16">
        <v>12</v>
      </c>
      <c r="H27" s="30">
        <v>6.0682500000000008</v>
      </c>
      <c r="I27" s="53" t="s">
        <v>140</v>
      </c>
      <c r="J27" s="31"/>
      <c r="K27" s="11">
        <f t="shared" si="0"/>
        <v>0</v>
      </c>
      <c r="L27" s="6"/>
      <c r="M27" s="6"/>
      <c r="N27" s="49" t="str">
        <f t="shared" si="1"/>
        <v>-</v>
      </c>
      <c r="O27" s="49" t="str">
        <f t="shared" si="2"/>
        <v>-</v>
      </c>
      <c r="P27" s="50" t="str">
        <f t="shared" si="3"/>
        <v>-</v>
      </c>
      <c r="Q27" s="51" t="str">
        <f t="shared" si="4"/>
        <v>-</v>
      </c>
      <c r="S27" s="51" t="str">
        <f t="shared" si="5"/>
        <v>-</v>
      </c>
    </row>
    <row r="28" spans="1:19" ht="14.4" x14ac:dyDescent="0.3">
      <c r="A28" s="7">
        <v>4462</v>
      </c>
      <c r="B28" s="8">
        <v>47469044626</v>
      </c>
      <c r="C28" s="9" t="s">
        <v>64</v>
      </c>
      <c r="D28" s="10">
        <v>60</v>
      </c>
      <c r="E28" s="16" t="s">
        <v>123</v>
      </c>
      <c r="F28" s="40">
        <v>5.6750000000000002E-2</v>
      </c>
      <c r="G28" s="16">
        <v>12</v>
      </c>
      <c r="H28" s="30">
        <v>8.0932500000000012</v>
      </c>
      <c r="I28" s="53" t="s">
        <v>140</v>
      </c>
      <c r="J28" s="31"/>
      <c r="K28" s="11">
        <f t="shared" si="0"/>
        <v>0</v>
      </c>
      <c r="L28" s="6"/>
      <c r="M28" s="6"/>
      <c r="N28" s="49" t="str">
        <f t="shared" si="1"/>
        <v>-</v>
      </c>
      <c r="O28" s="49" t="str">
        <f t="shared" si="2"/>
        <v>-</v>
      </c>
      <c r="P28" s="50" t="str">
        <f t="shared" si="3"/>
        <v>-</v>
      </c>
      <c r="Q28" s="51" t="str">
        <f t="shared" si="4"/>
        <v>-</v>
      </c>
      <c r="S28" s="51" t="str">
        <f t="shared" si="5"/>
        <v>-</v>
      </c>
    </row>
    <row r="29" spans="1:19" ht="14.4" x14ac:dyDescent="0.3">
      <c r="A29" s="7">
        <v>4409</v>
      </c>
      <c r="B29" s="8">
        <v>47469044091</v>
      </c>
      <c r="C29" s="9" t="s">
        <v>92</v>
      </c>
      <c r="D29" s="10">
        <v>60</v>
      </c>
      <c r="E29" s="16" t="s">
        <v>129</v>
      </c>
      <c r="F29" s="40">
        <v>0.17289618166654167</v>
      </c>
      <c r="G29" s="16">
        <v>12</v>
      </c>
      <c r="H29" s="30">
        <v>6.4732500000000002</v>
      </c>
      <c r="I29" s="53" t="s">
        <v>140</v>
      </c>
      <c r="J29" s="31"/>
      <c r="K29" s="11">
        <f t="shared" si="0"/>
        <v>0</v>
      </c>
      <c r="L29" s="6"/>
      <c r="M29" s="6"/>
      <c r="N29" s="49" t="str">
        <f t="shared" si="1"/>
        <v>-</v>
      </c>
      <c r="O29" s="49" t="str">
        <f t="shared" si="2"/>
        <v>-</v>
      </c>
      <c r="P29" s="50" t="str">
        <f t="shared" si="3"/>
        <v>-</v>
      </c>
      <c r="Q29" s="51" t="str">
        <f t="shared" si="4"/>
        <v>-</v>
      </c>
      <c r="S29" s="51" t="str">
        <f t="shared" si="5"/>
        <v>-</v>
      </c>
    </row>
    <row r="30" spans="1:19" ht="14.4" x14ac:dyDescent="0.3">
      <c r="A30" s="7">
        <v>4510</v>
      </c>
      <c r="B30" s="8">
        <v>47469045104</v>
      </c>
      <c r="C30" s="9" t="s">
        <v>93</v>
      </c>
      <c r="D30" s="10">
        <v>60</v>
      </c>
      <c r="E30" s="16" t="s">
        <v>129</v>
      </c>
      <c r="F30" s="40">
        <v>0.17718640949945832</v>
      </c>
      <c r="G30" s="16">
        <v>12</v>
      </c>
      <c r="H30" s="30">
        <v>10.11825</v>
      </c>
      <c r="I30" s="53" t="s">
        <v>140</v>
      </c>
      <c r="J30" s="31"/>
      <c r="K30" s="11">
        <f t="shared" si="0"/>
        <v>0</v>
      </c>
      <c r="L30" s="6"/>
      <c r="M30" s="6"/>
      <c r="N30" s="49" t="str">
        <f t="shared" si="1"/>
        <v>-</v>
      </c>
      <c r="O30" s="49" t="str">
        <f t="shared" si="2"/>
        <v>-</v>
      </c>
      <c r="P30" s="50" t="str">
        <f t="shared" si="3"/>
        <v>-</v>
      </c>
      <c r="Q30" s="51" t="str">
        <f t="shared" si="4"/>
        <v>-</v>
      </c>
      <c r="S30" s="51" t="str">
        <f t="shared" si="5"/>
        <v>-</v>
      </c>
    </row>
    <row r="31" spans="1:19" ht="14.4" x14ac:dyDescent="0.3">
      <c r="A31" s="7">
        <v>5964</v>
      </c>
      <c r="B31" s="8">
        <v>47469059644</v>
      </c>
      <c r="C31" s="9" t="s">
        <v>24</v>
      </c>
      <c r="D31" s="10">
        <v>60</v>
      </c>
      <c r="E31" s="16" t="s">
        <v>123</v>
      </c>
      <c r="F31" s="40">
        <v>7.9450000000000007E-2</v>
      </c>
      <c r="G31" s="16">
        <v>12</v>
      </c>
      <c r="H31" s="30">
        <v>9.4432500000000008</v>
      </c>
      <c r="I31" s="53" t="s">
        <v>140</v>
      </c>
      <c r="J31" s="31"/>
      <c r="K31" s="11">
        <f t="shared" si="0"/>
        <v>0</v>
      </c>
      <c r="L31" s="6"/>
      <c r="M31" s="6"/>
      <c r="N31" s="49" t="str">
        <f t="shared" si="1"/>
        <v>-</v>
      </c>
      <c r="O31" s="49" t="str">
        <f t="shared" si="2"/>
        <v>-</v>
      </c>
      <c r="P31" s="50" t="str">
        <f t="shared" si="3"/>
        <v>-</v>
      </c>
      <c r="Q31" s="51" t="str">
        <f t="shared" si="4"/>
        <v>-</v>
      </c>
      <c r="S31" s="51" t="str">
        <f t="shared" si="5"/>
        <v>-</v>
      </c>
    </row>
    <row r="32" spans="1:19" ht="14.4" x14ac:dyDescent="0.3">
      <c r="A32" s="7">
        <v>5239</v>
      </c>
      <c r="B32" s="8">
        <v>47469052393</v>
      </c>
      <c r="C32" s="9" t="s">
        <v>101</v>
      </c>
      <c r="D32" s="10">
        <v>100</v>
      </c>
      <c r="E32" s="16" t="s">
        <v>123</v>
      </c>
      <c r="F32" s="40">
        <v>8.5804556658333336E-2</v>
      </c>
      <c r="G32" s="16">
        <v>12</v>
      </c>
      <c r="H32" s="30">
        <v>6.7432499999999997</v>
      </c>
      <c r="I32" s="53" t="s">
        <v>140</v>
      </c>
      <c r="J32" s="31"/>
      <c r="K32" s="11">
        <f t="shared" si="0"/>
        <v>0</v>
      </c>
      <c r="L32" s="6"/>
      <c r="M32" s="6"/>
      <c r="N32" s="49" t="str">
        <f t="shared" si="1"/>
        <v>-</v>
      </c>
      <c r="O32" s="49" t="str">
        <f t="shared" si="2"/>
        <v>-</v>
      </c>
      <c r="P32" s="50" t="str">
        <f t="shared" si="3"/>
        <v>-</v>
      </c>
      <c r="Q32" s="51" t="str">
        <f t="shared" si="4"/>
        <v>-</v>
      </c>
      <c r="S32" s="51" t="str">
        <f t="shared" si="5"/>
        <v>-</v>
      </c>
    </row>
    <row r="33" spans="1:19" ht="14.4" x14ac:dyDescent="0.3">
      <c r="A33" s="7">
        <v>6211</v>
      </c>
      <c r="B33" s="8">
        <v>47469062118</v>
      </c>
      <c r="C33" s="9" t="s">
        <v>26</v>
      </c>
      <c r="D33" s="10">
        <v>60</v>
      </c>
      <c r="E33" s="16" t="s">
        <v>123</v>
      </c>
      <c r="F33" s="40">
        <v>5.8347098527666674E-2</v>
      </c>
      <c r="G33" s="16">
        <v>12</v>
      </c>
      <c r="H33" s="30">
        <v>9.4432500000000008</v>
      </c>
      <c r="I33" s="53" t="s">
        <v>140</v>
      </c>
      <c r="J33" s="31"/>
      <c r="K33" s="11">
        <f t="shared" si="0"/>
        <v>0</v>
      </c>
      <c r="L33" s="6"/>
      <c r="M33" s="6"/>
      <c r="N33" s="49" t="str">
        <f t="shared" si="1"/>
        <v>-</v>
      </c>
      <c r="O33" s="49" t="str">
        <f t="shared" si="2"/>
        <v>-</v>
      </c>
      <c r="P33" s="50" t="str">
        <f t="shared" si="3"/>
        <v>-</v>
      </c>
      <c r="Q33" s="51" t="str">
        <f t="shared" si="4"/>
        <v>-</v>
      </c>
      <c r="S33" s="51" t="str">
        <f t="shared" si="5"/>
        <v>-</v>
      </c>
    </row>
    <row r="34" spans="1:19" ht="14.4" x14ac:dyDescent="0.3">
      <c r="A34" s="7">
        <v>16068</v>
      </c>
      <c r="B34" s="8">
        <v>47469160685</v>
      </c>
      <c r="C34" s="9" t="s">
        <v>120</v>
      </c>
      <c r="D34" s="10">
        <v>240</v>
      </c>
      <c r="E34" s="16" t="s">
        <v>123</v>
      </c>
      <c r="F34" s="40">
        <v>0.15788038425133333</v>
      </c>
      <c r="G34" s="16">
        <v>12</v>
      </c>
      <c r="H34" s="30">
        <v>14.843249999999998</v>
      </c>
      <c r="I34" s="53" t="s">
        <v>140</v>
      </c>
      <c r="J34" s="31"/>
      <c r="K34" s="11">
        <f t="shared" si="0"/>
        <v>0</v>
      </c>
      <c r="L34" s="6"/>
      <c r="M34" s="6"/>
      <c r="N34" s="49" t="str">
        <f t="shared" si="1"/>
        <v>-</v>
      </c>
      <c r="O34" s="49" t="str">
        <f t="shared" si="2"/>
        <v>-</v>
      </c>
      <c r="P34" s="50" t="str">
        <f t="shared" si="3"/>
        <v>-</v>
      </c>
      <c r="Q34" s="51" t="str">
        <f t="shared" si="4"/>
        <v>-</v>
      </c>
      <c r="S34" s="51" t="str">
        <f t="shared" si="5"/>
        <v>-</v>
      </c>
    </row>
    <row r="35" spans="1:19" ht="14.4" x14ac:dyDescent="0.3">
      <c r="A35" s="7">
        <v>5889</v>
      </c>
      <c r="B35" s="8">
        <v>47469058890</v>
      </c>
      <c r="C35" s="9" t="s">
        <v>147</v>
      </c>
      <c r="D35" s="10">
        <v>90</v>
      </c>
      <c r="E35" s="16" t="s">
        <v>123</v>
      </c>
      <c r="F35" s="40">
        <v>6.8099999999999994E-2</v>
      </c>
      <c r="G35" s="16">
        <v>12</v>
      </c>
      <c r="H35" s="30">
        <v>8.3362499999999997</v>
      </c>
      <c r="I35" s="53" t="s">
        <v>140</v>
      </c>
      <c r="J35" s="31"/>
      <c r="K35" s="11">
        <f t="shared" si="0"/>
        <v>0</v>
      </c>
      <c r="L35" s="6"/>
      <c r="M35" s="6"/>
      <c r="N35" s="49" t="str">
        <f t="shared" si="1"/>
        <v>-</v>
      </c>
      <c r="O35" s="49" t="str">
        <f t="shared" si="2"/>
        <v>-</v>
      </c>
      <c r="P35" s="50" t="str">
        <f t="shared" si="3"/>
        <v>-</v>
      </c>
      <c r="Q35" s="51" t="str">
        <f t="shared" si="4"/>
        <v>-</v>
      </c>
      <c r="S35" s="51" t="str">
        <f t="shared" si="5"/>
        <v>-</v>
      </c>
    </row>
    <row r="36" spans="1:19" ht="14.4" x14ac:dyDescent="0.3">
      <c r="A36" s="7">
        <v>5172</v>
      </c>
      <c r="B36" s="8">
        <v>47469051723</v>
      </c>
      <c r="C36" s="9" t="s">
        <v>46</v>
      </c>
      <c r="D36" s="10">
        <v>30</v>
      </c>
      <c r="E36" s="16" t="s">
        <v>123</v>
      </c>
      <c r="F36" s="40">
        <v>6.2637326360583334E-2</v>
      </c>
      <c r="G36" s="16">
        <v>12</v>
      </c>
      <c r="H36" s="30">
        <v>16.868249999999996</v>
      </c>
      <c r="I36" s="53" t="s">
        <v>141</v>
      </c>
      <c r="J36" s="31"/>
      <c r="K36" s="11">
        <f t="shared" si="0"/>
        <v>0</v>
      </c>
      <c r="L36" s="6"/>
      <c r="M36" s="6"/>
      <c r="N36" s="49" t="str">
        <f t="shared" si="1"/>
        <v>-</v>
      </c>
      <c r="O36" s="49" t="str">
        <f t="shared" si="2"/>
        <v>-</v>
      </c>
      <c r="P36" s="50" t="str">
        <f t="shared" si="3"/>
        <v>-</v>
      </c>
      <c r="Q36" s="51" t="str">
        <f t="shared" si="4"/>
        <v>-</v>
      </c>
      <c r="S36" s="51" t="str">
        <f t="shared" si="5"/>
        <v>-</v>
      </c>
    </row>
    <row r="37" spans="1:19" ht="14.4" x14ac:dyDescent="0.3">
      <c r="A37" s="7">
        <v>5228</v>
      </c>
      <c r="B37" s="8">
        <v>47469052287</v>
      </c>
      <c r="C37" s="9" t="s">
        <v>76</v>
      </c>
      <c r="D37" s="10">
        <v>45</v>
      </c>
      <c r="E37" s="16" t="s">
        <v>123</v>
      </c>
      <c r="F37" s="40">
        <v>5.6750000000000002E-2</v>
      </c>
      <c r="G37" s="16">
        <v>12</v>
      </c>
      <c r="H37" s="30">
        <v>13.493249999999996</v>
      </c>
      <c r="I37" s="53" t="s">
        <v>141</v>
      </c>
      <c r="J37" s="31"/>
      <c r="K37" s="11">
        <f t="shared" si="0"/>
        <v>0</v>
      </c>
      <c r="L37" s="6"/>
      <c r="M37" s="6"/>
      <c r="N37" s="49" t="str">
        <f t="shared" si="1"/>
        <v>-</v>
      </c>
      <c r="O37" s="49" t="str">
        <f t="shared" si="2"/>
        <v>-</v>
      </c>
      <c r="P37" s="50" t="str">
        <f t="shared" si="3"/>
        <v>-</v>
      </c>
      <c r="Q37" s="51" t="str">
        <f t="shared" si="4"/>
        <v>-</v>
      </c>
      <c r="S37" s="51" t="str">
        <f t="shared" si="5"/>
        <v>-</v>
      </c>
    </row>
    <row r="38" spans="1:19" ht="14.4" x14ac:dyDescent="0.3">
      <c r="A38" s="7">
        <v>7229</v>
      </c>
      <c r="B38" s="8">
        <v>47469072292</v>
      </c>
      <c r="C38" s="9" t="s">
        <v>66</v>
      </c>
      <c r="D38" s="10">
        <v>60</v>
      </c>
      <c r="E38" s="16" t="s">
        <v>123</v>
      </c>
      <c r="F38" s="40">
        <v>0.10214999999999999</v>
      </c>
      <c r="G38" s="16">
        <v>12</v>
      </c>
      <c r="H38" s="30">
        <v>12.143249999999998</v>
      </c>
      <c r="I38" s="53" t="s">
        <v>141</v>
      </c>
      <c r="J38" s="31"/>
      <c r="K38" s="11">
        <f t="shared" si="0"/>
        <v>0</v>
      </c>
      <c r="L38" s="6"/>
      <c r="M38" s="6"/>
      <c r="N38" s="49" t="str">
        <f t="shared" si="1"/>
        <v>-</v>
      </c>
      <c r="O38" s="49" t="str">
        <f t="shared" si="2"/>
        <v>-</v>
      </c>
      <c r="P38" s="50" t="str">
        <f t="shared" si="3"/>
        <v>-</v>
      </c>
      <c r="Q38" s="51" t="str">
        <f t="shared" si="4"/>
        <v>-</v>
      </c>
      <c r="S38" s="51" t="str">
        <f t="shared" si="5"/>
        <v>-</v>
      </c>
    </row>
    <row r="39" spans="1:19" ht="14.4" x14ac:dyDescent="0.3">
      <c r="A39" s="7">
        <v>7697</v>
      </c>
      <c r="B39" s="8">
        <v>47469076979</v>
      </c>
      <c r="C39" s="9" t="s">
        <v>69</v>
      </c>
      <c r="D39" s="10">
        <v>30</v>
      </c>
      <c r="E39" s="16" t="s">
        <v>123</v>
      </c>
      <c r="F39" s="40">
        <v>7.3791918726166666E-2</v>
      </c>
      <c r="G39" s="16">
        <v>12</v>
      </c>
      <c r="H39" s="30">
        <v>7.0807499999999992</v>
      </c>
      <c r="I39" s="53" t="s">
        <v>141</v>
      </c>
      <c r="J39" s="31"/>
      <c r="K39" s="11">
        <f t="shared" si="0"/>
        <v>0</v>
      </c>
      <c r="L39" s="6"/>
      <c r="M39" s="6"/>
      <c r="N39" s="49" t="str">
        <f t="shared" si="1"/>
        <v>-</v>
      </c>
      <c r="O39" s="49" t="str">
        <f t="shared" si="2"/>
        <v>-</v>
      </c>
      <c r="P39" s="50" t="str">
        <f t="shared" si="3"/>
        <v>-</v>
      </c>
      <c r="Q39" s="51" t="str">
        <f t="shared" si="4"/>
        <v>-</v>
      </c>
      <c r="S39" s="51" t="str">
        <f t="shared" si="5"/>
        <v>-</v>
      </c>
    </row>
    <row r="40" spans="1:19" ht="14.4" x14ac:dyDescent="0.3">
      <c r="A40" s="7">
        <v>7778</v>
      </c>
      <c r="B40" s="8">
        <v>47469077785</v>
      </c>
      <c r="C40" s="9" t="s">
        <v>60</v>
      </c>
      <c r="D40" s="10">
        <v>60</v>
      </c>
      <c r="E40" s="16" t="s">
        <v>124</v>
      </c>
      <c r="F40" s="40">
        <v>0.26856826234058334</v>
      </c>
      <c r="G40" s="16">
        <v>12</v>
      </c>
      <c r="H40" s="30">
        <v>13.493249999999996</v>
      </c>
      <c r="I40" s="53" t="s">
        <v>141</v>
      </c>
      <c r="J40" s="31"/>
      <c r="K40" s="11">
        <f t="shared" si="0"/>
        <v>0</v>
      </c>
      <c r="L40" s="6"/>
      <c r="M40" s="6"/>
      <c r="N40" s="49" t="str">
        <f t="shared" si="1"/>
        <v>-</v>
      </c>
      <c r="O40" s="49" t="str">
        <f t="shared" si="2"/>
        <v>-</v>
      </c>
      <c r="P40" s="50" t="str">
        <f t="shared" si="3"/>
        <v>-</v>
      </c>
      <c r="Q40" s="51" t="str">
        <f t="shared" si="4"/>
        <v>-</v>
      </c>
      <c r="S40" s="51" t="str">
        <f t="shared" si="5"/>
        <v>-</v>
      </c>
    </row>
    <row r="41" spans="1:19" ht="14.4" x14ac:dyDescent="0.3">
      <c r="A41" s="7">
        <v>8351</v>
      </c>
      <c r="B41" s="8">
        <v>47469083519</v>
      </c>
      <c r="C41" s="9" t="s">
        <v>114</v>
      </c>
      <c r="D41" s="10">
        <v>30</v>
      </c>
      <c r="E41" s="16" t="s">
        <v>131</v>
      </c>
      <c r="F41" s="40">
        <v>0.27886480913958334</v>
      </c>
      <c r="G41" s="16">
        <v>12</v>
      </c>
      <c r="H41" s="30">
        <v>16.868249999999996</v>
      </c>
      <c r="I41" s="53" t="s">
        <v>141</v>
      </c>
      <c r="J41" s="31"/>
      <c r="K41" s="11">
        <f t="shared" si="0"/>
        <v>0</v>
      </c>
      <c r="L41" s="6"/>
      <c r="M41" s="6"/>
      <c r="N41" s="49" t="str">
        <f t="shared" si="1"/>
        <v>-</v>
      </c>
      <c r="O41" s="49" t="str">
        <f t="shared" si="2"/>
        <v>-</v>
      </c>
      <c r="P41" s="50" t="str">
        <f t="shared" si="3"/>
        <v>-</v>
      </c>
      <c r="Q41" s="51" t="str">
        <f t="shared" si="4"/>
        <v>-</v>
      </c>
      <c r="S41" s="51" t="str">
        <f t="shared" si="5"/>
        <v>-</v>
      </c>
    </row>
    <row r="42" spans="1:19" ht="14.4" x14ac:dyDescent="0.3">
      <c r="A42" s="7">
        <v>7683</v>
      </c>
      <c r="B42" s="8">
        <v>47469076832</v>
      </c>
      <c r="C42" s="9" t="s">
        <v>35</v>
      </c>
      <c r="D42" s="10">
        <v>140</v>
      </c>
      <c r="E42" s="16" t="s">
        <v>124</v>
      </c>
      <c r="F42" s="40">
        <v>0.60063189660833338</v>
      </c>
      <c r="G42" s="16">
        <v>12</v>
      </c>
      <c r="H42" s="30">
        <v>16.868249999999996</v>
      </c>
      <c r="I42" s="53" t="s">
        <v>141</v>
      </c>
      <c r="J42" s="31"/>
      <c r="K42" s="11">
        <f t="shared" si="0"/>
        <v>0</v>
      </c>
      <c r="L42" s="6"/>
      <c r="M42" s="6"/>
      <c r="N42" s="49" t="str">
        <f t="shared" si="1"/>
        <v>-</v>
      </c>
      <c r="O42" s="49" t="str">
        <f t="shared" si="2"/>
        <v>-</v>
      </c>
      <c r="P42" s="50" t="str">
        <f t="shared" si="3"/>
        <v>-</v>
      </c>
      <c r="Q42" s="51" t="str">
        <f t="shared" si="4"/>
        <v>-</v>
      </c>
      <c r="S42" s="51" t="str">
        <f t="shared" si="5"/>
        <v>-</v>
      </c>
    </row>
    <row r="43" spans="1:19" ht="14.4" x14ac:dyDescent="0.3">
      <c r="A43" s="7">
        <v>7586</v>
      </c>
      <c r="B43" s="8">
        <v>47469075866</v>
      </c>
      <c r="C43" s="9" t="s">
        <v>34</v>
      </c>
      <c r="D43" s="10">
        <v>60</v>
      </c>
      <c r="E43" s="16" t="s">
        <v>124</v>
      </c>
      <c r="F43" s="40">
        <v>0.2514073510089167</v>
      </c>
      <c r="G43" s="16">
        <v>12</v>
      </c>
      <c r="H43" s="30">
        <v>9.4432500000000008</v>
      </c>
      <c r="I43" s="53" t="s">
        <v>141</v>
      </c>
      <c r="J43" s="31"/>
      <c r="K43" s="11">
        <f t="shared" si="0"/>
        <v>0</v>
      </c>
      <c r="L43" s="6"/>
      <c r="M43" s="6"/>
      <c r="N43" s="49" t="str">
        <f t="shared" si="1"/>
        <v>-</v>
      </c>
      <c r="O43" s="49" t="str">
        <f t="shared" si="2"/>
        <v>-</v>
      </c>
      <c r="P43" s="50" t="str">
        <f t="shared" si="3"/>
        <v>-</v>
      </c>
      <c r="Q43" s="51" t="str">
        <f t="shared" si="4"/>
        <v>-</v>
      </c>
      <c r="S43" s="51" t="str">
        <f t="shared" si="5"/>
        <v>-</v>
      </c>
    </row>
    <row r="44" spans="1:19" ht="14.4" x14ac:dyDescent="0.3">
      <c r="A44" s="7">
        <v>8066</v>
      </c>
      <c r="B44" s="8">
        <v>47469080662</v>
      </c>
      <c r="C44" s="9" t="s">
        <v>41</v>
      </c>
      <c r="D44" s="10">
        <v>70</v>
      </c>
      <c r="E44" s="16" t="s">
        <v>124</v>
      </c>
      <c r="F44" s="40">
        <v>0.2514073510089167</v>
      </c>
      <c r="G44" s="16">
        <v>12</v>
      </c>
      <c r="H44" s="30">
        <v>8.0932500000000012</v>
      </c>
      <c r="I44" s="53" t="s">
        <v>141</v>
      </c>
      <c r="J44" s="31"/>
      <c r="K44" s="11">
        <f t="shared" si="0"/>
        <v>0</v>
      </c>
      <c r="L44" s="6"/>
      <c r="M44" s="6"/>
      <c r="N44" s="49" t="str">
        <f t="shared" si="1"/>
        <v>-</v>
      </c>
      <c r="O44" s="49" t="str">
        <f t="shared" si="2"/>
        <v>-</v>
      </c>
      <c r="P44" s="50" t="str">
        <f t="shared" si="3"/>
        <v>-</v>
      </c>
      <c r="Q44" s="51" t="str">
        <f t="shared" si="4"/>
        <v>-</v>
      </c>
      <c r="S44" s="51" t="str">
        <f t="shared" si="5"/>
        <v>-</v>
      </c>
    </row>
    <row r="45" spans="1:19" ht="14.4" x14ac:dyDescent="0.3">
      <c r="A45" s="10">
        <v>511</v>
      </c>
      <c r="B45" s="8">
        <v>47469005115</v>
      </c>
      <c r="C45" s="9" t="s">
        <v>73</v>
      </c>
      <c r="D45" s="10">
        <v>120</v>
      </c>
      <c r="E45" s="16" t="s">
        <v>123</v>
      </c>
      <c r="F45" s="40">
        <v>9.5672080674041676E-2</v>
      </c>
      <c r="G45" s="16">
        <v>12</v>
      </c>
      <c r="H45" s="30">
        <v>8.7682499999999983</v>
      </c>
      <c r="I45" s="53" t="s">
        <v>141</v>
      </c>
      <c r="J45" s="31"/>
      <c r="K45" s="11">
        <f t="shared" si="0"/>
        <v>0</v>
      </c>
      <c r="L45" s="6"/>
      <c r="M45" s="6"/>
      <c r="N45" s="49" t="str">
        <f t="shared" si="1"/>
        <v>-</v>
      </c>
      <c r="O45" s="49" t="str">
        <f t="shared" si="2"/>
        <v>-</v>
      </c>
      <c r="P45" s="50" t="str">
        <f t="shared" si="3"/>
        <v>-</v>
      </c>
      <c r="Q45" s="51" t="str">
        <f t="shared" si="4"/>
        <v>-</v>
      </c>
      <c r="S45" s="51" t="str">
        <f t="shared" si="5"/>
        <v>-</v>
      </c>
    </row>
    <row r="46" spans="1:19" ht="14.4" x14ac:dyDescent="0.3">
      <c r="A46" s="12">
        <v>7585</v>
      </c>
      <c r="B46" s="8">
        <v>47469075859</v>
      </c>
      <c r="C46" s="9" t="s">
        <v>33</v>
      </c>
      <c r="D46" s="10">
        <v>60</v>
      </c>
      <c r="E46" s="16" t="s">
        <v>124</v>
      </c>
      <c r="F46" s="40">
        <v>0.2514073510089167</v>
      </c>
      <c r="G46" s="16">
        <v>12</v>
      </c>
      <c r="H46" s="30">
        <v>9.4432500000000008</v>
      </c>
      <c r="I46" s="53" t="s">
        <v>141</v>
      </c>
      <c r="J46" s="31"/>
      <c r="K46" s="11">
        <f t="shared" si="0"/>
        <v>0</v>
      </c>
      <c r="L46" s="6"/>
      <c r="M46" s="6"/>
      <c r="N46" s="49" t="str">
        <f t="shared" si="1"/>
        <v>-</v>
      </c>
      <c r="O46" s="49" t="str">
        <f t="shared" si="2"/>
        <v>-</v>
      </c>
      <c r="P46" s="50" t="str">
        <f t="shared" si="3"/>
        <v>-</v>
      </c>
      <c r="Q46" s="51" t="str">
        <f t="shared" si="4"/>
        <v>-</v>
      </c>
      <c r="S46" s="51" t="str">
        <f t="shared" si="5"/>
        <v>-</v>
      </c>
    </row>
    <row r="47" spans="1:19" ht="14.4" x14ac:dyDescent="0.3">
      <c r="A47" s="7">
        <v>7405</v>
      </c>
      <c r="B47" s="8">
        <v>47469074050</v>
      </c>
      <c r="C47" s="9" t="s">
        <v>58</v>
      </c>
      <c r="D47" s="10" t="s">
        <v>127</v>
      </c>
      <c r="E47" s="16" t="s">
        <v>126</v>
      </c>
      <c r="F47" s="40">
        <v>0.32069453051052083</v>
      </c>
      <c r="G47" s="16">
        <v>24</v>
      </c>
      <c r="H47" s="30">
        <v>10.793249999999999</v>
      </c>
      <c r="I47" s="53" t="s">
        <v>141</v>
      </c>
      <c r="J47" s="31"/>
      <c r="K47" s="11">
        <f t="shared" si="0"/>
        <v>0</v>
      </c>
      <c r="L47" s="6"/>
      <c r="M47" s="6"/>
      <c r="N47" s="49" t="str">
        <f t="shared" si="1"/>
        <v>-</v>
      </c>
      <c r="O47" s="49" t="str">
        <f t="shared" si="2"/>
        <v>-</v>
      </c>
      <c r="P47" s="50" t="str">
        <f t="shared" si="3"/>
        <v>-</v>
      </c>
      <c r="Q47" s="51" t="str">
        <f t="shared" si="4"/>
        <v>-</v>
      </c>
      <c r="S47" s="51" t="str">
        <f t="shared" si="5"/>
        <v>-</v>
      </c>
    </row>
    <row r="48" spans="1:19" ht="14.4" x14ac:dyDescent="0.3">
      <c r="A48" s="7">
        <v>7402</v>
      </c>
      <c r="B48" s="8">
        <v>47469074029</v>
      </c>
      <c r="C48" s="9" t="s">
        <v>57</v>
      </c>
      <c r="D48" s="10" t="s">
        <v>125</v>
      </c>
      <c r="E48" s="16" t="s">
        <v>126</v>
      </c>
      <c r="F48" s="40">
        <v>0.17504129558300002</v>
      </c>
      <c r="G48" s="16">
        <v>12</v>
      </c>
      <c r="H48" s="30">
        <v>6.0682500000000008</v>
      </c>
      <c r="I48" s="53" t="s">
        <v>141</v>
      </c>
      <c r="J48" s="31"/>
      <c r="K48" s="11">
        <f t="shared" si="0"/>
        <v>0</v>
      </c>
      <c r="L48" s="6"/>
      <c r="M48" s="6"/>
      <c r="N48" s="49" t="str">
        <f t="shared" si="1"/>
        <v>-</v>
      </c>
      <c r="O48" s="49" t="str">
        <f t="shared" si="2"/>
        <v>-</v>
      </c>
      <c r="P48" s="50" t="str">
        <f t="shared" si="3"/>
        <v>-</v>
      </c>
      <c r="Q48" s="51" t="str">
        <f t="shared" si="4"/>
        <v>-</v>
      </c>
      <c r="S48" s="51" t="str">
        <f t="shared" si="5"/>
        <v>-</v>
      </c>
    </row>
    <row r="49" spans="1:19" ht="14.4" x14ac:dyDescent="0.3">
      <c r="A49" s="7">
        <v>4794</v>
      </c>
      <c r="B49" s="8">
        <v>47469047948</v>
      </c>
      <c r="C49" s="9" t="s">
        <v>94</v>
      </c>
      <c r="D49" s="10">
        <v>100</v>
      </c>
      <c r="E49" s="16" t="s">
        <v>123</v>
      </c>
      <c r="F49" s="40">
        <v>0.11626517427204168</v>
      </c>
      <c r="G49" s="16">
        <v>12</v>
      </c>
      <c r="H49" s="30">
        <v>7.0807499999999992</v>
      </c>
      <c r="I49" s="53" t="s">
        <v>141</v>
      </c>
      <c r="J49" s="31"/>
      <c r="K49" s="11">
        <f t="shared" si="0"/>
        <v>0</v>
      </c>
      <c r="L49" s="6"/>
      <c r="M49" s="6"/>
      <c r="N49" s="49" t="str">
        <f t="shared" si="1"/>
        <v>-</v>
      </c>
      <c r="O49" s="49" t="str">
        <f t="shared" si="2"/>
        <v>-</v>
      </c>
      <c r="P49" s="50" t="str">
        <f t="shared" si="3"/>
        <v>-</v>
      </c>
      <c r="Q49" s="51" t="str">
        <f t="shared" si="4"/>
        <v>-</v>
      </c>
      <c r="S49" s="51" t="str">
        <f t="shared" si="5"/>
        <v>-</v>
      </c>
    </row>
    <row r="50" spans="1:19" ht="14.4" x14ac:dyDescent="0.3">
      <c r="A50" s="7">
        <v>8352</v>
      </c>
      <c r="B50" s="8">
        <v>47469083526</v>
      </c>
      <c r="C50" s="9" t="s">
        <v>115</v>
      </c>
      <c r="D50" s="10">
        <v>60</v>
      </c>
      <c r="E50" s="16" t="s">
        <v>128</v>
      </c>
      <c r="F50" s="40">
        <v>9.0800000000000006E-2</v>
      </c>
      <c r="G50" s="16">
        <v>12</v>
      </c>
      <c r="H50" s="30">
        <v>15.518249999999998</v>
      </c>
      <c r="I50" s="53" t="s">
        <v>141</v>
      </c>
      <c r="J50" s="31"/>
      <c r="K50" s="11">
        <f t="shared" si="0"/>
        <v>0</v>
      </c>
      <c r="L50" s="6"/>
      <c r="M50" s="6"/>
      <c r="N50" s="49" t="str">
        <f t="shared" si="1"/>
        <v>-</v>
      </c>
      <c r="O50" s="49" t="str">
        <f t="shared" si="2"/>
        <v>-</v>
      </c>
      <c r="P50" s="50" t="str">
        <f t="shared" si="3"/>
        <v>-</v>
      </c>
      <c r="Q50" s="51" t="str">
        <f t="shared" si="4"/>
        <v>-</v>
      </c>
      <c r="S50" s="51" t="str">
        <f t="shared" si="5"/>
        <v>-</v>
      </c>
    </row>
    <row r="51" spans="1:19" ht="14.4" x14ac:dyDescent="0.3">
      <c r="A51" s="7">
        <v>998</v>
      </c>
      <c r="B51" s="8">
        <v>47469009984</v>
      </c>
      <c r="C51" s="9" t="s">
        <v>89</v>
      </c>
      <c r="D51" s="10">
        <v>90</v>
      </c>
      <c r="E51" s="16" t="s">
        <v>129</v>
      </c>
      <c r="F51" s="40">
        <v>0.23724959916029167</v>
      </c>
      <c r="G51" s="16">
        <v>12</v>
      </c>
      <c r="H51" s="30">
        <v>9.4432500000000008</v>
      </c>
      <c r="I51" s="53" t="s">
        <v>141</v>
      </c>
      <c r="J51" s="31"/>
      <c r="K51" s="11">
        <f t="shared" si="0"/>
        <v>0</v>
      </c>
      <c r="L51" s="6"/>
      <c r="M51" s="6"/>
      <c r="N51" s="49" t="str">
        <f t="shared" si="1"/>
        <v>-</v>
      </c>
      <c r="O51" s="49" t="str">
        <f t="shared" si="2"/>
        <v>-</v>
      </c>
      <c r="P51" s="50" t="str">
        <f t="shared" si="3"/>
        <v>-</v>
      </c>
      <c r="Q51" s="51" t="str">
        <f t="shared" si="4"/>
        <v>-</v>
      </c>
      <c r="S51" s="51" t="str">
        <f t="shared" si="5"/>
        <v>-</v>
      </c>
    </row>
    <row r="52" spans="1:19" ht="14.4" x14ac:dyDescent="0.3">
      <c r="A52" s="7">
        <v>7779</v>
      </c>
      <c r="B52" s="8">
        <v>47469077792</v>
      </c>
      <c r="C52" s="9" t="s">
        <v>37</v>
      </c>
      <c r="D52" s="10">
        <v>60</v>
      </c>
      <c r="E52" s="16" t="s">
        <v>124</v>
      </c>
      <c r="F52" s="40">
        <v>0.26856826234058334</v>
      </c>
      <c r="G52" s="16">
        <v>12</v>
      </c>
      <c r="H52" s="30">
        <v>13.493249999999996</v>
      </c>
      <c r="I52" s="53" t="s">
        <v>141</v>
      </c>
      <c r="J52" s="31"/>
      <c r="K52" s="11">
        <f t="shared" si="0"/>
        <v>0</v>
      </c>
      <c r="L52" s="6"/>
      <c r="M52" s="6"/>
      <c r="N52" s="49" t="str">
        <f t="shared" si="1"/>
        <v>-</v>
      </c>
      <c r="O52" s="49" t="str">
        <f t="shared" si="2"/>
        <v>-</v>
      </c>
      <c r="P52" s="50" t="str">
        <f t="shared" si="3"/>
        <v>-</v>
      </c>
      <c r="Q52" s="51" t="str">
        <f t="shared" si="4"/>
        <v>-</v>
      </c>
      <c r="S52" s="51" t="str">
        <f t="shared" si="5"/>
        <v>-</v>
      </c>
    </row>
    <row r="53" spans="1:19" ht="14.4" x14ac:dyDescent="0.3">
      <c r="A53" s="7">
        <v>6323</v>
      </c>
      <c r="B53" s="8">
        <v>47469063238</v>
      </c>
      <c r="C53" s="9" t="s">
        <v>103</v>
      </c>
      <c r="D53" s="10">
        <v>90</v>
      </c>
      <c r="E53" s="16" t="s">
        <v>123</v>
      </c>
      <c r="F53" s="40">
        <v>7.7653123775791671E-2</v>
      </c>
      <c r="G53" s="16">
        <v>12</v>
      </c>
      <c r="H53" s="30">
        <v>9.4432500000000008</v>
      </c>
      <c r="I53" s="53" t="s">
        <v>141</v>
      </c>
      <c r="J53" s="31"/>
      <c r="K53" s="11">
        <f t="shared" si="0"/>
        <v>0</v>
      </c>
      <c r="L53" s="6"/>
      <c r="M53" s="6"/>
      <c r="N53" s="49" t="str">
        <f t="shared" si="1"/>
        <v>-</v>
      </c>
      <c r="O53" s="49" t="str">
        <f t="shared" si="2"/>
        <v>-</v>
      </c>
      <c r="P53" s="50" t="str">
        <f t="shared" si="3"/>
        <v>-</v>
      </c>
      <c r="Q53" s="51" t="str">
        <f t="shared" si="4"/>
        <v>-</v>
      </c>
      <c r="S53" s="51" t="str">
        <f t="shared" si="5"/>
        <v>-</v>
      </c>
    </row>
    <row r="54" spans="1:19" ht="14.4" x14ac:dyDescent="0.3">
      <c r="A54" s="7">
        <v>5238</v>
      </c>
      <c r="B54" s="8">
        <v>47469052386</v>
      </c>
      <c r="C54" s="9" t="s">
        <v>100</v>
      </c>
      <c r="D54" s="10">
        <v>60</v>
      </c>
      <c r="E54" s="16" t="s">
        <v>128</v>
      </c>
      <c r="F54" s="40">
        <v>8.0227260475541684E-2</v>
      </c>
      <c r="G54" s="16">
        <v>12</v>
      </c>
      <c r="H54" s="30">
        <v>8.2957499999999982</v>
      </c>
      <c r="I54" s="53" t="s">
        <v>141</v>
      </c>
      <c r="J54" s="31"/>
      <c r="K54" s="11">
        <f t="shared" si="0"/>
        <v>0</v>
      </c>
      <c r="L54" s="6"/>
      <c r="M54" s="6"/>
      <c r="N54" s="49" t="str">
        <f t="shared" si="1"/>
        <v>-</v>
      </c>
      <c r="O54" s="49" t="str">
        <f t="shared" si="2"/>
        <v>-</v>
      </c>
      <c r="P54" s="50" t="str">
        <f t="shared" si="3"/>
        <v>-</v>
      </c>
      <c r="Q54" s="51" t="str">
        <f t="shared" si="4"/>
        <v>-</v>
      </c>
      <c r="S54" s="51" t="str">
        <f t="shared" si="5"/>
        <v>-</v>
      </c>
    </row>
    <row r="55" spans="1:19" ht="14.4" x14ac:dyDescent="0.3">
      <c r="A55" s="7">
        <v>928</v>
      </c>
      <c r="B55" s="8">
        <v>47469009281</v>
      </c>
      <c r="C55" s="9" t="s">
        <v>85</v>
      </c>
      <c r="D55" s="10">
        <v>90</v>
      </c>
      <c r="E55" s="16" t="s">
        <v>129</v>
      </c>
      <c r="F55" s="40">
        <v>0.2029277764969584</v>
      </c>
      <c r="G55" s="16">
        <v>12</v>
      </c>
      <c r="H55" s="30">
        <v>5.3257500000000002</v>
      </c>
      <c r="I55" s="53" t="s">
        <v>141</v>
      </c>
      <c r="J55" s="31"/>
      <c r="K55" s="11">
        <f t="shared" si="0"/>
        <v>0</v>
      </c>
      <c r="L55" s="6"/>
      <c r="M55" s="6"/>
      <c r="N55" s="49" t="str">
        <f t="shared" si="1"/>
        <v>-</v>
      </c>
      <c r="O55" s="49" t="str">
        <f t="shared" si="2"/>
        <v>-</v>
      </c>
      <c r="P55" s="50" t="str">
        <f t="shared" si="3"/>
        <v>-</v>
      </c>
      <c r="Q55" s="51" t="str">
        <f t="shared" si="4"/>
        <v>-</v>
      </c>
      <c r="S55" s="51" t="str">
        <f t="shared" si="5"/>
        <v>-</v>
      </c>
    </row>
    <row r="56" spans="1:19" ht="14.4" x14ac:dyDescent="0.3">
      <c r="A56" s="7">
        <v>2276</v>
      </c>
      <c r="B56" s="8">
        <v>47469022761</v>
      </c>
      <c r="C56" s="9" t="s">
        <v>90</v>
      </c>
      <c r="D56" s="10">
        <v>90</v>
      </c>
      <c r="E56" s="16" t="s">
        <v>128</v>
      </c>
      <c r="F56" s="40">
        <v>0.10768471860620835</v>
      </c>
      <c r="G56" s="16">
        <v>12</v>
      </c>
      <c r="H56" s="30">
        <v>8.2957499999999982</v>
      </c>
      <c r="I56" s="53" t="s">
        <v>141</v>
      </c>
      <c r="J56" s="31"/>
      <c r="K56" s="11">
        <f t="shared" si="0"/>
        <v>0</v>
      </c>
      <c r="L56" s="6"/>
      <c r="M56" s="6"/>
      <c r="N56" s="49" t="str">
        <f t="shared" si="1"/>
        <v>-</v>
      </c>
      <c r="O56" s="49" t="str">
        <f t="shared" si="2"/>
        <v>-</v>
      </c>
      <c r="P56" s="50" t="str">
        <f t="shared" si="3"/>
        <v>-</v>
      </c>
      <c r="Q56" s="51" t="str">
        <f t="shared" si="4"/>
        <v>-</v>
      </c>
      <c r="S56" s="51" t="str">
        <f t="shared" si="5"/>
        <v>-</v>
      </c>
    </row>
    <row r="57" spans="1:19" ht="14.4" x14ac:dyDescent="0.3">
      <c r="A57" s="7">
        <v>768</v>
      </c>
      <c r="B57" s="8">
        <v>47469007683</v>
      </c>
      <c r="C57" s="9" t="s">
        <v>143</v>
      </c>
      <c r="D57" s="10">
        <v>60</v>
      </c>
      <c r="E57" s="16" t="s">
        <v>128</v>
      </c>
      <c r="F57" s="40">
        <v>0</v>
      </c>
      <c r="G57" s="16">
        <v>12</v>
      </c>
      <c r="H57" s="30">
        <v>11.486250000000002</v>
      </c>
      <c r="I57" s="53" t="s">
        <v>141</v>
      </c>
      <c r="J57" s="31"/>
      <c r="K57" s="11">
        <f t="shared" si="0"/>
        <v>0</v>
      </c>
      <c r="L57" s="6"/>
      <c r="M57" s="6"/>
      <c r="N57" s="49" t="str">
        <f t="shared" si="1"/>
        <v>-</v>
      </c>
      <c r="O57" s="49" t="str">
        <f t="shared" si="2"/>
        <v>-</v>
      </c>
      <c r="P57" s="50" t="str">
        <f t="shared" si="3"/>
        <v>-</v>
      </c>
      <c r="Q57" s="51" t="str">
        <f t="shared" si="4"/>
        <v>-</v>
      </c>
      <c r="S57" s="51" t="str">
        <f t="shared" si="5"/>
        <v>-</v>
      </c>
    </row>
    <row r="58" spans="1:19" ht="14.4" x14ac:dyDescent="0.3">
      <c r="A58" s="7">
        <v>7819</v>
      </c>
      <c r="B58" s="8">
        <v>47469078195</v>
      </c>
      <c r="C58" s="9" t="s">
        <v>107</v>
      </c>
      <c r="D58" s="10">
        <v>60</v>
      </c>
      <c r="E58" s="16" t="s">
        <v>123</v>
      </c>
      <c r="F58" s="40">
        <v>0.10039133129024999</v>
      </c>
      <c r="G58" s="16">
        <v>12</v>
      </c>
      <c r="H58" s="30">
        <v>7.4182500000000005</v>
      </c>
      <c r="I58" s="53" t="s">
        <v>141</v>
      </c>
      <c r="J58" s="31"/>
      <c r="K58" s="11">
        <f t="shared" si="0"/>
        <v>0</v>
      </c>
      <c r="L58" s="6"/>
      <c r="M58" s="6"/>
      <c r="N58" s="49" t="str">
        <f t="shared" si="1"/>
        <v>-</v>
      </c>
      <c r="O58" s="49" t="str">
        <f t="shared" si="2"/>
        <v>-</v>
      </c>
      <c r="P58" s="50" t="str">
        <f t="shared" si="3"/>
        <v>-</v>
      </c>
      <c r="Q58" s="51" t="str">
        <f t="shared" si="4"/>
        <v>-</v>
      </c>
      <c r="S58" s="51" t="str">
        <f t="shared" si="5"/>
        <v>-</v>
      </c>
    </row>
    <row r="59" spans="1:19" ht="14.4" x14ac:dyDescent="0.3">
      <c r="A59" s="7">
        <v>4093</v>
      </c>
      <c r="B59" s="8">
        <v>47469040932</v>
      </c>
      <c r="C59" s="9" t="s">
        <v>75</v>
      </c>
      <c r="D59" s="10">
        <v>30</v>
      </c>
      <c r="E59" s="16" t="s">
        <v>128</v>
      </c>
      <c r="F59" s="40">
        <v>5.5343939044625007E-2</v>
      </c>
      <c r="G59" s="16">
        <v>12</v>
      </c>
      <c r="H59" s="30">
        <v>13.493249999999996</v>
      </c>
      <c r="I59" s="53" t="s">
        <v>141</v>
      </c>
      <c r="J59" s="31"/>
      <c r="K59" s="11">
        <f t="shared" si="0"/>
        <v>0</v>
      </c>
      <c r="L59" s="6"/>
      <c r="M59" s="6"/>
      <c r="N59" s="49" t="str">
        <f t="shared" si="1"/>
        <v>-</v>
      </c>
      <c r="O59" s="49" t="str">
        <f t="shared" si="2"/>
        <v>-</v>
      </c>
      <c r="P59" s="50" t="str">
        <f t="shared" si="3"/>
        <v>-</v>
      </c>
      <c r="Q59" s="51" t="str">
        <f t="shared" si="4"/>
        <v>-</v>
      </c>
      <c r="S59" s="51" t="str">
        <f t="shared" si="5"/>
        <v>-</v>
      </c>
    </row>
    <row r="60" spans="1:19" ht="14.4" x14ac:dyDescent="0.3">
      <c r="A60" s="7">
        <v>884</v>
      </c>
      <c r="B60" s="8">
        <v>47469008840</v>
      </c>
      <c r="C60" s="9" t="s">
        <v>74</v>
      </c>
      <c r="D60" s="10">
        <v>30</v>
      </c>
      <c r="E60" s="16" t="s">
        <v>128</v>
      </c>
      <c r="F60" s="40">
        <v>4.9766642861833341E-2</v>
      </c>
      <c r="G60" s="16">
        <v>12</v>
      </c>
      <c r="H60" s="30">
        <v>10.11825</v>
      </c>
      <c r="I60" s="53" t="s">
        <v>141</v>
      </c>
      <c r="J60" s="31"/>
      <c r="K60" s="11">
        <f t="shared" si="0"/>
        <v>0</v>
      </c>
      <c r="L60" s="6"/>
      <c r="M60" s="6"/>
      <c r="N60" s="49" t="str">
        <f t="shared" si="1"/>
        <v>-</v>
      </c>
      <c r="O60" s="49" t="str">
        <f t="shared" si="2"/>
        <v>-</v>
      </c>
      <c r="P60" s="50" t="str">
        <f t="shared" si="3"/>
        <v>-</v>
      </c>
      <c r="Q60" s="51" t="str">
        <f t="shared" si="4"/>
        <v>-</v>
      </c>
      <c r="S60" s="51" t="str">
        <f t="shared" si="5"/>
        <v>-</v>
      </c>
    </row>
    <row r="61" spans="1:19" ht="14.4" x14ac:dyDescent="0.3">
      <c r="A61" s="7">
        <v>970</v>
      </c>
      <c r="B61" s="8">
        <v>47469009700</v>
      </c>
      <c r="C61" s="9" t="s">
        <v>87</v>
      </c>
      <c r="D61" s="10">
        <v>100</v>
      </c>
      <c r="E61" s="16" t="s">
        <v>128</v>
      </c>
      <c r="F61" s="40">
        <v>8.7520647791500011E-2</v>
      </c>
      <c r="G61" s="16">
        <v>12</v>
      </c>
      <c r="H61" s="30">
        <v>7.0807499999999992</v>
      </c>
      <c r="I61" s="53" t="s">
        <v>141</v>
      </c>
      <c r="J61" s="31"/>
      <c r="K61" s="11">
        <f t="shared" si="0"/>
        <v>0</v>
      </c>
      <c r="L61" s="6"/>
      <c r="M61" s="6"/>
      <c r="N61" s="49" t="str">
        <f t="shared" si="1"/>
        <v>-</v>
      </c>
      <c r="O61" s="49" t="str">
        <f t="shared" si="2"/>
        <v>-</v>
      </c>
      <c r="P61" s="50" t="str">
        <f t="shared" si="3"/>
        <v>-</v>
      </c>
      <c r="Q61" s="51" t="str">
        <f t="shared" si="4"/>
        <v>-</v>
      </c>
      <c r="S61" s="51" t="str">
        <f t="shared" si="5"/>
        <v>-</v>
      </c>
    </row>
    <row r="62" spans="1:19" ht="14.4" x14ac:dyDescent="0.3">
      <c r="A62" s="7">
        <v>16108</v>
      </c>
      <c r="B62" s="8">
        <v>47469161088</v>
      </c>
      <c r="C62" s="9" t="s">
        <v>121</v>
      </c>
      <c r="D62" s="10">
        <v>150</v>
      </c>
      <c r="E62" s="16" t="s">
        <v>128</v>
      </c>
      <c r="F62" s="40">
        <v>0.12055540210495833</v>
      </c>
      <c r="G62" s="16">
        <v>12</v>
      </c>
      <c r="H62" s="30">
        <v>7.0807499999999992</v>
      </c>
      <c r="I62" s="53" t="s">
        <v>141</v>
      </c>
      <c r="J62" s="31"/>
      <c r="K62" s="11">
        <f t="shared" si="0"/>
        <v>0</v>
      </c>
      <c r="L62" s="6"/>
      <c r="M62" s="6"/>
      <c r="N62" s="49" t="str">
        <f t="shared" si="1"/>
        <v>-</v>
      </c>
      <c r="O62" s="49" t="str">
        <f t="shared" si="2"/>
        <v>-</v>
      </c>
      <c r="P62" s="50" t="str">
        <f t="shared" si="3"/>
        <v>-</v>
      </c>
      <c r="Q62" s="51" t="str">
        <f t="shared" si="4"/>
        <v>-</v>
      </c>
      <c r="S62" s="51" t="str">
        <f t="shared" si="5"/>
        <v>-</v>
      </c>
    </row>
    <row r="63" spans="1:19" ht="14.4" x14ac:dyDescent="0.3">
      <c r="A63" s="7">
        <v>7171</v>
      </c>
      <c r="B63" s="8">
        <v>47469071714</v>
      </c>
      <c r="C63" s="9" t="s">
        <v>53</v>
      </c>
      <c r="D63" s="10">
        <v>30</v>
      </c>
      <c r="E63" s="16" t="s">
        <v>123</v>
      </c>
      <c r="F63" s="40">
        <v>3.904107327954167E-2</v>
      </c>
      <c r="G63" s="16">
        <v>12</v>
      </c>
      <c r="H63" s="30">
        <v>7.4182500000000005</v>
      </c>
      <c r="I63" s="53" t="s">
        <v>141</v>
      </c>
      <c r="J63" s="31"/>
      <c r="K63" s="11">
        <f t="shared" si="0"/>
        <v>0</v>
      </c>
      <c r="L63" s="6"/>
      <c r="M63" s="6"/>
      <c r="N63" s="49" t="str">
        <f t="shared" si="1"/>
        <v>-</v>
      </c>
      <c r="O63" s="49" t="str">
        <f t="shared" si="2"/>
        <v>-</v>
      </c>
      <c r="P63" s="50" t="str">
        <f t="shared" si="3"/>
        <v>-</v>
      </c>
      <c r="Q63" s="51" t="str">
        <f t="shared" si="4"/>
        <v>-</v>
      </c>
      <c r="S63" s="51" t="str">
        <f t="shared" si="5"/>
        <v>-</v>
      </c>
    </row>
    <row r="64" spans="1:19" ht="14.4" x14ac:dyDescent="0.3">
      <c r="A64" s="7">
        <v>7064</v>
      </c>
      <c r="B64" s="8">
        <v>47469070649</v>
      </c>
      <c r="C64" s="9" t="s">
        <v>49</v>
      </c>
      <c r="D64" s="10">
        <v>75</v>
      </c>
      <c r="E64" s="16" t="s">
        <v>123</v>
      </c>
      <c r="F64" s="40">
        <v>9.6530126240625E-2</v>
      </c>
      <c r="G64" s="16">
        <v>12</v>
      </c>
      <c r="H64" s="30">
        <v>10.793249999999999</v>
      </c>
      <c r="I64" s="53" t="s">
        <v>141</v>
      </c>
      <c r="J64" s="31"/>
      <c r="K64" s="11">
        <f t="shared" si="0"/>
        <v>0</v>
      </c>
      <c r="L64" s="6"/>
      <c r="M64" s="6"/>
      <c r="N64" s="49" t="str">
        <f t="shared" si="1"/>
        <v>-</v>
      </c>
      <c r="O64" s="49" t="str">
        <f t="shared" si="2"/>
        <v>-</v>
      </c>
      <c r="P64" s="50" t="str">
        <f t="shared" si="3"/>
        <v>-</v>
      </c>
      <c r="Q64" s="51" t="str">
        <f t="shared" si="4"/>
        <v>-</v>
      </c>
      <c r="S64" s="51" t="str">
        <f t="shared" si="5"/>
        <v>-</v>
      </c>
    </row>
    <row r="65" spans="1:19" ht="14.4" x14ac:dyDescent="0.3">
      <c r="A65" s="7">
        <v>8216</v>
      </c>
      <c r="B65" s="8">
        <v>47469082161</v>
      </c>
      <c r="C65" s="9" t="s">
        <v>44</v>
      </c>
      <c r="D65" s="10">
        <v>30</v>
      </c>
      <c r="E65" s="16" t="s">
        <v>124</v>
      </c>
      <c r="F65" s="40">
        <v>0.2514073510089167</v>
      </c>
      <c r="G65" s="16">
        <v>12</v>
      </c>
      <c r="H65" s="30">
        <v>10.11825</v>
      </c>
      <c r="I65" s="53" t="s">
        <v>141</v>
      </c>
      <c r="J65" s="31"/>
      <c r="K65" s="11">
        <f t="shared" ref="K65:K113" si="6">J65*H65</f>
        <v>0</v>
      </c>
      <c r="L65" s="6"/>
      <c r="M65" s="6"/>
      <c r="N65" s="49" t="str">
        <f t="shared" ref="N65:N106" si="7">IFERROR(IF($N$2*F65=0, "-", $N$2*F65), "-")</f>
        <v>-</v>
      </c>
      <c r="O65" s="49" t="str">
        <f t="shared" ref="O65:O106" si="8">IF(J65&gt;0,H65+F65*J65/$P$2*$Q$2/J65,"-")</f>
        <v>-</v>
      </c>
      <c r="P65" s="50" t="str">
        <f t="shared" ref="P65:P106" si="9">IF(J65&gt;0,J65*F65, "-")</f>
        <v>-</v>
      </c>
      <c r="Q65" s="51" t="str">
        <f t="shared" ref="Q65:Q106" si="10">IFERROR(IF($N$2&gt;0, $N$2*P65, "-"), "-")</f>
        <v>-</v>
      </c>
      <c r="S65" s="51" t="str">
        <f t="shared" ref="S65:S106" si="11">IFERROR(IF(Q65+K65=0, "-", IF(Q65&gt;0, Q65+K65, "-")), "-")</f>
        <v>-</v>
      </c>
    </row>
    <row r="66" spans="1:19" ht="14.4" x14ac:dyDescent="0.3">
      <c r="A66" s="7">
        <v>6331</v>
      </c>
      <c r="B66" s="8">
        <v>47469063313</v>
      </c>
      <c r="C66" s="9" t="s">
        <v>104</v>
      </c>
      <c r="D66" s="10">
        <v>90</v>
      </c>
      <c r="E66" s="16" t="s">
        <v>123</v>
      </c>
      <c r="F66" s="40">
        <v>0.16731888548375001</v>
      </c>
      <c r="G66" s="16">
        <v>12</v>
      </c>
      <c r="H66" s="30">
        <v>7.3507499999999997</v>
      </c>
      <c r="I66" s="53" t="s">
        <v>141</v>
      </c>
      <c r="J66" s="31"/>
      <c r="K66" s="11">
        <f t="shared" si="6"/>
        <v>0</v>
      </c>
      <c r="L66" s="6"/>
      <c r="M66" s="6"/>
      <c r="N66" s="49" t="str">
        <f t="shared" si="7"/>
        <v>-</v>
      </c>
      <c r="O66" s="49" t="str">
        <f t="shared" si="8"/>
        <v>-</v>
      </c>
      <c r="P66" s="50" t="str">
        <f t="shared" si="9"/>
        <v>-</v>
      </c>
      <c r="Q66" s="51" t="str">
        <f t="shared" si="10"/>
        <v>-</v>
      </c>
      <c r="S66" s="51" t="str">
        <f t="shared" si="11"/>
        <v>-</v>
      </c>
    </row>
    <row r="67" spans="1:19" ht="14.4" x14ac:dyDescent="0.3">
      <c r="A67" s="7">
        <v>7230</v>
      </c>
      <c r="B67" s="8">
        <v>47469072308</v>
      </c>
      <c r="C67" s="9" t="s">
        <v>54</v>
      </c>
      <c r="D67" s="10">
        <v>60</v>
      </c>
      <c r="E67" s="16" t="s">
        <v>123</v>
      </c>
      <c r="F67" s="40">
        <v>6.8643645326666683E-2</v>
      </c>
      <c r="G67" s="16">
        <v>12</v>
      </c>
      <c r="H67" s="30">
        <v>19.568249999999999</v>
      </c>
      <c r="I67" s="53" t="s">
        <v>141</v>
      </c>
      <c r="J67" s="31"/>
      <c r="K67" s="11">
        <f t="shared" si="6"/>
        <v>0</v>
      </c>
      <c r="L67" s="6"/>
      <c r="M67" s="6"/>
      <c r="N67" s="49" t="str">
        <f t="shared" si="7"/>
        <v>-</v>
      </c>
      <c r="O67" s="49" t="str">
        <f t="shared" si="8"/>
        <v>-</v>
      </c>
      <c r="P67" s="50" t="str">
        <f t="shared" si="9"/>
        <v>-</v>
      </c>
      <c r="Q67" s="51" t="str">
        <f t="shared" si="10"/>
        <v>-</v>
      </c>
      <c r="S67" s="51" t="str">
        <f t="shared" si="11"/>
        <v>-</v>
      </c>
    </row>
    <row r="68" spans="1:19" ht="14.4" x14ac:dyDescent="0.3">
      <c r="A68" s="7">
        <v>7340</v>
      </c>
      <c r="B68" s="8">
        <v>47469073404</v>
      </c>
      <c r="C68" s="9" t="s">
        <v>56</v>
      </c>
      <c r="D68" s="10">
        <v>60</v>
      </c>
      <c r="E68" s="16" t="s">
        <v>123</v>
      </c>
      <c r="F68" s="40">
        <v>9.2668921191000009E-2</v>
      </c>
      <c r="G68" s="16">
        <v>12</v>
      </c>
      <c r="H68" s="30">
        <v>30.705750000000002</v>
      </c>
      <c r="I68" s="53" t="s">
        <v>141</v>
      </c>
      <c r="J68" s="31"/>
      <c r="K68" s="11">
        <f t="shared" si="6"/>
        <v>0</v>
      </c>
      <c r="L68" s="6"/>
      <c r="M68" s="6"/>
      <c r="N68" s="49" t="str">
        <f t="shared" si="7"/>
        <v>-</v>
      </c>
      <c r="O68" s="49" t="str">
        <f t="shared" si="8"/>
        <v>-</v>
      </c>
      <c r="P68" s="50" t="str">
        <f t="shared" si="9"/>
        <v>-</v>
      </c>
      <c r="Q68" s="51" t="str">
        <f t="shared" si="10"/>
        <v>-</v>
      </c>
      <c r="S68" s="51" t="str">
        <f t="shared" si="11"/>
        <v>-</v>
      </c>
    </row>
    <row r="69" spans="1:19" ht="14.4" x14ac:dyDescent="0.3">
      <c r="A69" s="7">
        <v>3001</v>
      </c>
      <c r="B69" s="8">
        <v>47469030018</v>
      </c>
      <c r="C69" s="9" t="s">
        <v>91</v>
      </c>
      <c r="D69" s="10">
        <v>60</v>
      </c>
      <c r="E69" s="16" t="s">
        <v>128</v>
      </c>
      <c r="F69" s="40">
        <v>0.13514217673687498</v>
      </c>
      <c r="G69" s="16">
        <v>12</v>
      </c>
      <c r="H69" s="30">
        <v>13.02075</v>
      </c>
      <c r="I69" s="53" t="s">
        <v>141</v>
      </c>
      <c r="J69" s="31"/>
      <c r="K69" s="11">
        <f t="shared" si="6"/>
        <v>0</v>
      </c>
      <c r="L69" s="6"/>
      <c r="M69" s="6"/>
      <c r="N69" s="49" t="str">
        <f t="shared" si="7"/>
        <v>-</v>
      </c>
      <c r="O69" s="49" t="str">
        <f t="shared" si="8"/>
        <v>-</v>
      </c>
      <c r="P69" s="50" t="str">
        <f t="shared" si="9"/>
        <v>-</v>
      </c>
      <c r="Q69" s="51" t="str">
        <f t="shared" si="10"/>
        <v>-</v>
      </c>
      <c r="S69" s="51" t="str">
        <f t="shared" si="11"/>
        <v>-</v>
      </c>
    </row>
    <row r="70" spans="1:19" ht="14.4" x14ac:dyDescent="0.3">
      <c r="A70" s="7">
        <v>7762</v>
      </c>
      <c r="B70" s="8">
        <v>47469077624</v>
      </c>
      <c r="C70" s="9" t="s">
        <v>106</v>
      </c>
      <c r="D70" s="10">
        <v>120</v>
      </c>
      <c r="E70" s="16" t="s">
        <v>123</v>
      </c>
      <c r="F70" s="40">
        <v>0.22352087009495833</v>
      </c>
      <c r="G70" s="16">
        <v>12</v>
      </c>
      <c r="H70" s="30">
        <v>9.4432500000000008</v>
      </c>
      <c r="I70" s="53" t="s">
        <v>141</v>
      </c>
      <c r="J70" s="31"/>
      <c r="K70" s="11">
        <f t="shared" si="6"/>
        <v>0</v>
      </c>
      <c r="L70" s="6"/>
      <c r="M70" s="6"/>
      <c r="N70" s="49" t="str">
        <f t="shared" si="7"/>
        <v>-</v>
      </c>
      <c r="O70" s="49" t="str">
        <f t="shared" si="8"/>
        <v>-</v>
      </c>
      <c r="P70" s="50" t="str">
        <f t="shared" si="9"/>
        <v>-</v>
      </c>
      <c r="Q70" s="51" t="str">
        <f t="shared" si="10"/>
        <v>-</v>
      </c>
      <c r="S70" s="51" t="str">
        <f t="shared" si="11"/>
        <v>-</v>
      </c>
    </row>
    <row r="71" spans="1:19" ht="14.4" x14ac:dyDescent="0.3">
      <c r="A71" s="7">
        <v>5102</v>
      </c>
      <c r="B71" s="8">
        <v>47469051020</v>
      </c>
      <c r="C71" s="9" t="s">
        <v>96</v>
      </c>
      <c r="D71" s="10">
        <v>120</v>
      </c>
      <c r="E71" s="16" t="s">
        <v>128</v>
      </c>
      <c r="F71" s="40">
        <v>0.20850507267975002</v>
      </c>
      <c r="G71" s="16">
        <v>12</v>
      </c>
      <c r="H71" s="30">
        <v>13.493249999999996</v>
      </c>
      <c r="I71" s="53" t="s">
        <v>141</v>
      </c>
      <c r="J71" s="31"/>
      <c r="K71" s="11">
        <f t="shared" si="6"/>
        <v>0</v>
      </c>
      <c r="L71" s="6"/>
      <c r="M71" s="6"/>
      <c r="N71" s="49" t="str">
        <f t="shared" si="7"/>
        <v>-</v>
      </c>
      <c r="O71" s="49" t="str">
        <f t="shared" si="8"/>
        <v>-</v>
      </c>
      <c r="P71" s="50" t="str">
        <f t="shared" si="9"/>
        <v>-</v>
      </c>
      <c r="Q71" s="51" t="str">
        <f t="shared" si="10"/>
        <v>-</v>
      </c>
      <c r="S71" s="51" t="str">
        <f t="shared" si="11"/>
        <v>-</v>
      </c>
    </row>
    <row r="72" spans="1:19" ht="14.4" x14ac:dyDescent="0.3">
      <c r="A72" s="7">
        <v>224</v>
      </c>
      <c r="B72" s="8">
        <v>47469002244</v>
      </c>
      <c r="C72" s="9" t="s">
        <v>78</v>
      </c>
      <c r="D72" s="10">
        <v>150</v>
      </c>
      <c r="E72" s="16" t="s">
        <v>123</v>
      </c>
      <c r="F72" s="40">
        <v>0.28461371443569167</v>
      </c>
      <c r="G72" s="16">
        <v>12</v>
      </c>
      <c r="H72" s="30">
        <v>28.343249999999998</v>
      </c>
      <c r="I72" s="53" t="s">
        <v>141</v>
      </c>
      <c r="J72" s="31"/>
      <c r="K72" s="11">
        <f t="shared" si="6"/>
        <v>0</v>
      </c>
      <c r="L72" s="6"/>
      <c r="M72" s="6"/>
      <c r="N72" s="49" t="str">
        <f t="shared" si="7"/>
        <v>-</v>
      </c>
      <c r="O72" s="49" t="str">
        <f t="shared" si="8"/>
        <v>-</v>
      </c>
      <c r="P72" s="50" t="str">
        <f t="shared" si="9"/>
        <v>-</v>
      </c>
      <c r="Q72" s="51" t="str">
        <f t="shared" si="10"/>
        <v>-</v>
      </c>
      <c r="S72" s="51" t="str">
        <f t="shared" si="11"/>
        <v>-</v>
      </c>
    </row>
    <row r="73" spans="1:19" ht="14.4" x14ac:dyDescent="0.3">
      <c r="A73" s="7">
        <v>5744</v>
      </c>
      <c r="B73" s="8">
        <v>47469057442</v>
      </c>
      <c r="C73" s="9" t="s">
        <v>102</v>
      </c>
      <c r="D73" s="10">
        <v>30</v>
      </c>
      <c r="E73" s="16" t="s">
        <v>128</v>
      </c>
      <c r="F73" s="40">
        <v>0.10296546798999999</v>
      </c>
      <c r="G73" s="16">
        <v>12</v>
      </c>
      <c r="H73" s="30">
        <v>17.54325</v>
      </c>
      <c r="I73" s="53" t="s">
        <v>141</v>
      </c>
      <c r="J73" s="31"/>
      <c r="K73" s="11">
        <f t="shared" si="6"/>
        <v>0</v>
      </c>
      <c r="L73" s="6"/>
      <c r="M73" s="6"/>
      <c r="N73" s="49" t="str">
        <f t="shared" si="7"/>
        <v>-</v>
      </c>
      <c r="O73" s="49" t="str">
        <f t="shared" si="8"/>
        <v>-</v>
      </c>
      <c r="P73" s="50" t="str">
        <f t="shared" si="9"/>
        <v>-</v>
      </c>
      <c r="Q73" s="51" t="str">
        <f t="shared" si="10"/>
        <v>-</v>
      </c>
      <c r="S73" s="51" t="str">
        <f t="shared" si="11"/>
        <v>-</v>
      </c>
    </row>
    <row r="74" spans="1:19" ht="14.4" x14ac:dyDescent="0.3">
      <c r="A74" s="7">
        <v>949</v>
      </c>
      <c r="B74" s="8">
        <v>47469009496</v>
      </c>
      <c r="C74" s="9" t="s">
        <v>86</v>
      </c>
      <c r="D74" s="10">
        <v>30</v>
      </c>
      <c r="E74" s="16" t="s">
        <v>128</v>
      </c>
      <c r="F74" s="40">
        <v>5.0624688428416657E-2</v>
      </c>
      <c r="G74" s="16">
        <v>12</v>
      </c>
      <c r="H74" s="30">
        <v>7.0807499999999992</v>
      </c>
      <c r="I74" s="53" t="s">
        <v>141</v>
      </c>
      <c r="J74" s="31"/>
      <c r="K74" s="11">
        <f t="shared" si="6"/>
        <v>0</v>
      </c>
      <c r="L74" s="6"/>
      <c r="M74" s="6"/>
      <c r="N74" s="49" t="str">
        <f t="shared" si="7"/>
        <v>-</v>
      </c>
      <c r="O74" s="49" t="str">
        <f t="shared" si="8"/>
        <v>-</v>
      </c>
      <c r="P74" s="50" t="str">
        <f t="shared" si="9"/>
        <v>-</v>
      </c>
      <c r="Q74" s="51" t="str">
        <f t="shared" si="10"/>
        <v>-</v>
      </c>
      <c r="S74" s="51" t="str">
        <f t="shared" si="11"/>
        <v>-</v>
      </c>
    </row>
    <row r="75" spans="1:19" ht="14.4" x14ac:dyDescent="0.3">
      <c r="A75" s="7">
        <v>8020</v>
      </c>
      <c r="B75" s="8">
        <v>47469080204</v>
      </c>
      <c r="C75" s="9" t="s">
        <v>19</v>
      </c>
      <c r="D75" s="10">
        <v>30</v>
      </c>
      <c r="E75" s="16" t="s">
        <v>124</v>
      </c>
      <c r="F75" s="40">
        <v>0.2514073510089167</v>
      </c>
      <c r="G75" s="16">
        <v>12</v>
      </c>
      <c r="H75" s="30">
        <v>11.468249999999999</v>
      </c>
      <c r="I75" s="53" t="s">
        <v>141</v>
      </c>
      <c r="J75" s="31"/>
      <c r="K75" s="11">
        <f t="shared" si="6"/>
        <v>0</v>
      </c>
      <c r="L75" s="6"/>
      <c r="M75" s="6"/>
      <c r="N75" s="49" t="str">
        <f t="shared" si="7"/>
        <v>-</v>
      </c>
      <c r="O75" s="49" t="str">
        <f t="shared" si="8"/>
        <v>-</v>
      </c>
      <c r="P75" s="50" t="str">
        <f t="shared" si="9"/>
        <v>-</v>
      </c>
      <c r="Q75" s="51" t="str">
        <f t="shared" si="10"/>
        <v>-</v>
      </c>
      <c r="S75" s="51" t="str">
        <f t="shared" si="11"/>
        <v>-</v>
      </c>
    </row>
    <row r="76" spans="1:19" ht="14.4" x14ac:dyDescent="0.3">
      <c r="A76" s="7">
        <v>8350</v>
      </c>
      <c r="B76" s="8">
        <v>47469083502</v>
      </c>
      <c r="C76" s="9" t="s">
        <v>113</v>
      </c>
      <c r="D76" s="10">
        <v>60</v>
      </c>
      <c r="E76" s="16" t="s">
        <v>128</v>
      </c>
      <c r="F76" s="40">
        <v>6.8643645326666683E-2</v>
      </c>
      <c r="G76" s="16">
        <v>12</v>
      </c>
      <c r="H76" s="30">
        <v>14.168249999999999</v>
      </c>
      <c r="I76" s="53" t="s">
        <v>141</v>
      </c>
      <c r="J76" s="31"/>
      <c r="K76" s="11">
        <f t="shared" si="6"/>
        <v>0</v>
      </c>
      <c r="L76" s="6"/>
      <c r="M76" s="6"/>
      <c r="N76" s="49" t="str">
        <f t="shared" si="7"/>
        <v>-</v>
      </c>
      <c r="O76" s="49" t="str">
        <f t="shared" si="8"/>
        <v>-</v>
      </c>
      <c r="P76" s="50" t="str">
        <f t="shared" si="9"/>
        <v>-</v>
      </c>
      <c r="Q76" s="51" t="str">
        <f t="shared" si="10"/>
        <v>-</v>
      </c>
      <c r="S76" s="51" t="str">
        <f t="shared" si="11"/>
        <v>-</v>
      </c>
    </row>
    <row r="77" spans="1:19" ht="14.4" x14ac:dyDescent="0.3">
      <c r="A77" s="7">
        <v>8060</v>
      </c>
      <c r="B77" s="8">
        <v>47469080600</v>
      </c>
      <c r="C77" s="9" t="s">
        <v>40</v>
      </c>
      <c r="D77" s="10">
        <v>60</v>
      </c>
      <c r="E77" s="16" t="s">
        <v>124</v>
      </c>
      <c r="F77" s="40">
        <v>0.2514073510089167</v>
      </c>
      <c r="G77" s="16">
        <v>12</v>
      </c>
      <c r="H77" s="30">
        <v>14.843249999999998</v>
      </c>
      <c r="I77" s="53" t="s">
        <v>141</v>
      </c>
      <c r="J77" s="31"/>
      <c r="K77" s="11">
        <f t="shared" si="6"/>
        <v>0</v>
      </c>
      <c r="L77" s="6"/>
      <c r="M77" s="6"/>
      <c r="N77" s="49" t="str">
        <f t="shared" si="7"/>
        <v>-</v>
      </c>
      <c r="O77" s="49" t="str">
        <f t="shared" si="8"/>
        <v>-</v>
      </c>
      <c r="P77" s="50" t="str">
        <f t="shared" si="9"/>
        <v>-</v>
      </c>
      <c r="Q77" s="51" t="str">
        <f t="shared" si="10"/>
        <v>-</v>
      </c>
      <c r="S77" s="51" t="str">
        <f t="shared" si="11"/>
        <v>-</v>
      </c>
    </row>
    <row r="78" spans="1:19" ht="14.4" x14ac:dyDescent="0.3">
      <c r="A78" s="7">
        <v>8050</v>
      </c>
      <c r="B78" s="8">
        <v>47469080501</v>
      </c>
      <c r="C78" s="9" t="s">
        <v>110</v>
      </c>
      <c r="D78" s="10">
        <v>16.3</v>
      </c>
      <c r="E78" s="16" t="s">
        <v>130</v>
      </c>
      <c r="F78" s="40">
        <v>0.69158472666616666</v>
      </c>
      <c r="G78" s="16">
        <v>12</v>
      </c>
      <c r="H78" s="30">
        <v>23.61825</v>
      </c>
      <c r="I78" s="53" t="s">
        <v>141</v>
      </c>
      <c r="J78" s="31"/>
      <c r="K78" s="11">
        <f t="shared" si="6"/>
        <v>0</v>
      </c>
      <c r="L78" s="6"/>
      <c r="M78" s="6"/>
      <c r="N78" s="49" t="str">
        <f t="shared" si="7"/>
        <v>-</v>
      </c>
      <c r="O78" s="49" t="str">
        <f t="shared" si="8"/>
        <v>-</v>
      </c>
      <c r="P78" s="50" t="str">
        <f t="shared" si="9"/>
        <v>-</v>
      </c>
      <c r="Q78" s="51" t="str">
        <f t="shared" si="10"/>
        <v>-</v>
      </c>
      <c r="S78" s="51" t="str">
        <f t="shared" si="11"/>
        <v>-</v>
      </c>
    </row>
    <row r="79" spans="1:19" ht="14.4" x14ac:dyDescent="0.3">
      <c r="A79" s="7">
        <v>8049</v>
      </c>
      <c r="B79" s="8">
        <v>47469080495</v>
      </c>
      <c r="C79" s="9" t="s">
        <v>109</v>
      </c>
      <c r="D79" s="10">
        <v>16.8</v>
      </c>
      <c r="E79" s="16" t="s">
        <v>130</v>
      </c>
      <c r="F79" s="40">
        <v>0.7078875924312501</v>
      </c>
      <c r="G79" s="16">
        <v>12</v>
      </c>
      <c r="H79" s="30">
        <v>20.24325</v>
      </c>
      <c r="I79" s="53" t="s">
        <v>141</v>
      </c>
      <c r="J79" s="31"/>
      <c r="K79" s="11">
        <f t="shared" si="6"/>
        <v>0</v>
      </c>
      <c r="L79" s="6"/>
      <c r="M79" s="6"/>
      <c r="N79" s="49" t="str">
        <f t="shared" si="7"/>
        <v>-</v>
      </c>
      <c r="O79" s="49" t="str">
        <f t="shared" si="8"/>
        <v>-</v>
      </c>
      <c r="P79" s="50" t="str">
        <f t="shared" si="9"/>
        <v>-</v>
      </c>
      <c r="Q79" s="51" t="str">
        <f t="shared" si="10"/>
        <v>-</v>
      </c>
      <c r="S79" s="51" t="str">
        <f t="shared" si="11"/>
        <v>-</v>
      </c>
    </row>
    <row r="80" spans="1:19" ht="14.4" x14ac:dyDescent="0.3">
      <c r="A80" s="7">
        <v>7170</v>
      </c>
      <c r="B80" s="8">
        <v>47469071707</v>
      </c>
      <c r="C80" s="9" t="s">
        <v>52</v>
      </c>
      <c r="D80" s="10">
        <v>30</v>
      </c>
      <c r="E80" s="16" t="s">
        <v>123</v>
      </c>
      <c r="F80" s="40">
        <v>3.6895959363083333E-2</v>
      </c>
      <c r="G80" s="16">
        <v>12</v>
      </c>
      <c r="H80" s="30">
        <v>8.0932500000000012</v>
      </c>
      <c r="I80" s="53" t="s">
        <v>141</v>
      </c>
      <c r="J80" s="31"/>
      <c r="K80" s="11">
        <f t="shared" si="6"/>
        <v>0</v>
      </c>
      <c r="L80" s="6"/>
      <c r="M80" s="6"/>
      <c r="N80" s="49" t="str">
        <f t="shared" si="7"/>
        <v>-</v>
      </c>
      <c r="O80" s="49" t="str">
        <f t="shared" si="8"/>
        <v>-</v>
      </c>
      <c r="P80" s="50" t="str">
        <f t="shared" si="9"/>
        <v>-</v>
      </c>
      <c r="Q80" s="51" t="str">
        <f t="shared" si="10"/>
        <v>-</v>
      </c>
      <c r="S80" s="51" t="str">
        <f t="shared" si="11"/>
        <v>-</v>
      </c>
    </row>
    <row r="81" spans="1:19" ht="14.4" x14ac:dyDescent="0.3">
      <c r="A81" s="7">
        <v>7164</v>
      </c>
      <c r="B81" s="8">
        <v>47469071646</v>
      </c>
      <c r="C81" s="9" t="s">
        <v>65</v>
      </c>
      <c r="D81" s="10">
        <v>75</v>
      </c>
      <c r="E81" s="16" t="s">
        <v>123</v>
      </c>
      <c r="F81" s="40">
        <v>5.8347098527666674E-2</v>
      </c>
      <c r="G81" s="16">
        <v>12</v>
      </c>
      <c r="H81" s="30">
        <v>10.793249999999999</v>
      </c>
      <c r="I81" s="53" t="s">
        <v>141</v>
      </c>
      <c r="J81" s="31"/>
      <c r="K81" s="11">
        <f t="shared" si="6"/>
        <v>0</v>
      </c>
      <c r="L81" s="6"/>
      <c r="M81" s="6"/>
      <c r="N81" s="49" t="str">
        <f t="shared" si="7"/>
        <v>-</v>
      </c>
      <c r="O81" s="49" t="str">
        <f t="shared" si="8"/>
        <v>-</v>
      </c>
      <c r="P81" s="50" t="str">
        <f t="shared" si="9"/>
        <v>-</v>
      </c>
      <c r="Q81" s="51" t="str">
        <f t="shared" si="10"/>
        <v>-</v>
      </c>
      <c r="S81" s="51" t="str">
        <f t="shared" si="11"/>
        <v>-</v>
      </c>
    </row>
    <row r="82" spans="1:19" ht="14.4" x14ac:dyDescent="0.3">
      <c r="A82" s="7">
        <v>8172</v>
      </c>
      <c r="B82" s="8">
        <v>47469081720</v>
      </c>
      <c r="C82" s="9" t="s">
        <v>43</v>
      </c>
      <c r="D82" s="10">
        <v>35</v>
      </c>
      <c r="E82" s="16" t="s">
        <v>124</v>
      </c>
      <c r="F82" s="40">
        <v>0.2514073510089167</v>
      </c>
      <c r="G82" s="16">
        <v>12</v>
      </c>
      <c r="H82" s="30">
        <v>10.11825</v>
      </c>
      <c r="I82" s="53" t="s">
        <v>141</v>
      </c>
      <c r="J82" s="31"/>
      <c r="K82" s="11">
        <f t="shared" si="6"/>
        <v>0</v>
      </c>
      <c r="L82" s="6"/>
      <c r="M82" s="6"/>
      <c r="N82" s="49" t="str">
        <f t="shared" si="7"/>
        <v>-</v>
      </c>
      <c r="O82" s="49" t="str">
        <f t="shared" si="8"/>
        <v>-</v>
      </c>
      <c r="P82" s="50" t="str">
        <f t="shared" si="9"/>
        <v>-</v>
      </c>
      <c r="Q82" s="51" t="str">
        <f t="shared" si="10"/>
        <v>-</v>
      </c>
      <c r="S82" s="51" t="str">
        <f t="shared" si="11"/>
        <v>-</v>
      </c>
    </row>
    <row r="83" spans="1:19" ht="14.4" x14ac:dyDescent="0.3">
      <c r="A83" s="7">
        <v>8173</v>
      </c>
      <c r="B83" s="8">
        <v>47469081737</v>
      </c>
      <c r="C83" s="9" t="s">
        <v>43</v>
      </c>
      <c r="D83" s="10">
        <v>55</v>
      </c>
      <c r="E83" s="16" t="s">
        <v>124</v>
      </c>
      <c r="F83" s="40">
        <v>0.2514073510089167</v>
      </c>
      <c r="G83" s="16">
        <v>12</v>
      </c>
      <c r="H83" s="30">
        <v>11.468249999999999</v>
      </c>
      <c r="I83" s="53" t="s">
        <v>141</v>
      </c>
      <c r="J83" s="31"/>
      <c r="K83" s="11">
        <f t="shared" si="6"/>
        <v>0</v>
      </c>
      <c r="L83" s="6"/>
      <c r="M83" s="6"/>
      <c r="N83" s="49" t="str">
        <f t="shared" si="7"/>
        <v>-</v>
      </c>
      <c r="O83" s="49" t="str">
        <f t="shared" si="8"/>
        <v>-</v>
      </c>
      <c r="P83" s="50" t="str">
        <f t="shared" si="9"/>
        <v>-</v>
      </c>
      <c r="Q83" s="51" t="str">
        <f t="shared" si="10"/>
        <v>-</v>
      </c>
      <c r="S83" s="51" t="str">
        <f t="shared" si="11"/>
        <v>-</v>
      </c>
    </row>
    <row r="84" spans="1:19" ht="14.4" x14ac:dyDescent="0.3">
      <c r="A84" s="7">
        <v>467</v>
      </c>
      <c r="B84" s="8">
        <v>47469004675</v>
      </c>
      <c r="C84" s="9" t="s">
        <v>80</v>
      </c>
      <c r="D84" s="10">
        <v>90</v>
      </c>
      <c r="E84" s="16" t="s">
        <v>123</v>
      </c>
      <c r="F84" s="40">
        <v>6.9072668109958338E-2</v>
      </c>
      <c r="G84" s="16">
        <v>12</v>
      </c>
      <c r="H84" s="30">
        <v>6.4057500000000003</v>
      </c>
      <c r="I84" s="53" t="s">
        <v>141</v>
      </c>
      <c r="J84" s="31"/>
      <c r="K84" s="11">
        <f t="shared" si="6"/>
        <v>0</v>
      </c>
      <c r="L84" s="6"/>
      <c r="M84" s="6"/>
      <c r="N84" s="49" t="str">
        <f t="shared" si="7"/>
        <v>-</v>
      </c>
      <c r="O84" s="49" t="str">
        <f t="shared" si="8"/>
        <v>-</v>
      </c>
      <c r="P84" s="50" t="str">
        <f t="shared" si="9"/>
        <v>-</v>
      </c>
      <c r="Q84" s="51" t="str">
        <f t="shared" si="10"/>
        <v>-</v>
      </c>
      <c r="S84" s="51" t="str">
        <f t="shared" si="11"/>
        <v>-</v>
      </c>
    </row>
    <row r="85" spans="1:19" ht="14.4" x14ac:dyDescent="0.3">
      <c r="A85" s="7">
        <v>465</v>
      </c>
      <c r="B85" s="8">
        <v>47469004651</v>
      </c>
      <c r="C85" s="9" t="s">
        <v>79</v>
      </c>
      <c r="D85" s="10">
        <v>90</v>
      </c>
      <c r="E85" s="16" t="s">
        <v>123</v>
      </c>
      <c r="F85" s="40">
        <v>6.6927554193500008E-2</v>
      </c>
      <c r="G85" s="16">
        <v>12</v>
      </c>
      <c r="H85" s="30">
        <v>6.0682500000000008</v>
      </c>
      <c r="I85" s="53" t="s">
        <v>141</v>
      </c>
      <c r="J85" s="31"/>
      <c r="K85" s="11">
        <f t="shared" si="6"/>
        <v>0</v>
      </c>
      <c r="L85" s="6"/>
      <c r="M85" s="6"/>
      <c r="N85" s="49" t="str">
        <f t="shared" si="7"/>
        <v>-</v>
      </c>
      <c r="O85" s="49" t="str">
        <f t="shared" si="8"/>
        <v>-</v>
      </c>
      <c r="P85" s="50" t="str">
        <f t="shared" si="9"/>
        <v>-</v>
      </c>
      <c r="Q85" s="51" t="str">
        <f t="shared" si="10"/>
        <v>-</v>
      </c>
      <c r="S85" s="51" t="str">
        <f t="shared" si="11"/>
        <v>-</v>
      </c>
    </row>
    <row r="86" spans="1:19" ht="14.4" x14ac:dyDescent="0.3">
      <c r="A86" s="7">
        <v>8165</v>
      </c>
      <c r="B86" s="8">
        <v>47469081652</v>
      </c>
      <c r="C86" s="9" t="s">
        <v>42</v>
      </c>
      <c r="D86" s="10">
        <v>45</v>
      </c>
      <c r="E86" s="16" t="s">
        <v>124</v>
      </c>
      <c r="F86" s="40">
        <v>0.2514073510089167</v>
      </c>
      <c r="G86" s="16">
        <v>12</v>
      </c>
      <c r="H86" s="30">
        <v>8.0932500000000012</v>
      </c>
      <c r="I86" s="53" t="s">
        <v>141</v>
      </c>
      <c r="J86" s="31"/>
      <c r="K86" s="11">
        <f t="shared" si="6"/>
        <v>0</v>
      </c>
      <c r="L86" s="6"/>
      <c r="M86" s="6"/>
      <c r="N86" s="49" t="str">
        <f t="shared" si="7"/>
        <v>-</v>
      </c>
      <c r="O86" s="49" t="str">
        <f t="shared" si="8"/>
        <v>-</v>
      </c>
      <c r="P86" s="50" t="str">
        <f t="shared" si="9"/>
        <v>-</v>
      </c>
      <c r="Q86" s="51" t="str">
        <f t="shared" si="10"/>
        <v>-</v>
      </c>
      <c r="S86" s="51" t="str">
        <f t="shared" si="11"/>
        <v>-</v>
      </c>
    </row>
    <row r="87" spans="1:19" ht="14.4" x14ac:dyDescent="0.3">
      <c r="A87" s="10">
        <v>8167</v>
      </c>
      <c r="B87" s="8">
        <v>47469081676</v>
      </c>
      <c r="C87" s="9" t="s">
        <v>42</v>
      </c>
      <c r="D87" s="10">
        <v>65</v>
      </c>
      <c r="E87" s="16" t="s">
        <v>124</v>
      </c>
      <c r="F87" s="40">
        <v>0.2514073510089167</v>
      </c>
      <c r="G87" s="16">
        <v>12</v>
      </c>
      <c r="H87" s="30">
        <v>9.4432500000000008</v>
      </c>
      <c r="I87" s="53" t="s">
        <v>141</v>
      </c>
      <c r="J87" s="31"/>
      <c r="K87" s="11">
        <f t="shared" si="6"/>
        <v>0</v>
      </c>
      <c r="L87" s="6"/>
      <c r="M87" s="6"/>
      <c r="N87" s="49" t="str">
        <f t="shared" si="7"/>
        <v>-</v>
      </c>
      <c r="O87" s="49" t="str">
        <f t="shared" si="8"/>
        <v>-</v>
      </c>
      <c r="P87" s="50" t="str">
        <f t="shared" si="9"/>
        <v>-</v>
      </c>
      <c r="Q87" s="51" t="str">
        <f t="shared" si="10"/>
        <v>-</v>
      </c>
      <c r="S87" s="51" t="str">
        <f t="shared" si="11"/>
        <v>-</v>
      </c>
    </row>
    <row r="88" spans="1:19" ht="14.4" x14ac:dyDescent="0.3">
      <c r="A88" s="10">
        <v>7168</v>
      </c>
      <c r="B88" s="8">
        <v>47469071684</v>
      </c>
      <c r="C88" s="9" t="s">
        <v>51</v>
      </c>
      <c r="D88" s="10">
        <v>30</v>
      </c>
      <c r="E88" s="16" t="s">
        <v>123</v>
      </c>
      <c r="F88" s="40">
        <v>3.6895959363083333E-2</v>
      </c>
      <c r="G88" s="16">
        <v>12</v>
      </c>
      <c r="H88" s="30">
        <v>5.3932499999999992</v>
      </c>
      <c r="I88" s="53" t="s">
        <v>141</v>
      </c>
      <c r="J88" s="31"/>
      <c r="K88" s="11">
        <f t="shared" si="6"/>
        <v>0</v>
      </c>
      <c r="L88" s="6"/>
      <c r="M88" s="6"/>
      <c r="N88" s="49" t="str">
        <f t="shared" si="7"/>
        <v>-</v>
      </c>
      <c r="O88" s="49" t="str">
        <f t="shared" si="8"/>
        <v>-</v>
      </c>
      <c r="P88" s="50" t="str">
        <f t="shared" si="9"/>
        <v>-</v>
      </c>
      <c r="Q88" s="51" t="str">
        <f t="shared" si="10"/>
        <v>-</v>
      </c>
      <c r="S88" s="51" t="str">
        <f t="shared" si="11"/>
        <v>-</v>
      </c>
    </row>
    <row r="89" spans="1:19" ht="14.4" x14ac:dyDescent="0.3">
      <c r="A89" s="7">
        <v>8029</v>
      </c>
      <c r="B89" s="8">
        <v>47469080297</v>
      </c>
      <c r="C89" s="9" t="s">
        <v>111</v>
      </c>
      <c r="D89" s="10">
        <v>8</v>
      </c>
      <c r="E89" s="16" t="s">
        <v>124</v>
      </c>
      <c r="F89" s="40">
        <v>0.4461836946233334</v>
      </c>
      <c r="G89" s="16">
        <v>3</v>
      </c>
      <c r="H89" s="30">
        <v>21.593249999999998</v>
      </c>
      <c r="I89" s="53" t="s">
        <v>141</v>
      </c>
      <c r="J89" s="31"/>
      <c r="K89" s="11">
        <f t="shared" si="6"/>
        <v>0</v>
      </c>
      <c r="L89" s="6"/>
      <c r="M89" s="6"/>
      <c r="N89" s="49" t="str">
        <f t="shared" si="7"/>
        <v>-</v>
      </c>
      <c r="O89" s="49" t="str">
        <f t="shared" si="8"/>
        <v>-</v>
      </c>
      <c r="P89" s="50" t="str">
        <f t="shared" si="9"/>
        <v>-</v>
      </c>
      <c r="Q89" s="51" t="str">
        <f t="shared" si="10"/>
        <v>-</v>
      </c>
      <c r="S89" s="51" t="str">
        <f t="shared" si="11"/>
        <v>-</v>
      </c>
    </row>
    <row r="90" spans="1:19" ht="14.4" x14ac:dyDescent="0.3">
      <c r="A90" s="7">
        <v>7978</v>
      </c>
      <c r="B90" s="8">
        <v>47469079789</v>
      </c>
      <c r="C90" s="9" t="s">
        <v>61</v>
      </c>
      <c r="D90" s="10">
        <v>10</v>
      </c>
      <c r="E90" s="16" t="s">
        <v>124</v>
      </c>
      <c r="F90" s="40">
        <v>1.7375422723312502E-2</v>
      </c>
      <c r="G90" s="16">
        <v>24</v>
      </c>
      <c r="H90" s="30">
        <v>2.6932499999999999</v>
      </c>
      <c r="I90" s="53" t="s">
        <v>141</v>
      </c>
      <c r="J90" s="31"/>
      <c r="K90" s="11">
        <f t="shared" si="6"/>
        <v>0</v>
      </c>
      <c r="L90" s="6"/>
      <c r="M90" s="6"/>
      <c r="N90" s="49" t="str">
        <f t="shared" si="7"/>
        <v>-</v>
      </c>
      <c r="O90" s="49" t="str">
        <f t="shared" si="8"/>
        <v>-</v>
      </c>
      <c r="P90" s="50" t="str">
        <f t="shared" si="9"/>
        <v>-</v>
      </c>
      <c r="Q90" s="51" t="str">
        <f t="shared" si="10"/>
        <v>-</v>
      </c>
      <c r="S90" s="51" t="str">
        <f t="shared" si="11"/>
        <v>-</v>
      </c>
    </row>
    <row r="91" spans="1:19" ht="14.4" x14ac:dyDescent="0.3">
      <c r="A91" s="7">
        <v>7881</v>
      </c>
      <c r="B91" s="8">
        <v>47469078812</v>
      </c>
      <c r="C91" s="9" t="s">
        <v>38</v>
      </c>
      <c r="D91" s="10">
        <v>50</v>
      </c>
      <c r="E91" s="16" t="s">
        <v>124</v>
      </c>
      <c r="F91" s="40">
        <v>0.23596253081041671</v>
      </c>
      <c r="G91" s="16">
        <v>12</v>
      </c>
      <c r="H91" s="30">
        <v>12.143249999999998</v>
      </c>
      <c r="I91" s="53" t="s">
        <v>141</v>
      </c>
      <c r="J91" s="31"/>
      <c r="K91" s="11">
        <f t="shared" si="6"/>
        <v>0</v>
      </c>
      <c r="L91" s="6"/>
      <c r="M91" s="6"/>
      <c r="N91" s="49" t="str">
        <f t="shared" si="7"/>
        <v>-</v>
      </c>
      <c r="O91" s="49" t="str">
        <f t="shared" si="8"/>
        <v>-</v>
      </c>
      <c r="P91" s="50" t="str">
        <f t="shared" si="9"/>
        <v>-</v>
      </c>
      <c r="Q91" s="51" t="str">
        <f t="shared" si="10"/>
        <v>-</v>
      </c>
      <c r="S91" s="51" t="str">
        <f t="shared" si="11"/>
        <v>-</v>
      </c>
    </row>
    <row r="92" spans="1:19" ht="14.4" x14ac:dyDescent="0.3">
      <c r="A92" s="7">
        <v>7979</v>
      </c>
      <c r="B92" s="8">
        <v>47469079796</v>
      </c>
      <c r="C92" s="9" t="s">
        <v>70</v>
      </c>
      <c r="D92" s="10">
        <v>80</v>
      </c>
      <c r="E92" s="16" t="s">
        <v>124</v>
      </c>
      <c r="F92" s="40">
        <v>0.31318663180291667</v>
      </c>
      <c r="G92" s="16">
        <v>12</v>
      </c>
      <c r="H92" s="30">
        <v>16.868249999999996</v>
      </c>
      <c r="I92" s="53" t="s">
        <v>141</v>
      </c>
      <c r="J92" s="31"/>
      <c r="K92" s="11">
        <f t="shared" si="6"/>
        <v>0</v>
      </c>
      <c r="L92" s="6"/>
      <c r="M92" s="6"/>
      <c r="N92" s="49" t="str">
        <f t="shared" si="7"/>
        <v>-</v>
      </c>
      <c r="O92" s="49" t="str">
        <f t="shared" si="8"/>
        <v>-</v>
      </c>
      <c r="P92" s="50" t="str">
        <f t="shared" si="9"/>
        <v>-</v>
      </c>
      <c r="Q92" s="51" t="str">
        <f t="shared" si="10"/>
        <v>-</v>
      </c>
      <c r="S92" s="51" t="str">
        <f t="shared" si="11"/>
        <v>-</v>
      </c>
    </row>
    <row r="93" spans="1:19" ht="14.4" x14ac:dyDescent="0.3">
      <c r="A93" s="7">
        <v>8022</v>
      </c>
      <c r="B93" s="8">
        <v>47469080228</v>
      </c>
      <c r="C93" s="9" t="s">
        <v>71</v>
      </c>
      <c r="D93" s="10">
        <v>32</v>
      </c>
      <c r="E93" s="16" t="s">
        <v>124</v>
      </c>
      <c r="F93" s="40">
        <v>0.16302865765083333</v>
      </c>
      <c r="G93" s="16">
        <v>12</v>
      </c>
      <c r="H93" s="30">
        <v>8.7682499999999983</v>
      </c>
      <c r="I93" s="53" t="s">
        <v>141</v>
      </c>
      <c r="J93" s="31"/>
      <c r="K93" s="11">
        <f t="shared" si="6"/>
        <v>0</v>
      </c>
      <c r="L93" s="6"/>
      <c r="M93" s="6"/>
      <c r="N93" s="49" t="str">
        <f t="shared" si="7"/>
        <v>-</v>
      </c>
      <c r="O93" s="49" t="str">
        <f t="shared" si="8"/>
        <v>-</v>
      </c>
      <c r="P93" s="50" t="str">
        <f t="shared" si="9"/>
        <v>-</v>
      </c>
      <c r="Q93" s="51" t="str">
        <f t="shared" si="10"/>
        <v>-</v>
      </c>
      <c r="S93" s="51" t="str">
        <f t="shared" si="11"/>
        <v>-</v>
      </c>
    </row>
    <row r="94" spans="1:19" ht="14.4" x14ac:dyDescent="0.3">
      <c r="A94" s="7">
        <v>5233</v>
      </c>
      <c r="B94" s="8">
        <v>47469052331</v>
      </c>
      <c r="C94" s="9" t="s">
        <v>98</v>
      </c>
      <c r="D94" s="10">
        <v>50</v>
      </c>
      <c r="E94" s="16" t="s">
        <v>123</v>
      </c>
      <c r="F94" s="40">
        <v>0.10768471860620832</v>
      </c>
      <c r="G94" s="16">
        <v>12</v>
      </c>
      <c r="H94" s="30">
        <v>13.02075</v>
      </c>
      <c r="I94" s="53" t="s">
        <v>141</v>
      </c>
      <c r="J94" s="31"/>
      <c r="K94" s="11">
        <f t="shared" si="6"/>
        <v>0</v>
      </c>
      <c r="L94" s="6"/>
      <c r="M94" s="6"/>
      <c r="N94" s="49" t="str">
        <f t="shared" si="7"/>
        <v>-</v>
      </c>
      <c r="O94" s="49" t="str">
        <f t="shared" si="8"/>
        <v>-</v>
      </c>
      <c r="P94" s="50" t="str">
        <f t="shared" si="9"/>
        <v>-</v>
      </c>
      <c r="Q94" s="51" t="str">
        <f t="shared" si="10"/>
        <v>-</v>
      </c>
      <c r="S94" s="51" t="str">
        <f t="shared" si="11"/>
        <v>-</v>
      </c>
    </row>
    <row r="95" spans="1:19" ht="14.4" x14ac:dyDescent="0.3">
      <c r="A95" s="7">
        <v>8217</v>
      </c>
      <c r="B95" s="8">
        <v>47469082178</v>
      </c>
      <c r="C95" s="9" t="s">
        <v>45</v>
      </c>
      <c r="D95" s="10">
        <v>30</v>
      </c>
      <c r="E95" s="16" t="s">
        <v>124</v>
      </c>
      <c r="F95" s="40">
        <v>0.2514073510089167</v>
      </c>
      <c r="G95" s="16">
        <v>12</v>
      </c>
      <c r="H95" s="30">
        <v>10.11825</v>
      </c>
      <c r="I95" s="53" t="s">
        <v>141</v>
      </c>
      <c r="J95" s="31"/>
      <c r="K95" s="11">
        <f t="shared" si="6"/>
        <v>0</v>
      </c>
      <c r="L95" s="6"/>
      <c r="M95" s="6"/>
      <c r="N95" s="49" t="str">
        <f t="shared" si="7"/>
        <v>-</v>
      </c>
      <c r="O95" s="49" t="str">
        <f t="shared" si="8"/>
        <v>-</v>
      </c>
      <c r="P95" s="50" t="str">
        <f t="shared" si="9"/>
        <v>-</v>
      </c>
      <c r="Q95" s="51" t="str">
        <f t="shared" si="10"/>
        <v>-</v>
      </c>
      <c r="S95" s="51" t="str">
        <f t="shared" si="11"/>
        <v>-</v>
      </c>
    </row>
    <row r="96" spans="1:19" ht="14.4" x14ac:dyDescent="0.3">
      <c r="A96" s="7">
        <v>7926</v>
      </c>
      <c r="B96" s="8">
        <v>47469079260</v>
      </c>
      <c r="C96" s="9" t="s">
        <v>39</v>
      </c>
      <c r="D96" s="10">
        <v>140</v>
      </c>
      <c r="E96" s="16" t="s">
        <v>124</v>
      </c>
      <c r="F96" s="40">
        <v>0.60063189660833338</v>
      </c>
      <c r="G96" s="16">
        <v>12</v>
      </c>
      <c r="H96" s="30">
        <v>16.868249999999996</v>
      </c>
      <c r="I96" s="53" t="s">
        <v>141</v>
      </c>
      <c r="J96" s="31"/>
      <c r="K96" s="11">
        <f t="shared" si="6"/>
        <v>0</v>
      </c>
      <c r="L96" s="6"/>
      <c r="M96" s="6"/>
      <c r="N96" s="49" t="str">
        <f t="shared" si="7"/>
        <v>-</v>
      </c>
      <c r="O96" s="49" t="str">
        <f t="shared" si="8"/>
        <v>-</v>
      </c>
      <c r="P96" s="50" t="str">
        <f t="shared" si="9"/>
        <v>-</v>
      </c>
      <c r="Q96" s="51" t="str">
        <f t="shared" si="10"/>
        <v>-</v>
      </c>
      <c r="S96" s="51" t="str">
        <f t="shared" si="11"/>
        <v>-</v>
      </c>
    </row>
    <row r="97" spans="1:19" ht="14.4" x14ac:dyDescent="0.3">
      <c r="A97" s="7">
        <v>7686</v>
      </c>
      <c r="B97" s="8">
        <v>47469076863</v>
      </c>
      <c r="C97" s="9" t="s">
        <v>59</v>
      </c>
      <c r="D97" s="10">
        <v>140</v>
      </c>
      <c r="E97" s="16" t="s">
        <v>124</v>
      </c>
      <c r="F97" s="40">
        <v>0.60063189660833338</v>
      </c>
      <c r="G97" s="16">
        <v>12</v>
      </c>
      <c r="H97" s="30">
        <v>16.868249999999996</v>
      </c>
      <c r="I97" s="53" t="s">
        <v>141</v>
      </c>
      <c r="J97" s="31"/>
      <c r="K97" s="11">
        <f t="shared" si="6"/>
        <v>0</v>
      </c>
      <c r="L97" s="6"/>
      <c r="M97" s="6"/>
      <c r="N97" s="49" t="str">
        <f t="shared" si="7"/>
        <v>-</v>
      </c>
      <c r="O97" s="49" t="str">
        <f t="shared" si="8"/>
        <v>-</v>
      </c>
      <c r="P97" s="50" t="str">
        <f t="shared" si="9"/>
        <v>-</v>
      </c>
      <c r="Q97" s="51" t="str">
        <f t="shared" si="10"/>
        <v>-</v>
      </c>
      <c r="S97" s="51" t="str">
        <f t="shared" si="11"/>
        <v>-</v>
      </c>
    </row>
    <row r="98" spans="1:19" ht="14.4" x14ac:dyDescent="0.3">
      <c r="A98" s="7">
        <v>8349</v>
      </c>
      <c r="B98" s="8">
        <v>47469083496</v>
      </c>
      <c r="C98" s="9" t="s">
        <v>112</v>
      </c>
      <c r="D98" s="10">
        <v>60</v>
      </c>
      <c r="E98" s="16" t="s">
        <v>128</v>
      </c>
      <c r="F98" s="40">
        <v>6.8643645326666683E-2</v>
      </c>
      <c r="G98" s="16">
        <v>12</v>
      </c>
      <c r="H98" s="30">
        <v>15.518249999999998</v>
      </c>
      <c r="I98" s="53" t="s">
        <v>141</v>
      </c>
      <c r="J98" s="31"/>
      <c r="K98" s="11">
        <f t="shared" si="6"/>
        <v>0</v>
      </c>
      <c r="L98" s="6"/>
      <c r="M98" s="6"/>
      <c r="N98" s="49" t="str">
        <f t="shared" si="7"/>
        <v>-</v>
      </c>
      <c r="O98" s="49" t="str">
        <f t="shared" si="8"/>
        <v>-</v>
      </c>
      <c r="P98" s="50" t="str">
        <f t="shared" si="9"/>
        <v>-</v>
      </c>
      <c r="Q98" s="51" t="str">
        <f t="shared" si="10"/>
        <v>-</v>
      </c>
      <c r="S98" s="51" t="str">
        <f t="shared" si="11"/>
        <v>-</v>
      </c>
    </row>
    <row r="99" spans="1:19" ht="14.4" x14ac:dyDescent="0.3">
      <c r="A99" s="7">
        <v>8358</v>
      </c>
      <c r="B99" s="8">
        <v>47469083588</v>
      </c>
      <c r="C99" s="9" t="s">
        <v>118</v>
      </c>
      <c r="D99" s="10">
        <v>60</v>
      </c>
      <c r="E99" s="16" t="s">
        <v>124</v>
      </c>
      <c r="F99" s="40">
        <v>0.3861205049625</v>
      </c>
      <c r="G99" s="16">
        <v>12</v>
      </c>
      <c r="H99" s="30">
        <v>17.54325</v>
      </c>
      <c r="I99" s="53" t="s">
        <v>141</v>
      </c>
      <c r="J99" s="31"/>
      <c r="K99" s="11">
        <f t="shared" si="6"/>
        <v>0</v>
      </c>
      <c r="L99" s="6"/>
      <c r="M99" s="6"/>
      <c r="N99" s="49" t="str">
        <f t="shared" si="7"/>
        <v>-</v>
      </c>
      <c r="O99" s="49" t="str">
        <f t="shared" si="8"/>
        <v>-</v>
      </c>
      <c r="P99" s="50" t="str">
        <f t="shared" si="9"/>
        <v>-</v>
      </c>
      <c r="Q99" s="51" t="str">
        <f t="shared" si="10"/>
        <v>-</v>
      </c>
      <c r="S99" s="51" t="str">
        <f t="shared" si="11"/>
        <v>-</v>
      </c>
    </row>
    <row r="100" spans="1:19" ht="14.4" x14ac:dyDescent="0.3">
      <c r="A100" s="7">
        <v>8359</v>
      </c>
      <c r="B100" s="8">
        <v>47469083595</v>
      </c>
      <c r="C100" s="9" t="s">
        <v>119</v>
      </c>
      <c r="D100" s="10">
        <v>60</v>
      </c>
      <c r="E100" s="16" t="s">
        <v>124</v>
      </c>
      <c r="F100" s="40">
        <v>0.3861205049625</v>
      </c>
      <c r="G100" s="16">
        <v>12</v>
      </c>
      <c r="H100" s="30">
        <v>17.54325</v>
      </c>
      <c r="I100" s="53" t="s">
        <v>141</v>
      </c>
      <c r="J100" s="31"/>
      <c r="K100" s="11">
        <f t="shared" si="6"/>
        <v>0</v>
      </c>
      <c r="L100" s="6"/>
      <c r="M100" s="6"/>
      <c r="N100" s="49" t="str">
        <f t="shared" si="7"/>
        <v>-</v>
      </c>
      <c r="O100" s="49" t="str">
        <f t="shared" si="8"/>
        <v>-</v>
      </c>
      <c r="P100" s="50" t="str">
        <f t="shared" si="9"/>
        <v>-</v>
      </c>
      <c r="Q100" s="51" t="str">
        <f t="shared" si="10"/>
        <v>-</v>
      </c>
      <c r="S100" s="51" t="str">
        <f t="shared" si="11"/>
        <v>-</v>
      </c>
    </row>
    <row r="101" spans="1:19" ht="14.4" x14ac:dyDescent="0.3">
      <c r="A101" s="7">
        <v>8356</v>
      </c>
      <c r="B101" s="8">
        <v>47469083564</v>
      </c>
      <c r="C101" s="9" t="s">
        <v>116</v>
      </c>
      <c r="D101" s="10">
        <v>10</v>
      </c>
      <c r="E101" s="16" t="s">
        <v>132</v>
      </c>
      <c r="F101" s="40">
        <v>6.4353417493750009E-2</v>
      </c>
      <c r="G101" s="16">
        <v>12</v>
      </c>
      <c r="H101" s="30">
        <v>18.893249999999995</v>
      </c>
      <c r="I101" s="53" t="s">
        <v>141</v>
      </c>
      <c r="J101" s="31"/>
      <c r="K101" s="11">
        <f t="shared" si="6"/>
        <v>0</v>
      </c>
      <c r="L101" s="6"/>
      <c r="M101" s="6"/>
      <c r="N101" s="49" t="str">
        <f t="shared" si="7"/>
        <v>-</v>
      </c>
      <c r="O101" s="49" t="str">
        <f t="shared" si="8"/>
        <v>-</v>
      </c>
      <c r="P101" s="50" t="str">
        <f t="shared" si="9"/>
        <v>-</v>
      </c>
      <c r="Q101" s="51" t="str">
        <f t="shared" si="10"/>
        <v>-</v>
      </c>
      <c r="S101" s="51" t="str">
        <f t="shared" si="11"/>
        <v>-</v>
      </c>
    </row>
    <row r="102" spans="1:19" ht="14.4" x14ac:dyDescent="0.3">
      <c r="A102" s="7">
        <v>8357</v>
      </c>
      <c r="B102" s="8">
        <v>47469083571</v>
      </c>
      <c r="C102" s="9" t="s">
        <v>117</v>
      </c>
      <c r="D102" s="10">
        <v>10</v>
      </c>
      <c r="E102" s="16" t="s">
        <v>132</v>
      </c>
      <c r="F102" s="40">
        <v>6.4353417493750009E-2</v>
      </c>
      <c r="G102" s="16">
        <v>12</v>
      </c>
      <c r="H102" s="30">
        <v>18.893249999999995</v>
      </c>
      <c r="I102" s="53" t="s">
        <v>141</v>
      </c>
      <c r="J102" s="31"/>
      <c r="K102" s="11">
        <f t="shared" si="6"/>
        <v>0</v>
      </c>
      <c r="L102" s="6"/>
      <c r="M102" s="6"/>
      <c r="N102" s="49" t="str">
        <f t="shared" si="7"/>
        <v>-</v>
      </c>
      <c r="O102" s="49" t="str">
        <f t="shared" si="8"/>
        <v>-</v>
      </c>
      <c r="P102" s="50" t="str">
        <f t="shared" si="9"/>
        <v>-</v>
      </c>
      <c r="Q102" s="51" t="str">
        <f t="shared" si="10"/>
        <v>-</v>
      </c>
      <c r="S102" s="51" t="str">
        <f t="shared" si="11"/>
        <v>-</v>
      </c>
    </row>
    <row r="103" spans="1:19" ht="14.4" x14ac:dyDescent="0.3">
      <c r="A103" s="7">
        <v>997</v>
      </c>
      <c r="B103" s="8">
        <v>47469009977</v>
      </c>
      <c r="C103" s="9" t="s">
        <v>88</v>
      </c>
      <c r="D103" s="10">
        <v>60</v>
      </c>
      <c r="E103" s="16" t="s">
        <v>129</v>
      </c>
      <c r="F103" s="40">
        <v>0.12870683498750002</v>
      </c>
      <c r="G103" s="16">
        <v>12</v>
      </c>
      <c r="H103" s="30">
        <v>9.0382500000000014</v>
      </c>
      <c r="I103" s="53" t="s">
        <v>141</v>
      </c>
      <c r="J103" s="31"/>
      <c r="K103" s="11">
        <f t="shared" si="6"/>
        <v>0</v>
      </c>
      <c r="L103" s="6"/>
      <c r="M103" s="6"/>
      <c r="N103" s="49" t="str">
        <f t="shared" si="7"/>
        <v>-</v>
      </c>
      <c r="O103" s="49" t="str">
        <f t="shared" si="8"/>
        <v>-</v>
      </c>
      <c r="P103" s="50" t="str">
        <f t="shared" si="9"/>
        <v>-</v>
      </c>
      <c r="Q103" s="51" t="str">
        <f t="shared" si="10"/>
        <v>-</v>
      </c>
      <c r="S103" s="51" t="str">
        <f t="shared" si="11"/>
        <v>-</v>
      </c>
    </row>
    <row r="104" spans="1:19" ht="14.4" x14ac:dyDescent="0.3">
      <c r="A104" s="7">
        <v>513</v>
      </c>
      <c r="B104" s="8">
        <v>47469005139</v>
      </c>
      <c r="C104" s="9" t="s">
        <v>81</v>
      </c>
      <c r="D104" s="10">
        <v>60</v>
      </c>
      <c r="E104" s="16" t="s">
        <v>128</v>
      </c>
      <c r="F104" s="40">
        <v>6.3924394710458327E-2</v>
      </c>
      <c r="G104" s="16">
        <v>12</v>
      </c>
      <c r="H104" s="30">
        <v>34.283249999999995</v>
      </c>
      <c r="I104" s="53" t="s">
        <v>141</v>
      </c>
      <c r="J104" s="31"/>
      <c r="K104" s="11">
        <f t="shared" si="6"/>
        <v>0</v>
      </c>
      <c r="L104" s="6"/>
      <c r="M104" s="6"/>
      <c r="N104" s="49" t="str">
        <f t="shared" si="7"/>
        <v>-</v>
      </c>
      <c r="O104" s="49" t="str">
        <f t="shared" si="8"/>
        <v>-</v>
      </c>
      <c r="P104" s="50" t="str">
        <f t="shared" si="9"/>
        <v>-</v>
      </c>
      <c r="Q104" s="51" t="str">
        <f t="shared" si="10"/>
        <v>-</v>
      </c>
      <c r="S104" s="51" t="str">
        <f t="shared" si="11"/>
        <v>-</v>
      </c>
    </row>
    <row r="105" spans="1:19" ht="14.4" x14ac:dyDescent="0.3">
      <c r="A105" s="7">
        <v>908</v>
      </c>
      <c r="B105" s="8">
        <v>47469009083</v>
      </c>
      <c r="C105" s="9" t="s">
        <v>84</v>
      </c>
      <c r="D105" s="10">
        <v>50</v>
      </c>
      <c r="E105" s="16" t="s">
        <v>128</v>
      </c>
      <c r="F105" s="40">
        <v>9.5243057890750007E-2</v>
      </c>
      <c r="G105" s="16">
        <v>12</v>
      </c>
      <c r="H105" s="30">
        <v>10.11825</v>
      </c>
      <c r="I105" s="53" t="s">
        <v>141</v>
      </c>
      <c r="J105" s="31"/>
      <c r="K105" s="11">
        <f t="shared" si="6"/>
        <v>0</v>
      </c>
      <c r="L105" s="6"/>
      <c r="M105" s="6"/>
      <c r="N105" s="49" t="str">
        <f t="shared" si="7"/>
        <v>-</v>
      </c>
      <c r="O105" s="49" t="str">
        <f t="shared" si="8"/>
        <v>-</v>
      </c>
      <c r="P105" s="50" t="str">
        <f t="shared" si="9"/>
        <v>-</v>
      </c>
      <c r="Q105" s="51" t="str">
        <f t="shared" si="10"/>
        <v>-</v>
      </c>
      <c r="S105" s="51" t="str">
        <f t="shared" si="11"/>
        <v>-</v>
      </c>
    </row>
    <row r="106" spans="1:19" ht="14.4" x14ac:dyDescent="0.3">
      <c r="A106" s="7">
        <v>7993</v>
      </c>
      <c r="B106" s="8">
        <v>47469079932</v>
      </c>
      <c r="C106" s="9" t="s">
        <v>108</v>
      </c>
      <c r="D106" s="10">
        <v>60</v>
      </c>
      <c r="E106" s="16" t="s">
        <v>123</v>
      </c>
      <c r="F106" s="40">
        <v>5.8347098527666674E-2</v>
      </c>
      <c r="G106" s="16">
        <v>12</v>
      </c>
      <c r="H106" s="30">
        <v>9.4432500000000008</v>
      </c>
      <c r="I106" s="53" t="s">
        <v>141</v>
      </c>
      <c r="J106" s="31"/>
      <c r="K106" s="11">
        <f t="shared" si="6"/>
        <v>0</v>
      </c>
      <c r="L106" s="6"/>
      <c r="M106" s="6"/>
      <c r="N106" s="49" t="str">
        <f t="shared" si="7"/>
        <v>-</v>
      </c>
      <c r="O106" s="49" t="str">
        <f t="shared" si="8"/>
        <v>-</v>
      </c>
      <c r="P106" s="50" t="str">
        <f t="shared" si="9"/>
        <v>-</v>
      </c>
      <c r="Q106" s="51" t="str">
        <f t="shared" si="10"/>
        <v>-</v>
      </c>
      <c r="S106" s="51" t="str">
        <f t="shared" si="11"/>
        <v>-</v>
      </c>
    </row>
    <row r="107" spans="1:19" ht="14.4" x14ac:dyDescent="0.3">
      <c r="A107" s="7">
        <v>7994</v>
      </c>
      <c r="B107" s="8">
        <v>47469079949</v>
      </c>
      <c r="C107" s="9" t="s">
        <v>12</v>
      </c>
      <c r="D107" s="10">
        <v>50</v>
      </c>
      <c r="E107" s="16" t="s">
        <v>124</v>
      </c>
      <c r="F107" s="40">
        <v>0.2230918473116667</v>
      </c>
      <c r="G107" s="16">
        <v>12</v>
      </c>
      <c r="H107" s="30">
        <v>12.143249999999998</v>
      </c>
      <c r="I107" s="53" t="s">
        <v>141</v>
      </c>
      <c r="J107" s="31"/>
      <c r="K107" s="11">
        <f t="shared" si="6"/>
        <v>0</v>
      </c>
      <c r="L107" s="6"/>
      <c r="M107" s="6"/>
      <c r="N107" s="49" t="str">
        <f t="shared" ref="N107:N117" si="12">IFERROR(IF($N$2*F107=0, "-", $N$2*F107), "-")</f>
        <v>-</v>
      </c>
      <c r="O107" s="49" t="str">
        <f t="shared" ref="O107:O117" si="13">IF(J107&gt;0,H107+F107*J107/$P$2*$Q$2/J107,"-")</f>
        <v>-</v>
      </c>
      <c r="P107" s="50" t="str">
        <f t="shared" ref="P107:P117" si="14">IF(J107&gt;0,J107*F107, "-")</f>
        <v>-</v>
      </c>
      <c r="Q107" s="51" t="str">
        <f t="shared" ref="Q107:Q117" si="15">IFERROR(IF($N$2&gt;0, $N$2*P107, "-"), "-")</f>
        <v>-</v>
      </c>
      <c r="S107" s="51" t="str">
        <f t="shared" ref="S107:S117" si="16">IFERROR(IF(Q107+K107=0, "-", IF(Q107&gt;0, Q107+K107, "-")), "-")</f>
        <v>-</v>
      </c>
    </row>
    <row r="108" spans="1:19" ht="14.4" x14ac:dyDescent="0.3">
      <c r="A108" s="7">
        <v>7995</v>
      </c>
      <c r="B108" s="8" t="s">
        <v>20</v>
      </c>
      <c r="C108" s="9" t="s">
        <v>13</v>
      </c>
      <c r="D108" s="10">
        <v>30</v>
      </c>
      <c r="E108" s="16" t="s">
        <v>128</v>
      </c>
      <c r="F108" s="40">
        <v>6.0063189660833335E-2</v>
      </c>
      <c r="G108" s="16">
        <v>12</v>
      </c>
      <c r="H108" s="30">
        <v>12.143249999999998</v>
      </c>
      <c r="I108" s="53" t="s">
        <v>141</v>
      </c>
      <c r="J108" s="31"/>
      <c r="K108" s="11">
        <f t="shared" si="6"/>
        <v>0</v>
      </c>
      <c r="L108" s="6"/>
      <c r="M108" s="6"/>
      <c r="N108" s="49" t="str">
        <f t="shared" si="12"/>
        <v>-</v>
      </c>
      <c r="O108" s="49" t="str">
        <f t="shared" si="13"/>
        <v>-</v>
      </c>
      <c r="P108" s="50" t="str">
        <f t="shared" si="14"/>
        <v>-</v>
      </c>
      <c r="Q108" s="51" t="str">
        <f t="shared" si="15"/>
        <v>-</v>
      </c>
      <c r="S108" s="51" t="str">
        <f t="shared" si="16"/>
        <v>-</v>
      </c>
    </row>
    <row r="109" spans="1:19" ht="14.4" x14ac:dyDescent="0.3">
      <c r="A109" s="7">
        <v>4898</v>
      </c>
      <c r="B109" s="8">
        <v>47469048983</v>
      </c>
      <c r="C109" s="9" t="s">
        <v>95</v>
      </c>
      <c r="D109" s="10">
        <v>60</v>
      </c>
      <c r="E109" s="16" t="s">
        <v>123</v>
      </c>
      <c r="F109" s="40">
        <v>8.7520647791500011E-2</v>
      </c>
      <c r="G109" s="16">
        <v>12</v>
      </c>
      <c r="H109" s="30">
        <v>8.7682499999999983</v>
      </c>
      <c r="I109" s="53" t="s">
        <v>141</v>
      </c>
      <c r="J109" s="31"/>
      <c r="K109" s="11">
        <f t="shared" si="6"/>
        <v>0</v>
      </c>
      <c r="L109" s="6"/>
      <c r="M109" s="6"/>
      <c r="N109" s="49" t="str">
        <f t="shared" si="12"/>
        <v>-</v>
      </c>
      <c r="O109" s="49" t="str">
        <f t="shared" si="13"/>
        <v>-</v>
      </c>
      <c r="P109" s="50" t="str">
        <f t="shared" si="14"/>
        <v>-</v>
      </c>
      <c r="Q109" s="51" t="str">
        <f t="shared" si="15"/>
        <v>-</v>
      </c>
      <c r="S109" s="51" t="str">
        <f t="shared" si="16"/>
        <v>-</v>
      </c>
    </row>
    <row r="110" spans="1:19" ht="14.4" x14ac:dyDescent="0.3">
      <c r="A110" s="7">
        <v>863</v>
      </c>
      <c r="B110" s="8">
        <v>47469008635</v>
      </c>
      <c r="C110" s="9" t="s">
        <v>82</v>
      </c>
      <c r="D110" s="10">
        <v>60</v>
      </c>
      <c r="E110" s="16" t="s">
        <v>129</v>
      </c>
      <c r="F110" s="40">
        <v>0.18190566011566667</v>
      </c>
      <c r="G110" s="16">
        <v>12</v>
      </c>
      <c r="H110" s="30">
        <v>13.02075</v>
      </c>
      <c r="I110" s="53" t="s">
        <v>141</v>
      </c>
      <c r="J110" s="31"/>
      <c r="K110" s="11">
        <f t="shared" si="6"/>
        <v>0</v>
      </c>
      <c r="L110" s="6"/>
      <c r="M110" s="6"/>
      <c r="N110" s="49" t="str">
        <f t="shared" si="12"/>
        <v>-</v>
      </c>
      <c r="O110" s="49" t="str">
        <f t="shared" si="13"/>
        <v>-</v>
      </c>
      <c r="P110" s="50" t="str">
        <f t="shared" si="14"/>
        <v>-</v>
      </c>
      <c r="Q110" s="51" t="str">
        <f t="shared" si="15"/>
        <v>-</v>
      </c>
      <c r="S110" s="51" t="str">
        <f t="shared" si="16"/>
        <v>-</v>
      </c>
    </row>
    <row r="111" spans="1:19" ht="14.4" x14ac:dyDescent="0.3">
      <c r="A111" s="7">
        <v>864</v>
      </c>
      <c r="B111" s="8">
        <v>47469008642</v>
      </c>
      <c r="C111" s="9" t="s">
        <v>83</v>
      </c>
      <c r="D111" s="10">
        <v>90</v>
      </c>
      <c r="E111" s="16" t="s">
        <v>129</v>
      </c>
      <c r="F111" s="40">
        <v>0.24711712317600001</v>
      </c>
      <c r="G111" s="16">
        <v>12</v>
      </c>
      <c r="H111" s="30">
        <v>18.285749999999997</v>
      </c>
      <c r="I111" s="53" t="s">
        <v>141</v>
      </c>
      <c r="J111" s="31"/>
      <c r="K111" s="11">
        <f t="shared" si="6"/>
        <v>0</v>
      </c>
      <c r="L111" s="6"/>
      <c r="M111" s="6"/>
      <c r="N111" s="49" t="str">
        <f t="shared" si="12"/>
        <v>-</v>
      </c>
      <c r="O111" s="49" t="str">
        <f t="shared" si="13"/>
        <v>-</v>
      </c>
      <c r="P111" s="50" t="str">
        <f t="shared" si="14"/>
        <v>-</v>
      </c>
      <c r="Q111" s="51" t="str">
        <f t="shared" si="15"/>
        <v>-</v>
      </c>
      <c r="S111" s="51" t="str">
        <f t="shared" si="16"/>
        <v>-</v>
      </c>
    </row>
    <row r="112" spans="1:19" ht="14.4" x14ac:dyDescent="0.3">
      <c r="A112" s="7">
        <v>7146</v>
      </c>
      <c r="B112" s="8">
        <v>47469071462</v>
      </c>
      <c r="C112" s="9" t="s">
        <v>105</v>
      </c>
      <c r="D112" s="10">
        <v>60</v>
      </c>
      <c r="E112" s="16" t="s">
        <v>128</v>
      </c>
      <c r="F112" s="40">
        <v>0.12870683498750002</v>
      </c>
      <c r="G112" s="16">
        <v>12</v>
      </c>
      <c r="H112" s="30">
        <v>14.843249999999998</v>
      </c>
      <c r="I112" s="53" t="s">
        <v>141</v>
      </c>
      <c r="J112" s="31"/>
      <c r="K112" s="11">
        <f t="shared" si="6"/>
        <v>0</v>
      </c>
      <c r="L112" s="6"/>
      <c r="M112" s="6"/>
      <c r="N112" s="49" t="str">
        <f t="shared" si="12"/>
        <v>-</v>
      </c>
      <c r="O112" s="49" t="str">
        <f t="shared" si="13"/>
        <v>-</v>
      </c>
      <c r="P112" s="50" t="str">
        <f t="shared" si="14"/>
        <v>-</v>
      </c>
      <c r="Q112" s="51" t="str">
        <f t="shared" si="15"/>
        <v>-</v>
      </c>
      <c r="S112" s="51" t="str">
        <f t="shared" si="16"/>
        <v>-</v>
      </c>
    </row>
    <row r="113" spans="1:19" ht="14.4" x14ac:dyDescent="0.3">
      <c r="A113" s="7">
        <v>5303</v>
      </c>
      <c r="B113" s="8">
        <v>47469053031</v>
      </c>
      <c r="C113" s="9" t="s">
        <v>144</v>
      </c>
      <c r="D113" s="10">
        <v>120</v>
      </c>
      <c r="E113" s="16" t="s">
        <v>128</v>
      </c>
      <c r="F113" s="40">
        <v>0</v>
      </c>
      <c r="G113" s="16">
        <v>12</v>
      </c>
      <c r="H113" s="30">
        <v>34.582499999999996</v>
      </c>
      <c r="I113" s="53" t="s">
        <v>141</v>
      </c>
      <c r="J113" s="31"/>
      <c r="K113" s="11">
        <f t="shared" si="6"/>
        <v>0</v>
      </c>
      <c r="L113" s="6"/>
      <c r="M113" s="6"/>
      <c r="N113" s="49" t="str">
        <f t="shared" si="12"/>
        <v>-</v>
      </c>
      <c r="O113" s="49" t="str">
        <f t="shared" si="13"/>
        <v>-</v>
      </c>
      <c r="P113" s="50" t="str">
        <f t="shared" si="14"/>
        <v>-</v>
      </c>
      <c r="Q113" s="51" t="str">
        <f t="shared" si="15"/>
        <v>-</v>
      </c>
      <c r="S113" s="51" t="str">
        <f t="shared" si="16"/>
        <v>-</v>
      </c>
    </row>
    <row r="114" spans="1:19" ht="14.4" x14ac:dyDescent="0.3">
      <c r="A114" s="7">
        <v>6014</v>
      </c>
      <c r="B114" s="8">
        <v>47469060145</v>
      </c>
      <c r="C114" s="9" t="s">
        <v>146</v>
      </c>
      <c r="D114" s="10">
        <v>60</v>
      </c>
      <c r="E114" s="16" t="s">
        <v>123</v>
      </c>
      <c r="F114" s="40">
        <v>0</v>
      </c>
      <c r="G114" s="16">
        <v>12</v>
      </c>
      <c r="H114" s="30">
        <v>10.248749999999999</v>
      </c>
      <c r="I114" s="53" t="s">
        <v>141</v>
      </c>
      <c r="J114" s="31"/>
      <c r="K114" s="11">
        <f t="shared" ref="K114" si="17">J114*H114</f>
        <v>0</v>
      </c>
      <c r="L114" s="6"/>
      <c r="M114" s="6"/>
      <c r="N114" s="49" t="str">
        <f t="shared" si="12"/>
        <v>-</v>
      </c>
      <c r="O114" s="49" t="str">
        <f t="shared" si="13"/>
        <v>-</v>
      </c>
      <c r="P114" s="50" t="str">
        <f t="shared" si="14"/>
        <v>-</v>
      </c>
      <c r="Q114" s="51" t="str">
        <f t="shared" si="15"/>
        <v>-</v>
      </c>
      <c r="S114" s="51" t="str">
        <f t="shared" si="16"/>
        <v>-</v>
      </c>
    </row>
    <row r="115" spans="1:19" ht="14.4" x14ac:dyDescent="0.3">
      <c r="A115" s="7">
        <v>8560</v>
      </c>
      <c r="B115" s="8">
        <v>47469085605</v>
      </c>
      <c r="C115" s="9" t="s">
        <v>149</v>
      </c>
      <c r="D115" s="10">
        <v>60</v>
      </c>
      <c r="E115" s="16" t="s">
        <v>123</v>
      </c>
      <c r="F115" s="40">
        <v>7.7224100992500017E-2</v>
      </c>
      <c r="G115" s="16">
        <v>12</v>
      </c>
      <c r="H115" s="30">
        <v>8.088750000000001</v>
      </c>
      <c r="I115" s="53" t="s">
        <v>141</v>
      </c>
      <c r="J115" s="31"/>
      <c r="K115" s="11">
        <f t="shared" ref="K115:K117" si="18">J115*H115</f>
        <v>0</v>
      </c>
      <c r="L115" s="6"/>
      <c r="N115" s="49" t="str">
        <f t="shared" si="12"/>
        <v>-</v>
      </c>
      <c r="O115" s="49" t="str">
        <f t="shared" si="13"/>
        <v>-</v>
      </c>
      <c r="P115" s="50" t="str">
        <f t="shared" si="14"/>
        <v>-</v>
      </c>
      <c r="Q115" s="51" t="str">
        <f t="shared" si="15"/>
        <v>-</v>
      </c>
      <c r="S115" s="51" t="str">
        <f t="shared" si="16"/>
        <v>-</v>
      </c>
    </row>
    <row r="116" spans="1:19" ht="14.4" x14ac:dyDescent="0.3">
      <c r="A116" s="7">
        <v>8553</v>
      </c>
      <c r="B116" s="8">
        <v>47469085537</v>
      </c>
      <c r="C116" s="9" t="s">
        <v>150</v>
      </c>
      <c r="D116" s="10">
        <v>60</v>
      </c>
      <c r="E116" s="16" t="s">
        <v>128</v>
      </c>
      <c r="F116" s="40">
        <v>0.13514217673687498</v>
      </c>
      <c r="G116" s="16">
        <v>12</v>
      </c>
      <c r="H116" s="30">
        <v>14.163749999999999</v>
      </c>
      <c r="I116" s="53" t="s">
        <v>141</v>
      </c>
      <c r="J116" s="31"/>
      <c r="K116" s="11">
        <f t="shared" si="18"/>
        <v>0</v>
      </c>
      <c r="L116" s="6"/>
      <c r="N116" s="49" t="str">
        <f t="shared" si="12"/>
        <v>-</v>
      </c>
      <c r="O116" s="49" t="str">
        <f t="shared" si="13"/>
        <v>-</v>
      </c>
      <c r="P116" s="50" t="str">
        <f t="shared" si="14"/>
        <v>-</v>
      </c>
      <c r="Q116" s="51" t="str">
        <f t="shared" si="15"/>
        <v>-</v>
      </c>
      <c r="S116" s="51" t="str">
        <f t="shared" si="16"/>
        <v>-</v>
      </c>
    </row>
    <row r="117" spans="1:19" ht="15" thickBot="1" x14ac:dyDescent="0.35">
      <c r="A117" s="7">
        <v>8561</v>
      </c>
      <c r="B117" s="8">
        <v>47469085612</v>
      </c>
      <c r="C117" s="9" t="s">
        <v>151</v>
      </c>
      <c r="D117" s="10">
        <v>60</v>
      </c>
      <c r="E117" s="16" t="s">
        <v>123</v>
      </c>
      <c r="F117" s="40">
        <v>9.1381852841124989E-2</v>
      </c>
      <c r="G117" s="16">
        <v>12</v>
      </c>
      <c r="H117" s="30">
        <v>10.379999999999999</v>
      </c>
      <c r="I117" s="53" t="s">
        <v>141</v>
      </c>
      <c r="J117" s="31"/>
      <c r="K117" s="11">
        <f t="shared" si="18"/>
        <v>0</v>
      </c>
      <c r="L117" s="6"/>
      <c r="N117" s="49" t="str">
        <f t="shared" si="12"/>
        <v>-</v>
      </c>
      <c r="O117" s="49" t="str">
        <f t="shared" si="13"/>
        <v>-</v>
      </c>
      <c r="P117" s="50" t="str">
        <f t="shared" si="14"/>
        <v>-</v>
      </c>
      <c r="Q117" s="51" t="str">
        <f t="shared" si="15"/>
        <v>-</v>
      </c>
      <c r="S117" s="51" t="str">
        <f t="shared" si="16"/>
        <v>-</v>
      </c>
    </row>
    <row r="118" spans="1:19" ht="15" thickBot="1" x14ac:dyDescent="0.3">
      <c r="A118" s="17"/>
      <c r="B118" s="17"/>
      <c r="C118" s="18"/>
      <c r="D118" s="17"/>
      <c r="E118" s="17"/>
      <c r="F118" s="17"/>
      <c r="G118" s="17"/>
      <c r="H118" s="17"/>
      <c r="I118" s="17"/>
      <c r="J118" s="38"/>
      <c r="K118" s="17"/>
      <c r="N118" s="49"/>
      <c r="O118" s="49"/>
      <c r="P118" s="50"/>
      <c r="Q118" s="51"/>
      <c r="S118" s="51"/>
    </row>
    <row r="119" spans="1:19" ht="14.4" x14ac:dyDescent="0.25">
      <c r="N119" s="49"/>
      <c r="O119" s="49"/>
      <c r="P119" s="50"/>
      <c r="Q119" s="51"/>
      <c r="S119" s="51"/>
    </row>
    <row r="120" spans="1:19" ht="14.4" x14ac:dyDescent="0.25">
      <c r="N120" s="49"/>
      <c r="O120" s="49"/>
      <c r="P120" s="50"/>
      <c r="Q120" s="51"/>
      <c r="S120" s="51"/>
    </row>
    <row r="121" spans="1:19" ht="15" thickBot="1" x14ac:dyDescent="0.3">
      <c r="N121" s="49"/>
      <c r="O121" s="49"/>
      <c r="P121" s="50"/>
      <c r="Q121" s="51"/>
      <c r="S121" s="51"/>
    </row>
    <row r="122" spans="1:19" ht="24" customHeight="1" thickBot="1" x14ac:dyDescent="0.35">
      <c r="C122" s="23" t="e" vm="1">
        <v>#VALUE!</v>
      </c>
      <c r="N122" s="49"/>
      <c r="O122" s="49"/>
      <c r="P122" s="50"/>
      <c r="Q122" s="51"/>
      <c r="S122" s="51"/>
    </row>
    <row r="123" spans="1:19" ht="14.4" x14ac:dyDescent="0.25">
      <c r="C123" s="24" t="s">
        <v>18</v>
      </c>
      <c r="N123" s="49"/>
      <c r="O123" s="49"/>
      <c r="P123" s="50"/>
      <c r="Q123" s="51"/>
      <c r="S123" s="51"/>
    </row>
    <row r="124" spans="1:19" ht="14.4" x14ac:dyDescent="0.25">
      <c r="C124" s="25" t="s">
        <v>17</v>
      </c>
      <c r="N124" s="49"/>
      <c r="O124" s="49"/>
      <c r="P124" s="50"/>
      <c r="Q124" s="51"/>
      <c r="S124" s="51"/>
    </row>
    <row r="125" spans="1:19" ht="15" thickBot="1" x14ac:dyDescent="0.3">
      <c r="C125" s="26" t="s">
        <v>14</v>
      </c>
      <c r="N125" s="49"/>
      <c r="O125" s="49"/>
      <c r="P125" s="50"/>
      <c r="Q125" s="51"/>
      <c r="S125" s="51"/>
    </row>
    <row r="126" spans="1:19" ht="14.4" x14ac:dyDescent="0.25">
      <c r="C126" s="27" t="s">
        <v>15</v>
      </c>
      <c r="N126" s="49"/>
      <c r="O126" s="49"/>
      <c r="P126" s="50"/>
      <c r="Q126" s="51"/>
      <c r="S126" s="51"/>
    </row>
    <row r="127" spans="1:19" ht="15" thickBot="1" x14ac:dyDescent="0.3">
      <c r="C127" s="28" t="s">
        <v>16</v>
      </c>
      <c r="N127" s="49"/>
      <c r="O127" s="49"/>
      <c r="P127" s="50"/>
      <c r="Q127" s="51"/>
      <c r="S127" s="51"/>
    </row>
    <row r="128" spans="1:19" ht="14.4" x14ac:dyDescent="0.25">
      <c r="N128" s="49"/>
      <c r="O128" s="49"/>
      <c r="P128" s="50"/>
      <c r="Q128" s="51"/>
      <c r="S128" s="51"/>
    </row>
    <row r="129" spans="14:19" ht="14.4" x14ac:dyDescent="0.25">
      <c r="N129" s="49"/>
      <c r="O129" s="49"/>
      <c r="P129" s="50"/>
      <c r="Q129" s="51"/>
      <c r="S129" s="51"/>
    </row>
    <row r="130" spans="14:19" ht="14.4" x14ac:dyDescent="0.25">
      <c r="N130" s="49"/>
      <c r="O130" s="49"/>
      <c r="P130" s="50"/>
      <c r="Q130" s="51"/>
      <c r="S130" s="51"/>
    </row>
    <row r="131" spans="14:19" ht="14.4" x14ac:dyDescent="0.25">
      <c r="N131" s="49"/>
      <c r="O131" s="49"/>
      <c r="P131" s="50"/>
      <c r="Q131" s="51"/>
      <c r="S131" s="51"/>
    </row>
    <row r="132" spans="14:19" ht="14.4" x14ac:dyDescent="0.25">
      <c r="N132" s="49"/>
      <c r="O132" s="49"/>
      <c r="P132" s="50"/>
      <c r="Q132" s="51"/>
      <c r="S132" s="51"/>
    </row>
    <row r="133" spans="14:19" ht="14.4" x14ac:dyDescent="0.25">
      <c r="N133" s="49"/>
      <c r="O133" s="49"/>
      <c r="P133" s="50"/>
      <c r="Q133" s="51"/>
      <c r="S133" s="51"/>
    </row>
    <row r="134" spans="14:19" ht="14.4" x14ac:dyDescent="0.25">
      <c r="N134" s="49"/>
      <c r="O134" s="49"/>
      <c r="P134" s="50"/>
      <c r="Q134" s="51"/>
      <c r="S134" s="51"/>
    </row>
    <row r="135" spans="14:19" ht="14.4" x14ac:dyDescent="0.25">
      <c r="N135" s="49"/>
      <c r="O135" s="49"/>
      <c r="P135" s="50"/>
      <c r="Q135" s="51"/>
      <c r="S135" s="51"/>
    </row>
    <row r="136" spans="14:19" ht="14.4" x14ac:dyDescent="0.25">
      <c r="N136" s="49"/>
      <c r="O136" s="49"/>
      <c r="P136" s="50"/>
      <c r="Q136" s="51"/>
      <c r="S136" s="51"/>
    </row>
    <row r="137" spans="14:19" ht="14.4" x14ac:dyDescent="0.25">
      <c r="N137" s="49"/>
      <c r="O137" s="49"/>
      <c r="P137" s="50"/>
      <c r="Q137" s="51"/>
      <c r="S137" s="51"/>
    </row>
    <row r="138" spans="14:19" ht="14.4" x14ac:dyDescent="0.25">
      <c r="N138" s="49"/>
      <c r="O138" s="49"/>
      <c r="P138" s="50"/>
      <c r="Q138" s="51"/>
      <c r="S138" s="51"/>
    </row>
    <row r="139" spans="14:19" ht="14.4" x14ac:dyDescent="0.25">
      <c r="N139" s="49"/>
      <c r="O139" s="49"/>
      <c r="P139" s="50"/>
      <c r="Q139" s="51"/>
      <c r="S139" s="51"/>
    </row>
    <row r="140" spans="14:19" ht="14.4" x14ac:dyDescent="0.25">
      <c r="N140" s="49"/>
      <c r="O140" s="49"/>
      <c r="P140" s="50"/>
      <c r="Q140" s="51"/>
      <c r="S140" s="51"/>
    </row>
    <row r="141" spans="14:19" ht="14.4" x14ac:dyDescent="0.25">
      <c r="N141" s="49"/>
      <c r="O141" s="49"/>
      <c r="P141" s="50"/>
      <c r="Q141" s="51"/>
      <c r="S141" s="51"/>
    </row>
    <row r="142" spans="14:19" ht="14.4" x14ac:dyDescent="0.25">
      <c r="N142" s="49"/>
      <c r="O142" s="49"/>
      <c r="P142" s="50"/>
      <c r="Q142" s="51"/>
      <c r="S142" s="51"/>
    </row>
    <row r="143" spans="14:19" ht="14.4" x14ac:dyDescent="0.25">
      <c r="N143" s="49"/>
      <c r="O143" s="49"/>
      <c r="P143" s="50"/>
      <c r="Q143" s="51"/>
      <c r="S143" s="51"/>
    </row>
    <row r="144" spans="14:19" ht="14.4" x14ac:dyDescent="0.25">
      <c r="N144" s="49"/>
      <c r="O144" s="49"/>
      <c r="P144" s="50"/>
      <c r="Q144" s="51"/>
      <c r="S144" s="51"/>
    </row>
    <row r="145" spans="14:19" ht="14.4" x14ac:dyDescent="0.25">
      <c r="N145" s="49"/>
      <c r="O145" s="49"/>
      <c r="P145" s="50"/>
      <c r="Q145" s="51"/>
      <c r="S145" s="51"/>
    </row>
    <row r="146" spans="14:19" ht="14.4" x14ac:dyDescent="0.25">
      <c r="N146" s="49"/>
      <c r="O146" s="49"/>
      <c r="P146" s="50"/>
      <c r="Q146" s="51"/>
      <c r="S146" s="51"/>
    </row>
    <row r="147" spans="14:19" ht="14.4" x14ac:dyDescent="0.25">
      <c r="N147" s="49"/>
      <c r="O147" s="49"/>
      <c r="P147" s="50"/>
      <c r="Q147" s="51"/>
      <c r="S147" s="51"/>
    </row>
    <row r="148" spans="14:19" ht="14.4" x14ac:dyDescent="0.25">
      <c r="N148" s="49"/>
      <c r="O148" s="49"/>
      <c r="P148" s="50"/>
      <c r="Q148" s="51"/>
      <c r="S148" s="51"/>
    </row>
    <row r="149" spans="14:19" ht="14.4" x14ac:dyDescent="0.25">
      <c r="N149" s="49"/>
      <c r="O149" s="49"/>
      <c r="P149" s="50"/>
      <c r="Q149" s="51"/>
      <c r="S149" s="51"/>
    </row>
    <row r="150" spans="14:19" ht="14.4" x14ac:dyDescent="0.25">
      <c r="N150" s="49"/>
      <c r="O150" s="49"/>
      <c r="P150" s="50"/>
      <c r="Q150" s="51"/>
      <c r="S150" s="51"/>
    </row>
    <row r="151" spans="14:19" ht="14.4" x14ac:dyDescent="0.25">
      <c r="N151" s="49"/>
      <c r="O151" s="49"/>
      <c r="P151" s="50"/>
      <c r="Q151" s="51"/>
      <c r="S151" s="51"/>
    </row>
    <row r="152" spans="14:19" ht="14.4" x14ac:dyDescent="0.25">
      <c r="N152" s="49"/>
      <c r="O152" s="49"/>
      <c r="P152" s="50"/>
      <c r="Q152" s="51"/>
      <c r="S152" s="51"/>
    </row>
    <row r="153" spans="14:19" ht="14.4" x14ac:dyDescent="0.25">
      <c r="N153" s="49"/>
      <c r="O153" s="49"/>
      <c r="P153" s="50"/>
      <c r="Q153" s="51"/>
      <c r="S153" s="51"/>
    </row>
    <row r="154" spans="14:19" ht="14.4" x14ac:dyDescent="0.25">
      <c r="N154" s="49"/>
      <c r="O154" s="49"/>
      <c r="P154" s="50"/>
      <c r="Q154" s="51"/>
      <c r="S154" s="51"/>
    </row>
    <row r="155" spans="14:19" ht="14.4" x14ac:dyDescent="0.25">
      <c r="N155" s="49"/>
      <c r="O155" s="49"/>
      <c r="P155" s="50"/>
      <c r="Q155" s="51"/>
      <c r="S155" s="51"/>
    </row>
    <row r="156" spans="14:19" ht="14.4" x14ac:dyDescent="0.25">
      <c r="N156" s="49"/>
      <c r="O156" s="49"/>
      <c r="P156" s="50"/>
      <c r="Q156" s="51"/>
      <c r="S156" s="51"/>
    </row>
    <row r="157" spans="14:19" ht="14.4" x14ac:dyDescent="0.25">
      <c r="N157" s="49"/>
      <c r="O157" s="49"/>
      <c r="P157" s="50"/>
      <c r="Q157" s="51"/>
      <c r="S157" s="51"/>
    </row>
    <row r="158" spans="14:19" ht="14.4" x14ac:dyDescent="0.25">
      <c r="N158" s="49"/>
      <c r="O158" s="49"/>
      <c r="P158" s="50"/>
      <c r="Q158" s="51"/>
      <c r="S158" s="51"/>
    </row>
    <row r="159" spans="14:19" ht="14.4" x14ac:dyDescent="0.25">
      <c r="N159" s="49"/>
      <c r="O159" s="49"/>
      <c r="P159" s="50"/>
      <c r="Q159" s="51"/>
      <c r="S159" s="51"/>
    </row>
    <row r="160" spans="14:19" ht="14.4" x14ac:dyDescent="0.25">
      <c r="N160" s="49"/>
      <c r="O160" s="49"/>
      <c r="P160" s="50"/>
      <c r="Q160" s="51"/>
      <c r="S160" s="51"/>
    </row>
    <row r="161" spans="14:19" ht="14.4" x14ac:dyDescent="0.25">
      <c r="N161" s="49"/>
      <c r="O161" s="49"/>
      <c r="P161" s="50"/>
      <c r="Q161" s="51"/>
      <c r="S161" s="51"/>
    </row>
    <row r="162" spans="14:19" ht="14.4" x14ac:dyDescent="0.25">
      <c r="N162" s="49"/>
      <c r="O162" s="49"/>
      <c r="P162" s="50"/>
      <c r="Q162" s="51"/>
      <c r="S162" s="51"/>
    </row>
    <row r="163" spans="14:19" ht="14.4" x14ac:dyDescent="0.25">
      <c r="N163" s="49"/>
      <c r="O163" s="49"/>
      <c r="P163" s="50"/>
      <c r="Q163" s="51"/>
      <c r="S163" s="51"/>
    </row>
    <row r="164" spans="14:19" ht="14.4" x14ac:dyDescent="0.25">
      <c r="N164" s="49"/>
      <c r="O164" s="49"/>
      <c r="P164" s="50"/>
      <c r="Q164" s="51"/>
      <c r="S164" s="51"/>
    </row>
    <row r="165" spans="14:19" ht="14.4" x14ac:dyDescent="0.25">
      <c r="N165" s="49"/>
      <c r="O165" s="49"/>
      <c r="P165" s="50"/>
      <c r="Q165" s="51"/>
      <c r="S165" s="51"/>
    </row>
    <row r="166" spans="14:19" ht="14.4" x14ac:dyDescent="0.25">
      <c r="N166" s="49"/>
      <c r="O166" s="49"/>
      <c r="P166" s="50"/>
      <c r="Q166" s="51"/>
      <c r="S166" s="51"/>
    </row>
    <row r="167" spans="14:19" ht="14.4" x14ac:dyDescent="0.25">
      <c r="N167" s="49"/>
      <c r="O167" s="49"/>
      <c r="P167" s="50"/>
      <c r="Q167" s="51"/>
      <c r="S167" s="51"/>
    </row>
    <row r="168" spans="14:19" ht="14.4" x14ac:dyDescent="0.25">
      <c r="N168" s="49"/>
      <c r="O168" s="49"/>
      <c r="P168" s="50"/>
      <c r="Q168" s="51"/>
      <c r="S168" s="51"/>
    </row>
    <row r="169" spans="14:19" ht="14.4" x14ac:dyDescent="0.25">
      <c r="N169" s="49"/>
      <c r="O169" s="49"/>
      <c r="P169" s="50"/>
      <c r="Q169" s="51"/>
      <c r="S169" s="51"/>
    </row>
    <row r="170" spans="14:19" ht="14.4" x14ac:dyDescent="0.25">
      <c r="N170" s="49"/>
      <c r="O170" s="49"/>
      <c r="P170" s="50"/>
      <c r="Q170" s="51"/>
      <c r="S170" s="51"/>
    </row>
    <row r="171" spans="14:19" ht="14.4" x14ac:dyDescent="0.25">
      <c r="N171" s="49"/>
      <c r="O171" s="49"/>
      <c r="P171" s="50"/>
      <c r="Q171" s="51"/>
      <c r="S171" s="51"/>
    </row>
    <row r="172" spans="14:19" ht="14.4" x14ac:dyDescent="0.25">
      <c r="N172" s="49"/>
      <c r="O172" s="49"/>
      <c r="P172" s="50"/>
      <c r="Q172" s="51"/>
      <c r="S172" s="51"/>
    </row>
    <row r="173" spans="14:19" ht="14.4" x14ac:dyDescent="0.25">
      <c r="N173" s="49"/>
      <c r="O173" s="49"/>
      <c r="P173" s="50"/>
      <c r="Q173" s="51"/>
      <c r="S173" s="51"/>
    </row>
    <row r="174" spans="14:19" ht="14.4" x14ac:dyDescent="0.25">
      <c r="N174" s="49"/>
      <c r="O174" s="49"/>
      <c r="P174" s="50"/>
      <c r="Q174" s="51"/>
      <c r="S174" s="51"/>
    </row>
    <row r="175" spans="14:19" ht="14.4" x14ac:dyDescent="0.25">
      <c r="N175" s="49"/>
      <c r="O175" s="49"/>
      <c r="P175" s="50"/>
      <c r="Q175" s="51"/>
      <c r="S175" s="51"/>
    </row>
    <row r="176" spans="14:19" ht="14.4" x14ac:dyDescent="0.25">
      <c r="N176" s="49"/>
      <c r="O176" s="49"/>
      <c r="P176" s="50"/>
      <c r="Q176" s="51"/>
      <c r="S176" s="51"/>
    </row>
    <row r="177" spans="14:19" ht="14.4" x14ac:dyDescent="0.25">
      <c r="N177" s="49"/>
      <c r="O177" s="49"/>
      <c r="P177" s="50"/>
      <c r="Q177" s="51"/>
      <c r="S177" s="51"/>
    </row>
    <row r="178" spans="14:19" ht="14.4" x14ac:dyDescent="0.25">
      <c r="N178" s="49"/>
      <c r="O178" s="49"/>
      <c r="P178" s="50"/>
      <c r="Q178" s="51"/>
      <c r="S178" s="51"/>
    </row>
    <row r="179" spans="14:19" ht="14.4" x14ac:dyDescent="0.25">
      <c r="N179" s="49"/>
      <c r="O179" s="49"/>
      <c r="P179" s="50"/>
      <c r="Q179" s="51"/>
      <c r="S179" s="51"/>
    </row>
    <row r="180" spans="14:19" ht="14.4" x14ac:dyDescent="0.25">
      <c r="N180" s="49"/>
      <c r="O180" s="49"/>
      <c r="P180" s="50"/>
      <c r="Q180" s="51"/>
      <c r="S180" s="51"/>
    </row>
    <row r="181" spans="14:19" ht="14.4" x14ac:dyDescent="0.25">
      <c r="N181" s="49"/>
      <c r="O181" s="49"/>
      <c r="P181" s="50"/>
      <c r="Q181" s="51"/>
      <c r="S181" s="51"/>
    </row>
    <row r="182" spans="14:19" ht="14.4" x14ac:dyDescent="0.25">
      <c r="N182" s="49"/>
      <c r="O182" s="49"/>
      <c r="P182" s="50"/>
      <c r="Q182" s="51"/>
      <c r="S182" s="51"/>
    </row>
    <row r="183" spans="14:19" ht="14.4" x14ac:dyDescent="0.25">
      <c r="N183" s="49"/>
      <c r="O183" s="49"/>
      <c r="P183" s="50"/>
      <c r="Q183" s="51"/>
      <c r="S183" s="51"/>
    </row>
    <row r="184" spans="14:19" ht="14.4" x14ac:dyDescent="0.25">
      <c r="N184" s="49"/>
      <c r="O184" s="49"/>
      <c r="P184" s="50"/>
      <c r="Q184" s="51"/>
      <c r="S184" s="51"/>
    </row>
    <row r="185" spans="14:19" ht="14.4" x14ac:dyDescent="0.25">
      <c r="N185" s="49"/>
      <c r="O185" s="49"/>
      <c r="P185" s="50"/>
      <c r="Q185" s="51"/>
      <c r="S185" s="51"/>
    </row>
    <row r="186" spans="14:19" ht="14.4" x14ac:dyDescent="0.25">
      <c r="N186" s="49"/>
      <c r="O186" s="49"/>
      <c r="P186" s="50"/>
      <c r="Q186" s="51"/>
      <c r="S186" s="51"/>
    </row>
    <row r="187" spans="14:19" ht="14.4" x14ac:dyDescent="0.25">
      <c r="N187" s="49"/>
      <c r="O187" s="49"/>
      <c r="P187" s="50"/>
      <c r="Q187" s="51"/>
      <c r="S187" s="51"/>
    </row>
    <row r="188" spans="14:19" ht="14.4" x14ac:dyDescent="0.25">
      <c r="N188" s="49"/>
      <c r="O188" s="49"/>
      <c r="P188" s="50"/>
      <c r="Q188" s="51"/>
      <c r="S188" s="51"/>
    </row>
    <row r="189" spans="14:19" ht="14.4" x14ac:dyDescent="0.25">
      <c r="N189" s="49"/>
      <c r="O189" s="49"/>
      <c r="P189" s="50"/>
      <c r="Q189" s="51"/>
      <c r="S189" s="51"/>
    </row>
    <row r="190" spans="14:19" ht="14.4" x14ac:dyDescent="0.25">
      <c r="N190" s="49"/>
      <c r="O190" s="49"/>
      <c r="P190" s="50"/>
      <c r="Q190" s="51"/>
      <c r="S190" s="51"/>
    </row>
    <row r="191" spans="14:19" ht="14.4" x14ac:dyDescent="0.25">
      <c r="N191" s="49"/>
      <c r="O191" s="49"/>
      <c r="P191" s="50"/>
      <c r="Q191" s="51"/>
      <c r="S191" s="51"/>
    </row>
    <row r="192" spans="14:19" ht="14.4" x14ac:dyDescent="0.25">
      <c r="N192" s="49"/>
      <c r="O192" s="49"/>
      <c r="P192" s="50"/>
      <c r="Q192" s="51"/>
      <c r="S192" s="51"/>
    </row>
    <row r="193" spans="14:19" ht="14.4" x14ac:dyDescent="0.25">
      <c r="N193" s="49"/>
      <c r="O193" s="49"/>
      <c r="P193" s="50"/>
      <c r="Q193" s="51"/>
      <c r="S193" s="51"/>
    </row>
    <row r="194" spans="14:19" ht="14.4" x14ac:dyDescent="0.25">
      <c r="N194" s="49"/>
      <c r="O194" s="49"/>
      <c r="P194" s="50"/>
      <c r="Q194" s="51"/>
      <c r="S194" s="51"/>
    </row>
    <row r="195" spans="14:19" ht="14.4" x14ac:dyDescent="0.25">
      <c r="N195" s="49"/>
      <c r="O195" s="49"/>
      <c r="P195" s="50"/>
      <c r="Q195" s="51"/>
      <c r="S195" s="51"/>
    </row>
    <row r="196" spans="14:19" ht="14.4" x14ac:dyDescent="0.25">
      <c r="N196" s="49"/>
      <c r="O196" s="49"/>
      <c r="P196" s="50"/>
      <c r="Q196" s="51"/>
      <c r="S196" s="51"/>
    </row>
    <row r="197" spans="14:19" ht="14.4" x14ac:dyDescent="0.25">
      <c r="N197" s="49"/>
      <c r="O197" s="49"/>
      <c r="P197" s="50"/>
      <c r="Q197" s="51"/>
      <c r="S197" s="51"/>
    </row>
    <row r="198" spans="14:19" ht="14.4" x14ac:dyDescent="0.25">
      <c r="N198" s="49"/>
      <c r="O198" s="49"/>
      <c r="P198" s="50"/>
      <c r="Q198" s="51"/>
      <c r="S198" s="51"/>
    </row>
    <row r="199" spans="14:19" ht="14.4" x14ac:dyDescent="0.25">
      <c r="N199" s="49"/>
      <c r="O199" s="49"/>
      <c r="P199" s="50"/>
      <c r="Q199" s="51"/>
      <c r="S199" s="51"/>
    </row>
    <row r="200" spans="14:19" ht="14.4" x14ac:dyDescent="0.25">
      <c r="N200" s="49"/>
      <c r="O200" s="49"/>
      <c r="P200" s="50"/>
      <c r="Q200" s="51"/>
      <c r="S200" s="51"/>
    </row>
    <row r="201" spans="14:19" ht="14.4" x14ac:dyDescent="0.25">
      <c r="N201" s="49"/>
      <c r="O201" s="49"/>
      <c r="P201" s="50"/>
      <c r="Q201" s="51"/>
      <c r="S201" s="51"/>
    </row>
    <row r="202" spans="14:19" ht="14.4" x14ac:dyDescent="0.25">
      <c r="N202" s="49"/>
      <c r="O202" s="49"/>
      <c r="P202" s="50"/>
      <c r="Q202" s="51"/>
      <c r="S202" s="51"/>
    </row>
    <row r="203" spans="14:19" ht="14.4" x14ac:dyDescent="0.25">
      <c r="N203" s="49"/>
      <c r="O203" s="49"/>
      <c r="P203" s="50"/>
      <c r="Q203" s="51"/>
      <c r="S203" s="51"/>
    </row>
    <row r="204" spans="14:19" ht="14.4" x14ac:dyDescent="0.25">
      <c r="N204" s="49"/>
      <c r="O204" s="49"/>
      <c r="P204" s="50"/>
      <c r="Q204" s="51"/>
      <c r="S204" s="51"/>
    </row>
    <row r="205" spans="14:19" ht="14.4" x14ac:dyDescent="0.25">
      <c r="N205" s="49"/>
      <c r="O205" s="49"/>
      <c r="P205" s="50"/>
      <c r="Q205" s="51"/>
      <c r="S205" s="51"/>
    </row>
    <row r="206" spans="14:19" ht="14.4" x14ac:dyDescent="0.25">
      <c r="N206" s="49"/>
      <c r="O206" s="49"/>
      <c r="P206" s="50"/>
      <c r="Q206" s="51"/>
      <c r="S206" s="51"/>
    </row>
    <row r="207" spans="14:19" ht="14.4" x14ac:dyDescent="0.25">
      <c r="N207" s="49"/>
      <c r="O207" s="49"/>
      <c r="P207" s="50"/>
      <c r="Q207" s="51"/>
      <c r="S207" s="51"/>
    </row>
    <row r="208" spans="14:19" ht="14.4" x14ac:dyDescent="0.25">
      <c r="N208" s="49"/>
      <c r="O208" s="49"/>
      <c r="P208" s="50"/>
      <c r="Q208" s="51"/>
      <c r="S208" s="51"/>
    </row>
    <row r="209" spans="14:19" ht="14.4" x14ac:dyDescent="0.25">
      <c r="N209" s="49"/>
      <c r="O209" s="49"/>
      <c r="P209" s="50"/>
      <c r="Q209" s="51"/>
      <c r="S209" s="51"/>
    </row>
    <row r="210" spans="14:19" ht="14.4" x14ac:dyDescent="0.25">
      <c r="N210" s="49"/>
      <c r="O210" s="49"/>
      <c r="P210" s="50"/>
      <c r="Q210" s="51"/>
      <c r="S210" s="51"/>
    </row>
    <row r="211" spans="14:19" ht="14.4" x14ac:dyDescent="0.25">
      <c r="N211" s="49"/>
      <c r="O211" s="49"/>
      <c r="P211" s="50"/>
      <c r="Q211" s="51"/>
      <c r="S211" s="51"/>
    </row>
    <row r="212" spans="14:19" ht="14.4" x14ac:dyDescent="0.25">
      <c r="N212" s="49"/>
      <c r="O212" s="49"/>
      <c r="P212" s="50"/>
      <c r="Q212" s="51"/>
      <c r="S212" s="51"/>
    </row>
    <row r="213" spans="14:19" ht="14.4" x14ac:dyDescent="0.25">
      <c r="N213" s="49"/>
      <c r="O213" s="49"/>
      <c r="P213" s="50"/>
      <c r="Q213" s="51"/>
      <c r="S213" s="51"/>
    </row>
    <row r="214" spans="14:19" ht="14.4" x14ac:dyDescent="0.25">
      <c r="N214" s="49"/>
      <c r="O214" s="49"/>
      <c r="P214" s="50"/>
      <c r="Q214" s="51"/>
      <c r="S214" s="51"/>
    </row>
    <row r="215" spans="14:19" ht="14.4" x14ac:dyDescent="0.25">
      <c r="N215" s="49"/>
      <c r="O215" s="49"/>
      <c r="P215" s="50"/>
      <c r="Q215" s="51"/>
      <c r="S215" s="51"/>
    </row>
    <row r="216" spans="14:19" ht="14.4" x14ac:dyDescent="0.25">
      <c r="N216" s="49"/>
      <c r="O216" s="49"/>
      <c r="P216" s="50"/>
      <c r="Q216" s="51"/>
      <c r="S216" s="51"/>
    </row>
    <row r="217" spans="14:19" ht="14.4" x14ac:dyDescent="0.25">
      <c r="N217" s="49"/>
      <c r="O217" s="49"/>
      <c r="P217" s="50"/>
      <c r="Q217" s="51"/>
      <c r="S217" s="51"/>
    </row>
    <row r="218" spans="14:19" ht="14.4" x14ac:dyDescent="0.25">
      <c r="N218" s="49"/>
      <c r="O218" s="49"/>
      <c r="P218" s="50"/>
      <c r="Q218" s="51"/>
      <c r="S218" s="51"/>
    </row>
    <row r="219" spans="14:19" ht="14.4" x14ac:dyDescent="0.25">
      <c r="N219" s="49"/>
      <c r="O219" s="49"/>
      <c r="P219" s="50"/>
      <c r="Q219" s="51"/>
      <c r="S219" s="51"/>
    </row>
    <row r="220" spans="14:19" ht="14.4" x14ac:dyDescent="0.25">
      <c r="N220" s="49"/>
      <c r="O220" s="49"/>
      <c r="P220" s="50"/>
      <c r="Q220" s="51"/>
      <c r="S220" s="51"/>
    </row>
    <row r="221" spans="14:19" ht="14.4" x14ac:dyDescent="0.25">
      <c r="N221" s="49"/>
      <c r="O221" s="49"/>
      <c r="P221" s="50"/>
      <c r="Q221" s="51"/>
      <c r="S221" s="51"/>
    </row>
    <row r="222" spans="14:19" ht="14.4" x14ac:dyDescent="0.25">
      <c r="N222" s="49"/>
      <c r="O222" s="49"/>
      <c r="P222" s="50"/>
      <c r="Q222" s="51"/>
      <c r="S222" s="51"/>
    </row>
    <row r="223" spans="14:19" ht="14.4" x14ac:dyDescent="0.25">
      <c r="N223" s="49"/>
      <c r="O223" s="49"/>
      <c r="P223" s="50"/>
      <c r="Q223" s="51"/>
      <c r="S223" s="51"/>
    </row>
    <row r="224" spans="14:19" ht="14.4" x14ac:dyDescent="0.25">
      <c r="N224" s="49"/>
      <c r="O224" s="49"/>
      <c r="P224" s="50"/>
      <c r="Q224" s="51"/>
      <c r="S224" s="51"/>
    </row>
    <row r="225" spans="14:19" ht="14.4" x14ac:dyDescent="0.25">
      <c r="N225" s="49"/>
      <c r="O225" s="49"/>
      <c r="P225" s="50"/>
      <c r="Q225" s="51"/>
      <c r="S225" s="51"/>
    </row>
    <row r="226" spans="14:19" ht="14.4" x14ac:dyDescent="0.25">
      <c r="N226" s="49"/>
      <c r="O226" s="49"/>
      <c r="P226" s="50"/>
      <c r="Q226" s="51"/>
      <c r="S226" s="51"/>
    </row>
    <row r="227" spans="14:19" ht="14.4" x14ac:dyDescent="0.25">
      <c r="N227" s="49"/>
      <c r="O227" s="49"/>
      <c r="P227" s="50"/>
      <c r="Q227" s="51"/>
      <c r="S227" s="51"/>
    </row>
    <row r="228" spans="14:19" ht="14.4" x14ac:dyDescent="0.25">
      <c r="N228" s="49"/>
      <c r="O228" s="49"/>
      <c r="P228" s="50"/>
      <c r="Q228" s="51"/>
      <c r="S228" s="51"/>
    </row>
    <row r="229" spans="14:19" ht="14.4" x14ac:dyDescent="0.25">
      <c r="N229" s="49"/>
      <c r="O229" s="49"/>
      <c r="P229" s="50"/>
      <c r="Q229" s="51"/>
      <c r="S229" s="51"/>
    </row>
    <row r="230" spans="14:19" ht="14.4" x14ac:dyDescent="0.25">
      <c r="N230" s="49"/>
      <c r="O230" s="49"/>
      <c r="P230" s="50"/>
      <c r="Q230" s="51"/>
      <c r="S230" s="51"/>
    </row>
    <row r="231" spans="14:19" ht="14.4" x14ac:dyDescent="0.25">
      <c r="N231" s="49"/>
      <c r="O231" s="49"/>
      <c r="P231" s="50"/>
      <c r="Q231" s="51"/>
      <c r="S231" s="51"/>
    </row>
    <row r="232" spans="14:19" ht="14.4" x14ac:dyDescent="0.25">
      <c r="N232" s="49"/>
      <c r="O232" s="49"/>
      <c r="P232" s="50"/>
      <c r="Q232" s="51"/>
      <c r="S232" s="51"/>
    </row>
    <row r="233" spans="14:19" ht="14.4" x14ac:dyDescent="0.25">
      <c r="N233" s="49"/>
      <c r="O233" s="49"/>
      <c r="P233" s="50"/>
      <c r="Q233" s="51"/>
      <c r="S233" s="51"/>
    </row>
    <row r="234" spans="14:19" ht="14.4" x14ac:dyDescent="0.25">
      <c r="N234" s="49"/>
      <c r="O234" s="49"/>
      <c r="P234" s="50"/>
      <c r="Q234" s="51"/>
      <c r="S234" s="51"/>
    </row>
    <row r="235" spans="14:19" ht="14.4" x14ac:dyDescent="0.25">
      <c r="N235" s="49"/>
      <c r="O235" s="49"/>
      <c r="P235" s="50"/>
      <c r="Q235" s="51"/>
      <c r="S235" s="51"/>
    </row>
    <row r="236" spans="14:19" ht="14.4" x14ac:dyDescent="0.25">
      <c r="N236" s="49"/>
      <c r="O236" s="49"/>
      <c r="P236" s="50"/>
      <c r="Q236" s="51"/>
      <c r="S236" s="51"/>
    </row>
    <row r="237" spans="14:19" ht="14.4" x14ac:dyDescent="0.25">
      <c r="N237" s="49"/>
      <c r="O237" s="49"/>
      <c r="P237" s="50"/>
      <c r="Q237" s="51"/>
      <c r="S237" s="51"/>
    </row>
    <row r="238" spans="14:19" ht="14.4" x14ac:dyDescent="0.25">
      <c r="N238" s="49"/>
      <c r="O238" s="49"/>
      <c r="P238" s="50"/>
      <c r="Q238" s="51"/>
      <c r="S238" s="51"/>
    </row>
    <row r="239" spans="14:19" ht="14.4" x14ac:dyDescent="0.25">
      <c r="N239" s="49"/>
      <c r="O239" s="49"/>
      <c r="P239" s="50"/>
      <c r="Q239" s="51"/>
      <c r="S239" s="51"/>
    </row>
    <row r="240" spans="14:19" ht="14.4" x14ac:dyDescent="0.25">
      <c r="N240" s="49"/>
      <c r="O240" s="49"/>
      <c r="P240" s="50"/>
      <c r="Q240" s="51"/>
      <c r="S240" s="51"/>
    </row>
    <row r="241" spans="14:19" ht="14.4" x14ac:dyDescent="0.25">
      <c r="N241" s="49"/>
      <c r="O241" s="49"/>
      <c r="P241" s="50"/>
      <c r="Q241" s="51"/>
      <c r="S241" s="51"/>
    </row>
    <row r="242" spans="14:19" ht="14.4" x14ac:dyDescent="0.25">
      <c r="N242" s="49"/>
      <c r="O242" s="49"/>
      <c r="P242" s="50"/>
      <c r="Q242" s="51"/>
      <c r="S242" s="51"/>
    </row>
    <row r="243" spans="14:19" ht="14.4" x14ac:dyDescent="0.25">
      <c r="N243" s="49"/>
      <c r="O243" s="49"/>
      <c r="P243" s="50"/>
      <c r="Q243" s="51"/>
      <c r="S243" s="51"/>
    </row>
    <row r="244" spans="14:19" ht="14.4" x14ac:dyDescent="0.25">
      <c r="N244" s="49"/>
      <c r="O244" s="49"/>
      <c r="P244" s="50"/>
      <c r="Q244" s="51"/>
      <c r="S244" s="51"/>
    </row>
    <row r="245" spans="14:19" ht="14.4" x14ac:dyDescent="0.25">
      <c r="N245" s="49"/>
      <c r="O245" s="49"/>
      <c r="P245" s="50"/>
      <c r="Q245" s="51"/>
      <c r="S245" s="51"/>
    </row>
    <row r="246" spans="14:19" ht="14.4" x14ac:dyDescent="0.25">
      <c r="N246" s="49"/>
      <c r="O246" s="49"/>
      <c r="P246" s="50"/>
      <c r="Q246" s="51"/>
      <c r="S246" s="51"/>
    </row>
    <row r="247" spans="14:19" ht="14.4" x14ac:dyDescent="0.25">
      <c r="N247" s="49"/>
      <c r="O247" s="49"/>
      <c r="P247" s="50"/>
      <c r="Q247" s="51"/>
      <c r="S247" s="51"/>
    </row>
    <row r="248" spans="14:19" ht="14.4" x14ac:dyDescent="0.25">
      <c r="N248" s="49"/>
      <c r="O248" s="49"/>
      <c r="P248" s="50"/>
      <c r="Q248" s="51"/>
      <c r="S248" s="51"/>
    </row>
    <row r="249" spans="14:19" ht="14.4" x14ac:dyDescent="0.25">
      <c r="N249" s="49"/>
      <c r="O249" s="49"/>
      <c r="P249" s="50"/>
      <c r="Q249" s="51"/>
      <c r="S249" s="51"/>
    </row>
    <row r="250" spans="14:19" ht="14.4" x14ac:dyDescent="0.25">
      <c r="N250" s="49"/>
      <c r="O250" s="49"/>
      <c r="P250" s="50"/>
      <c r="Q250" s="51"/>
      <c r="S250" s="51"/>
    </row>
    <row r="251" spans="14:19" ht="14.4" x14ac:dyDescent="0.25">
      <c r="N251" s="49"/>
      <c r="O251" s="49"/>
      <c r="P251" s="50"/>
      <c r="Q251" s="51"/>
      <c r="S251" s="51"/>
    </row>
    <row r="252" spans="14:19" ht="14.4" x14ac:dyDescent="0.25">
      <c r="N252" s="49"/>
      <c r="O252" s="49"/>
      <c r="P252" s="50"/>
      <c r="Q252" s="51"/>
      <c r="S252" s="51"/>
    </row>
    <row r="253" spans="14:19" ht="14.4" x14ac:dyDescent="0.25">
      <c r="N253" s="49"/>
      <c r="O253" s="49"/>
      <c r="P253" s="50"/>
      <c r="Q253" s="51"/>
      <c r="S253" s="51"/>
    </row>
    <row r="254" spans="14:19" ht="14.4" x14ac:dyDescent="0.25">
      <c r="N254" s="49"/>
      <c r="O254" s="49"/>
      <c r="P254" s="50"/>
      <c r="Q254" s="51"/>
      <c r="S254" s="51"/>
    </row>
    <row r="255" spans="14:19" ht="14.4" x14ac:dyDescent="0.25">
      <c r="N255" s="49"/>
      <c r="O255" s="49"/>
      <c r="P255" s="50"/>
      <c r="Q255" s="51"/>
      <c r="S255" s="51"/>
    </row>
    <row r="256" spans="14:19" ht="14.4" x14ac:dyDescent="0.25">
      <c r="N256" s="49"/>
      <c r="O256" s="49"/>
      <c r="P256" s="50"/>
      <c r="Q256" s="51"/>
      <c r="S256" s="51"/>
    </row>
    <row r="257" spans="14:19" ht="14.4" x14ac:dyDescent="0.25">
      <c r="N257" s="49"/>
      <c r="O257" s="49"/>
      <c r="P257" s="50"/>
      <c r="Q257" s="51"/>
      <c r="S257" s="51"/>
    </row>
    <row r="258" spans="14:19" ht="14.4" x14ac:dyDescent="0.25">
      <c r="N258" s="49"/>
      <c r="O258" s="49"/>
      <c r="P258" s="50"/>
      <c r="Q258" s="51"/>
      <c r="S258" s="51"/>
    </row>
    <row r="259" spans="14:19" ht="14.4" x14ac:dyDescent="0.25">
      <c r="N259" s="49"/>
      <c r="O259" s="49"/>
      <c r="P259" s="50"/>
      <c r="Q259" s="51"/>
      <c r="S259" s="51"/>
    </row>
    <row r="260" spans="14:19" ht="14.4" x14ac:dyDescent="0.25">
      <c r="N260" s="49"/>
      <c r="O260" s="49"/>
      <c r="P260" s="50"/>
      <c r="Q260" s="51"/>
      <c r="S260" s="51"/>
    </row>
    <row r="261" spans="14:19" ht="14.4" x14ac:dyDescent="0.25">
      <c r="N261" s="49"/>
      <c r="O261" s="49"/>
      <c r="P261" s="50"/>
      <c r="Q261" s="51"/>
      <c r="S261" s="51"/>
    </row>
    <row r="262" spans="14:19" ht="14.4" x14ac:dyDescent="0.25">
      <c r="N262" s="49"/>
      <c r="O262" s="49"/>
      <c r="P262" s="50"/>
      <c r="Q262" s="51"/>
      <c r="S262" s="51"/>
    </row>
    <row r="263" spans="14:19" ht="14.4" x14ac:dyDescent="0.25">
      <c r="N263" s="49"/>
      <c r="O263" s="49"/>
      <c r="P263" s="50"/>
      <c r="Q263" s="51"/>
      <c r="S263" s="51"/>
    </row>
    <row r="264" spans="14:19" ht="14.4" x14ac:dyDescent="0.25">
      <c r="N264" s="49"/>
      <c r="O264" s="49"/>
      <c r="P264" s="50"/>
      <c r="Q264" s="51"/>
      <c r="S264" s="51"/>
    </row>
    <row r="265" spans="14:19" ht="14.4" x14ac:dyDescent="0.25">
      <c r="N265" s="49"/>
      <c r="O265" s="49"/>
      <c r="P265" s="50"/>
      <c r="Q265" s="51"/>
      <c r="S265" s="51"/>
    </row>
    <row r="266" spans="14:19" ht="14.4" x14ac:dyDescent="0.25">
      <c r="N266" s="49"/>
      <c r="O266" s="49"/>
      <c r="P266" s="50"/>
      <c r="Q266" s="51"/>
      <c r="S266" s="51"/>
    </row>
    <row r="267" spans="14:19" ht="14.4" x14ac:dyDescent="0.25">
      <c r="N267" s="49"/>
      <c r="O267" s="49"/>
      <c r="P267" s="50"/>
      <c r="Q267" s="51"/>
      <c r="S267" s="51"/>
    </row>
    <row r="268" spans="14:19" ht="14.4" x14ac:dyDescent="0.25">
      <c r="N268" s="49"/>
      <c r="O268" s="49"/>
      <c r="P268" s="50"/>
      <c r="Q268" s="51"/>
      <c r="S268" s="51"/>
    </row>
    <row r="269" spans="14:19" ht="14.4" x14ac:dyDescent="0.25">
      <c r="N269" s="49"/>
      <c r="O269" s="49"/>
      <c r="P269" s="50"/>
      <c r="Q269" s="51"/>
      <c r="S269" s="51"/>
    </row>
    <row r="270" spans="14:19" ht="14.4" x14ac:dyDescent="0.25">
      <c r="N270" s="49"/>
      <c r="O270" s="49"/>
      <c r="P270" s="50"/>
      <c r="Q270" s="51"/>
      <c r="S270" s="51"/>
    </row>
    <row r="271" spans="14:19" ht="14.4" x14ac:dyDescent="0.25">
      <c r="N271" s="49"/>
      <c r="O271" s="49"/>
      <c r="P271" s="50"/>
      <c r="Q271" s="51"/>
      <c r="S271" s="51"/>
    </row>
    <row r="272" spans="14:19" ht="14.4" x14ac:dyDescent="0.25">
      <c r="N272" s="49"/>
      <c r="O272" s="49"/>
      <c r="P272" s="50"/>
      <c r="Q272" s="51"/>
      <c r="S272" s="51"/>
    </row>
    <row r="273" spans="14:19" ht="14.4" x14ac:dyDescent="0.25">
      <c r="N273" s="49"/>
      <c r="O273" s="49"/>
      <c r="P273" s="50"/>
      <c r="Q273" s="51"/>
      <c r="S273" s="51"/>
    </row>
    <row r="274" spans="14:19" ht="14.4" x14ac:dyDescent="0.25">
      <c r="N274" s="49"/>
      <c r="O274" s="49"/>
      <c r="P274" s="50"/>
      <c r="Q274" s="51"/>
      <c r="S274" s="51"/>
    </row>
    <row r="275" spans="14:19" ht="14.4" x14ac:dyDescent="0.25">
      <c r="N275" s="49"/>
      <c r="O275" s="49"/>
      <c r="P275" s="50"/>
      <c r="Q275" s="51"/>
      <c r="S275" s="51"/>
    </row>
    <row r="276" spans="14:19" ht="14.4" x14ac:dyDescent="0.25">
      <c r="N276" s="49"/>
      <c r="O276" s="49"/>
      <c r="P276" s="50"/>
      <c r="Q276" s="51"/>
      <c r="S276" s="51"/>
    </row>
    <row r="277" spans="14:19" ht="14.4" x14ac:dyDescent="0.25">
      <c r="N277" s="49"/>
      <c r="O277" s="49"/>
      <c r="P277" s="50"/>
      <c r="Q277" s="51"/>
      <c r="S277" s="51"/>
    </row>
    <row r="278" spans="14:19" ht="14.4" x14ac:dyDescent="0.25">
      <c r="N278" s="49"/>
      <c r="O278" s="49"/>
      <c r="P278" s="50"/>
      <c r="Q278" s="51"/>
      <c r="S278" s="51"/>
    </row>
    <row r="279" spans="14:19" ht="14.4" x14ac:dyDescent="0.25">
      <c r="N279" s="49"/>
      <c r="O279" s="49"/>
      <c r="P279" s="50"/>
      <c r="Q279" s="51"/>
      <c r="S279" s="51"/>
    </row>
    <row r="280" spans="14:19" ht="14.4" x14ac:dyDescent="0.25">
      <c r="N280" s="49"/>
      <c r="O280" s="49"/>
      <c r="P280" s="50"/>
      <c r="Q280" s="51"/>
      <c r="S280" s="51"/>
    </row>
    <row r="281" spans="14:19" ht="14.4" x14ac:dyDescent="0.25">
      <c r="N281" s="49"/>
      <c r="O281" s="49"/>
      <c r="P281" s="50"/>
      <c r="Q281" s="51"/>
      <c r="S281" s="51"/>
    </row>
    <row r="282" spans="14:19" ht="14.4" x14ac:dyDescent="0.25">
      <c r="N282" s="49"/>
      <c r="O282" s="49"/>
      <c r="P282" s="50"/>
      <c r="Q282" s="51"/>
      <c r="S282" s="51"/>
    </row>
    <row r="283" spans="14:19" ht="14.4" x14ac:dyDescent="0.25">
      <c r="N283" s="49"/>
      <c r="O283" s="49"/>
      <c r="P283" s="50"/>
      <c r="Q283" s="51"/>
      <c r="S283" s="51"/>
    </row>
    <row r="284" spans="14:19" ht="14.4" x14ac:dyDescent="0.25">
      <c r="N284" s="49"/>
      <c r="O284" s="49"/>
      <c r="P284" s="50"/>
      <c r="Q284" s="51"/>
      <c r="S284" s="51"/>
    </row>
    <row r="285" spans="14:19" ht="14.4" x14ac:dyDescent="0.25">
      <c r="N285" s="49"/>
      <c r="O285" s="49"/>
      <c r="P285" s="50"/>
      <c r="Q285" s="51"/>
      <c r="S285" s="51"/>
    </row>
    <row r="286" spans="14:19" ht="14.4" x14ac:dyDescent="0.25">
      <c r="N286" s="49"/>
      <c r="O286" s="49"/>
      <c r="P286" s="50"/>
      <c r="Q286" s="51"/>
      <c r="S286" s="51"/>
    </row>
    <row r="287" spans="14:19" ht="14.4" x14ac:dyDescent="0.25">
      <c r="N287" s="49"/>
      <c r="O287" s="49"/>
      <c r="P287" s="50"/>
      <c r="Q287" s="51"/>
      <c r="S287" s="51"/>
    </row>
    <row r="288" spans="14:19" ht="14.4" x14ac:dyDescent="0.25">
      <c r="N288" s="49"/>
      <c r="O288" s="49"/>
      <c r="P288" s="50"/>
      <c r="Q288" s="51"/>
      <c r="S288" s="51"/>
    </row>
    <row r="289" spans="14:19" ht="14.4" x14ac:dyDescent="0.25">
      <c r="N289" s="49"/>
      <c r="O289" s="49"/>
      <c r="P289" s="50"/>
      <c r="Q289" s="51"/>
      <c r="S289" s="51"/>
    </row>
    <row r="290" spans="14:19" ht="14.4" x14ac:dyDescent="0.25">
      <c r="N290" s="49"/>
      <c r="O290" s="49"/>
      <c r="P290" s="50"/>
      <c r="Q290" s="51"/>
      <c r="S290" s="51"/>
    </row>
    <row r="291" spans="14:19" ht="14.4" x14ac:dyDescent="0.25">
      <c r="N291" s="49"/>
      <c r="O291" s="49"/>
      <c r="P291" s="50"/>
      <c r="Q291" s="51"/>
      <c r="S291" s="51"/>
    </row>
    <row r="292" spans="14:19" ht="14.4" x14ac:dyDescent="0.25">
      <c r="N292" s="49"/>
      <c r="O292" s="49"/>
      <c r="P292" s="50"/>
      <c r="Q292" s="51"/>
      <c r="S292" s="51"/>
    </row>
    <row r="293" spans="14:19" ht="14.4" x14ac:dyDescent="0.25">
      <c r="N293" s="49"/>
      <c r="O293" s="49"/>
      <c r="P293" s="50"/>
      <c r="Q293" s="51"/>
      <c r="S293" s="51"/>
    </row>
    <row r="294" spans="14:19" ht="14.4" x14ac:dyDescent="0.25">
      <c r="N294" s="49"/>
      <c r="O294" s="49"/>
      <c r="P294" s="50"/>
      <c r="Q294" s="51"/>
      <c r="S294" s="51"/>
    </row>
    <row r="295" spans="14:19" ht="14.4" x14ac:dyDescent="0.25">
      <c r="N295" s="49"/>
      <c r="O295" s="49"/>
      <c r="P295" s="50"/>
      <c r="Q295" s="51"/>
      <c r="S295" s="51"/>
    </row>
    <row r="296" spans="14:19" ht="14.4" x14ac:dyDescent="0.25">
      <c r="N296" s="49"/>
      <c r="O296" s="49"/>
      <c r="P296" s="50"/>
      <c r="Q296" s="51"/>
      <c r="S296" s="51"/>
    </row>
    <row r="297" spans="14:19" ht="14.4" x14ac:dyDescent="0.25">
      <c r="N297" s="49"/>
      <c r="O297" s="49"/>
      <c r="P297" s="50"/>
      <c r="Q297" s="51"/>
      <c r="S297" s="51"/>
    </row>
    <row r="298" spans="14:19" ht="14.4" x14ac:dyDescent="0.25">
      <c r="N298" s="49"/>
      <c r="O298" s="49"/>
      <c r="P298" s="50"/>
      <c r="Q298" s="51"/>
      <c r="S298" s="51"/>
    </row>
    <row r="299" spans="14:19" ht="14.4" x14ac:dyDescent="0.25">
      <c r="N299" s="49"/>
      <c r="O299" s="49"/>
      <c r="P299" s="50"/>
      <c r="Q299" s="51"/>
      <c r="S299" s="51"/>
    </row>
    <row r="300" spans="14:19" ht="14.4" x14ac:dyDescent="0.25">
      <c r="N300" s="49"/>
      <c r="O300" s="49"/>
      <c r="P300" s="50"/>
      <c r="Q300" s="51"/>
      <c r="S300" s="51"/>
    </row>
    <row r="301" spans="14:19" ht="14.4" x14ac:dyDescent="0.25">
      <c r="N301" s="49"/>
      <c r="O301" s="49"/>
      <c r="P301" s="50"/>
      <c r="Q301" s="51"/>
      <c r="S301" s="51"/>
    </row>
    <row r="302" spans="14:19" ht="14.4" x14ac:dyDescent="0.25">
      <c r="N302" s="49"/>
      <c r="O302" s="49"/>
      <c r="P302" s="50"/>
      <c r="Q302" s="51"/>
      <c r="S302" s="51"/>
    </row>
    <row r="303" spans="14:19" ht="14.4" x14ac:dyDescent="0.25">
      <c r="N303" s="49"/>
      <c r="O303" s="49"/>
      <c r="P303" s="50"/>
      <c r="Q303" s="51"/>
      <c r="S303" s="51"/>
    </row>
    <row r="304" spans="14:19" ht="14.4" x14ac:dyDescent="0.25">
      <c r="N304" s="49"/>
      <c r="O304" s="49"/>
      <c r="P304" s="50"/>
      <c r="Q304" s="51"/>
      <c r="S304" s="51"/>
    </row>
    <row r="305" spans="14:19" ht="14.4" x14ac:dyDescent="0.25">
      <c r="N305" s="49"/>
      <c r="O305" s="49"/>
      <c r="P305" s="50"/>
      <c r="Q305" s="51"/>
      <c r="S305" s="51"/>
    </row>
    <row r="306" spans="14:19" ht="14.4" x14ac:dyDescent="0.25">
      <c r="N306" s="49"/>
      <c r="O306" s="49"/>
      <c r="P306" s="50"/>
      <c r="Q306" s="51"/>
      <c r="S306" s="51"/>
    </row>
    <row r="307" spans="14:19" ht="14.4" x14ac:dyDescent="0.25">
      <c r="N307" s="49"/>
      <c r="O307" s="49"/>
      <c r="P307" s="50"/>
      <c r="Q307" s="51"/>
      <c r="S307" s="51"/>
    </row>
    <row r="308" spans="14:19" ht="14.4" x14ac:dyDescent="0.25">
      <c r="N308" s="49"/>
      <c r="O308" s="49"/>
      <c r="P308" s="50"/>
      <c r="Q308" s="51"/>
      <c r="S308" s="51"/>
    </row>
    <row r="309" spans="14:19" ht="14.4" x14ac:dyDescent="0.25">
      <c r="N309" s="49"/>
      <c r="O309" s="49"/>
      <c r="P309" s="50"/>
      <c r="Q309" s="51"/>
      <c r="S309" s="51"/>
    </row>
    <row r="310" spans="14:19" ht="14.4" x14ac:dyDescent="0.25">
      <c r="N310" s="49"/>
      <c r="O310" s="49"/>
      <c r="P310" s="50"/>
      <c r="Q310" s="51"/>
      <c r="S310" s="51"/>
    </row>
    <row r="311" spans="14:19" ht="14.4" x14ac:dyDescent="0.25">
      <c r="N311" s="49"/>
      <c r="O311" s="49"/>
      <c r="P311" s="50"/>
      <c r="Q311" s="51"/>
      <c r="S311" s="51"/>
    </row>
    <row r="312" spans="14:19" ht="14.4" x14ac:dyDescent="0.25">
      <c r="N312" s="49"/>
      <c r="O312" s="49"/>
      <c r="P312" s="50"/>
      <c r="Q312" s="51"/>
      <c r="S312" s="51"/>
    </row>
    <row r="313" spans="14:19" ht="14.4" x14ac:dyDescent="0.25">
      <c r="N313" s="49"/>
      <c r="O313" s="49"/>
      <c r="P313" s="50"/>
      <c r="Q313" s="51"/>
      <c r="S313" s="51"/>
    </row>
    <row r="314" spans="14:19" ht="14.4" x14ac:dyDescent="0.25">
      <c r="N314" s="49"/>
      <c r="O314" s="49"/>
      <c r="P314" s="50"/>
      <c r="Q314" s="51"/>
      <c r="S314" s="51"/>
    </row>
    <row r="315" spans="14:19" ht="14.4" x14ac:dyDescent="0.25">
      <c r="N315" s="49"/>
      <c r="O315" s="49"/>
      <c r="P315" s="50"/>
      <c r="Q315" s="51"/>
      <c r="S315" s="51"/>
    </row>
    <row r="316" spans="14:19" ht="14.4" x14ac:dyDescent="0.25">
      <c r="N316" s="49"/>
      <c r="O316" s="49"/>
      <c r="P316" s="50"/>
      <c r="Q316" s="51"/>
      <c r="S316" s="51"/>
    </row>
    <row r="317" spans="14:19" ht="14.4" x14ac:dyDescent="0.25">
      <c r="N317" s="49"/>
      <c r="O317" s="49"/>
      <c r="P317" s="50"/>
      <c r="Q317" s="51"/>
      <c r="S317" s="51"/>
    </row>
    <row r="318" spans="14:19" ht="14.4" x14ac:dyDescent="0.25">
      <c r="N318" s="49"/>
      <c r="O318" s="49"/>
      <c r="P318" s="50"/>
      <c r="Q318" s="51"/>
      <c r="S318" s="51"/>
    </row>
    <row r="319" spans="14:19" ht="14.4" x14ac:dyDescent="0.25">
      <c r="N319" s="49"/>
      <c r="O319" s="49"/>
      <c r="P319" s="50"/>
      <c r="Q319" s="51"/>
      <c r="S319" s="51"/>
    </row>
    <row r="320" spans="14:19" ht="14.4" x14ac:dyDescent="0.25">
      <c r="N320" s="49"/>
      <c r="O320" s="49"/>
      <c r="P320" s="50"/>
      <c r="Q320" s="51"/>
      <c r="S320" s="51"/>
    </row>
    <row r="321" spans="14:19" ht="14.4" x14ac:dyDescent="0.25">
      <c r="N321" s="49"/>
      <c r="O321" s="49"/>
      <c r="P321" s="50"/>
      <c r="Q321" s="51"/>
      <c r="S321" s="51"/>
    </row>
    <row r="322" spans="14:19" ht="14.4" x14ac:dyDescent="0.25">
      <c r="N322" s="49"/>
      <c r="O322" s="49"/>
      <c r="P322" s="50"/>
      <c r="Q322" s="51"/>
      <c r="S322" s="51"/>
    </row>
    <row r="323" spans="14:19" ht="14.4" x14ac:dyDescent="0.25">
      <c r="N323" s="49"/>
      <c r="O323" s="49"/>
      <c r="P323" s="50"/>
      <c r="Q323" s="51"/>
      <c r="S323" s="51"/>
    </row>
    <row r="324" spans="14:19" ht="14.4" x14ac:dyDescent="0.25">
      <c r="N324" s="49"/>
      <c r="O324" s="49"/>
      <c r="P324" s="50"/>
      <c r="Q324" s="51"/>
      <c r="S324" s="51"/>
    </row>
    <row r="325" spans="14:19" ht="14.4" x14ac:dyDescent="0.25">
      <c r="N325" s="49"/>
      <c r="O325" s="49"/>
      <c r="P325" s="50"/>
      <c r="Q325" s="51"/>
      <c r="S325" s="51"/>
    </row>
    <row r="326" spans="14:19" ht="14.4" x14ac:dyDescent="0.25">
      <c r="N326" s="49"/>
      <c r="O326" s="49"/>
      <c r="P326" s="50"/>
      <c r="Q326" s="51"/>
      <c r="S326" s="51"/>
    </row>
    <row r="327" spans="14:19" ht="14.4" x14ac:dyDescent="0.25">
      <c r="N327" s="49"/>
      <c r="O327" s="49"/>
      <c r="P327" s="50"/>
      <c r="Q327" s="51"/>
      <c r="S327" s="51"/>
    </row>
    <row r="328" spans="14:19" ht="14.4" x14ac:dyDescent="0.25">
      <c r="N328" s="49"/>
      <c r="O328" s="49"/>
      <c r="P328" s="50"/>
      <c r="Q328" s="51"/>
      <c r="S328" s="51"/>
    </row>
    <row r="329" spans="14:19" ht="14.4" x14ac:dyDescent="0.25">
      <c r="N329" s="49"/>
      <c r="O329" s="49"/>
      <c r="P329" s="50"/>
      <c r="Q329" s="51"/>
      <c r="S329" s="51"/>
    </row>
    <row r="330" spans="14:19" ht="14.4" x14ac:dyDescent="0.25">
      <c r="N330" s="49"/>
      <c r="O330" s="49"/>
      <c r="P330" s="50"/>
      <c r="Q330" s="51"/>
      <c r="S330" s="51"/>
    </row>
    <row r="331" spans="14:19" ht="14.4" x14ac:dyDescent="0.25">
      <c r="N331" s="49"/>
      <c r="O331" s="49"/>
      <c r="P331" s="50"/>
      <c r="Q331" s="51"/>
      <c r="S331" s="51"/>
    </row>
    <row r="332" spans="14:19" ht="14.4" x14ac:dyDescent="0.25">
      <c r="N332" s="49"/>
      <c r="O332" s="49"/>
      <c r="P332" s="50"/>
      <c r="Q332" s="51"/>
      <c r="S332" s="51"/>
    </row>
    <row r="333" spans="14:19" ht="14.4" x14ac:dyDescent="0.25">
      <c r="N333" s="49"/>
      <c r="O333" s="49"/>
      <c r="P333" s="50"/>
      <c r="Q333" s="51"/>
      <c r="S333" s="51"/>
    </row>
    <row r="334" spans="14:19" ht="14.4" x14ac:dyDescent="0.25">
      <c r="N334" s="49"/>
      <c r="O334" s="49"/>
      <c r="P334" s="50"/>
      <c r="Q334" s="51"/>
      <c r="S334" s="51"/>
    </row>
    <row r="335" spans="14:19" ht="14.4" x14ac:dyDescent="0.25">
      <c r="N335" s="49"/>
      <c r="O335" s="49"/>
      <c r="P335" s="50"/>
      <c r="Q335" s="51"/>
      <c r="S335" s="51"/>
    </row>
    <row r="336" spans="14:19" ht="14.4" x14ac:dyDescent="0.25">
      <c r="N336" s="49"/>
      <c r="O336" s="49"/>
      <c r="P336" s="50"/>
      <c r="Q336" s="51"/>
      <c r="S336" s="51"/>
    </row>
    <row r="337" spans="14:19" ht="14.4" x14ac:dyDescent="0.25">
      <c r="N337" s="49"/>
      <c r="O337" s="49"/>
      <c r="P337" s="50"/>
      <c r="Q337" s="51"/>
      <c r="S337" s="51"/>
    </row>
    <row r="338" spans="14:19" ht="14.4" x14ac:dyDescent="0.25">
      <c r="N338" s="49"/>
      <c r="O338" s="49"/>
      <c r="P338" s="50"/>
      <c r="Q338" s="51"/>
      <c r="S338" s="51"/>
    </row>
    <row r="339" spans="14:19" ht="14.4" x14ac:dyDescent="0.25">
      <c r="N339" s="49"/>
      <c r="O339" s="49"/>
      <c r="P339" s="50"/>
      <c r="Q339" s="51"/>
      <c r="S339" s="51"/>
    </row>
    <row r="340" spans="14:19" ht="14.4" x14ac:dyDescent="0.25">
      <c r="N340" s="49"/>
      <c r="O340" s="49"/>
      <c r="P340" s="50"/>
      <c r="Q340" s="51"/>
      <c r="S340" s="51"/>
    </row>
    <row r="341" spans="14:19" ht="14.4" x14ac:dyDescent="0.25">
      <c r="N341" s="49"/>
      <c r="O341" s="49"/>
      <c r="P341" s="50"/>
      <c r="Q341" s="51"/>
      <c r="S341" s="51"/>
    </row>
    <row r="342" spans="14:19" ht="14.4" x14ac:dyDescent="0.25">
      <c r="N342" s="49"/>
      <c r="O342" s="49"/>
      <c r="P342" s="50"/>
      <c r="Q342" s="51"/>
      <c r="S342" s="51"/>
    </row>
    <row r="343" spans="14:19" ht="14.4" x14ac:dyDescent="0.25">
      <c r="N343" s="49"/>
      <c r="O343" s="49"/>
      <c r="P343" s="50"/>
      <c r="Q343" s="51"/>
      <c r="S343" s="51"/>
    </row>
    <row r="344" spans="14:19" ht="14.4" x14ac:dyDescent="0.25">
      <c r="N344" s="49"/>
      <c r="O344" s="49"/>
      <c r="P344" s="50"/>
      <c r="Q344" s="51"/>
      <c r="S344" s="51"/>
    </row>
    <row r="345" spans="14:19" ht="14.4" x14ac:dyDescent="0.25">
      <c r="N345" s="49"/>
      <c r="O345" s="49"/>
      <c r="P345" s="50"/>
      <c r="Q345" s="51"/>
      <c r="S345" s="51"/>
    </row>
    <row r="346" spans="14:19" ht="14.4" x14ac:dyDescent="0.25">
      <c r="N346" s="49"/>
      <c r="O346" s="49"/>
      <c r="P346" s="50"/>
      <c r="Q346" s="51"/>
      <c r="S346" s="51"/>
    </row>
    <row r="347" spans="14:19" ht="14.4" x14ac:dyDescent="0.25">
      <c r="N347" s="49"/>
      <c r="O347" s="49"/>
      <c r="P347" s="50"/>
      <c r="Q347" s="51"/>
      <c r="S347" s="51"/>
    </row>
    <row r="348" spans="14:19" ht="14.4" x14ac:dyDescent="0.25">
      <c r="N348" s="49"/>
      <c r="O348" s="49"/>
      <c r="P348" s="50"/>
      <c r="Q348" s="51"/>
      <c r="S348" s="51"/>
    </row>
    <row r="349" spans="14:19" ht="14.4" x14ac:dyDescent="0.25">
      <c r="N349" s="49"/>
      <c r="O349" s="49"/>
      <c r="P349" s="50"/>
      <c r="Q349" s="51"/>
      <c r="S349" s="51"/>
    </row>
    <row r="350" spans="14:19" ht="14.4" x14ac:dyDescent="0.25">
      <c r="N350" s="49"/>
      <c r="O350" s="49"/>
      <c r="P350" s="50"/>
      <c r="Q350" s="51"/>
      <c r="S350" s="51"/>
    </row>
    <row r="351" spans="14:19" ht="14.4" x14ac:dyDescent="0.25">
      <c r="N351" s="49"/>
      <c r="O351" s="49"/>
      <c r="P351" s="50"/>
      <c r="Q351" s="51"/>
      <c r="S351" s="51"/>
    </row>
    <row r="352" spans="14:19" ht="14.4" x14ac:dyDescent="0.25">
      <c r="N352" s="49"/>
      <c r="O352" s="49"/>
      <c r="P352" s="50"/>
      <c r="Q352" s="51"/>
      <c r="S352" s="51"/>
    </row>
    <row r="353" spans="14:19" ht="14.4" x14ac:dyDescent="0.25">
      <c r="N353" s="49"/>
      <c r="O353" s="49"/>
      <c r="P353" s="50"/>
      <c r="Q353" s="51"/>
      <c r="S353" s="51"/>
    </row>
    <row r="354" spans="14:19" ht="14.4" x14ac:dyDescent="0.25">
      <c r="N354" s="49"/>
      <c r="O354" s="49"/>
      <c r="P354" s="50"/>
      <c r="Q354" s="51"/>
      <c r="S354" s="51"/>
    </row>
    <row r="355" spans="14:19" ht="14.4" x14ac:dyDescent="0.25">
      <c r="N355" s="49"/>
      <c r="O355" s="49"/>
      <c r="P355" s="50"/>
      <c r="Q355" s="51"/>
      <c r="S355" s="51"/>
    </row>
    <row r="356" spans="14:19" ht="14.4" x14ac:dyDescent="0.25">
      <c r="N356" s="49"/>
      <c r="O356" s="49"/>
      <c r="P356" s="50"/>
      <c r="Q356" s="51"/>
      <c r="S356" s="51"/>
    </row>
    <row r="357" spans="14:19" ht="14.4" x14ac:dyDescent="0.25">
      <c r="N357" s="49"/>
      <c r="O357" s="49"/>
      <c r="P357" s="50"/>
      <c r="Q357" s="51"/>
      <c r="S357" s="51"/>
    </row>
    <row r="358" spans="14:19" ht="14.4" x14ac:dyDescent="0.25">
      <c r="N358" s="49"/>
      <c r="O358" s="49"/>
      <c r="P358" s="50"/>
      <c r="Q358" s="51"/>
      <c r="S358" s="51"/>
    </row>
    <row r="359" spans="14:19" ht="14.4" x14ac:dyDescent="0.25">
      <c r="N359" s="49"/>
      <c r="O359" s="49"/>
      <c r="P359" s="50"/>
      <c r="Q359" s="51"/>
      <c r="S359" s="51"/>
    </row>
    <row r="360" spans="14:19" ht="14.4" x14ac:dyDescent="0.25">
      <c r="N360" s="49"/>
      <c r="O360" s="49"/>
      <c r="P360" s="50"/>
      <c r="Q360" s="51"/>
      <c r="S360" s="51"/>
    </row>
    <row r="361" spans="14:19" ht="14.4" x14ac:dyDescent="0.25">
      <c r="N361" s="49"/>
      <c r="O361" s="49"/>
      <c r="P361" s="50"/>
      <c r="Q361" s="51"/>
      <c r="S361" s="51"/>
    </row>
    <row r="362" spans="14:19" ht="14.4" x14ac:dyDescent="0.25">
      <c r="N362" s="49"/>
      <c r="O362" s="49"/>
      <c r="P362" s="50"/>
      <c r="Q362" s="51"/>
      <c r="S362" s="51"/>
    </row>
    <row r="363" spans="14:19" ht="14.4" x14ac:dyDescent="0.25">
      <c r="N363" s="49"/>
      <c r="O363" s="49"/>
      <c r="P363" s="50"/>
      <c r="Q363" s="51"/>
      <c r="S363" s="51"/>
    </row>
    <row r="364" spans="14:19" ht="14.4" x14ac:dyDescent="0.25">
      <c r="N364" s="49"/>
      <c r="O364" s="49"/>
      <c r="P364" s="50"/>
      <c r="Q364" s="51"/>
      <c r="S364" s="51"/>
    </row>
    <row r="365" spans="14:19" ht="14.4" x14ac:dyDescent="0.25">
      <c r="N365" s="49"/>
      <c r="O365" s="49"/>
      <c r="P365" s="50"/>
      <c r="Q365" s="51"/>
      <c r="S365" s="51"/>
    </row>
    <row r="366" spans="14:19" ht="14.4" x14ac:dyDescent="0.25">
      <c r="N366" s="49"/>
      <c r="O366" s="49"/>
      <c r="P366" s="50"/>
      <c r="Q366" s="51"/>
      <c r="S366" s="51"/>
    </row>
    <row r="367" spans="14:19" ht="14.4" x14ac:dyDescent="0.25">
      <c r="N367" s="49"/>
      <c r="O367" s="49"/>
      <c r="P367" s="50"/>
      <c r="Q367" s="51"/>
      <c r="S367" s="51"/>
    </row>
    <row r="368" spans="14:19" ht="14.4" x14ac:dyDescent="0.25">
      <c r="N368" s="49"/>
      <c r="O368" s="49"/>
      <c r="P368" s="50"/>
      <c r="Q368" s="51"/>
      <c r="S368" s="51"/>
    </row>
    <row r="369" spans="14:19" ht="14.4" x14ac:dyDescent="0.25">
      <c r="N369" s="49"/>
      <c r="O369" s="49"/>
      <c r="P369" s="50"/>
      <c r="Q369" s="51"/>
      <c r="S369" s="51"/>
    </row>
    <row r="370" spans="14:19" ht="14.4" x14ac:dyDescent="0.25">
      <c r="N370" s="49"/>
      <c r="O370" s="49"/>
      <c r="P370" s="50"/>
      <c r="Q370" s="51"/>
      <c r="S370" s="51"/>
    </row>
    <row r="371" spans="14:19" ht="14.4" x14ac:dyDescent="0.25">
      <c r="N371" s="49"/>
      <c r="O371" s="49"/>
      <c r="P371" s="50"/>
      <c r="Q371" s="51"/>
      <c r="S371" s="51"/>
    </row>
    <row r="372" spans="14:19" ht="14.4" x14ac:dyDescent="0.25">
      <c r="N372" s="49"/>
      <c r="O372" s="49"/>
      <c r="P372" s="50"/>
      <c r="Q372" s="51"/>
      <c r="S372" s="51"/>
    </row>
    <row r="373" spans="14:19" ht="14.4" x14ac:dyDescent="0.25">
      <c r="N373" s="49"/>
      <c r="O373" s="49"/>
      <c r="P373" s="50"/>
      <c r="Q373" s="51"/>
      <c r="S373" s="51"/>
    </row>
    <row r="374" spans="14:19" ht="14.4" x14ac:dyDescent="0.25">
      <c r="N374" s="49"/>
      <c r="O374" s="49"/>
      <c r="P374" s="50"/>
      <c r="Q374" s="51"/>
      <c r="S374" s="51"/>
    </row>
    <row r="375" spans="14:19" ht="14.4" x14ac:dyDescent="0.25">
      <c r="N375" s="49"/>
      <c r="O375" s="49"/>
      <c r="P375" s="50"/>
      <c r="Q375" s="51"/>
      <c r="S375" s="51"/>
    </row>
    <row r="376" spans="14:19" ht="14.4" x14ac:dyDescent="0.25">
      <c r="N376" s="49"/>
      <c r="O376" s="49"/>
      <c r="P376" s="50"/>
      <c r="Q376" s="51"/>
      <c r="S376" s="51"/>
    </row>
    <row r="377" spans="14:19" ht="14.4" x14ac:dyDescent="0.25">
      <c r="N377" s="49"/>
      <c r="O377" s="49"/>
      <c r="P377" s="50"/>
      <c r="Q377" s="51"/>
      <c r="S377" s="51"/>
    </row>
    <row r="378" spans="14:19" ht="14.4" x14ac:dyDescent="0.25">
      <c r="N378" s="49"/>
      <c r="O378" s="49"/>
      <c r="P378" s="50"/>
      <c r="Q378" s="51"/>
      <c r="S378" s="51"/>
    </row>
    <row r="379" spans="14:19" ht="14.4" x14ac:dyDescent="0.25">
      <c r="N379" s="49"/>
      <c r="O379" s="49"/>
      <c r="P379" s="50"/>
      <c r="Q379" s="51"/>
      <c r="S379" s="51"/>
    </row>
    <row r="380" spans="14:19" ht="14.4" x14ac:dyDescent="0.25">
      <c r="N380" s="49"/>
      <c r="O380" s="49"/>
      <c r="P380" s="50"/>
      <c r="Q380" s="51"/>
      <c r="S380" s="51"/>
    </row>
    <row r="381" spans="14:19" ht="14.4" x14ac:dyDescent="0.25">
      <c r="N381" s="49"/>
      <c r="O381" s="49"/>
      <c r="P381" s="50"/>
      <c r="Q381" s="51"/>
      <c r="S381" s="51"/>
    </row>
    <row r="382" spans="14:19" ht="14.4" x14ac:dyDescent="0.25">
      <c r="N382" s="49"/>
      <c r="O382" s="49"/>
      <c r="P382" s="50"/>
      <c r="Q382" s="51"/>
      <c r="S382" s="51"/>
    </row>
    <row r="383" spans="14:19" ht="14.4" x14ac:dyDescent="0.25">
      <c r="N383" s="49"/>
      <c r="O383" s="49"/>
      <c r="P383" s="50"/>
      <c r="Q383" s="51"/>
      <c r="S383" s="51"/>
    </row>
    <row r="384" spans="14:19" ht="14.4" x14ac:dyDescent="0.25">
      <c r="N384" s="49"/>
      <c r="O384" s="49"/>
      <c r="P384" s="50"/>
      <c r="Q384" s="51"/>
      <c r="S384" s="51"/>
    </row>
    <row r="385" spans="14:19" ht="14.4" x14ac:dyDescent="0.25">
      <c r="N385" s="49"/>
      <c r="O385" s="49"/>
      <c r="P385" s="50"/>
      <c r="Q385" s="51"/>
      <c r="S385" s="51"/>
    </row>
    <row r="386" spans="14:19" ht="14.4" x14ac:dyDescent="0.25">
      <c r="N386" s="49"/>
      <c r="O386" s="49"/>
      <c r="P386" s="50"/>
      <c r="Q386" s="51"/>
      <c r="S386" s="51"/>
    </row>
    <row r="387" spans="14:19" ht="14.4" x14ac:dyDescent="0.25">
      <c r="N387" s="49"/>
      <c r="O387" s="49"/>
      <c r="P387" s="50"/>
      <c r="Q387" s="51"/>
      <c r="S387" s="51"/>
    </row>
    <row r="388" spans="14:19" ht="14.4" x14ac:dyDescent="0.25">
      <c r="N388" s="49"/>
      <c r="O388" s="49"/>
      <c r="P388" s="50"/>
      <c r="Q388" s="51"/>
      <c r="S388" s="51"/>
    </row>
    <row r="389" spans="14:19" ht="14.4" x14ac:dyDescent="0.25">
      <c r="N389" s="49"/>
      <c r="O389" s="49"/>
      <c r="P389" s="50"/>
      <c r="Q389" s="51"/>
      <c r="S389" s="51"/>
    </row>
    <row r="390" spans="14:19" ht="14.4" x14ac:dyDescent="0.25">
      <c r="N390" s="49"/>
      <c r="O390" s="49"/>
      <c r="P390" s="50"/>
      <c r="Q390" s="51"/>
      <c r="S390" s="51"/>
    </row>
    <row r="391" spans="14:19" ht="14.4" x14ac:dyDescent="0.25">
      <c r="N391" s="49"/>
      <c r="O391" s="49"/>
      <c r="P391" s="50"/>
      <c r="Q391" s="51"/>
      <c r="S391" s="51"/>
    </row>
    <row r="392" spans="14:19" ht="14.4" x14ac:dyDescent="0.25">
      <c r="N392" s="49"/>
      <c r="O392" s="49"/>
      <c r="P392" s="50"/>
      <c r="Q392" s="51"/>
      <c r="S392" s="51"/>
    </row>
    <row r="393" spans="14:19" ht="14.4" x14ac:dyDescent="0.25">
      <c r="N393" s="49"/>
      <c r="O393" s="49"/>
      <c r="P393" s="50"/>
      <c r="Q393" s="51"/>
      <c r="S393" s="51"/>
    </row>
    <row r="394" spans="14:19" ht="14.4" x14ac:dyDescent="0.25">
      <c r="N394" s="49"/>
      <c r="O394" s="49"/>
      <c r="P394" s="50"/>
      <c r="Q394" s="51"/>
      <c r="S394" s="51"/>
    </row>
    <row r="395" spans="14:19" ht="14.4" x14ac:dyDescent="0.25">
      <c r="N395" s="49"/>
      <c r="O395" s="49"/>
      <c r="P395" s="50"/>
      <c r="Q395" s="51"/>
      <c r="S395" s="51"/>
    </row>
    <row r="396" spans="14:19" ht="14.4" x14ac:dyDescent="0.25">
      <c r="N396" s="49"/>
      <c r="O396" s="49"/>
      <c r="P396" s="50"/>
      <c r="Q396" s="51"/>
      <c r="S396" s="51"/>
    </row>
    <row r="397" spans="14:19" ht="14.4" x14ac:dyDescent="0.25">
      <c r="N397" s="49"/>
      <c r="O397" s="49"/>
      <c r="P397" s="50"/>
      <c r="Q397" s="51"/>
      <c r="S397" s="51"/>
    </row>
    <row r="398" spans="14:19" ht="14.4" x14ac:dyDescent="0.25">
      <c r="N398" s="49"/>
      <c r="O398" s="49"/>
      <c r="P398" s="50"/>
      <c r="Q398" s="51"/>
      <c r="S398" s="51"/>
    </row>
    <row r="399" spans="14:19" ht="14.4" x14ac:dyDescent="0.25">
      <c r="N399" s="49"/>
      <c r="O399" s="49"/>
      <c r="P399" s="50"/>
      <c r="Q399" s="51"/>
      <c r="S399" s="51"/>
    </row>
    <row r="400" spans="14:19" ht="14.4" x14ac:dyDescent="0.25">
      <c r="N400" s="49"/>
      <c r="O400" s="49"/>
      <c r="P400" s="50"/>
      <c r="Q400" s="51"/>
      <c r="S400" s="51"/>
    </row>
    <row r="401" spans="14:19" ht="14.4" x14ac:dyDescent="0.25">
      <c r="N401" s="49"/>
      <c r="O401" s="49"/>
      <c r="P401" s="50"/>
      <c r="Q401" s="51"/>
      <c r="S401" s="51"/>
    </row>
    <row r="402" spans="14:19" ht="14.4" x14ac:dyDescent="0.25">
      <c r="N402" s="49"/>
      <c r="O402" s="49"/>
      <c r="P402" s="50"/>
      <c r="Q402" s="51"/>
      <c r="S402" s="51"/>
    </row>
    <row r="403" spans="14:19" ht="14.4" x14ac:dyDescent="0.25">
      <c r="N403" s="49"/>
      <c r="O403" s="49"/>
      <c r="P403" s="50"/>
      <c r="Q403" s="51"/>
      <c r="S403" s="51"/>
    </row>
    <row r="404" spans="14:19" ht="14.4" x14ac:dyDescent="0.25">
      <c r="N404" s="49"/>
      <c r="O404" s="49"/>
      <c r="P404" s="50"/>
      <c r="Q404" s="51"/>
      <c r="S404" s="51"/>
    </row>
    <row r="405" spans="14:19" ht="14.4" x14ac:dyDescent="0.25">
      <c r="N405" s="49"/>
      <c r="O405" s="49"/>
      <c r="P405" s="50"/>
      <c r="Q405" s="51"/>
      <c r="S405" s="51"/>
    </row>
    <row r="406" spans="14:19" ht="14.4" x14ac:dyDescent="0.25">
      <c r="N406" s="49"/>
      <c r="O406" s="49"/>
      <c r="P406" s="50"/>
      <c r="Q406" s="51"/>
      <c r="S406" s="51"/>
    </row>
    <row r="407" spans="14:19" ht="14.4" x14ac:dyDescent="0.25">
      <c r="N407" s="49"/>
      <c r="O407" s="49"/>
      <c r="P407" s="50"/>
      <c r="Q407" s="51"/>
      <c r="S407" s="51"/>
    </row>
    <row r="408" spans="14:19" ht="14.4" x14ac:dyDescent="0.25">
      <c r="N408" s="49"/>
      <c r="O408" s="49"/>
      <c r="P408" s="50"/>
      <c r="Q408" s="51"/>
      <c r="S408" s="51"/>
    </row>
    <row r="409" spans="14:19" ht="14.4" x14ac:dyDescent="0.25">
      <c r="N409" s="49"/>
      <c r="O409" s="49"/>
      <c r="P409" s="50"/>
      <c r="Q409" s="51"/>
      <c r="S409" s="51"/>
    </row>
    <row r="410" spans="14:19" ht="14.4" x14ac:dyDescent="0.25">
      <c r="N410" s="49"/>
      <c r="O410" s="49"/>
      <c r="P410" s="50"/>
      <c r="Q410" s="51"/>
      <c r="S410" s="51"/>
    </row>
    <row r="411" spans="14:19" ht="14.4" x14ac:dyDescent="0.25">
      <c r="N411" s="49"/>
      <c r="O411" s="49"/>
      <c r="P411" s="50"/>
      <c r="Q411" s="51"/>
      <c r="S411" s="51"/>
    </row>
    <row r="412" spans="14:19" ht="14.4" x14ac:dyDescent="0.25">
      <c r="N412" s="49"/>
      <c r="O412" s="49"/>
      <c r="P412" s="50"/>
      <c r="Q412" s="51"/>
      <c r="S412" s="51"/>
    </row>
    <row r="413" spans="14:19" ht="14.4" x14ac:dyDescent="0.25">
      <c r="N413" s="49"/>
      <c r="O413" s="49"/>
      <c r="P413" s="50"/>
      <c r="Q413" s="51"/>
      <c r="S413" s="51"/>
    </row>
    <row r="414" spans="14:19" ht="14.4" x14ac:dyDescent="0.25">
      <c r="N414" s="49"/>
      <c r="O414" s="49"/>
      <c r="P414" s="50"/>
      <c r="Q414" s="51"/>
      <c r="S414" s="51"/>
    </row>
    <row r="415" spans="14:19" ht="14.4" x14ac:dyDescent="0.25">
      <c r="N415" s="49"/>
      <c r="O415" s="49"/>
      <c r="P415" s="50"/>
      <c r="Q415" s="51"/>
      <c r="S415" s="51"/>
    </row>
    <row r="416" spans="14:19" ht="14.4" x14ac:dyDescent="0.25">
      <c r="N416" s="49"/>
      <c r="O416" s="49"/>
      <c r="P416" s="50"/>
      <c r="Q416" s="51"/>
      <c r="S416" s="51"/>
    </row>
    <row r="417" spans="14:19" ht="14.4" x14ac:dyDescent="0.25">
      <c r="N417" s="49"/>
      <c r="O417" s="49"/>
      <c r="P417" s="50"/>
      <c r="Q417" s="51"/>
      <c r="S417" s="51"/>
    </row>
    <row r="418" spans="14:19" ht="14.4" x14ac:dyDescent="0.25">
      <c r="N418" s="49"/>
      <c r="O418" s="49"/>
      <c r="P418" s="50"/>
      <c r="Q418" s="51"/>
      <c r="S418" s="51"/>
    </row>
    <row r="419" spans="14:19" ht="14.4" x14ac:dyDescent="0.25">
      <c r="N419" s="49"/>
      <c r="O419" s="49"/>
      <c r="P419" s="50"/>
      <c r="Q419" s="51"/>
      <c r="S419" s="51"/>
    </row>
    <row r="420" spans="14:19" ht="14.4" x14ac:dyDescent="0.25">
      <c r="N420" s="49"/>
      <c r="O420" s="49"/>
      <c r="P420" s="50"/>
      <c r="Q420" s="51"/>
      <c r="S420" s="51"/>
    </row>
    <row r="421" spans="14:19" ht="14.4" x14ac:dyDescent="0.25">
      <c r="N421" s="49"/>
      <c r="O421" s="49"/>
      <c r="P421" s="50"/>
      <c r="Q421" s="51"/>
      <c r="S421" s="51"/>
    </row>
    <row r="422" spans="14:19" ht="14.4" x14ac:dyDescent="0.25">
      <c r="N422" s="49"/>
      <c r="O422" s="49"/>
      <c r="P422" s="50"/>
      <c r="Q422" s="51"/>
      <c r="S422" s="51"/>
    </row>
    <row r="423" spans="14:19" ht="14.4" x14ac:dyDescent="0.25">
      <c r="N423" s="49"/>
      <c r="O423" s="49"/>
      <c r="P423" s="50"/>
      <c r="Q423" s="51"/>
      <c r="S423" s="51"/>
    </row>
    <row r="424" spans="14:19" ht="14.4" x14ac:dyDescent="0.25">
      <c r="N424" s="49"/>
      <c r="O424" s="49"/>
      <c r="P424" s="50"/>
      <c r="Q424" s="51"/>
      <c r="S424" s="51"/>
    </row>
    <row r="425" spans="14:19" ht="14.4" x14ac:dyDescent="0.25">
      <c r="N425" s="49"/>
      <c r="O425" s="49"/>
      <c r="P425" s="50"/>
      <c r="Q425" s="51"/>
      <c r="S425" s="51"/>
    </row>
    <row r="426" spans="14:19" ht="14.4" x14ac:dyDescent="0.25">
      <c r="N426" s="49"/>
      <c r="O426" s="49"/>
      <c r="P426" s="50"/>
      <c r="Q426" s="51"/>
      <c r="S426" s="51"/>
    </row>
    <row r="427" spans="14:19" ht="14.4" x14ac:dyDescent="0.25">
      <c r="N427" s="49"/>
      <c r="O427" s="49"/>
      <c r="P427" s="50"/>
      <c r="Q427" s="51"/>
      <c r="S427" s="51"/>
    </row>
    <row r="428" spans="14:19" ht="14.4" x14ac:dyDescent="0.25">
      <c r="N428" s="49"/>
      <c r="O428" s="49"/>
      <c r="P428" s="50"/>
      <c r="Q428" s="51"/>
      <c r="S428" s="51"/>
    </row>
    <row r="429" spans="14:19" ht="14.4" x14ac:dyDescent="0.25">
      <c r="N429" s="49"/>
      <c r="O429" s="49"/>
      <c r="P429" s="50"/>
      <c r="Q429" s="51"/>
      <c r="S429" s="51"/>
    </row>
    <row r="430" spans="14:19" ht="14.4" x14ac:dyDescent="0.25">
      <c r="N430" s="49"/>
      <c r="O430" s="49"/>
      <c r="P430" s="50"/>
      <c r="Q430" s="51"/>
      <c r="S430" s="51"/>
    </row>
    <row r="431" spans="14:19" ht="14.4" x14ac:dyDescent="0.25">
      <c r="N431" s="49"/>
      <c r="O431" s="49"/>
      <c r="P431" s="50"/>
      <c r="Q431" s="51"/>
      <c r="S431" s="51"/>
    </row>
    <row r="432" spans="14:19" ht="14.4" x14ac:dyDescent="0.25">
      <c r="N432" s="49"/>
      <c r="O432" s="49"/>
      <c r="P432" s="50"/>
      <c r="Q432" s="51"/>
      <c r="S432" s="51"/>
    </row>
    <row r="433" spans="14:19" ht="14.4" x14ac:dyDescent="0.25">
      <c r="N433" s="49"/>
      <c r="O433" s="49"/>
      <c r="P433" s="50"/>
      <c r="Q433" s="51"/>
      <c r="S433" s="51"/>
    </row>
    <row r="434" spans="14:19" ht="14.4" x14ac:dyDescent="0.25">
      <c r="N434" s="49"/>
      <c r="O434" s="49"/>
      <c r="P434" s="50"/>
      <c r="Q434" s="51"/>
      <c r="S434" s="51"/>
    </row>
    <row r="435" spans="14:19" ht="14.4" x14ac:dyDescent="0.25">
      <c r="N435" s="49"/>
      <c r="O435" s="49"/>
      <c r="P435" s="50"/>
      <c r="Q435" s="51"/>
      <c r="S435" s="51"/>
    </row>
    <row r="436" spans="14:19" ht="14.4" x14ac:dyDescent="0.25">
      <c r="N436" s="49"/>
      <c r="O436" s="49"/>
      <c r="P436" s="50"/>
      <c r="Q436" s="51"/>
      <c r="S436" s="51"/>
    </row>
    <row r="437" spans="14:19" ht="14.4" x14ac:dyDescent="0.25">
      <c r="N437" s="49"/>
      <c r="O437" s="49"/>
      <c r="P437" s="50"/>
      <c r="Q437" s="51"/>
      <c r="S437" s="51"/>
    </row>
    <row r="438" spans="14:19" ht="14.4" x14ac:dyDescent="0.25">
      <c r="N438" s="49"/>
      <c r="O438" s="49"/>
      <c r="P438" s="50"/>
      <c r="Q438" s="51"/>
      <c r="S438" s="51"/>
    </row>
    <row r="439" spans="14:19" ht="14.4" x14ac:dyDescent="0.25">
      <c r="N439" s="49"/>
      <c r="O439" s="49"/>
      <c r="P439" s="50"/>
      <c r="Q439" s="51"/>
      <c r="S439" s="51"/>
    </row>
    <row r="440" spans="14:19" ht="14.4" x14ac:dyDescent="0.25">
      <c r="N440" s="49"/>
      <c r="O440" s="49"/>
      <c r="P440" s="50"/>
      <c r="Q440" s="51"/>
      <c r="S440" s="51"/>
    </row>
    <row r="441" spans="14:19" ht="14.4" x14ac:dyDescent="0.25">
      <c r="N441" s="49"/>
      <c r="O441" s="49"/>
      <c r="P441" s="50"/>
      <c r="Q441" s="51"/>
      <c r="S441" s="51"/>
    </row>
    <row r="442" spans="14:19" ht="14.4" x14ac:dyDescent="0.25">
      <c r="N442" s="49"/>
      <c r="O442" s="49"/>
      <c r="P442" s="50"/>
      <c r="Q442" s="51"/>
      <c r="S442" s="51"/>
    </row>
    <row r="443" spans="14:19" ht="14.4" x14ac:dyDescent="0.25">
      <c r="N443" s="49"/>
      <c r="O443" s="49"/>
      <c r="P443" s="50"/>
      <c r="Q443" s="51"/>
      <c r="S443" s="51"/>
    </row>
    <row r="444" spans="14:19" ht="14.4" x14ac:dyDescent="0.25">
      <c r="N444" s="49"/>
      <c r="O444" s="49"/>
      <c r="P444" s="50"/>
      <c r="Q444" s="51"/>
      <c r="S444" s="51"/>
    </row>
    <row r="445" spans="14:19" ht="14.4" x14ac:dyDescent="0.25">
      <c r="N445" s="49"/>
      <c r="O445" s="49"/>
      <c r="P445" s="50"/>
      <c r="Q445" s="51"/>
      <c r="S445" s="51"/>
    </row>
    <row r="446" spans="14:19" ht="14.4" x14ac:dyDescent="0.25">
      <c r="N446" s="49"/>
      <c r="O446" s="49"/>
      <c r="P446" s="50"/>
      <c r="Q446" s="51"/>
      <c r="S446" s="51"/>
    </row>
    <row r="447" spans="14:19" ht="14.4" x14ac:dyDescent="0.25">
      <c r="N447" s="49"/>
      <c r="O447" s="49"/>
      <c r="P447" s="50"/>
      <c r="Q447" s="51"/>
      <c r="S447" s="51"/>
    </row>
    <row r="448" spans="14:19" ht="14.4" x14ac:dyDescent="0.25">
      <c r="N448" s="49"/>
      <c r="O448" s="49"/>
      <c r="P448" s="50"/>
      <c r="Q448" s="51"/>
      <c r="S448" s="51"/>
    </row>
    <row r="449" spans="14:19" ht="14.4" x14ac:dyDescent="0.25">
      <c r="N449" s="49"/>
      <c r="O449" s="49"/>
      <c r="P449" s="50"/>
      <c r="Q449" s="51"/>
      <c r="S449" s="51"/>
    </row>
    <row r="450" spans="14:19" ht="14.4" x14ac:dyDescent="0.25">
      <c r="N450" s="49"/>
      <c r="O450" s="49"/>
      <c r="P450" s="50"/>
      <c r="Q450" s="51"/>
      <c r="S450" s="51"/>
    </row>
    <row r="451" spans="14:19" ht="14.4" x14ac:dyDescent="0.25">
      <c r="N451" s="49"/>
      <c r="O451" s="49"/>
      <c r="P451" s="50"/>
      <c r="Q451" s="51"/>
      <c r="S451" s="51"/>
    </row>
    <row r="452" spans="14:19" ht="14.4" x14ac:dyDescent="0.25">
      <c r="N452" s="49"/>
      <c r="O452" s="49"/>
      <c r="P452" s="50"/>
      <c r="Q452" s="51"/>
      <c r="S452" s="51"/>
    </row>
    <row r="453" spans="14:19" ht="14.4" x14ac:dyDescent="0.25">
      <c r="N453" s="49"/>
      <c r="O453" s="49"/>
      <c r="P453" s="50"/>
      <c r="Q453" s="51"/>
      <c r="S453" s="51"/>
    </row>
    <row r="454" spans="14:19" ht="14.4" x14ac:dyDescent="0.25">
      <c r="N454" s="49"/>
      <c r="O454" s="49"/>
      <c r="P454" s="50"/>
      <c r="Q454" s="51"/>
      <c r="S454" s="51"/>
    </row>
    <row r="455" spans="14:19" ht="14.4" x14ac:dyDescent="0.25">
      <c r="N455" s="49"/>
      <c r="O455" s="49"/>
      <c r="P455" s="50"/>
      <c r="Q455" s="51"/>
      <c r="S455" s="51"/>
    </row>
    <row r="456" spans="14:19" ht="14.4" x14ac:dyDescent="0.25">
      <c r="N456" s="49"/>
      <c r="O456" s="49"/>
      <c r="P456" s="50"/>
      <c r="Q456" s="51"/>
      <c r="S456" s="51"/>
    </row>
    <row r="457" spans="14:19" ht="14.4" x14ac:dyDescent="0.25">
      <c r="N457" s="49"/>
      <c r="O457" s="49"/>
      <c r="P457" s="50"/>
      <c r="Q457" s="51"/>
      <c r="S457" s="51"/>
    </row>
    <row r="458" spans="14:19" ht="14.4" x14ac:dyDescent="0.25">
      <c r="N458" s="49"/>
      <c r="O458" s="49"/>
      <c r="P458" s="50"/>
      <c r="Q458" s="51"/>
      <c r="S458" s="51"/>
    </row>
    <row r="459" spans="14:19" ht="14.4" x14ac:dyDescent="0.25">
      <c r="N459" s="49"/>
      <c r="O459" s="49"/>
      <c r="P459" s="50"/>
      <c r="Q459" s="51"/>
      <c r="S459" s="51"/>
    </row>
    <row r="460" spans="14:19" ht="14.4" x14ac:dyDescent="0.25">
      <c r="N460" s="49"/>
      <c r="O460" s="49"/>
      <c r="P460" s="50"/>
      <c r="Q460" s="51"/>
      <c r="S460" s="51"/>
    </row>
    <row r="461" spans="14:19" ht="14.4" x14ac:dyDescent="0.25">
      <c r="N461" s="49"/>
      <c r="O461" s="49"/>
      <c r="P461" s="50"/>
      <c r="Q461" s="51"/>
      <c r="S461" s="51"/>
    </row>
    <row r="462" spans="14:19" ht="14.4" x14ac:dyDescent="0.25">
      <c r="N462" s="49"/>
      <c r="O462" s="49"/>
      <c r="P462" s="50"/>
      <c r="Q462" s="51"/>
      <c r="S462" s="51"/>
    </row>
    <row r="463" spans="14:19" ht="14.4" x14ac:dyDescent="0.25">
      <c r="N463" s="49"/>
      <c r="O463" s="49"/>
      <c r="P463" s="50"/>
      <c r="Q463" s="51"/>
      <c r="S463" s="51"/>
    </row>
    <row r="464" spans="14:19" ht="14.4" x14ac:dyDescent="0.25">
      <c r="N464" s="49"/>
      <c r="O464" s="49"/>
      <c r="P464" s="50"/>
      <c r="Q464" s="51"/>
      <c r="S464" s="51"/>
    </row>
    <row r="465" spans="14:19" ht="14.4" x14ac:dyDescent="0.25">
      <c r="N465" s="49"/>
      <c r="O465" s="49"/>
      <c r="P465" s="50"/>
      <c r="Q465" s="51"/>
      <c r="S465" s="51"/>
    </row>
    <row r="466" spans="14:19" ht="14.4" x14ac:dyDescent="0.25">
      <c r="N466" s="49"/>
      <c r="O466" s="49"/>
      <c r="P466" s="50"/>
      <c r="Q466" s="51"/>
      <c r="S466" s="51"/>
    </row>
    <row r="467" spans="14:19" ht="14.4" x14ac:dyDescent="0.25">
      <c r="N467" s="49"/>
      <c r="O467" s="49"/>
      <c r="P467" s="50"/>
      <c r="Q467" s="51"/>
      <c r="S467" s="51"/>
    </row>
    <row r="468" spans="14:19" ht="14.4" x14ac:dyDescent="0.25">
      <c r="N468" s="49"/>
      <c r="O468" s="49"/>
      <c r="P468" s="50"/>
      <c r="Q468" s="51"/>
      <c r="S468" s="51"/>
    </row>
    <row r="469" spans="14:19" ht="14.4" x14ac:dyDescent="0.25">
      <c r="N469" s="49"/>
      <c r="O469" s="49"/>
      <c r="P469" s="50"/>
      <c r="Q469" s="51"/>
      <c r="S469" s="51"/>
    </row>
    <row r="470" spans="14:19" ht="14.4" x14ac:dyDescent="0.25">
      <c r="N470" s="49"/>
      <c r="O470" s="49"/>
      <c r="P470" s="50"/>
      <c r="Q470" s="51"/>
      <c r="S470" s="51"/>
    </row>
    <row r="471" spans="14:19" ht="14.4" x14ac:dyDescent="0.25">
      <c r="N471" s="49"/>
      <c r="O471" s="49"/>
      <c r="P471" s="50"/>
      <c r="Q471" s="51"/>
      <c r="S471" s="51"/>
    </row>
    <row r="472" spans="14:19" ht="14.4" x14ac:dyDescent="0.25">
      <c r="N472" s="49"/>
      <c r="O472" s="49"/>
      <c r="P472" s="50"/>
      <c r="Q472" s="51"/>
      <c r="S472" s="51"/>
    </row>
    <row r="473" spans="14:19" ht="14.4" x14ac:dyDescent="0.25">
      <c r="N473" s="49"/>
      <c r="O473" s="49"/>
      <c r="P473" s="50"/>
      <c r="Q473" s="51"/>
      <c r="S473" s="51"/>
    </row>
    <row r="474" spans="14:19" ht="14.4" x14ac:dyDescent="0.25">
      <c r="N474" s="49"/>
      <c r="O474" s="49"/>
      <c r="P474" s="50"/>
      <c r="Q474" s="51"/>
      <c r="S474" s="51"/>
    </row>
    <row r="475" spans="14:19" ht="14.4" x14ac:dyDescent="0.25">
      <c r="N475" s="49"/>
      <c r="O475" s="49"/>
      <c r="P475" s="50"/>
      <c r="Q475" s="51"/>
      <c r="S475" s="51"/>
    </row>
    <row r="476" spans="14:19" ht="14.4" x14ac:dyDescent="0.25">
      <c r="N476" s="49"/>
      <c r="O476" s="49"/>
      <c r="P476" s="50"/>
      <c r="Q476" s="51"/>
      <c r="S476" s="51"/>
    </row>
    <row r="477" spans="14:19" ht="14.4" x14ac:dyDescent="0.25">
      <c r="N477" s="49"/>
      <c r="O477" s="49"/>
      <c r="P477" s="50"/>
      <c r="Q477" s="51"/>
      <c r="S477" s="51"/>
    </row>
    <row r="478" spans="14:19" ht="14.4" x14ac:dyDescent="0.25">
      <c r="N478" s="49"/>
      <c r="O478" s="49"/>
      <c r="P478" s="50"/>
      <c r="Q478" s="51"/>
      <c r="S478" s="51"/>
    </row>
    <row r="479" spans="14:19" ht="14.4" x14ac:dyDescent="0.25">
      <c r="N479" s="49"/>
      <c r="O479" s="49"/>
      <c r="P479" s="50"/>
      <c r="Q479" s="51"/>
      <c r="S479" s="51"/>
    </row>
    <row r="480" spans="14:19" ht="14.4" x14ac:dyDescent="0.25">
      <c r="N480" s="49"/>
      <c r="O480" s="49"/>
      <c r="P480" s="50"/>
      <c r="Q480" s="51"/>
      <c r="S480" s="51"/>
    </row>
    <row r="481" spans="14:19" ht="14.4" x14ac:dyDescent="0.25">
      <c r="N481" s="49"/>
      <c r="O481" s="49"/>
      <c r="P481" s="50"/>
      <c r="Q481" s="51"/>
      <c r="S481" s="51"/>
    </row>
    <row r="482" spans="14:19" ht="14.4" x14ac:dyDescent="0.25">
      <c r="N482" s="49"/>
      <c r="O482" s="49"/>
      <c r="P482" s="50"/>
      <c r="Q482" s="51"/>
      <c r="S482" s="51"/>
    </row>
    <row r="483" spans="14:19" ht="14.4" x14ac:dyDescent="0.25">
      <c r="N483" s="49"/>
      <c r="O483" s="49"/>
      <c r="P483" s="50"/>
      <c r="Q483" s="51"/>
      <c r="S483" s="51"/>
    </row>
    <row r="484" spans="14:19" ht="14.4" x14ac:dyDescent="0.25">
      <c r="N484" s="49"/>
      <c r="O484" s="49"/>
      <c r="P484" s="50"/>
      <c r="Q484" s="51"/>
      <c r="S484" s="51"/>
    </row>
    <row r="485" spans="14:19" ht="14.4" x14ac:dyDescent="0.25">
      <c r="N485" s="49"/>
      <c r="O485" s="49"/>
      <c r="P485" s="50"/>
      <c r="Q485" s="51"/>
      <c r="S485" s="51"/>
    </row>
    <row r="486" spans="14:19" ht="14.4" x14ac:dyDescent="0.25">
      <c r="N486" s="49"/>
      <c r="O486" s="49"/>
      <c r="P486" s="50"/>
      <c r="Q486" s="51"/>
      <c r="S486" s="51"/>
    </row>
    <row r="487" spans="14:19" ht="14.4" x14ac:dyDescent="0.25">
      <c r="N487" s="49"/>
      <c r="O487" s="49"/>
      <c r="P487" s="50"/>
      <c r="Q487" s="51"/>
      <c r="S487" s="51"/>
    </row>
    <row r="488" spans="14:19" ht="14.4" x14ac:dyDescent="0.25">
      <c r="N488" s="49"/>
      <c r="O488" s="49"/>
      <c r="P488" s="50"/>
      <c r="Q488" s="51"/>
      <c r="S488" s="51"/>
    </row>
    <row r="489" spans="14:19" ht="14.4" x14ac:dyDescent="0.25">
      <c r="N489" s="49"/>
      <c r="O489" s="49"/>
      <c r="P489" s="50"/>
      <c r="Q489" s="51"/>
      <c r="S489" s="51"/>
    </row>
    <row r="490" spans="14:19" ht="14.4" x14ac:dyDescent="0.25">
      <c r="N490" s="49"/>
      <c r="O490" s="49"/>
      <c r="P490" s="50"/>
      <c r="Q490" s="51"/>
      <c r="S490" s="51"/>
    </row>
    <row r="491" spans="14:19" ht="14.4" x14ac:dyDescent="0.25">
      <c r="N491" s="49"/>
      <c r="O491" s="49"/>
      <c r="P491" s="50"/>
      <c r="Q491" s="51"/>
      <c r="S491" s="51"/>
    </row>
    <row r="492" spans="14:19" ht="14.4" x14ac:dyDescent="0.25">
      <c r="N492" s="49"/>
      <c r="O492" s="49"/>
      <c r="P492" s="50"/>
      <c r="Q492" s="51"/>
      <c r="S492" s="51"/>
    </row>
    <row r="493" spans="14:19" ht="14.4" x14ac:dyDescent="0.25">
      <c r="N493" s="49"/>
      <c r="O493" s="49"/>
      <c r="P493" s="50"/>
      <c r="Q493" s="51"/>
      <c r="S493" s="51"/>
    </row>
    <row r="494" spans="14:19" ht="14.4" x14ac:dyDescent="0.25">
      <c r="N494" s="49"/>
      <c r="O494" s="49"/>
      <c r="P494" s="50"/>
      <c r="Q494" s="51"/>
      <c r="S494" s="51"/>
    </row>
    <row r="495" spans="14:19" ht="14.4" x14ac:dyDescent="0.25">
      <c r="N495" s="49"/>
      <c r="O495" s="49"/>
      <c r="P495" s="50"/>
      <c r="Q495" s="51"/>
      <c r="S495" s="51"/>
    </row>
    <row r="496" spans="14:19" ht="14.4" x14ac:dyDescent="0.25">
      <c r="N496" s="49"/>
      <c r="O496" s="49"/>
      <c r="P496" s="50"/>
      <c r="Q496" s="51"/>
      <c r="S496" s="51"/>
    </row>
    <row r="497" spans="14:19" ht="14.4" x14ac:dyDescent="0.25">
      <c r="N497" s="49"/>
      <c r="O497" s="49"/>
      <c r="P497" s="50"/>
      <c r="Q497" s="51"/>
      <c r="S497" s="51"/>
    </row>
    <row r="498" spans="14:19" ht="14.4" x14ac:dyDescent="0.25">
      <c r="N498" s="49"/>
      <c r="O498" s="49"/>
      <c r="P498" s="50"/>
      <c r="Q498" s="51"/>
      <c r="S498" s="51"/>
    </row>
    <row r="499" spans="14:19" ht="14.4" x14ac:dyDescent="0.25">
      <c r="N499" s="49"/>
      <c r="O499" s="49"/>
      <c r="P499" s="50"/>
      <c r="Q499" s="51"/>
      <c r="S499" s="51"/>
    </row>
    <row r="500" spans="14:19" ht="14.4" x14ac:dyDescent="0.25">
      <c r="N500" s="49"/>
      <c r="O500" s="49"/>
      <c r="P500" s="50"/>
      <c r="Q500" s="51"/>
      <c r="S500" s="51"/>
    </row>
    <row r="501" spans="14:19" ht="14.4" x14ac:dyDescent="0.25">
      <c r="N501" s="49"/>
      <c r="O501" s="49"/>
      <c r="P501" s="50"/>
      <c r="Q501" s="51"/>
      <c r="S501" s="51"/>
    </row>
    <row r="502" spans="14:19" ht="14.4" x14ac:dyDescent="0.25">
      <c r="N502" s="49"/>
      <c r="O502" s="49"/>
      <c r="P502" s="50"/>
      <c r="Q502" s="51"/>
      <c r="S502" s="51"/>
    </row>
    <row r="503" spans="14:19" ht="14.4" x14ac:dyDescent="0.25">
      <c r="N503" s="49"/>
      <c r="O503" s="49"/>
      <c r="P503" s="50"/>
      <c r="Q503" s="51"/>
      <c r="S503" s="51"/>
    </row>
    <row r="504" spans="14:19" ht="14.4" x14ac:dyDescent="0.25">
      <c r="N504" s="49"/>
      <c r="O504" s="49"/>
      <c r="P504" s="50"/>
      <c r="Q504" s="51"/>
      <c r="S504" s="51"/>
    </row>
    <row r="505" spans="14:19" ht="14.4" x14ac:dyDescent="0.25">
      <c r="N505" s="49"/>
      <c r="O505" s="49"/>
      <c r="P505" s="50"/>
      <c r="Q505" s="51"/>
      <c r="S505" s="51"/>
    </row>
    <row r="506" spans="14:19" ht="14.4" x14ac:dyDescent="0.25">
      <c r="N506" s="49"/>
      <c r="O506" s="49"/>
      <c r="P506" s="50"/>
      <c r="Q506" s="51"/>
      <c r="S506" s="51"/>
    </row>
    <row r="507" spans="14:19" ht="14.4" x14ac:dyDescent="0.25">
      <c r="N507" s="49"/>
      <c r="O507" s="49"/>
      <c r="P507" s="50"/>
      <c r="Q507" s="51"/>
      <c r="S507" s="51"/>
    </row>
    <row r="508" spans="14:19" ht="14.4" x14ac:dyDescent="0.25">
      <c r="N508" s="49"/>
      <c r="O508" s="49"/>
      <c r="P508" s="50"/>
      <c r="Q508" s="51"/>
      <c r="S508" s="51"/>
    </row>
    <row r="509" spans="14:19" ht="14.4" x14ac:dyDescent="0.25">
      <c r="N509" s="49"/>
      <c r="O509" s="49"/>
      <c r="P509" s="50"/>
      <c r="Q509" s="51"/>
      <c r="S509" s="51"/>
    </row>
    <row r="510" spans="14:19" ht="14.4" x14ac:dyDescent="0.25">
      <c r="N510" s="49"/>
      <c r="O510" s="49"/>
      <c r="P510" s="50"/>
      <c r="Q510" s="51"/>
      <c r="S510" s="51"/>
    </row>
    <row r="511" spans="14:19" ht="14.4" x14ac:dyDescent="0.25">
      <c r="N511" s="49"/>
      <c r="O511" s="49"/>
      <c r="P511" s="50"/>
      <c r="Q511" s="51"/>
      <c r="S511" s="51"/>
    </row>
    <row r="512" spans="14:19" ht="14.4" x14ac:dyDescent="0.25">
      <c r="N512" s="49"/>
      <c r="O512" s="49"/>
      <c r="P512" s="50"/>
      <c r="Q512" s="51"/>
      <c r="S512" s="51"/>
    </row>
    <row r="513" spans="14:19" ht="14.4" x14ac:dyDescent="0.25">
      <c r="N513" s="49"/>
      <c r="O513" s="49"/>
      <c r="P513" s="50"/>
      <c r="Q513" s="51"/>
      <c r="S513" s="51"/>
    </row>
    <row r="514" spans="14:19" ht="14.4" x14ac:dyDescent="0.25">
      <c r="N514" s="49"/>
      <c r="O514" s="49"/>
      <c r="P514" s="50"/>
      <c r="Q514" s="51"/>
      <c r="S514" s="51"/>
    </row>
    <row r="515" spans="14:19" ht="14.4" x14ac:dyDescent="0.25">
      <c r="N515" s="49"/>
      <c r="O515" s="49"/>
      <c r="P515" s="50"/>
      <c r="Q515" s="51"/>
      <c r="S515" s="51"/>
    </row>
    <row r="516" spans="14:19" ht="14.4" x14ac:dyDescent="0.25">
      <c r="N516" s="49"/>
      <c r="O516" s="49"/>
      <c r="P516" s="50"/>
      <c r="Q516" s="51"/>
      <c r="S516" s="51"/>
    </row>
    <row r="517" spans="14:19" ht="14.4" x14ac:dyDescent="0.25">
      <c r="N517" s="49"/>
      <c r="O517" s="49"/>
      <c r="P517" s="50"/>
      <c r="Q517" s="51"/>
      <c r="S517" s="51"/>
    </row>
    <row r="518" spans="14:19" ht="14.4" x14ac:dyDescent="0.25">
      <c r="N518" s="49"/>
      <c r="O518" s="49"/>
      <c r="P518" s="50"/>
      <c r="Q518" s="51"/>
      <c r="S518" s="51"/>
    </row>
    <row r="519" spans="14:19" ht="14.4" x14ac:dyDescent="0.25">
      <c r="N519" s="49"/>
      <c r="O519" s="49"/>
      <c r="P519" s="50"/>
      <c r="Q519" s="51"/>
      <c r="S519" s="51"/>
    </row>
    <row r="520" spans="14:19" ht="14.4" x14ac:dyDescent="0.25">
      <c r="N520" s="49"/>
      <c r="O520" s="49"/>
      <c r="P520" s="50"/>
      <c r="Q520" s="51"/>
      <c r="S520" s="51"/>
    </row>
    <row r="521" spans="14:19" ht="14.4" x14ac:dyDescent="0.25">
      <c r="N521" s="49"/>
      <c r="O521" s="49"/>
      <c r="P521" s="50"/>
      <c r="Q521" s="51"/>
      <c r="S521" s="51"/>
    </row>
    <row r="522" spans="14:19" ht="14.4" x14ac:dyDescent="0.25">
      <c r="N522" s="49"/>
      <c r="O522" s="49"/>
      <c r="P522" s="50"/>
      <c r="Q522" s="51"/>
      <c r="S522" s="51"/>
    </row>
    <row r="523" spans="14:19" ht="14.4" x14ac:dyDescent="0.25">
      <c r="N523" s="49"/>
      <c r="O523" s="49"/>
      <c r="P523" s="50"/>
      <c r="Q523" s="51"/>
      <c r="S523" s="51"/>
    </row>
    <row r="524" spans="14:19" ht="14.4" x14ac:dyDescent="0.25">
      <c r="N524" s="49"/>
      <c r="O524" s="49"/>
      <c r="P524" s="50"/>
      <c r="Q524" s="51"/>
      <c r="S524" s="51"/>
    </row>
    <row r="525" spans="14:19" ht="14.4" x14ac:dyDescent="0.25">
      <c r="N525" s="49"/>
      <c r="O525" s="49"/>
      <c r="P525" s="50"/>
      <c r="Q525" s="51"/>
      <c r="S525" s="51"/>
    </row>
    <row r="526" spans="14:19" ht="14.4" x14ac:dyDescent="0.25">
      <c r="N526" s="49"/>
      <c r="O526" s="49"/>
      <c r="P526" s="50"/>
      <c r="Q526" s="51"/>
      <c r="S526" s="51"/>
    </row>
    <row r="527" spans="14:19" ht="14.4" x14ac:dyDescent="0.25">
      <c r="N527" s="49"/>
      <c r="O527" s="49"/>
      <c r="P527" s="50"/>
      <c r="Q527" s="51"/>
      <c r="S527" s="51"/>
    </row>
    <row r="528" spans="14:19" ht="14.4" x14ac:dyDescent="0.25">
      <c r="N528" s="49"/>
      <c r="O528" s="49"/>
      <c r="P528" s="50"/>
      <c r="Q528" s="51"/>
      <c r="S528" s="51"/>
    </row>
    <row r="529" spans="14:19" ht="14.4" x14ac:dyDescent="0.25">
      <c r="N529" s="49"/>
      <c r="O529" s="49"/>
      <c r="P529" s="50"/>
      <c r="Q529" s="51"/>
      <c r="S529" s="51"/>
    </row>
    <row r="530" spans="14:19" ht="14.4" x14ac:dyDescent="0.25">
      <c r="N530" s="49"/>
      <c r="O530" s="49"/>
      <c r="P530" s="50"/>
      <c r="Q530" s="51"/>
      <c r="S530" s="51"/>
    </row>
    <row r="531" spans="14:19" ht="14.4" x14ac:dyDescent="0.25">
      <c r="N531" s="49"/>
      <c r="O531" s="49"/>
      <c r="P531" s="50"/>
      <c r="Q531" s="51"/>
      <c r="S531" s="51"/>
    </row>
    <row r="532" spans="14:19" ht="14.4" x14ac:dyDescent="0.25">
      <c r="N532" s="49"/>
      <c r="O532" s="49"/>
      <c r="P532" s="50"/>
      <c r="Q532" s="51"/>
      <c r="S532" s="51"/>
    </row>
    <row r="533" spans="14:19" ht="14.4" x14ac:dyDescent="0.25">
      <c r="N533" s="49"/>
      <c r="O533" s="49"/>
      <c r="P533" s="50"/>
      <c r="Q533" s="51"/>
      <c r="S533" s="51"/>
    </row>
    <row r="534" spans="14:19" ht="14.4" x14ac:dyDescent="0.25">
      <c r="N534" s="49"/>
      <c r="O534" s="49"/>
      <c r="P534" s="50"/>
      <c r="Q534" s="51"/>
      <c r="S534" s="51"/>
    </row>
    <row r="535" spans="14:19" ht="14.4" x14ac:dyDescent="0.25">
      <c r="N535" s="49"/>
      <c r="O535" s="49"/>
      <c r="P535" s="50"/>
      <c r="Q535" s="51"/>
      <c r="S535" s="51"/>
    </row>
    <row r="536" spans="14:19" ht="14.4" x14ac:dyDescent="0.25">
      <c r="N536" s="49"/>
      <c r="O536" s="49"/>
      <c r="P536" s="50"/>
      <c r="Q536" s="51"/>
      <c r="S536" s="51"/>
    </row>
    <row r="537" spans="14:19" ht="14.4" x14ac:dyDescent="0.25">
      <c r="N537" s="49"/>
      <c r="O537" s="49"/>
      <c r="P537" s="50"/>
      <c r="Q537" s="51"/>
      <c r="S537" s="51"/>
    </row>
    <row r="538" spans="14:19" ht="14.4" x14ac:dyDescent="0.25">
      <c r="N538" s="49"/>
      <c r="O538" s="49"/>
      <c r="P538" s="50"/>
      <c r="Q538" s="51"/>
      <c r="S538" s="51"/>
    </row>
    <row r="539" spans="14:19" ht="14.4" x14ac:dyDescent="0.25">
      <c r="N539" s="49"/>
      <c r="O539" s="49"/>
      <c r="P539" s="50"/>
      <c r="Q539" s="51"/>
      <c r="S539" s="51"/>
    </row>
    <row r="540" spans="14:19" ht="14.4" x14ac:dyDescent="0.25">
      <c r="N540" s="49"/>
      <c r="O540" s="49"/>
      <c r="P540" s="50"/>
      <c r="Q540" s="51"/>
      <c r="S540" s="51"/>
    </row>
    <row r="541" spans="14:19" ht="14.4" x14ac:dyDescent="0.25">
      <c r="N541" s="49"/>
      <c r="O541" s="49"/>
      <c r="P541" s="50"/>
      <c r="Q541" s="51"/>
      <c r="S541" s="51"/>
    </row>
    <row r="542" spans="14:19" ht="14.4" x14ac:dyDescent="0.25">
      <c r="N542" s="49"/>
      <c r="O542" s="49"/>
      <c r="P542" s="50"/>
      <c r="Q542" s="51"/>
      <c r="S542" s="51"/>
    </row>
    <row r="543" spans="14:19" ht="14.4" x14ac:dyDescent="0.25">
      <c r="N543" s="49"/>
      <c r="O543" s="49"/>
      <c r="P543" s="50"/>
      <c r="Q543" s="51"/>
      <c r="S543" s="51"/>
    </row>
    <row r="544" spans="14:19" ht="14.4" x14ac:dyDescent="0.25">
      <c r="N544" s="49"/>
      <c r="O544" s="49"/>
      <c r="P544" s="50"/>
      <c r="Q544" s="51"/>
      <c r="S544" s="51"/>
    </row>
    <row r="545" spans="14:19" ht="14.4" x14ac:dyDescent="0.25">
      <c r="N545" s="49"/>
      <c r="O545" s="49"/>
      <c r="P545" s="50"/>
      <c r="Q545" s="51"/>
      <c r="S545" s="51"/>
    </row>
    <row r="546" spans="14:19" ht="14.4" x14ac:dyDescent="0.25">
      <c r="N546" s="49"/>
      <c r="O546" s="49"/>
      <c r="P546" s="50"/>
      <c r="Q546" s="51"/>
      <c r="S546" s="51"/>
    </row>
    <row r="547" spans="14:19" ht="14.4" x14ac:dyDescent="0.25">
      <c r="N547" s="49"/>
      <c r="O547" s="49"/>
      <c r="P547" s="50"/>
      <c r="Q547" s="51"/>
      <c r="S547" s="51"/>
    </row>
    <row r="548" spans="14:19" ht="14.4" x14ac:dyDescent="0.25">
      <c r="N548" s="49"/>
      <c r="O548" s="49"/>
      <c r="P548" s="50"/>
      <c r="Q548" s="51"/>
      <c r="S548" s="51"/>
    </row>
    <row r="549" spans="14:19" ht="14.4" x14ac:dyDescent="0.25">
      <c r="N549" s="49"/>
      <c r="O549" s="49"/>
      <c r="P549" s="50"/>
      <c r="Q549" s="51"/>
      <c r="S549" s="51"/>
    </row>
    <row r="550" spans="14:19" ht="14.4" x14ac:dyDescent="0.25">
      <c r="N550" s="49"/>
      <c r="O550" s="49"/>
      <c r="P550" s="50"/>
      <c r="Q550" s="51"/>
      <c r="S550" s="51"/>
    </row>
    <row r="551" spans="14:19" ht="14.4" x14ac:dyDescent="0.25">
      <c r="N551" s="49"/>
      <c r="O551" s="49"/>
      <c r="P551" s="50"/>
      <c r="Q551" s="51"/>
      <c r="S551" s="51"/>
    </row>
    <row r="552" spans="14:19" ht="14.4" x14ac:dyDescent="0.25">
      <c r="N552" s="49"/>
      <c r="O552" s="49"/>
      <c r="P552" s="50"/>
      <c r="Q552" s="51"/>
      <c r="S552" s="51"/>
    </row>
    <row r="553" spans="14:19" ht="14.4" x14ac:dyDescent="0.25">
      <c r="N553" s="49"/>
      <c r="O553" s="49"/>
      <c r="P553" s="50"/>
      <c r="Q553" s="51"/>
      <c r="S553" s="51"/>
    </row>
    <row r="554" spans="14:19" ht="14.4" x14ac:dyDescent="0.25">
      <c r="N554" s="49"/>
      <c r="O554" s="49"/>
      <c r="P554" s="50"/>
      <c r="Q554" s="51"/>
      <c r="S554" s="51"/>
    </row>
    <row r="555" spans="14:19" ht="14.4" x14ac:dyDescent="0.25">
      <c r="N555" s="49"/>
      <c r="O555" s="49"/>
      <c r="P555" s="50"/>
      <c r="Q555" s="51"/>
      <c r="S555" s="51"/>
    </row>
    <row r="556" spans="14:19" ht="14.4" x14ac:dyDescent="0.25">
      <c r="N556" s="49"/>
      <c r="O556" s="49"/>
      <c r="P556" s="50"/>
      <c r="Q556" s="51"/>
      <c r="S556" s="51"/>
    </row>
    <row r="557" spans="14:19" ht="14.4" x14ac:dyDescent="0.25">
      <c r="N557" s="49"/>
      <c r="O557" s="49"/>
      <c r="P557" s="50"/>
      <c r="Q557" s="51"/>
      <c r="S557" s="51"/>
    </row>
    <row r="558" spans="14:19" ht="14.4" x14ac:dyDescent="0.25">
      <c r="N558" s="49"/>
      <c r="O558" s="49"/>
      <c r="P558" s="50"/>
      <c r="Q558" s="51"/>
      <c r="S558" s="51"/>
    </row>
    <row r="559" spans="14:19" ht="14.4" x14ac:dyDescent="0.25">
      <c r="N559" s="49"/>
      <c r="O559" s="49"/>
      <c r="P559" s="50"/>
      <c r="Q559" s="51"/>
      <c r="S559" s="51"/>
    </row>
    <row r="560" spans="14:19" ht="14.4" x14ac:dyDescent="0.25">
      <c r="N560" s="49"/>
      <c r="O560" s="49"/>
      <c r="P560" s="50"/>
      <c r="Q560" s="51"/>
      <c r="S560" s="51"/>
    </row>
    <row r="561" spans="14:19" ht="14.4" x14ac:dyDescent="0.25">
      <c r="N561" s="49"/>
      <c r="O561" s="49"/>
      <c r="P561" s="50"/>
      <c r="Q561" s="51"/>
      <c r="S561" s="51"/>
    </row>
    <row r="562" spans="14:19" ht="14.4" x14ac:dyDescent="0.25">
      <c r="N562" s="49"/>
      <c r="O562" s="49"/>
      <c r="P562" s="50"/>
      <c r="Q562" s="51"/>
      <c r="S562" s="51"/>
    </row>
    <row r="563" spans="14:19" ht="14.4" x14ac:dyDescent="0.25">
      <c r="N563" s="49"/>
      <c r="O563" s="49"/>
      <c r="P563" s="50"/>
      <c r="Q563" s="51"/>
      <c r="S563" s="51"/>
    </row>
    <row r="564" spans="14:19" ht="14.4" x14ac:dyDescent="0.25">
      <c r="N564" s="49"/>
      <c r="O564" s="49"/>
      <c r="P564" s="50"/>
      <c r="Q564" s="51"/>
      <c r="S564" s="51"/>
    </row>
    <row r="565" spans="14:19" ht="14.4" x14ac:dyDescent="0.25">
      <c r="N565" s="49"/>
      <c r="O565" s="49"/>
      <c r="P565" s="50"/>
      <c r="Q565" s="51"/>
      <c r="S565" s="51"/>
    </row>
    <row r="566" spans="14:19" ht="14.4" x14ac:dyDescent="0.25">
      <c r="N566" s="49"/>
      <c r="O566" s="49"/>
      <c r="P566" s="50"/>
      <c r="Q566" s="51"/>
      <c r="S566" s="51"/>
    </row>
    <row r="567" spans="14:19" ht="14.4" x14ac:dyDescent="0.25">
      <c r="N567" s="49"/>
      <c r="O567" s="49"/>
      <c r="P567" s="50"/>
      <c r="Q567" s="51"/>
      <c r="S567" s="51"/>
    </row>
    <row r="568" spans="14:19" ht="14.4" x14ac:dyDescent="0.25">
      <c r="N568" s="49"/>
      <c r="O568" s="49"/>
      <c r="P568" s="50"/>
      <c r="Q568" s="51"/>
      <c r="S568" s="51"/>
    </row>
    <row r="569" spans="14:19" ht="14.4" x14ac:dyDescent="0.25">
      <c r="N569" s="49"/>
      <c r="O569" s="49"/>
      <c r="P569" s="50"/>
      <c r="Q569" s="51"/>
      <c r="S569" s="51"/>
    </row>
    <row r="570" spans="14:19" ht="14.4" x14ac:dyDescent="0.25">
      <c r="N570" s="49"/>
      <c r="O570" s="49"/>
      <c r="P570" s="50"/>
      <c r="Q570" s="51"/>
      <c r="S570" s="51"/>
    </row>
    <row r="571" spans="14:19" ht="14.4" x14ac:dyDescent="0.25">
      <c r="N571" s="49"/>
      <c r="O571" s="49"/>
      <c r="P571" s="50"/>
      <c r="Q571" s="51"/>
      <c r="S571" s="51"/>
    </row>
    <row r="572" spans="14:19" ht="14.4" x14ac:dyDescent="0.25">
      <c r="N572" s="49"/>
      <c r="O572" s="49"/>
      <c r="P572" s="50"/>
      <c r="Q572" s="51"/>
      <c r="S572" s="51"/>
    </row>
    <row r="573" spans="14:19" ht="14.4" x14ac:dyDescent="0.25">
      <c r="N573" s="49"/>
      <c r="O573" s="49"/>
      <c r="P573" s="50"/>
      <c r="Q573" s="51"/>
      <c r="S573" s="51"/>
    </row>
    <row r="574" spans="14:19" ht="14.4" x14ac:dyDescent="0.25">
      <c r="N574" s="49"/>
      <c r="O574" s="49"/>
      <c r="P574" s="50"/>
      <c r="Q574" s="51"/>
      <c r="S574" s="51"/>
    </row>
    <row r="575" spans="14:19" ht="14.4" x14ac:dyDescent="0.25">
      <c r="N575" s="49"/>
      <c r="O575" s="49"/>
      <c r="P575" s="50"/>
      <c r="Q575" s="51"/>
      <c r="S575" s="51"/>
    </row>
    <row r="576" spans="14:19" ht="14.4" x14ac:dyDescent="0.25">
      <c r="N576" s="49"/>
      <c r="O576" s="49"/>
      <c r="P576" s="50"/>
      <c r="Q576" s="51"/>
      <c r="S576" s="51"/>
    </row>
    <row r="577" spans="14:19" ht="14.4" x14ac:dyDescent="0.25">
      <c r="N577" s="49"/>
      <c r="O577" s="49"/>
      <c r="P577" s="50"/>
      <c r="Q577" s="51"/>
      <c r="S577" s="51"/>
    </row>
    <row r="578" spans="14:19" ht="14.4" x14ac:dyDescent="0.25">
      <c r="N578" s="49"/>
      <c r="O578" s="49"/>
      <c r="P578" s="50"/>
      <c r="Q578" s="51"/>
      <c r="S578" s="51"/>
    </row>
    <row r="579" spans="14:19" ht="14.4" x14ac:dyDescent="0.25">
      <c r="N579" s="49"/>
      <c r="O579" s="49"/>
      <c r="P579" s="50"/>
      <c r="Q579" s="51"/>
      <c r="S579" s="51"/>
    </row>
    <row r="580" spans="14:19" ht="14.4" x14ac:dyDescent="0.25">
      <c r="N580" s="49"/>
      <c r="O580" s="49"/>
      <c r="P580" s="50"/>
      <c r="Q580" s="51"/>
      <c r="S580" s="51"/>
    </row>
    <row r="581" spans="14:19" ht="14.4" x14ac:dyDescent="0.25">
      <c r="N581" s="49"/>
      <c r="O581" s="49"/>
      <c r="P581" s="50"/>
      <c r="Q581" s="51"/>
      <c r="S581" s="51"/>
    </row>
    <row r="582" spans="14:19" ht="14.4" x14ac:dyDescent="0.25">
      <c r="N582" s="49"/>
      <c r="O582" s="49"/>
      <c r="P582" s="50"/>
      <c r="Q582" s="51"/>
      <c r="S582" s="51"/>
    </row>
    <row r="583" spans="14:19" ht="14.4" x14ac:dyDescent="0.25">
      <c r="N583" s="49"/>
      <c r="O583" s="49"/>
      <c r="P583" s="50"/>
      <c r="Q583" s="51"/>
      <c r="S583" s="51"/>
    </row>
    <row r="584" spans="14:19" ht="14.4" x14ac:dyDescent="0.25">
      <c r="N584" s="49"/>
      <c r="O584" s="49"/>
      <c r="P584" s="50"/>
      <c r="Q584" s="51"/>
      <c r="S584" s="51"/>
    </row>
    <row r="585" spans="14:19" ht="14.4" x14ac:dyDescent="0.25">
      <c r="N585" s="49"/>
      <c r="O585" s="49"/>
      <c r="P585" s="50"/>
      <c r="Q585" s="51"/>
      <c r="S585" s="51"/>
    </row>
    <row r="586" spans="14:19" ht="14.4" x14ac:dyDescent="0.25">
      <c r="N586" s="49"/>
      <c r="O586" s="49"/>
      <c r="P586" s="50"/>
      <c r="Q586" s="51"/>
      <c r="S586" s="51"/>
    </row>
    <row r="587" spans="14:19" ht="14.4" x14ac:dyDescent="0.25">
      <c r="N587" s="49"/>
      <c r="O587" s="49"/>
      <c r="P587" s="50"/>
      <c r="Q587" s="51"/>
      <c r="S587" s="51"/>
    </row>
    <row r="588" spans="14:19" ht="14.4" x14ac:dyDescent="0.25">
      <c r="N588" s="49"/>
      <c r="O588" s="49"/>
      <c r="P588" s="50"/>
      <c r="Q588" s="51"/>
      <c r="S588" s="51"/>
    </row>
    <row r="589" spans="14:19" ht="14.4" x14ac:dyDescent="0.25">
      <c r="N589" s="49"/>
      <c r="O589" s="49"/>
      <c r="P589" s="50"/>
      <c r="Q589" s="51"/>
      <c r="S589" s="51"/>
    </row>
    <row r="590" spans="14:19" ht="14.4" x14ac:dyDescent="0.25">
      <c r="N590" s="49"/>
      <c r="O590" s="49"/>
      <c r="P590" s="50"/>
      <c r="Q590" s="51"/>
      <c r="S590" s="51"/>
    </row>
    <row r="591" spans="14:19" ht="14.4" x14ac:dyDescent="0.25">
      <c r="N591" s="49"/>
      <c r="O591" s="49"/>
      <c r="P591" s="50"/>
      <c r="Q591" s="51"/>
      <c r="S591" s="51"/>
    </row>
    <row r="592" spans="14:19" ht="14.4" x14ac:dyDescent="0.25">
      <c r="N592" s="49"/>
      <c r="O592" s="49"/>
      <c r="P592" s="50"/>
      <c r="Q592" s="51"/>
      <c r="S592" s="51"/>
    </row>
    <row r="593" spans="14:19" ht="14.4" x14ac:dyDescent="0.25">
      <c r="N593" s="49"/>
      <c r="O593" s="49"/>
      <c r="P593" s="50"/>
      <c r="Q593" s="51"/>
      <c r="S593" s="51"/>
    </row>
    <row r="594" spans="14:19" ht="14.4" x14ac:dyDescent="0.25">
      <c r="N594" s="49"/>
      <c r="O594" s="49"/>
      <c r="P594" s="50"/>
      <c r="Q594" s="51"/>
      <c r="S594" s="51"/>
    </row>
    <row r="595" spans="14:19" ht="14.4" x14ac:dyDescent="0.25">
      <c r="N595" s="49"/>
      <c r="O595" s="49"/>
      <c r="P595" s="50"/>
      <c r="Q595" s="51"/>
      <c r="S595" s="51"/>
    </row>
    <row r="596" spans="14:19" ht="14.4" x14ac:dyDescent="0.25">
      <c r="N596" s="49"/>
      <c r="O596" s="49"/>
      <c r="P596" s="50"/>
      <c r="Q596" s="51"/>
      <c r="S596" s="51"/>
    </row>
    <row r="597" spans="14:19" ht="14.4" x14ac:dyDescent="0.25">
      <c r="N597" s="49"/>
      <c r="O597" s="49"/>
      <c r="P597" s="50"/>
      <c r="Q597" s="51"/>
      <c r="S597" s="51"/>
    </row>
    <row r="598" spans="14:19" ht="14.4" x14ac:dyDescent="0.25">
      <c r="N598" s="49"/>
      <c r="O598" s="49"/>
      <c r="P598" s="50"/>
      <c r="Q598" s="51"/>
      <c r="S598" s="51"/>
    </row>
    <row r="599" spans="14:19" ht="14.4" x14ac:dyDescent="0.25">
      <c r="N599" s="49"/>
      <c r="O599" s="49"/>
      <c r="P599" s="50"/>
      <c r="Q599" s="51"/>
      <c r="S599" s="51"/>
    </row>
    <row r="600" spans="14:19" ht="14.4" x14ac:dyDescent="0.25">
      <c r="N600" s="49"/>
      <c r="O600" s="49"/>
      <c r="P600" s="50"/>
      <c r="Q600" s="51"/>
      <c r="S600" s="51"/>
    </row>
    <row r="601" spans="14:19" ht="14.4" x14ac:dyDescent="0.25">
      <c r="N601" s="49"/>
      <c r="O601" s="49"/>
      <c r="P601" s="50"/>
      <c r="Q601" s="51"/>
      <c r="S601" s="51"/>
    </row>
    <row r="602" spans="14:19" ht="14.4" x14ac:dyDescent="0.25">
      <c r="N602" s="49"/>
      <c r="O602" s="49"/>
      <c r="P602" s="50"/>
      <c r="Q602" s="51"/>
      <c r="S602" s="51"/>
    </row>
    <row r="603" spans="14:19" ht="14.4" x14ac:dyDescent="0.25">
      <c r="N603" s="49"/>
      <c r="O603" s="49"/>
      <c r="P603" s="50"/>
      <c r="Q603" s="51"/>
      <c r="S603" s="51"/>
    </row>
    <row r="604" spans="14:19" ht="14.4" x14ac:dyDescent="0.25">
      <c r="N604" s="49"/>
      <c r="O604" s="49"/>
      <c r="P604" s="50"/>
      <c r="Q604" s="51"/>
      <c r="S604" s="51"/>
    </row>
    <row r="605" spans="14:19" ht="14.4" x14ac:dyDescent="0.25">
      <c r="N605" s="49"/>
      <c r="O605" s="49"/>
      <c r="P605" s="50"/>
      <c r="Q605" s="51"/>
      <c r="S605" s="51"/>
    </row>
    <row r="606" spans="14:19" ht="14.4" x14ac:dyDescent="0.25">
      <c r="N606" s="49"/>
      <c r="O606" s="49"/>
      <c r="P606" s="50"/>
      <c r="Q606" s="51"/>
      <c r="S606" s="51"/>
    </row>
    <row r="607" spans="14:19" ht="14.4" x14ac:dyDescent="0.25">
      <c r="N607" s="49"/>
      <c r="O607" s="49"/>
      <c r="P607" s="50"/>
      <c r="Q607" s="51"/>
      <c r="S607" s="51"/>
    </row>
    <row r="608" spans="14:19" ht="14.4" x14ac:dyDescent="0.25">
      <c r="N608" s="49"/>
      <c r="O608" s="49"/>
      <c r="P608" s="50"/>
      <c r="Q608" s="51"/>
      <c r="S608" s="51"/>
    </row>
    <row r="609" spans="14:19" ht="14.4" x14ac:dyDescent="0.25">
      <c r="N609" s="49"/>
      <c r="O609" s="49"/>
      <c r="P609" s="50"/>
      <c r="Q609" s="51"/>
      <c r="S609" s="51"/>
    </row>
    <row r="610" spans="14:19" ht="14.4" x14ac:dyDescent="0.25">
      <c r="N610" s="49"/>
      <c r="O610" s="49"/>
      <c r="P610" s="50"/>
      <c r="Q610" s="51"/>
      <c r="S610" s="51"/>
    </row>
    <row r="611" spans="14:19" ht="14.4" x14ac:dyDescent="0.25">
      <c r="N611" s="49"/>
      <c r="O611" s="49"/>
      <c r="P611" s="50"/>
      <c r="Q611" s="51"/>
      <c r="S611" s="51"/>
    </row>
    <row r="612" spans="14:19" ht="14.4" x14ac:dyDescent="0.25">
      <c r="N612" s="49"/>
      <c r="O612" s="49"/>
      <c r="P612" s="50"/>
      <c r="Q612" s="51"/>
      <c r="S612" s="51"/>
    </row>
    <row r="613" spans="14:19" ht="14.4" x14ac:dyDescent="0.25">
      <c r="N613" s="49"/>
      <c r="O613" s="49"/>
      <c r="P613" s="50"/>
      <c r="Q613" s="51"/>
      <c r="S613" s="51"/>
    </row>
    <row r="614" spans="14:19" ht="14.4" x14ac:dyDescent="0.25">
      <c r="N614" s="49"/>
      <c r="O614" s="49"/>
      <c r="P614" s="50"/>
      <c r="Q614" s="51"/>
      <c r="S614" s="51"/>
    </row>
    <row r="615" spans="14:19" ht="14.4" x14ac:dyDescent="0.25">
      <c r="N615" s="49"/>
      <c r="O615" s="49"/>
      <c r="P615" s="50"/>
      <c r="Q615" s="51"/>
      <c r="S615" s="51"/>
    </row>
    <row r="616" spans="14:19" ht="14.4" x14ac:dyDescent="0.25">
      <c r="N616" s="49"/>
      <c r="O616" s="49"/>
      <c r="P616" s="50"/>
      <c r="Q616" s="51"/>
      <c r="S616" s="51"/>
    </row>
    <row r="617" spans="14:19" ht="14.4" x14ac:dyDescent="0.25">
      <c r="N617" s="49"/>
      <c r="O617" s="49"/>
      <c r="P617" s="50"/>
      <c r="Q617" s="51"/>
      <c r="S617" s="51"/>
    </row>
    <row r="618" spans="14:19" ht="14.4" x14ac:dyDescent="0.25">
      <c r="N618" s="49"/>
      <c r="O618" s="49"/>
      <c r="P618" s="50"/>
      <c r="Q618" s="51"/>
      <c r="S618" s="51"/>
    </row>
    <row r="619" spans="14:19" ht="14.4" x14ac:dyDescent="0.25">
      <c r="N619" s="49"/>
      <c r="O619" s="49"/>
      <c r="P619" s="50"/>
      <c r="Q619" s="51"/>
      <c r="S619" s="51"/>
    </row>
    <row r="620" spans="14:19" ht="14.4" x14ac:dyDescent="0.25">
      <c r="N620" s="49"/>
      <c r="O620" s="49"/>
      <c r="P620" s="50"/>
      <c r="Q620" s="51"/>
      <c r="S620" s="51"/>
    </row>
    <row r="621" spans="14:19" ht="14.4" x14ac:dyDescent="0.25">
      <c r="N621" s="49"/>
      <c r="O621" s="49"/>
      <c r="P621" s="50"/>
      <c r="Q621" s="51"/>
      <c r="S621" s="51"/>
    </row>
    <row r="622" spans="14:19" ht="14.4" x14ac:dyDescent="0.25">
      <c r="N622" s="49"/>
      <c r="O622" s="49"/>
      <c r="P622" s="50"/>
      <c r="Q622" s="51"/>
      <c r="S622" s="51"/>
    </row>
    <row r="623" spans="14:19" ht="14.4" x14ac:dyDescent="0.25">
      <c r="N623" s="49"/>
      <c r="O623" s="49"/>
      <c r="P623" s="50"/>
      <c r="Q623" s="51"/>
      <c r="S623" s="51"/>
    </row>
    <row r="624" spans="14:19" ht="14.4" x14ac:dyDescent="0.25">
      <c r="N624" s="49"/>
      <c r="O624" s="49"/>
      <c r="P624" s="50"/>
      <c r="Q624" s="51"/>
      <c r="S624" s="51"/>
    </row>
    <row r="625" spans="14:19" ht="14.4" x14ac:dyDescent="0.25">
      <c r="N625" s="49"/>
      <c r="O625" s="49"/>
      <c r="P625" s="50"/>
      <c r="Q625" s="51"/>
      <c r="S625" s="51"/>
    </row>
    <row r="626" spans="14:19" ht="14.4" x14ac:dyDescent="0.25">
      <c r="N626" s="49"/>
      <c r="O626" s="49"/>
      <c r="P626" s="50"/>
      <c r="Q626" s="51"/>
      <c r="S626" s="51"/>
    </row>
    <row r="627" spans="14:19" ht="14.4" x14ac:dyDescent="0.25">
      <c r="N627" s="49"/>
      <c r="O627" s="49"/>
      <c r="P627" s="50"/>
      <c r="Q627" s="51"/>
      <c r="S627" s="51"/>
    </row>
    <row r="628" spans="14:19" ht="14.4" x14ac:dyDescent="0.25">
      <c r="N628" s="49"/>
      <c r="O628" s="49"/>
      <c r="P628" s="50"/>
      <c r="Q628" s="51"/>
      <c r="S628" s="51"/>
    </row>
    <row r="629" spans="14:19" ht="14.4" x14ac:dyDescent="0.25">
      <c r="N629" s="49"/>
      <c r="O629" s="49"/>
      <c r="P629" s="50"/>
      <c r="Q629" s="51"/>
      <c r="S629" s="51"/>
    </row>
    <row r="630" spans="14:19" ht="14.4" x14ac:dyDescent="0.25">
      <c r="N630" s="49"/>
      <c r="O630" s="49"/>
      <c r="P630" s="50"/>
      <c r="Q630" s="51"/>
      <c r="S630" s="51"/>
    </row>
    <row r="631" spans="14:19" ht="14.4" x14ac:dyDescent="0.25">
      <c r="N631" s="49"/>
      <c r="O631" s="49"/>
      <c r="P631" s="50"/>
      <c r="Q631" s="51"/>
      <c r="S631" s="51"/>
    </row>
    <row r="632" spans="14:19" ht="14.4" x14ac:dyDescent="0.25">
      <c r="N632" s="49"/>
      <c r="O632" s="49"/>
      <c r="P632" s="50"/>
      <c r="Q632" s="51"/>
      <c r="S632" s="51"/>
    </row>
    <row r="633" spans="14:19" ht="14.4" x14ac:dyDescent="0.25">
      <c r="N633" s="49"/>
      <c r="O633" s="49"/>
      <c r="P633" s="50"/>
      <c r="Q633" s="51"/>
      <c r="S633" s="51"/>
    </row>
    <row r="634" spans="14:19" ht="14.4" x14ac:dyDescent="0.25">
      <c r="N634" s="49"/>
      <c r="O634" s="49"/>
      <c r="P634" s="50"/>
      <c r="Q634" s="51"/>
      <c r="S634" s="51"/>
    </row>
    <row r="635" spans="14:19" ht="14.4" x14ac:dyDescent="0.25">
      <c r="N635" s="49"/>
      <c r="O635" s="49"/>
      <c r="P635" s="50"/>
      <c r="Q635" s="51"/>
      <c r="S635" s="51"/>
    </row>
    <row r="636" spans="14:19" ht="14.4" x14ac:dyDescent="0.25">
      <c r="N636" s="49"/>
      <c r="O636" s="49"/>
      <c r="P636" s="50"/>
      <c r="Q636" s="51"/>
      <c r="S636" s="51"/>
    </row>
    <row r="637" spans="14:19" ht="14.4" x14ac:dyDescent="0.25">
      <c r="N637" s="49"/>
      <c r="O637" s="49"/>
      <c r="P637" s="50"/>
      <c r="Q637" s="51"/>
      <c r="S637" s="51"/>
    </row>
    <row r="638" spans="14:19" ht="14.4" x14ac:dyDescent="0.25">
      <c r="N638" s="49"/>
      <c r="O638" s="49"/>
      <c r="P638" s="50"/>
      <c r="Q638" s="51"/>
      <c r="S638" s="51"/>
    </row>
    <row r="639" spans="14:19" ht="14.4" x14ac:dyDescent="0.25">
      <c r="N639" s="49"/>
      <c r="O639" s="49"/>
      <c r="P639" s="50"/>
      <c r="Q639" s="51"/>
      <c r="S639" s="51"/>
    </row>
    <row r="640" spans="14:19" ht="14.4" x14ac:dyDescent="0.25">
      <c r="N640" s="49"/>
      <c r="O640" s="49"/>
      <c r="P640" s="50"/>
      <c r="Q640" s="51"/>
      <c r="S640" s="51"/>
    </row>
    <row r="641" spans="14:19" ht="14.4" x14ac:dyDescent="0.25">
      <c r="N641" s="49"/>
      <c r="O641" s="49"/>
      <c r="P641" s="50"/>
      <c r="Q641" s="51"/>
      <c r="S641" s="51"/>
    </row>
    <row r="642" spans="14:19" ht="14.4" x14ac:dyDescent="0.25">
      <c r="N642" s="49"/>
      <c r="O642" s="49"/>
      <c r="P642" s="50"/>
      <c r="Q642" s="51"/>
      <c r="S642" s="51"/>
    </row>
    <row r="643" spans="14:19" ht="14.4" x14ac:dyDescent="0.25">
      <c r="N643" s="49"/>
      <c r="O643" s="49"/>
      <c r="P643" s="50"/>
      <c r="Q643" s="51"/>
      <c r="S643" s="51"/>
    </row>
    <row r="644" spans="14:19" ht="14.4" x14ac:dyDescent="0.25">
      <c r="N644" s="49"/>
      <c r="O644" s="49"/>
      <c r="P644" s="50"/>
      <c r="Q644" s="51"/>
      <c r="S644" s="51"/>
    </row>
    <row r="645" spans="14:19" ht="14.4" x14ac:dyDescent="0.25">
      <c r="N645" s="49"/>
      <c r="O645" s="49"/>
      <c r="P645" s="50"/>
      <c r="Q645" s="51"/>
      <c r="S645" s="51"/>
    </row>
    <row r="646" spans="14:19" ht="14.4" x14ac:dyDescent="0.25">
      <c r="N646" s="49"/>
      <c r="O646" s="49"/>
      <c r="P646" s="50"/>
      <c r="Q646" s="51"/>
      <c r="S646" s="51"/>
    </row>
    <row r="647" spans="14:19" ht="14.4" x14ac:dyDescent="0.25">
      <c r="N647" s="49"/>
      <c r="O647" s="49"/>
      <c r="P647" s="50"/>
      <c r="Q647" s="51"/>
      <c r="S647" s="51"/>
    </row>
    <row r="648" spans="14:19" ht="14.4" x14ac:dyDescent="0.25">
      <c r="N648" s="49"/>
      <c r="O648" s="49"/>
      <c r="P648" s="50"/>
      <c r="Q648" s="51"/>
      <c r="S648" s="51"/>
    </row>
    <row r="649" spans="14:19" ht="14.4" x14ac:dyDescent="0.25">
      <c r="N649" s="49"/>
      <c r="O649" s="49"/>
      <c r="P649" s="50"/>
      <c r="Q649" s="51"/>
      <c r="S649" s="51"/>
    </row>
    <row r="650" spans="14:19" ht="14.4" x14ac:dyDescent="0.25">
      <c r="N650" s="49"/>
      <c r="O650" s="49"/>
      <c r="P650" s="50"/>
      <c r="Q650" s="51"/>
      <c r="S650" s="51"/>
    </row>
    <row r="651" spans="14:19" ht="14.4" x14ac:dyDescent="0.25">
      <c r="N651" s="49"/>
      <c r="O651" s="49"/>
      <c r="P651" s="50"/>
      <c r="Q651" s="51"/>
      <c r="S651" s="51"/>
    </row>
    <row r="652" spans="14:19" ht="14.4" x14ac:dyDescent="0.25">
      <c r="N652" s="49"/>
      <c r="O652" s="49"/>
      <c r="P652" s="50"/>
      <c r="Q652" s="51"/>
      <c r="S652" s="51"/>
    </row>
    <row r="653" spans="14:19" ht="14.4" x14ac:dyDescent="0.25">
      <c r="N653" s="49"/>
      <c r="O653" s="49"/>
      <c r="P653" s="50"/>
      <c r="Q653" s="51"/>
      <c r="S653" s="51"/>
    </row>
    <row r="654" spans="14:19" ht="14.4" x14ac:dyDescent="0.25">
      <c r="N654" s="49"/>
      <c r="O654" s="49"/>
      <c r="P654" s="50"/>
      <c r="Q654" s="51"/>
      <c r="S654" s="51"/>
    </row>
    <row r="655" spans="14:19" ht="14.4" x14ac:dyDescent="0.25">
      <c r="N655" s="49"/>
      <c r="O655" s="49"/>
      <c r="P655" s="50"/>
      <c r="Q655" s="51"/>
      <c r="S655" s="51"/>
    </row>
    <row r="656" spans="14:19" ht="14.4" x14ac:dyDescent="0.25">
      <c r="N656" s="49"/>
      <c r="O656" s="49"/>
      <c r="P656" s="50"/>
      <c r="Q656" s="51"/>
      <c r="S656" s="51"/>
    </row>
    <row r="657" spans="14:19" ht="14.4" x14ac:dyDescent="0.25">
      <c r="N657" s="49"/>
      <c r="O657" s="49"/>
      <c r="P657" s="50"/>
      <c r="Q657" s="51"/>
      <c r="S657" s="51"/>
    </row>
    <row r="658" spans="14:19" ht="14.4" x14ac:dyDescent="0.25">
      <c r="N658" s="49"/>
      <c r="O658" s="49"/>
      <c r="P658" s="50"/>
      <c r="Q658" s="51"/>
      <c r="S658" s="51"/>
    </row>
    <row r="659" spans="14:19" ht="14.4" x14ac:dyDescent="0.25">
      <c r="N659" s="49"/>
      <c r="O659" s="49"/>
      <c r="P659" s="50"/>
      <c r="Q659" s="51"/>
      <c r="S659" s="51"/>
    </row>
    <row r="660" spans="14:19" ht="14.4" x14ac:dyDescent="0.25">
      <c r="N660" s="49"/>
      <c r="O660" s="49"/>
      <c r="P660" s="50"/>
      <c r="Q660" s="51"/>
      <c r="S660" s="51"/>
    </row>
    <row r="661" spans="14:19" ht="14.4" x14ac:dyDescent="0.25">
      <c r="N661" s="49"/>
      <c r="O661" s="49"/>
      <c r="P661" s="50"/>
      <c r="Q661" s="51"/>
      <c r="S661" s="51"/>
    </row>
    <row r="662" spans="14:19" ht="14.4" x14ac:dyDescent="0.25">
      <c r="N662" s="49"/>
      <c r="O662" s="49"/>
      <c r="P662" s="50"/>
      <c r="Q662" s="51"/>
      <c r="S662" s="51"/>
    </row>
    <row r="663" spans="14:19" ht="14.4" x14ac:dyDescent="0.25">
      <c r="N663" s="49"/>
      <c r="O663" s="49"/>
      <c r="P663" s="50"/>
      <c r="Q663" s="51"/>
      <c r="S663" s="51"/>
    </row>
    <row r="664" spans="14:19" ht="14.4" x14ac:dyDescent="0.25">
      <c r="N664" s="49"/>
      <c r="O664" s="49"/>
      <c r="P664" s="50"/>
      <c r="Q664" s="51"/>
      <c r="S664" s="51"/>
    </row>
    <row r="665" spans="14:19" ht="14.4" x14ac:dyDescent="0.25">
      <c r="N665" s="49"/>
      <c r="O665" s="49"/>
      <c r="P665" s="50"/>
      <c r="Q665" s="51"/>
      <c r="S665" s="51"/>
    </row>
    <row r="666" spans="14:19" ht="14.4" x14ac:dyDescent="0.25">
      <c r="N666" s="49"/>
      <c r="O666" s="49"/>
      <c r="P666" s="50"/>
      <c r="Q666" s="51"/>
      <c r="S666" s="51"/>
    </row>
    <row r="667" spans="14:19" ht="14.4" x14ac:dyDescent="0.25">
      <c r="N667" s="49"/>
      <c r="O667" s="49"/>
      <c r="P667" s="50"/>
      <c r="Q667" s="51"/>
      <c r="S667" s="51"/>
    </row>
    <row r="668" spans="14:19" ht="14.4" x14ac:dyDescent="0.25">
      <c r="N668" s="49"/>
      <c r="O668" s="49"/>
      <c r="P668" s="50"/>
      <c r="Q668" s="51"/>
      <c r="S668" s="51"/>
    </row>
    <row r="669" spans="14:19" ht="14.4" x14ac:dyDescent="0.25">
      <c r="N669" s="49"/>
      <c r="O669" s="49"/>
      <c r="P669" s="50"/>
      <c r="Q669" s="51"/>
      <c r="S669" s="51"/>
    </row>
    <row r="670" spans="14:19" ht="14.4" x14ac:dyDescent="0.25">
      <c r="N670" s="49"/>
      <c r="O670" s="49"/>
      <c r="P670" s="50"/>
      <c r="Q670" s="51"/>
      <c r="S670" s="51"/>
    </row>
    <row r="671" spans="14:19" ht="14.4" x14ac:dyDescent="0.25">
      <c r="N671" s="49"/>
      <c r="O671" s="49"/>
      <c r="P671" s="50"/>
      <c r="Q671" s="51"/>
      <c r="S671" s="51"/>
    </row>
    <row r="672" spans="14:19" ht="14.4" x14ac:dyDescent="0.25">
      <c r="N672" s="49"/>
      <c r="O672" s="49"/>
      <c r="P672" s="50"/>
      <c r="Q672" s="51"/>
      <c r="S672" s="51"/>
    </row>
    <row r="673" spans="14:19" ht="14.4" x14ac:dyDescent="0.25">
      <c r="N673" s="49"/>
      <c r="O673" s="49"/>
      <c r="P673" s="50"/>
      <c r="Q673" s="51"/>
      <c r="S673" s="51"/>
    </row>
    <row r="674" spans="14:19" ht="14.4" x14ac:dyDescent="0.25">
      <c r="N674" s="49"/>
      <c r="O674" s="49"/>
      <c r="P674" s="50"/>
      <c r="Q674" s="51"/>
      <c r="S674" s="51"/>
    </row>
    <row r="675" spans="14:19" ht="14.4" x14ac:dyDescent="0.25">
      <c r="N675" s="49"/>
      <c r="O675" s="49"/>
      <c r="P675" s="50"/>
      <c r="Q675" s="51"/>
      <c r="S675" s="51"/>
    </row>
    <row r="676" spans="14:19" ht="14.4" x14ac:dyDescent="0.25">
      <c r="N676" s="49"/>
      <c r="O676" s="49"/>
      <c r="P676" s="50"/>
      <c r="Q676" s="51"/>
      <c r="S676" s="51"/>
    </row>
    <row r="677" spans="14:19" ht="14.4" x14ac:dyDescent="0.25">
      <c r="N677" s="49"/>
      <c r="O677" s="49"/>
      <c r="P677" s="50"/>
      <c r="Q677" s="51"/>
      <c r="S677" s="51"/>
    </row>
    <row r="678" spans="14:19" ht="14.4" x14ac:dyDescent="0.25">
      <c r="N678" s="49"/>
      <c r="O678" s="49"/>
      <c r="P678" s="50"/>
      <c r="Q678" s="51"/>
      <c r="S678" s="51"/>
    </row>
    <row r="679" spans="14:19" ht="14.4" x14ac:dyDescent="0.25">
      <c r="N679" s="49"/>
      <c r="O679" s="49"/>
      <c r="P679" s="50"/>
      <c r="Q679" s="51"/>
      <c r="S679" s="51"/>
    </row>
    <row r="680" spans="14:19" ht="14.4" x14ac:dyDescent="0.25">
      <c r="N680" s="49"/>
      <c r="O680" s="49"/>
      <c r="P680" s="50"/>
      <c r="Q680" s="51"/>
      <c r="S680" s="51"/>
    </row>
    <row r="681" spans="14:19" ht="14.4" x14ac:dyDescent="0.25">
      <c r="N681" s="49"/>
      <c r="O681" s="49"/>
      <c r="P681" s="50"/>
      <c r="Q681" s="51"/>
      <c r="S681" s="51"/>
    </row>
    <row r="682" spans="14:19" ht="14.4" x14ac:dyDescent="0.25">
      <c r="N682" s="49"/>
      <c r="O682" s="49"/>
      <c r="P682" s="50"/>
      <c r="Q682" s="51"/>
      <c r="S682" s="51"/>
    </row>
    <row r="683" spans="14:19" ht="14.4" x14ac:dyDescent="0.25">
      <c r="N683" s="49"/>
      <c r="O683" s="49"/>
      <c r="P683" s="50"/>
      <c r="Q683" s="51"/>
      <c r="S683" s="51"/>
    </row>
    <row r="684" spans="14:19" ht="14.4" x14ac:dyDescent="0.25">
      <c r="N684" s="49"/>
      <c r="O684" s="49"/>
      <c r="P684" s="50"/>
      <c r="Q684" s="51"/>
      <c r="S684" s="51"/>
    </row>
    <row r="685" spans="14:19" ht="14.4" x14ac:dyDescent="0.25">
      <c r="N685" s="49"/>
      <c r="O685" s="49"/>
      <c r="P685" s="50"/>
      <c r="Q685" s="51"/>
      <c r="S685" s="51"/>
    </row>
    <row r="686" spans="14:19" ht="14.4" x14ac:dyDescent="0.25">
      <c r="N686" s="49"/>
      <c r="O686" s="49"/>
      <c r="P686" s="50"/>
      <c r="Q686" s="51"/>
      <c r="S686" s="51"/>
    </row>
    <row r="687" spans="14:19" ht="14.4" x14ac:dyDescent="0.25">
      <c r="N687" s="49"/>
      <c r="O687" s="49"/>
      <c r="P687" s="50"/>
      <c r="Q687" s="51"/>
      <c r="S687" s="51"/>
    </row>
    <row r="688" spans="14:19" ht="14.4" x14ac:dyDescent="0.25">
      <c r="N688" s="49"/>
      <c r="O688" s="49"/>
      <c r="P688" s="50"/>
      <c r="Q688" s="51"/>
      <c r="S688" s="51"/>
    </row>
    <row r="689" spans="14:19" ht="14.4" x14ac:dyDescent="0.25">
      <c r="N689" s="49"/>
      <c r="O689" s="49"/>
      <c r="P689" s="50"/>
      <c r="Q689" s="51"/>
      <c r="S689" s="51"/>
    </row>
    <row r="690" spans="14:19" ht="14.4" x14ac:dyDescent="0.25">
      <c r="N690" s="49"/>
      <c r="O690" s="49"/>
      <c r="P690" s="50"/>
      <c r="Q690" s="51"/>
      <c r="S690" s="51"/>
    </row>
    <row r="691" spans="14:19" ht="14.4" x14ac:dyDescent="0.25">
      <c r="N691" s="49"/>
      <c r="O691" s="49"/>
      <c r="P691" s="50"/>
      <c r="Q691" s="51"/>
      <c r="S691" s="51"/>
    </row>
    <row r="692" spans="14:19" ht="14.4" x14ac:dyDescent="0.25">
      <c r="N692" s="49"/>
      <c r="O692" s="49"/>
      <c r="P692" s="50"/>
      <c r="Q692" s="51"/>
      <c r="S692" s="51"/>
    </row>
    <row r="693" spans="14:19" ht="14.4" x14ac:dyDescent="0.25">
      <c r="N693" s="49"/>
      <c r="O693" s="49"/>
      <c r="P693" s="50"/>
      <c r="Q693" s="51"/>
      <c r="S693" s="51"/>
    </row>
    <row r="694" spans="14:19" ht="14.4" x14ac:dyDescent="0.25">
      <c r="N694" s="49"/>
      <c r="O694" s="49"/>
      <c r="P694" s="50"/>
      <c r="Q694" s="51"/>
      <c r="S694" s="51"/>
    </row>
    <row r="695" spans="14:19" ht="14.4" x14ac:dyDescent="0.25">
      <c r="N695" s="49"/>
      <c r="O695" s="49"/>
      <c r="P695" s="50"/>
      <c r="Q695" s="51"/>
      <c r="S695" s="51"/>
    </row>
    <row r="696" spans="14:19" ht="14.4" x14ac:dyDescent="0.25">
      <c r="N696" s="49"/>
      <c r="O696" s="49"/>
      <c r="P696" s="50"/>
      <c r="Q696" s="51"/>
      <c r="S696" s="51"/>
    </row>
    <row r="697" spans="14:19" ht="14.4" x14ac:dyDescent="0.25">
      <c r="N697" s="49"/>
      <c r="O697" s="49"/>
      <c r="P697" s="50"/>
      <c r="Q697" s="51"/>
      <c r="S697" s="51"/>
    </row>
    <row r="698" spans="14:19" ht="14.4" x14ac:dyDescent="0.25">
      <c r="N698" s="49"/>
      <c r="O698" s="49"/>
      <c r="P698" s="50"/>
      <c r="Q698" s="51"/>
      <c r="S698" s="51"/>
    </row>
  </sheetData>
  <sheetProtection algorithmName="SHA-512" hashValue="cHNXuWGufGuksaRSIzPcKmcIMYG/OfQ5Q0rEJdiT52nfOjmXQOXiQ3pC0prz2QnpcMlFnUgJCno25fpFTzJwdQ==" saltValue="RNz0fdopXGN7xMMJPLobLg==" spinCount="100000" sheet="1" formatCells="0" formatColumns="0" formatRows="0" insertColumns="0" insertRows="0" insertHyperlinks="0" deleteColumns="0" deleteRows="0" sort="0" autoFilter="0" pivotTables="0"/>
  <autoFilter ref="A2:L117" xr:uid="{20E222BE-868F-48D5-A36E-F1F7775F95B6}">
    <sortState xmlns:xlrd2="http://schemas.microsoft.com/office/spreadsheetml/2017/richdata2" ref="A3:L114">
      <sortCondition ref="I2:I106"/>
    </sortState>
  </autoFilter>
  <mergeCells count="2">
    <mergeCell ref="A1:K1"/>
    <mergeCell ref="O1:O2"/>
  </mergeCells>
  <conditionalFormatting sqref="I2">
    <cfRule type="containsText" dxfId="7" priority="17" operator="containsText" text="Please">
      <formula>NOT(ISERROR(SEARCH("Please",I2)))</formula>
    </cfRule>
  </conditionalFormatting>
  <conditionalFormatting sqref="I3:I1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17">
    <cfRule type="containsText" dxfId="6" priority="1" operator="containsText" text="В">
      <formula>NOT(ISERROR(SEARCH("В",I3)))</formula>
    </cfRule>
    <cfRule type="containsText" dxfId="5" priority="2" operator="containsText" text="А">
      <formula>NOT(ISERROR(SEARCH("А",I3)))</formula>
    </cfRule>
    <cfRule type="containsText" dxfId="4" priority="3" operator="containsText" text="С">
      <formula>NOT(ISERROR(SEARCH("С",I3)))</formula>
    </cfRule>
  </conditionalFormatting>
  <conditionalFormatting sqref="I17:I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:I11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0:I117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17">
    <cfRule type="containsText" dxfId="3" priority="21" operator="containsText" text="Please">
      <formula>NOT(ISERROR(SEARCH("Please",K3)))</formula>
    </cfRule>
  </conditionalFormatting>
  <conditionalFormatting sqref="L2">
    <cfRule type="expression" dxfId="2" priority="19">
      <formula>$L$2&gt;0</formula>
    </cfRule>
    <cfRule type="expression" dxfId="1" priority="20">
      <formula>$L$2&gt;0</formula>
    </cfRule>
  </conditionalFormatting>
  <conditionalFormatting sqref="S1">
    <cfRule type="expression" dxfId="0" priority="18">
      <formula>"&gt;0"</formula>
    </cfRule>
  </conditionalFormatting>
  <dataValidations count="1">
    <dataValidation type="custom" allowBlank="1" showInputMessage="1" showErrorMessage="1" error="Order quantity must be a multiple of Sales per Unit Case (See Column G)" prompt="Order quantity must be a multiple of Sales per Unit Case (See Column G)" sqref="J3:J117" xr:uid="{2ABD3343-7F48-4AB3-A545-ACC451B55E71}">
      <formula1>MOD(J3,G3)=0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7"/>
  <sheetViews>
    <sheetView workbookViewId="0">
      <selection activeCell="D2" sqref="D2"/>
    </sheetView>
  </sheetViews>
  <sheetFormatPr defaultColWidth="8.88671875" defaultRowHeight="13.2" x14ac:dyDescent="0.25"/>
  <cols>
    <col min="2" max="2" width="5.6640625" bestFit="1" customWidth="1"/>
  </cols>
  <sheetData>
    <row r="3" spans="2:2" ht="26.4" x14ac:dyDescent="0.25">
      <c r="B3" s="2" t="s">
        <v>4</v>
      </c>
    </row>
    <row r="4" spans="2:2" x14ac:dyDescent="0.25">
      <c r="B4" s="2" t="s">
        <v>7</v>
      </c>
    </row>
    <row r="5" spans="2:2" ht="39.6" x14ac:dyDescent="0.25">
      <c r="B5" s="1" t="s">
        <v>6</v>
      </c>
    </row>
    <row r="6" spans="2:2" x14ac:dyDescent="0.25">
      <c r="B6" s="1" t="s">
        <v>5</v>
      </c>
    </row>
    <row r="7" spans="2:2" x14ac:dyDescent="0.25">
      <c r="B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6ff222b-ebce-4669-97aa-a2bdd4bb7c13">
      <UserInfo>
        <DisplayName>Lucy Akopyan</DisplayName>
        <AccountId>35</AccountId>
        <AccountType/>
      </UserInfo>
      <UserInfo>
        <DisplayName>Ana Rojas</DisplayName>
        <AccountId>36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8B3BA9DEB4C645A1BB2A88A3627C25" ma:contentTypeVersion="13" ma:contentTypeDescription="Create a new document." ma:contentTypeScope="" ma:versionID="4896d0239d4f3885d47916d322e7831a">
  <xsd:schema xmlns:xsd="http://www.w3.org/2001/XMLSchema" xmlns:xs="http://www.w3.org/2001/XMLSchema" xmlns:p="http://schemas.microsoft.com/office/2006/metadata/properties" xmlns:ns3="26ff222b-ebce-4669-97aa-a2bdd4bb7c13" xmlns:ns4="7b74f9a5-4c85-48fa-af14-b737fd01748c" targetNamespace="http://schemas.microsoft.com/office/2006/metadata/properties" ma:root="true" ma:fieldsID="d86f68cf60938304b205280ffcbf04b9" ns3:_="" ns4:_="">
    <xsd:import namespace="26ff222b-ebce-4669-97aa-a2bdd4bb7c13"/>
    <xsd:import namespace="7b74f9a5-4c85-48fa-af14-b737fd01748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f222b-ebce-4669-97aa-a2bdd4bb7c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4f9a5-4c85-48fa-af14-b737fd017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DCDED9-7010-47CA-A406-6E83F78483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2F80C3-511F-4996-88AA-C5F58C324BE4}">
  <ds:schemaRefs>
    <ds:schemaRef ds:uri="26ff222b-ebce-4669-97aa-a2bdd4bb7c13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7b74f9a5-4c85-48fa-af14-b737fd01748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662979-266A-4BF3-9B0A-831948FB14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ff222b-ebce-4669-97aa-a2bdd4bb7c13"/>
    <ds:schemaRef ds:uri="7b74f9a5-4c85-48fa-af14-b737fd0174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DNS GROUP (Natrol)</vt:lpstr>
      <vt:lpstr>List</vt:lpstr>
    </vt:vector>
  </TitlesOfParts>
  <Company>NATROL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Денис Хомик</cp:lastModifiedBy>
  <cp:revision/>
  <dcterms:created xsi:type="dcterms:W3CDTF">2013-02-04T18:42:05Z</dcterms:created>
  <dcterms:modified xsi:type="dcterms:W3CDTF">2026-04-23T14:42:40Z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0x010100278B3BA9DEB4C645A1BB2A88A3627C25</vt:lpwstr>
  </property>
</Properties>
</file>