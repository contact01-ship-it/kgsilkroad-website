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Garden of Life\Продаж\"/>
    </mc:Choice>
  </mc:AlternateContent>
  <xr:revisionPtr revIDLastSave="0" documentId="13_ncr:1_{617B230B-D928-449D-9E6A-E5A2850F4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GOL)" sheetId="1" r:id="rId1"/>
  </sheets>
  <definedNames>
    <definedName name="_xlnm._FilterDatabase" localSheetId="0" hidden="1">'DSN GROUP (GOL)'!$A$2:$J$457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57" i="1" l="1"/>
  <c r="R457" i="1" s="1"/>
  <c r="O457" i="1"/>
  <c r="N457" i="1"/>
  <c r="M457" i="1"/>
  <c r="P456" i="1"/>
  <c r="R456" i="1" s="1"/>
  <c r="O456" i="1"/>
  <c r="N456" i="1"/>
  <c r="M456" i="1"/>
  <c r="P455" i="1"/>
  <c r="R455" i="1" s="1"/>
  <c r="O455" i="1"/>
  <c r="N455" i="1"/>
  <c r="M455" i="1"/>
  <c r="P454" i="1"/>
  <c r="R454" i="1" s="1"/>
  <c r="O454" i="1"/>
  <c r="N454" i="1"/>
  <c r="M454" i="1"/>
  <c r="P453" i="1"/>
  <c r="R453" i="1" s="1"/>
  <c r="O453" i="1"/>
  <c r="N453" i="1"/>
  <c r="M453" i="1"/>
  <c r="P452" i="1"/>
  <c r="O452" i="1"/>
  <c r="N452" i="1"/>
  <c r="M452" i="1"/>
  <c r="P451" i="1"/>
  <c r="R451" i="1" s="1"/>
  <c r="O451" i="1"/>
  <c r="N451" i="1"/>
  <c r="M451" i="1"/>
  <c r="P450" i="1"/>
  <c r="O450" i="1"/>
  <c r="N450" i="1"/>
  <c r="M450" i="1"/>
  <c r="P449" i="1"/>
  <c r="R449" i="1" s="1"/>
  <c r="O449" i="1"/>
  <c r="N449" i="1"/>
  <c r="M449" i="1"/>
  <c r="P448" i="1"/>
  <c r="O448" i="1"/>
  <c r="N448" i="1"/>
  <c r="M448" i="1"/>
  <c r="P447" i="1"/>
  <c r="R447" i="1" s="1"/>
  <c r="O447" i="1"/>
  <c r="N447" i="1"/>
  <c r="M447" i="1"/>
  <c r="P446" i="1"/>
  <c r="O446" i="1"/>
  <c r="N446" i="1"/>
  <c r="M446" i="1"/>
  <c r="P445" i="1"/>
  <c r="R445" i="1" s="1"/>
  <c r="O445" i="1"/>
  <c r="N445" i="1"/>
  <c r="M445" i="1"/>
  <c r="P444" i="1"/>
  <c r="O444" i="1"/>
  <c r="N444" i="1"/>
  <c r="M444" i="1"/>
  <c r="P443" i="1"/>
  <c r="R443" i="1" s="1"/>
  <c r="O443" i="1"/>
  <c r="N443" i="1"/>
  <c r="M443" i="1"/>
  <c r="P442" i="1"/>
  <c r="R442" i="1" s="1"/>
  <c r="O442" i="1"/>
  <c r="N442" i="1"/>
  <c r="M442" i="1"/>
  <c r="P441" i="1"/>
  <c r="R441" i="1" s="1"/>
  <c r="O441" i="1"/>
  <c r="N441" i="1"/>
  <c r="M441" i="1"/>
  <c r="P440" i="1"/>
  <c r="R440" i="1" s="1"/>
  <c r="O440" i="1"/>
  <c r="N440" i="1"/>
  <c r="M440" i="1"/>
  <c r="P439" i="1"/>
  <c r="R439" i="1" s="1"/>
  <c r="O439" i="1"/>
  <c r="N439" i="1"/>
  <c r="M439" i="1"/>
  <c r="P438" i="1"/>
  <c r="O438" i="1"/>
  <c r="N438" i="1"/>
  <c r="M438" i="1"/>
  <c r="P437" i="1"/>
  <c r="R437" i="1" s="1"/>
  <c r="O437" i="1"/>
  <c r="N437" i="1"/>
  <c r="M437" i="1"/>
  <c r="P436" i="1"/>
  <c r="O436" i="1"/>
  <c r="N436" i="1"/>
  <c r="M436" i="1"/>
  <c r="P435" i="1"/>
  <c r="O435" i="1"/>
  <c r="N435" i="1"/>
  <c r="M435" i="1"/>
  <c r="P434" i="1"/>
  <c r="O434" i="1"/>
  <c r="N434" i="1"/>
  <c r="M434" i="1"/>
  <c r="P433" i="1"/>
  <c r="O433" i="1"/>
  <c r="N433" i="1"/>
  <c r="M433" i="1"/>
  <c r="P432" i="1"/>
  <c r="R432" i="1" s="1"/>
  <c r="O432" i="1"/>
  <c r="N432" i="1"/>
  <c r="M432" i="1"/>
  <c r="P431" i="1"/>
  <c r="O431" i="1"/>
  <c r="N431" i="1"/>
  <c r="M431" i="1"/>
  <c r="P430" i="1"/>
  <c r="R430" i="1" s="1"/>
  <c r="O430" i="1"/>
  <c r="N430" i="1"/>
  <c r="M430" i="1"/>
  <c r="P429" i="1"/>
  <c r="O429" i="1"/>
  <c r="N429" i="1"/>
  <c r="M429" i="1"/>
  <c r="P428" i="1"/>
  <c r="O428" i="1"/>
  <c r="N428" i="1"/>
  <c r="M428" i="1"/>
  <c r="P427" i="1"/>
  <c r="O427" i="1"/>
  <c r="N427" i="1"/>
  <c r="M427" i="1"/>
  <c r="P426" i="1"/>
  <c r="O426" i="1"/>
  <c r="N426" i="1"/>
  <c r="M426" i="1"/>
  <c r="P425" i="1"/>
  <c r="O425" i="1"/>
  <c r="N425" i="1"/>
  <c r="M425" i="1"/>
  <c r="P424" i="1"/>
  <c r="R424" i="1" s="1"/>
  <c r="O424" i="1"/>
  <c r="N424" i="1"/>
  <c r="M424" i="1"/>
  <c r="P423" i="1"/>
  <c r="O423" i="1"/>
  <c r="N423" i="1"/>
  <c r="M423" i="1"/>
  <c r="P422" i="1"/>
  <c r="R422" i="1" s="1"/>
  <c r="O422" i="1"/>
  <c r="N422" i="1"/>
  <c r="M422" i="1"/>
  <c r="P421" i="1"/>
  <c r="O421" i="1"/>
  <c r="N421" i="1"/>
  <c r="M421" i="1"/>
  <c r="P420" i="1"/>
  <c r="O420" i="1"/>
  <c r="N420" i="1"/>
  <c r="M420" i="1"/>
  <c r="P419" i="1"/>
  <c r="O419" i="1"/>
  <c r="N419" i="1"/>
  <c r="M419" i="1"/>
  <c r="P418" i="1"/>
  <c r="O418" i="1"/>
  <c r="N418" i="1"/>
  <c r="M418" i="1"/>
  <c r="P417" i="1"/>
  <c r="O417" i="1"/>
  <c r="N417" i="1"/>
  <c r="M417" i="1"/>
  <c r="P416" i="1"/>
  <c r="R416" i="1" s="1"/>
  <c r="O416" i="1"/>
  <c r="N416" i="1"/>
  <c r="M416" i="1"/>
  <c r="P415" i="1"/>
  <c r="O415" i="1"/>
  <c r="N415" i="1"/>
  <c r="M415" i="1"/>
  <c r="P414" i="1"/>
  <c r="R414" i="1" s="1"/>
  <c r="O414" i="1"/>
  <c r="N414" i="1"/>
  <c r="M414" i="1"/>
  <c r="P413" i="1"/>
  <c r="O413" i="1"/>
  <c r="N413" i="1"/>
  <c r="M413" i="1"/>
  <c r="P412" i="1"/>
  <c r="O412" i="1"/>
  <c r="N412" i="1"/>
  <c r="M412" i="1"/>
  <c r="P411" i="1"/>
  <c r="O411" i="1"/>
  <c r="N411" i="1"/>
  <c r="M411" i="1"/>
  <c r="P410" i="1"/>
  <c r="O410" i="1"/>
  <c r="N410" i="1"/>
  <c r="M410" i="1"/>
  <c r="P409" i="1"/>
  <c r="O409" i="1"/>
  <c r="N409" i="1"/>
  <c r="M409" i="1"/>
  <c r="P408" i="1"/>
  <c r="R408" i="1" s="1"/>
  <c r="O408" i="1"/>
  <c r="N408" i="1"/>
  <c r="M408" i="1"/>
  <c r="P407" i="1"/>
  <c r="O407" i="1"/>
  <c r="N407" i="1"/>
  <c r="M407" i="1"/>
  <c r="P406" i="1"/>
  <c r="O406" i="1"/>
  <c r="N406" i="1"/>
  <c r="M406" i="1"/>
  <c r="P405" i="1"/>
  <c r="O405" i="1"/>
  <c r="N405" i="1"/>
  <c r="M405" i="1"/>
  <c r="P404" i="1"/>
  <c r="O404" i="1"/>
  <c r="N404" i="1"/>
  <c r="M404" i="1"/>
  <c r="P403" i="1"/>
  <c r="O403" i="1"/>
  <c r="N403" i="1"/>
  <c r="M403" i="1"/>
  <c r="P402" i="1"/>
  <c r="R402" i="1" s="1"/>
  <c r="O402" i="1"/>
  <c r="N402" i="1"/>
  <c r="M402" i="1"/>
  <c r="P401" i="1"/>
  <c r="R401" i="1" s="1"/>
  <c r="O401" i="1"/>
  <c r="N401" i="1"/>
  <c r="M401" i="1"/>
  <c r="P400" i="1"/>
  <c r="R400" i="1" s="1"/>
  <c r="O400" i="1"/>
  <c r="N400" i="1"/>
  <c r="M400" i="1"/>
  <c r="P399" i="1"/>
  <c r="R399" i="1" s="1"/>
  <c r="O399" i="1"/>
  <c r="N399" i="1"/>
  <c r="M399" i="1"/>
  <c r="P398" i="1"/>
  <c r="R398" i="1" s="1"/>
  <c r="O398" i="1"/>
  <c r="N398" i="1"/>
  <c r="M398" i="1"/>
  <c r="P397" i="1"/>
  <c r="R397" i="1" s="1"/>
  <c r="O397" i="1"/>
  <c r="N397" i="1"/>
  <c r="M397" i="1"/>
  <c r="P396" i="1"/>
  <c r="R396" i="1" s="1"/>
  <c r="O396" i="1"/>
  <c r="N396" i="1"/>
  <c r="M396" i="1"/>
  <c r="P395" i="1"/>
  <c r="R395" i="1" s="1"/>
  <c r="O395" i="1"/>
  <c r="N395" i="1"/>
  <c r="M395" i="1"/>
  <c r="P394" i="1"/>
  <c r="R394" i="1" s="1"/>
  <c r="O394" i="1"/>
  <c r="N394" i="1"/>
  <c r="M394" i="1"/>
  <c r="P393" i="1"/>
  <c r="R393" i="1" s="1"/>
  <c r="O393" i="1"/>
  <c r="N393" i="1"/>
  <c r="M393" i="1"/>
  <c r="P392" i="1"/>
  <c r="R392" i="1" s="1"/>
  <c r="O392" i="1"/>
  <c r="N392" i="1"/>
  <c r="M392" i="1"/>
  <c r="P391" i="1"/>
  <c r="R391" i="1" s="1"/>
  <c r="O391" i="1"/>
  <c r="N391" i="1"/>
  <c r="M391" i="1"/>
  <c r="P390" i="1"/>
  <c r="R390" i="1" s="1"/>
  <c r="O390" i="1"/>
  <c r="N390" i="1"/>
  <c r="M390" i="1"/>
  <c r="P389" i="1"/>
  <c r="R389" i="1" s="1"/>
  <c r="O389" i="1"/>
  <c r="N389" i="1"/>
  <c r="M389" i="1"/>
  <c r="P388" i="1"/>
  <c r="O388" i="1"/>
  <c r="N388" i="1"/>
  <c r="M388" i="1"/>
  <c r="P387" i="1"/>
  <c r="O387" i="1"/>
  <c r="N387" i="1"/>
  <c r="M387" i="1"/>
  <c r="P386" i="1"/>
  <c r="R386" i="1" s="1"/>
  <c r="O386" i="1"/>
  <c r="N386" i="1"/>
  <c r="M386" i="1"/>
  <c r="P385" i="1"/>
  <c r="O385" i="1"/>
  <c r="N385" i="1"/>
  <c r="M385" i="1"/>
  <c r="P384" i="1"/>
  <c r="R384" i="1" s="1"/>
  <c r="O384" i="1"/>
  <c r="N384" i="1"/>
  <c r="M384" i="1"/>
  <c r="P383" i="1"/>
  <c r="O383" i="1"/>
  <c r="N383" i="1"/>
  <c r="M383" i="1"/>
  <c r="P382" i="1"/>
  <c r="O382" i="1"/>
  <c r="N382" i="1"/>
  <c r="M382" i="1"/>
  <c r="P381" i="1"/>
  <c r="O381" i="1"/>
  <c r="N381" i="1"/>
  <c r="M381" i="1"/>
  <c r="P380" i="1"/>
  <c r="O380" i="1"/>
  <c r="N380" i="1"/>
  <c r="M380" i="1"/>
  <c r="P379" i="1"/>
  <c r="O379" i="1"/>
  <c r="N379" i="1"/>
  <c r="M379" i="1"/>
  <c r="P378" i="1"/>
  <c r="R378" i="1" s="1"/>
  <c r="O378" i="1"/>
  <c r="N378" i="1"/>
  <c r="M378" i="1"/>
  <c r="P377" i="1"/>
  <c r="O377" i="1"/>
  <c r="N377" i="1"/>
  <c r="M377" i="1"/>
  <c r="P376" i="1"/>
  <c r="R376" i="1" s="1"/>
  <c r="O376" i="1"/>
  <c r="N376" i="1"/>
  <c r="M376" i="1"/>
  <c r="P375" i="1"/>
  <c r="O375" i="1"/>
  <c r="N375" i="1"/>
  <c r="M375" i="1"/>
  <c r="P374" i="1"/>
  <c r="O374" i="1"/>
  <c r="N374" i="1"/>
  <c r="M374" i="1"/>
  <c r="P373" i="1"/>
  <c r="O373" i="1"/>
  <c r="N373" i="1"/>
  <c r="M373" i="1"/>
  <c r="P372" i="1"/>
  <c r="O372" i="1"/>
  <c r="N372" i="1"/>
  <c r="M372" i="1"/>
  <c r="P371" i="1"/>
  <c r="O371" i="1"/>
  <c r="N371" i="1"/>
  <c r="M371" i="1"/>
  <c r="P370" i="1"/>
  <c r="O370" i="1"/>
  <c r="N370" i="1"/>
  <c r="M370" i="1"/>
  <c r="P369" i="1"/>
  <c r="O369" i="1"/>
  <c r="N369" i="1"/>
  <c r="M369" i="1"/>
  <c r="P368" i="1"/>
  <c r="R368" i="1" s="1"/>
  <c r="O368" i="1"/>
  <c r="N368" i="1"/>
  <c r="M368" i="1"/>
  <c r="P367" i="1"/>
  <c r="O367" i="1"/>
  <c r="N367" i="1"/>
  <c r="M367" i="1"/>
  <c r="P366" i="1"/>
  <c r="O366" i="1"/>
  <c r="N366" i="1"/>
  <c r="M366" i="1"/>
  <c r="P365" i="1"/>
  <c r="O365" i="1"/>
  <c r="N365" i="1"/>
  <c r="M365" i="1"/>
  <c r="P364" i="1"/>
  <c r="O364" i="1"/>
  <c r="N364" i="1"/>
  <c r="M364" i="1"/>
  <c r="P363" i="1"/>
  <c r="O363" i="1"/>
  <c r="N363" i="1"/>
  <c r="M363" i="1"/>
  <c r="P362" i="1"/>
  <c r="R362" i="1" s="1"/>
  <c r="O362" i="1"/>
  <c r="N362" i="1"/>
  <c r="M362" i="1"/>
  <c r="P361" i="1"/>
  <c r="O361" i="1"/>
  <c r="N361" i="1"/>
  <c r="M361" i="1"/>
  <c r="P360" i="1"/>
  <c r="R360" i="1" s="1"/>
  <c r="O360" i="1"/>
  <c r="N360" i="1"/>
  <c r="M360" i="1"/>
  <c r="P359" i="1"/>
  <c r="O359" i="1"/>
  <c r="N359" i="1"/>
  <c r="M359" i="1"/>
  <c r="P358" i="1"/>
  <c r="O358" i="1"/>
  <c r="N358" i="1"/>
  <c r="M358" i="1"/>
  <c r="P357" i="1"/>
  <c r="O357" i="1"/>
  <c r="N357" i="1"/>
  <c r="M357" i="1"/>
  <c r="P356" i="1"/>
  <c r="O356" i="1"/>
  <c r="N356" i="1"/>
  <c r="M356" i="1"/>
  <c r="P355" i="1"/>
  <c r="O355" i="1"/>
  <c r="N355" i="1"/>
  <c r="M355" i="1"/>
  <c r="P354" i="1"/>
  <c r="R354" i="1" s="1"/>
  <c r="O354" i="1"/>
  <c r="N354" i="1"/>
  <c r="M354" i="1"/>
  <c r="P353" i="1"/>
  <c r="R353" i="1" s="1"/>
  <c r="O353" i="1"/>
  <c r="N353" i="1"/>
  <c r="M353" i="1"/>
  <c r="P352" i="1"/>
  <c r="R352" i="1" s="1"/>
  <c r="O352" i="1"/>
  <c r="N352" i="1"/>
  <c r="M352" i="1"/>
  <c r="P351" i="1"/>
  <c r="O351" i="1"/>
  <c r="N351" i="1"/>
  <c r="M351" i="1"/>
  <c r="P350" i="1"/>
  <c r="O350" i="1"/>
  <c r="N350" i="1"/>
  <c r="M350" i="1"/>
  <c r="P349" i="1"/>
  <c r="O349" i="1"/>
  <c r="N349" i="1"/>
  <c r="M349" i="1"/>
  <c r="P348" i="1"/>
  <c r="O348" i="1"/>
  <c r="N348" i="1"/>
  <c r="M348" i="1"/>
  <c r="P347" i="1"/>
  <c r="O347" i="1"/>
  <c r="N347" i="1"/>
  <c r="M347" i="1"/>
  <c r="P346" i="1"/>
  <c r="O346" i="1"/>
  <c r="N346" i="1"/>
  <c r="M346" i="1"/>
  <c r="P345" i="1"/>
  <c r="R345" i="1" s="1"/>
  <c r="O345" i="1"/>
  <c r="N345" i="1"/>
  <c r="M345" i="1"/>
  <c r="P344" i="1"/>
  <c r="O344" i="1"/>
  <c r="N344" i="1"/>
  <c r="M344" i="1"/>
  <c r="P343" i="1"/>
  <c r="R343" i="1" s="1"/>
  <c r="O343" i="1"/>
  <c r="N343" i="1"/>
  <c r="M343" i="1"/>
  <c r="P342" i="1"/>
  <c r="O342" i="1"/>
  <c r="N342" i="1"/>
  <c r="M342" i="1"/>
  <c r="P341" i="1"/>
  <c r="O341" i="1"/>
  <c r="N341" i="1"/>
  <c r="M341" i="1"/>
  <c r="P340" i="1"/>
  <c r="O340" i="1"/>
  <c r="N340" i="1"/>
  <c r="M340" i="1"/>
  <c r="P339" i="1"/>
  <c r="O339" i="1"/>
  <c r="N339" i="1"/>
  <c r="M339" i="1"/>
  <c r="P338" i="1"/>
  <c r="R338" i="1" s="1"/>
  <c r="O338" i="1"/>
  <c r="N338" i="1"/>
  <c r="M338" i="1"/>
  <c r="P337" i="1"/>
  <c r="R337" i="1" s="1"/>
  <c r="O337" i="1"/>
  <c r="N337" i="1"/>
  <c r="M337" i="1"/>
  <c r="P336" i="1"/>
  <c r="R336" i="1" s="1"/>
  <c r="O336" i="1"/>
  <c r="N336" i="1"/>
  <c r="M336" i="1"/>
  <c r="P335" i="1"/>
  <c r="R335" i="1" s="1"/>
  <c r="O335" i="1"/>
  <c r="N335" i="1"/>
  <c r="M335" i="1"/>
  <c r="P334" i="1"/>
  <c r="O334" i="1"/>
  <c r="N334" i="1"/>
  <c r="M334" i="1"/>
  <c r="P333" i="1"/>
  <c r="O333" i="1"/>
  <c r="N333" i="1"/>
  <c r="M333" i="1"/>
  <c r="P332" i="1"/>
  <c r="O332" i="1"/>
  <c r="N332" i="1"/>
  <c r="M332" i="1"/>
  <c r="P331" i="1"/>
  <c r="O331" i="1"/>
  <c r="N331" i="1"/>
  <c r="M331" i="1"/>
  <c r="P330" i="1"/>
  <c r="R330" i="1" s="1"/>
  <c r="O330" i="1"/>
  <c r="N330" i="1"/>
  <c r="M330" i="1"/>
  <c r="P329" i="1"/>
  <c r="R329" i="1" s="1"/>
  <c r="O329" i="1"/>
  <c r="N329" i="1"/>
  <c r="M329" i="1"/>
  <c r="P328" i="1"/>
  <c r="R328" i="1" s="1"/>
  <c r="O328" i="1"/>
  <c r="N328" i="1"/>
  <c r="M328" i="1"/>
  <c r="P327" i="1"/>
  <c r="O327" i="1"/>
  <c r="N327" i="1"/>
  <c r="M327" i="1"/>
  <c r="P326" i="1"/>
  <c r="O326" i="1"/>
  <c r="N326" i="1"/>
  <c r="M326" i="1"/>
  <c r="P325" i="1"/>
  <c r="O325" i="1"/>
  <c r="N325" i="1"/>
  <c r="M325" i="1"/>
  <c r="P324" i="1"/>
  <c r="O324" i="1"/>
  <c r="N324" i="1"/>
  <c r="M324" i="1"/>
  <c r="P323" i="1"/>
  <c r="O323" i="1"/>
  <c r="N323" i="1"/>
  <c r="M323" i="1"/>
  <c r="P322" i="1"/>
  <c r="R322" i="1" s="1"/>
  <c r="O322" i="1"/>
  <c r="N322" i="1"/>
  <c r="M322" i="1"/>
  <c r="P321" i="1"/>
  <c r="R321" i="1" s="1"/>
  <c r="O321" i="1"/>
  <c r="N321" i="1"/>
  <c r="M321" i="1"/>
  <c r="P320" i="1"/>
  <c r="R320" i="1" s="1"/>
  <c r="O320" i="1"/>
  <c r="N320" i="1"/>
  <c r="M320" i="1"/>
  <c r="P319" i="1"/>
  <c r="O319" i="1"/>
  <c r="N319" i="1"/>
  <c r="M319" i="1"/>
  <c r="P318" i="1"/>
  <c r="O318" i="1"/>
  <c r="N318" i="1"/>
  <c r="M318" i="1"/>
  <c r="P317" i="1"/>
  <c r="O317" i="1"/>
  <c r="N317" i="1"/>
  <c r="M317" i="1"/>
  <c r="P316" i="1"/>
  <c r="O316" i="1"/>
  <c r="N316" i="1"/>
  <c r="M316" i="1"/>
  <c r="P315" i="1"/>
  <c r="O315" i="1"/>
  <c r="N315" i="1"/>
  <c r="M315" i="1"/>
  <c r="P314" i="1"/>
  <c r="R314" i="1" s="1"/>
  <c r="O314" i="1"/>
  <c r="N314" i="1"/>
  <c r="M314" i="1"/>
  <c r="P313" i="1"/>
  <c r="R313" i="1" s="1"/>
  <c r="O313" i="1"/>
  <c r="N313" i="1"/>
  <c r="M313" i="1"/>
  <c r="P312" i="1"/>
  <c r="R312" i="1" s="1"/>
  <c r="O312" i="1"/>
  <c r="N312" i="1"/>
  <c r="M312" i="1"/>
  <c r="P311" i="1"/>
  <c r="O311" i="1"/>
  <c r="N311" i="1"/>
  <c r="M311" i="1"/>
  <c r="P310" i="1"/>
  <c r="O310" i="1"/>
  <c r="N310" i="1"/>
  <c r="M310" i="1"/>
  <c r="P309" i="1"/>
  <c r="O309" i="1"/>
  <c r="N309" i="1"/>
  <c r="M309" i="1"/>
  <c r="P308" i="1"/>
  <c r="O308" i="1"/>
  <c r="N308" i="1"/>
  <c r="M308" i="1"/>
  <c r="P307" i="1"/>
  <c r="O307" i="1"/>
  <c r="N307" i="1"/>
  <c r="M307" i="1"/>
  <c r="P306" i="1"/>
  <c r="O306" i="1"/>
  <c r="N306" i="1"/>
  <c r="M306" i="1"/>
  <c r="P305" i="1"/>
  <c r="R305" i="1" s="1"/>
  <c r="O305" i="1"/>
  <c r="N305" i="1"/>
  <c r="M305" i="1"/>
  <c r="P304" i="1"/>
  <c r="R304" i="1" s="1"/>
  <c r="O304" i="1"/>
  <c r="N304" i="1"/>
  <c r="M304" i="1"/>
  <c r="P303" i="1"/>
  <c r="O303" i="1"/>
  <c r="N303" i="1"/>
  <c r="M303" i="1"/>
  <c r="P302" i="1"/>
  <c r="O302" i="1"/>
  <c r="N302" i="1"/>
  <c r="M302" i="1"/>
  <c r="P301" i="1"/>
  <c r="O301" i="1"/>
  <c r="N301" i="1"/>
  <c r="M301" i="1"/>
  <c r="P300" i="1"/>
  <c r="O300" i="1"/>
  <c r="N300" i="1"/>
  <c r="M300" i="1"/>
  <c r="P299" i="1"/>
  <c r="O299" i="1"/>
  <c r="N299" i="1"/>
  <c r="M299" i="1"/>
  <c r="R298" i="1"/>
  <c r="P298" i="1"/>
  <c r="O298" i="1"/>
  <c r="N298" i="1"/>
  <c r="M298" i="1"/>
  <c r="P297" i="1"/>
  <c r="O297" i="1"/>
  <c r="N297" i="1"/>
  <c r="M297" i="1"/>
  <c r="P296" i="1"/>
  <c r="O296" i="1"/>
  <c r="N296" i="1"/>
  <c r="M296" i="1"/>
  <c r="P295" i="1"/>
  <c r="O295" i="1"/>
  <c r="N295" i="1"/>
  <c r="M295" i="1"/>
  <c r="P294" i="1"/>
  <c r="O294" i="1"/>
  <c r="N294" i="1"/>
  <c r="M294" i="1"/>
  <c r="P293" i="1"/>
  <c r="O293" i="1"/>
  <c r="N293" i="1"/>
  <c r="M293" i="1"/>
  <c r="P292" i="1"/>
  <c r="O292" i="1"/>
  <c r="N292" i="1"/>
  <c r="M292" i="1"/>
  <c r="P291" i="1"/>
  <c r="O291" i="1"/>
  <c r="N291" i="1"/>
  <c r="M291" i="1"/>
  <c r="P290" i="1"/>
  <c r="O290" i="1"/>
  <c r="N290" i="1"/>
  <c r="M290" i="1"/>
  <c r="P289" i="1"/>
  <c r="R289" i="1" s="1"/>
  <c r="O289" i="1"/>
  <c r="N289" i="1"/>
  <c r="M289" i="1"/>
  <c r="P288" i="1"/>
  <c r="R288" i="1" s="1"/>
  <c r="O288" i="1"/>
  <c r="N288" i="1"/>
  <c r="M288" i="1"/>
  <c r="P287" i="1"/>
  <c r="R287" i="1" s="1"/>
  <c r="O287" i="1"/>
  <c r="N287" i="1"/>
  <c r="M287" i="1"/>
  <c r="P286" i="1"/>
  <c r="O286" i="1"/>
  <c r="N286" i="1"/>
  <c r="M286" i="1"/>
  <c r="P285" i="1"/>
  <c r="O285" i="1"/>
  <c r="N285" i="1"/>
  <c r="M285" i="1"/>
  <c r="P284" i="1"/>
  <c r="O284" i="1"/>
  <c r="N284" i="1"/>
  <c r="M284" i="1"/>
  <c r="P283" i="1"/>
  <c r="R283" i="1" s="1"/>
  <c r="O283" i="1"/>
  <c r="N283" i="1"/>
  <c r="M283" i="1"/>
  <c r="P282" i="1"/>
  <c r="O282" i="1"/>
  <c r="N282" i="1"/>
  <c r="M282" i="1"/>
  <c r="P281" i="1"/>
  <c r="R281" i="1" s="1"/>
  <c r="O281" i="1"/>
  <c r="N281" i="1"/>
  <c r="M281" i="1"/>
  <c r="P280" i="1"/>
  <c r="O280" i="1"/>
  <c r="N280" i="1"/>
  <c r="M280" i="1"/>
  <c r="P279" i="1"/>
  <c r="R279" i="1" s="1"/>
  <c r="O279" i="1"/>
  <c r="N279" i="1"/>
  <c r="M279" i="1"/>
  <c r="P278" i="1"/>
  <c r="O278" i="1"/>
  <c r="N278" i="1"/>
  <c r="M278" i="1"/>
  <c r="P277" i="1"/>
  <c r="R277" i="1" s="1"/>
  <c r="O277" i="1"/>
  <c r="N277" i="1"/>
  <c r="M277" i="1"/>
  <c r="P276" i="1"/>
  <c r="O276" i="1"/>
  <c r="N276" i="1"/>
  <c r="M276" i="1"/>
  <c r="P275" i="1"/>
  <c r="O275" i="1"/>
  <c r="N275" i="1"/>
  <c r="M275" i="1"/>
  <c r="P274" i="1"/>
  <c r="O274" i="1"/>
  <c r="N274" i="1"/>
  <c r="M274" i="1"/>
  <c r="P273" i="1"/>
  <c r="O273" i="1"/>
  <c r="N273" i="1"/>
  <c r="M273" i="1"/>
  <c r="P272" i="1"/>
  <c r="R272" i="1" s="1"/>
  <c r="O272" i="1"/>
  <c r="N272" i="1"/>
  <c r="M272" i="1"/>
  <c r="P271" i="1"/>
  <c r="O271" i="1"/>
  <c r="N271" i="1"/>
  <c r="M271" i="1"/>
  <c r="P270" i="1"/>
  <c r="O270" i="1"/>
  <c r="N270" i="1"/>
  <c r="M270" i="1"/>
  <c r="P269" i="1"/>
  <c r="O269" i="1"/>
  <c r="N269" i="1"/>
  <c r="M269" i="1"/>
  <c r="P268" i="1"/>
  <c r="O268" i="1"/>
  <c r="N268" i="1"/>
  <c r="M268" i="1"/>
  <c r="P267" i="1"/>
  <c r="O267" i="1"/>
  <c r="N267" i="1"/>
  <c r="M267" i="1"/>
  <c r="P266" i="1"/>
  <c r="O266" i="1"/>
  <c r="N266" i="1"/>
  <c r="M266" i="1"/>
  <c r="P265" i="1"/>
  <c r="O265" i="1"/>
  <c r="N265" i="1"/>
  <c r="M265" i="1"/>
  <c r="P264" i="1"/>
  <c r="R264" i="1" s="1"/>
  <c r="O264" i="1"/>
  <c r="N264" i="1"/>
  <c r="M264" i="1"/>
  <c r="P263" i="1"/>
  <c r="O263" i="1"/>
  <c r="N263" i="1"/>
  <c r="M263" i="1"/>
  <c r="P262" i="1"/>
  <c r="O262" i="1"/>
  <c r="N262" i="1"/>
  <c r="M262" i="1"/>
  <c r="P261" i="1"/>
  <c r="O261" i="1"/>
  <c r="N261" i="1"/>
  <c r="M261" i="1"/>
  <c r="P260" i="1"/>
  <c r="O260" i="1"/>
  <c r="N260" i="1"/>
  <c r="M260" i="1"/>
  <c r="P259" i="1"/>
  <c r="O259" i="1"/>
  <c r="N259" i="1"/>
  <c r="M259" i="1"/>
  <c r="P258" i="1"/>
  <c r="O258" i="1"/>
  <c r="N258" i="1"/>
  <c r="M258" i="1"/>
  <c r="P257" i="1"/>
  <c r="R257" i="1" s="1"/>
  <c r="O257" i="1"/>
  <c r="N257" i="1"/>
  <c r="M257" i="1"/>
  <c r="P256" i="1"/>
  <c r="O256" i="1"/>
  <c r="N256" i="1"/>
  <c r="M256" i="1"/>
  <c r="P255" i="1"/>
  <c r="R255" i="1" s="1"/>
  <c r="O255" i="1"/>
  <c r="N255" i="1"/>
  <c r="M255" i="1"/>
  <c r="P254" i="1"/>
  <c r="O254" i="1"/>
  <c r="N254" i="1"/>
  <c r="M254" i="1"/>
  <c r="P253" i="1"/>
  <c r="O253" i="1"/>
  <c r="N253" i="1"/>
  <c r="M253" i="1"/>
  <c r="P252" i="1"/>
  <c r="O252" i="1"/>
  <c r="N252" i="1"/>
  <c r="M252" i="1"/>
  <c r="P251" i="1"/>
  <c r="O251" i="1"/>
  <c r="N251" i="1"/>
  <c r="M251" i="1"/>
  <c r="P250" i="1"/>
  <c r="O250" i="1"/>
  <c r="N250" i="1"/>
  <c r="M250" i="1"/>
  <c r="P249" i="1"/>
  <c r="R249" i="1" s="1"/>
  <c r="O249" i="1"/>
  <c r="N249" i="1"/>
  <c r="M249" i="1"/>
  <c r="P248" i="1"/>
  <c r="R248" i="1" s="1"/>
  <c r="O248" i="1"/>
  <c r="N248" i="1"/>
  <c r="M248" i="1"/>
  <c r="P247" i="1"/>
  <c r="R247" i="1" s="1"/>
  <c r="O247" i="1"/>
  <c r="N247" i="1"/>
  <c r="M247" i="1"/>
  <c r="P246" i="1"/>
  <c r="O246" i="1"/>
  <c r="N246" i="1"/>
  <c r="M246" i="1"/>
  <c r="P245" i="1"/>
  <c r="O245" i="1"/>
  <c r="N245" i="1"/>
  <c r="M245" i="1"/>
  <c r="P244" i="1"/>
  <c r="O244" i="1"/>
  <c r="N244" i="1"/>
  <c r="M244" i="1"/>
  <c r="P243" i="1"/>
  <c r="O243" i="1"/>
  <c r="N243" i="1"/>
  <c r="M243" i="1"/>
  <c r="P242" i="1"/>
  <c r="O242" i="1"/>
  <c r="N242" i="1"/>
  <c r="M242" i="1"/>
  <c r="P241" i="1"/>
  <c r="O241" i="1"/>
  <c r="N241" i="1"/>
  <c r="M241" i="1"/>
  <c r="P240" i="1"/>
  <c r="O240" i="1"/>
  <c r="N240" i="1"/>
  <c r="M240" i="1"/>
  <c r="P239" i="1"/>
  <c r="R239" i="1" s="1"/>
  <c r="O239" i="1"/>
  <c r="N239" i="1"/>
  <c r="M239" i="1"/>
  <c r="P238" i="1"/>
  <c r="O238" i="1"/>
  <c r="N238" i="1"/>
  <c r="M238" i="1"/>
  <c r="P237" i="1"/>
  <c r="O237" i="1"/>
  <c r="N237" i="1"/>
  <c r="M237" i="1"/>
  <c r="P236" i="1"/>
  <c r="R236" i="1" s="1"/>
  <c r="O236" i="1"/>
  <c r="N236" i="1"/>
  <c r="M236" i="1"/>
  <c r="P235" i="1"/>
  <c r="O235" i="1"/>
  <c r="N235" i="1"/>
  <c r="M235" i="1"/>
  <c r="P234" i="1"/>
  <c r="R234" i="1" s="1"/>
  <c r="O234" i="1"/>
  <c r="N234" i="1"/>
  <c r="M234" i="1"/>
  <c r="P233" i="1"/>
  <c r="O233" i="1"/>
  <c r="N233" i="1"/>
  <c r="M233" i="1"/>
  <c r="P232" i="1"/>
  <c r="O232" i="1"/>
  <c r="N232" i="1"/>
  <c r="M232" i="1"/>
  <c r="P231" i="1"/>
  <c r="R231" i="1" s="1"/>
  <c r="O231" i="1"/>
  <c r="N231" i="1"/>
  <c r="M231" i="1"/>
  <c r="P230" i="1"/>
  <c r="R230" i="1" s="1"/>
  <c r="O230" i="1"/>
  <c r="N230" i="1"/>
  <c r="M230" i="1"/>
  <c r="P229" i="1"/>
  <c r="R229" i="1" s="1"/>
  <c r="O229" i="1"/>
  <c r="N229" i="1"/>
  <c r="M229" i="1"/>
  <c r="P228" i="1"/>
  <c r="R228" i="1" s="1"/>
  <c r="O228" i="1"/>
  <c r="N228" i="1"/>
  <c r="M228" i="1"/>
  <c r="P227" i="1"/>
  <c r="R227" i="1" s="1"/>
  <c r="O227" i="1"/>
  <c r="N227" i="1"/>
  <c r="M227" i="1"/>
  <c r="P226" i="1"/>
  <c r="O226" i="1"/>
  <c r="N226" i="1"/>
  <c r="M226" i="1"/>
  <c r="P225" i="1"/>
  <c r="O225" i="1"/>
  <c r="N225" i="1"/>
  <c r="M225" i="1"/>
  <c r="P224" i="1"/>
  <c r="O224" i="1"/>
  <c r="N224" i="1"/>
  <c r="M224" i="1"/>
  <c r="P223" i="1"/>
  <c r="O223" i="1"/>
  <c r="N223" i="1"/>
  <c r="M223" i="1"/>
  <c r="P222" i="1"/>
  <c r="R222" i="1" s="1"/>
  <c r="O222" i="1"/>
  <c r="N222" i="1"/>
  <c r="M222" i="1"/>
  <c r="P221" i="1"/>
  <c r="O221" i="1"/>
  <c r="N221" i="1"/>
  <c r="M221" i="1"/>
  <c r="P220" i="1"/>
  <c r="O220" i="1"/>
  <c r="N220" i="1"/>
  <c r="M220" i="1"/>
  <c r="P219" i="1"/>
  <c r="O219" i="1"/>
  <c r="N219" i="1"/>
  <c r="M219" i="1"/>
  <c r="P218" i="1"/>
  <c r="R218" i="1" s="1"/>
  <c r="O218" i="1"/>
  <c r="N218" i="1"/>
  <c r="M218" i="1"/>
  <c r="P217" i="1"/>
  <c r="O217" i="1"/>
  <c r="N217" i="1"/>
  <c r="M217" i="1"/>
  <c r="P216" i="1"/>
  <c r="O216" i="1"/>
  <c r="N216" i="1"/>
  <c r="M216" i="1"/>
  <c r="P215" i="1"/>
  <c r="R215" i="1" s="1"/>
  <c r="O215" i="1"/>
  <c r="N215" i="1"/>
  <c r="M215" i="1"/>
  <c r="P214" i="1"/>
  <c r="O214" i="1"/>
  <c r="N214" i="1"/>
  <c r="M214" i="1"/>
  <c r="P213" i="1"/>
  <c r="O213" i="1"/>
  <c r="N213" i="1"/>
  <c r="M213" i="1"/>
  <c r="P212" i="1"/>
  <c r="O212" i="1"/>
  <c r="N212" i="1"/>
  <c r="M212" i="1"/>
  <c r="P211" i="1"/>
  <c r="R211" i="1" s="1"/>
  <c r="O211" i="1"/>
  <c r="N211" i="1"/>
  <c r="M211" i="1"/>
  <c r="P210" i="1"/>
  <c r="O210" i="1"/>
  <c r="N210" i="1"/>
  <c r="M210" i="1"/>
  <c r="P209" i="1"/>
  <c r="R209" i="1" s="1"/>
  <c r="O209" i="1"/>
  <c r="N209" i="1"/>
  <c r="M209" i="1"/>
  <c r="P208" i="1"/>
  <c r="R208" i="1" s="1"/>
  <c r="O208" i="1"/>
  <c r="N208" i="1"/>
  <c r="M208" i="1"/>
  <c r="P207" i="1"/>
  <c r="R207" i="1" s="1"/>
  <c r="O207" i="1"/>
  <c r="N207" i="1"/>
  <c r="M207" i="1"/>
  <c r="P206" i="1"/>
  <c r="O206" i="1"/>
  <c r="N206" i="1"/>
  <c r="M206" i="1"/>
  <c r="P205" i="1"/>
  <c r="O205" i="1"/>
  <c r="N205" i="1"/>
  <c r="M205" i="1"/>
  <c r="P204" i="1"/>
  <c r="O204" i="1"/>
  <c r="N204" i="1"/>
  <c r="M204" i="1"/>
  <c r="P203" i="1"/>
  <c r="R203" i="1" s="1"/>
  <c r="O203" i="1"/>
  <c r="N203" i="1"/>
  <c r="M203" i="1"/>
  <c r="P202" i="1"/>
  <c r="R202" i="1" s="1"/>
  <c r="O202" i="1"/>
  <c r="N202" i="1"/>
  <c r="M202" i="1"/>
  <c r="P201" i="1"/>
  <c r="R201" i="1" s="1"/>
  <c r="O201" i="1"/>
  <c r="N201" i="1"/>
  <c r="M201" i="1"/>
  <c r="P200" i="1"/>
  <c r="R200" i="1" s="1"/>
  <c r="O200" i="1"/>
  <c r="N200" i="1"/>
  <c r="M200" i="1"/>
  <c r="P199" i="1"/>
  <c r="R199" i="1" s="1"/>
  <c r="O199" i="1"/>
  <c r="N199" i="1"/>
  <c r="M199" i="1"/>
  <c r="P198" i="1"/>
  <c r="R198" i="1" s="1"/>
  <c r="O198" i="1"/>
  <c r="N198" i="1"/>
  <c r="M198" i="1"/>
  <c r="P197" i="1"/>
  <c r="R197" i="1" s="1"/>
  <c r="O197" i="1"/>
  <c r="N197" i="1"/>
  <c r="M197" i="1"/>
  <c r="P196" i="1"/>
  <c r="O196" i="1"/>
  <c r="N196" i="1"/>
  <c r="M196" i="1"/>
  <c r="P195" i="1"/>
  <c r="O195" i="1"/>
  <c r="N195" i="1"/>
  <c r="M195" i="1"/>
  <c r="P194" i="1"/>
  <c r="O194" i="1"/>
  <c r="N194" i="1"/>
  <c r="M194" i="1"/>
  <c r="P193" i="1"/>
  <c r="R193" i="1" s="1"/>
  <c r="O193" i="1"/>
  <c r="N193" i="1"/>
  <c r="M193" i="1"/>
  <c r="P192" i="1"/>
  <c r="R192" i="1" s="1"/>
  <c r="O192" i="1"/>
  <c r="N192" i="1"/>
  <c r="M192" i="1"/>
  <c r="P191" i="1"/>
  <c r="O191" i="1"/>
  <c r="N191" i="1"/>
  <c r="M191" i="1"/>
  <c r="P190" i="1"/>
  <c r="R190" i="1" s="1"/>
  <c r="O190" i="1"/>
  <c r="N190" i="1"/>
  <c r="M190" i="1"/>
  <c r="P189" i="1"/>
  <c r="O189" i="1"/>
  <c r="N189" i="1"/>
  <c r="M189" i="1"/>
  <c r="P188" i="1"/>
  <c r="R188" i="1" s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M185" i="1"/>
  <c r="P184" i="1"/>
  <c r="O184" i="1"/>
  <c r="N184" i="1"/>
  <c r="M184" i="1"/>
  <c r="P183" i="1"/>
  <c r="O183" i="1"/>
  <c r="N183" i="1"/>
  <c r="M183" i="1"/>
  <c r="P182" i="1"/>
  <c r="R182" i="1" s="1"/>
  <c r="O182" i="1"/>
  <c r="N182" i="1"/>
  <c r="M182" i="1"/>
  <c r="P181" i="1"/>
  <c r="O181" i="1"/>
  <c r="N181" i="1"/>
  <c r="M181" i="1"/>
  <c r="P180" i="1"/>
  <c r="O180" i="1"/>
  <c r="N180" i="1"/>
  <c r="M180" i="1"/>
  <c r="P179" i="1"/>
  <c r="R179" i="1" s="1"/>
  <c r="O179" i="1"/>
  <c r="N179" i="1"/>
  <c r="M179" i="1"/>
  <c r="P178" i="1"/>
  <c r="R178" i="1" s="1"/>
  <c r="O178" i="1"/>
  <c r="N178" i="1"/>
  <c r="M178" i="1"/>
  <c r="P177" i="1"/>
  <c r="R177" i="1" s="1"/>
  <c r="O177" i="1"/>
  <c r="N177" i="1"/>
  <c r="M177" i="1"/>
  <c r="P176" i="1"/>
  <c r="R176" i="1" s="1"/>
  <c r="O176" i="1"/>
  <c r="N176" i="1"/>
  <c r="M176" i="1"/>
  <c r="P175" i="1"/>
  <c r="O175" i="1"/>
  <c r="N175" i="1"/>
  <c r="M175" i="1"/>
  <c r="P174" i="1"/>
  <c r="O174" i="1"/>
  <c r="N174" i="1"/>
  <c r="M174" i="1"/>
  <c r="P173" i="1"/>
  <c r="O173" i="1"/>
  <c r="N173" i="1"/>
  <c r="M173" i="1"/>
  <c r="P172" i="1"/>
  <c r="O172" i="1"/>
  <c r="N172" i="1"/>
  <c r="M172" i="1"/>
  <c r="P171" i="1"/>
  <c r="O171" i="1"/>
  <c r="N171" i="1"/>
  <c r="M171" i="1"/>
  <c r="P170" i="1"/>
  <c r="R170" i="1" s="1"/>
  <c r="O170" i="1"/>
  <c r="N170" i="1"/>
  <c r="M170" i="1"/>
  <c r="P169" i="1"/>
  <c r="O169" i="1"/>
  <c r="N169" i="1"/>
  <c r="M169" i="1"/>
  <c r="P168" i="1"/>
  <c r="R168" i="1" s="1"/>
  <c r="O168" i="1"/>
  <c r="N168" i="1"/>
  <c r="M168" i="1"/>
  <c r="P167" i="1"/>
  <c r="O167" i="1"/>
  <c r="N167" i="1"/>
  <c r="M167" i="1"/>
  <c r="P166" i="1"/>
  <c r="R166" i="1" s="1"/>
  <c r="O166" i="1"/>
  <c r="N166" i="1"/>
  <c r="M166" i="1"/>
  <c r="P165" i="1"/>
  <c r="O165" i="1"/>
  <c r="N165" i="1"/>
  <c r="M165" i="1"/>
  <c r="P164" i="1"/>
  <c r="O164" i="1"/>
  <c r="N164" i="1"/>
  <c r="M164" i="1"/>
  <c r="P163" i="1"/>
  <c r="O163" i="1"/>
  <c r="N163" i="1"/>
  <c r="M163" i="1"/>
  <c r="P162" i="1"/>
  <c r="O162" i="1"/>
  <c r="N162" i="1"/>
  <c r="M162" i="1"/>
  <c r="P161" i="1"/>
  <c r="O161" i="1"/>
  <c r="N161" i="1"/>
  <c r="M161" i="1"/>
  <c r="P160" i="1"/>
  <c r="R160" i="1" s="1"/>
  <c r="O160" i="1"/>
  <c r="N160" i="1"/>
  <c r="M160" i="1"/>
  <c r="P159" i="1"/>
  <c r="O159" i="1"/>
  <c r="N159" i="1"/>
  <c r="M159" i="1"/>
  <c r="P158" i="1"/>
  <c r="O158" i="1"/>
  <c r="N158" i="1"/>
  <c r="M158" i="1"/>
  <c r="P157" i="1"/>
  <c r="O157" i="1"/>
  <c r="N157" i="1"/>
  <c r="M157" i="1"/>
  <c r="P156" i="1"/>
  <c r="O156" i="1"/>
  <c r="N156" i="1"/>
  <c r="M156" i="1"/>
  <c r="P155" i="1"/>
  <c r="O155" i="1"/>
  <c r="N155" i="1"/>
  <c r="M155" i="1"/>
  <c r="P154" i="1"/>
  <c r="O154" i="1"/>
  <c r="N154" i="1"/>
  <c r="M154" i="1"/>
  <c r="P153" i="1"/>
  <c r="O153" i="1"/>
  <c r="N153" i="1"/>
  <c r="M153" i="1"/>
  <c r="P152" i="1"/>
  <c r="R152" i="1" s="1"/>
  <c r="O152" i="1"/>
  <c r="N152" i="1"/>
  <c r="M152" i="1"/>
  <c r="P151" i="1"/>
  <c r="R151" i="1" s="1"/>
  <c r="O151" i="1"/>
  <c r="N151" i="1"/>
  <c r="M151" i="1"/>
  <c r="P150" i="1"/>
  <c r="O150" i="1"/>
  <c r="N150" i="1"/>
  <c r="M150" i="1"/>
  <c r="P149" i="1"/>
  <c r="O149" i="1"/>
  <c r="N149" i="1"/>
  <c r="M149" i="1"/>
  <c r="P148" i="1"/>
  <c r="O148" i="1"/>
  <c r="N148" i="1"/>
  <c r="M148" i="1"/>
  <c r="P147" i="1"/>
  <c r="O147" i="1"/>
  <c r="N147" i="1"/>
  <c r="M147" i="1"/>
  <c r="P146" i="1"/>
  <c r="O146" i="1"/>
  <c r="N146" i="1"/>
  <c r="M146" i="1"/>
  <c r="P145" i="1"/>
  <c r="O145" i="1"/>
  <c r="N145" i="1"/>
  <c r="M145" i="1"/>
  <c r="P144" i="1"/>
  <c r="O144" i="1"/>
  <c r="N144" i="1"/>
  <c r="M144" i="1"/>
  <c r="P143" i="1"/>
  <c r="R143" i="1" s="1"/>
  <c r="O143" i="1"/>
  <c r="N143" i="1"/>
  <c r="M143" i="1"/>
  <c r="P142" i="1"/>
  <c r="O142" i="1"/>
  <c r="N142" i="1"/>
  <c r="M142" i="1"/>
  <c r="P141" i="1"/>
  <c r="O141" i="1"/>
  <c r="N141" i="1"/>
  <c r="M141" i="1"/>
  <c r="P140" i="1"/>
  <c r="O140" i="1"/>
  <c r="N140" i="1"/>
  <c r="M140" i="1"/>
  <c r="P139" i="1"/>
  <c r="O139" i="1"/>
  <c r="N139" i="1"/>
  <c r="M139" i="1"/>
  <c r="P138" i="1"/>
  <c r="O138" i="1"/>
  <c r="N138" i="1"/>
  <c r="M138" i="1"/>
  <c r="P137" i="1"/>
  <c r="O137" i="1"/>
  <c r="N137" i="1"/>
  <c r="M137" i="1"/>
  <c r="P136" i="1"/>
  <c r="R136" i="1" s="1"/>
  <c r="O136" i="1"/>
  <c r="N136" i="1"/>
  <c r="M136" i="1"/>
  <c r="P135" i="1"/>
  <c r="R135" i="1" s="1"/>
  <c r="O135" i="1"/>
  <c r="N135" i="1"/>
  <c r="M135" i="1"/>
  <c r="P134" i="1"/>
  <c r="R134" i="1" s="1"/>
  <c r="O134" i="1"/>
  <c r="N134" i="1"/>
  <c r="M134" i="1"/>
  <c r="P133" i="1"/>
  <c r="O133" i="1"/>
  <c r="N133" i="1"/>
  <c r="M133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M129" i="1"/>
  <c r="P128" i="1"/>
  <c r="R128" i="1" s="1"/>
  <c r="O128" i="1"/>
  <c r="N128" i="1"/>
  <c r="M128" i="1"/>
  <c r="P127" i="1"/>
  <c r="R127" i="1" s="1"/>
  <c r="O127" i="1"/>
  <c r="N127" i="1"/>
  <c r="M127" i="1"/>
  <c r="P126" i="1"/>
  <c r="R126" i="1" s="1"/>
  <c r="O126" i="1"/>
  <c r="N126" i="1"/>
  <c r="M126" i="1"/>
  <c r="P125" i="1"/>
  <c r="O125" i="1"/>
  <c r="N125" i="1"/>
  <c r="M125" i="1"/>
  <c r="P124" i="1"/>
  <c r="O124" i="1"/>
  <c r="N124" i="1"/>
  <c r="M124" i="1"/>
  <c r="P123" i="1"/>
  <c r="O123" i="1"/>
  <c r="N123" i="1"/>
  <c r="M123" i="1"/>
  <c r="P122" i="1"/>
  <c r="O122" i="1"/>
  <c r="N122" i="1"/>
  <c r="M122" i="1"/>
  <c r="P121" i="1"/>
  <c r="O121" i="1"/>
  <c r="N121" i="1"/>
  <c r="M121" i="1"/>
  <c r="P120" i="1"/>
  <c r="R120" i="1" s="1"/>
  <c r="O120" i="1"/>
  <c r="N120" i="1"/>
  <c r="M120" i="1"/>
  <c r="P119" i="1"/>
  <c r="R119" i="1" s="1"/>
  <c r="O119" i="1"/>
  <c r="N119" i="1"/>
  <c r="M119" i="1"/>
  <c r="P118" i="1"/>
  <c r="R118" i="1" s="1"/>
  <c r="O118" i="1"/>
  <c r="N118" i="1"/>
  <c r="M118" i="1"/>
  <c r="P117" i="1"/>
  <c r="O117" i="1"/>
  <c r="N117" i="1"/>
  <c r="M117" i="1"/>
  <c r="P116" i="1"/>
  <c r="R116" i="1" s="1"/>
  <c r="O116" i="1"/>
  <c r="N116" i="1"/>
  <c r="M116" i="1"/>
  <c r="P115" i="1"/>
  <c r="O115" i="1"/>
  <c r="N115" i="1"/>
  <c r="M115" i="1"/>
  <c r="P114" i="1"/>
  <c r="O114" i="1"/>
  <c r="N114" i="1"/>
  <c r="M114" i="1"/>
  <c r="P113" i="1"/>
  <c r="O113" i="1"/>
  <c r="N113" i="1"/>
  <c r="M113" i="1"/>
  <c r="P112" i="1"/>
  <c r="R112" i="1" s="1"/>
  <c r="O112" i="1"/>
  <c r="N112" i="1"/>
  <c r="M112" i="1"/>
  <c r="P111" i="1"/>
  <c r="R111" i="1" s="1"/>
  <c r="O111" i="1"/>
  <c r="N111" i="1"/>
  <c r="M111" i="1"/>
  <c r="P110" i="1"/>
  <c r="R110" i="1" s="1"/>
  <c r="O110" i="1"/>
  <c r="N110" i="1"/>
  <c r="M110" i="1"/>
  <c r="P109" i="1"/>
  <c r="O109" i="1"/>
  <c r="N109" i="1"/>
  <c r="M109" i="1"/>
  <c r="P108" i="1"/>
  <c r="R108" i="1" s="1"/>
  <c r="O108" i="1"/>
  <c r="N108" i="1"/>
  <c r="M108" i="1"/>
  <c r="P107" i="1"/>
  <c r="O107" i="1"/>
  <c r="N107" i="1"/>
  <c r="M107" i="1"/>
  <c r="R106" i="1"/>
  <c r="P106" i="1"/>
  <c r="O106" i="1"/>
  <c r="N106" i="1"/>
  <c r="M106" i="1"/>
  <c r="P105" i="1"/>
  <c r="O105" i="1"/>
  <c r="N105" i="1"/>
  <c r="M105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M101" i="1"/>
  <c r="P100" i="1"/>
  <c r="O100" i="1"/>
  <c r="N100" i="1"/>
  <c r="M100" i="1"/>
  <c r="P99" i="1"/>
  <c r="O99" i="1"/>
  <c r="N99" i="1"/>
  <c r="M99" i="1"/>
  <c r="P98" i="1"/>
  <c r="O98" i="1"/>
  <c r="N98" i="1"/>
  <c r="M98" i="1"/>
  <c r="P97" i="1"/>
  <c r="O97" i="1"/>
  <c r="N97" i="1"/>
  <c r="M97" i="1"/>
  <c r="P96" i="1"/>
  <c r="O96" i="1"/>
  <c r="N96" i="1"/>
  <c r="M96" i="1"/>
  <c r="P95" i="1"/>
  <c r="R95" i="1" s="1"/>
  <c r="O95" i="1"/>
  <c r="N95" i="1"/>
  <c r="M95" i="1"/>
  <c r="P94" i="1"/>
  <c r="O94" i="1"/>
  <c r="N94" i="1"/>
  <c r="M94" i="1"/>
  <c r="P93" i="1"/>
  <c r="O93" i="1"/>
  <c r="N93" i="1"/>
  <c r="M93" i="1"/>
  <c r="P92" i="1"/>
  <c r="O92" i="1"/>
  <c r="N92" i="1"/>
  <c r="M92" i="1"/>
  <c r="P91" i="1"/>
  <c r="O91" i="1"/>
  <c r="N91" i="1"/>
  <c r="M91" i="1"/>
  <c r="P90" i="1"/>
  <c r="O90" i="1"/>
  <c r="N90" i="1"/>
  <c r="M90" i="1"/>
  <c r="P89" i="1"/>
  <c r="R89" i="1" s="1"/>
  <c r="O89" i="1"/>
  <c r="N89" i="1"/>
  <c r="M89" i="1"/>
  <c r="P88" i="1"/>
  <c r="R88" i="1" s="1"/>
  <c r="O88" i="1"/>
  <c r="N88" i="1"/>
  <c r="M88" i="1"/>
  <c r="P87" i="1"/>
  <c r="R87" i="1" s="1"/>
  <c r="O87" i="1"/>
  <c r="N87" i="1"/>
  <c r="M87" i="1"/>
  <c r="P86" i="1"/>
  <c r="O86" i="1"/>
  <c r="N86" i="1"/>
  <c r="M86" i="1"/>
  <c r="P85" i="1"/>
  <c r="O85" i="1"/>
  <c r="N85" i="1"/>
  <c r="M85" i="1"/>
  <c r="P84" i="1"/>
  <c r="O84" i="1"/>
  <c r="N84" i="1"/>
  <c r="M84" i="1"/>
  <c r="P83" i="1"/>
  <c r="O83" i="1"/>
  <c r="N83" i="1"/>
  <c r="M83" i="1"/>
  <c r="P82" i="1"/>
  <c r="O82" i="1"/>
  <c r="N82" i="1"/>
  <c r="M82" i="1"/>
  <c r="P81" i="1"/>
  <c r="R81" i="1" s="1"/>
  <c r="O81" i="1"/>
  <c r="N81" i="1"/>
  <c r="M81" i="1"/>
  <c r="P80" i="1"/>
  <c r="O80" i="1"/>
  <c r="N80" i="1"/>
  <c r="M80" i="1"/>
  <c r="P79" i="1"/>
  <c r="R79" i="1" s="1"/>
  <c r="O79" i="1"/>
  <c r="N79" i="1"/>
  <c r="M79" i="1"/>
  <c r="P78" i="1"/>
  <c r="O78" i="1"/>
  <c r="N78" i="1"/>
  <c r="M78" i="1"/>
  <c r="P77" i="1"/>
  <c r="O77" i="1"/>
  <c r="N77" i="1"/>
  <c r="M77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R73" i="1" s="1"/>
  <c r="O73" i="1"/>
  <c r="N73" i="1"/>
  <c r="M73" i="1"/>
  <c r="P72" i="1"/>
  <c r="O72" i="1"/>
  <c r="N72" i="1"/>
  <c r="M72" i="1"/>
  <c r="P71" i="1"/>
  <c r="R71" i="1" s="1"/>
  <c r="O71" i="1"/>
  <c r="N71" i="1"/>
  <c r="M71" i="1"/>
  <c r="P70" i="1"/>
  <c r="O70" i="1"/>
  <c r="N70" i="1"/>
  <c r="M70" i="1"/>
  <c r="P69" i="1"/>
  <c r="O69" i="1"/>
  <c r="N69" i="1"/>
  <c r="M69" i="1"/>
  <c r="P68" i="1"/>
  <c r="O68" i="1"/>
  <c r="N68" i="1"/>
  <c r="M68" i="1"/>
  <c r="P67" i="1"/>
  <c r="O67" i="1"/>
  <c r="N67" i="1"/>
  <c r="M67" i="1"/>
  <c r="P66" i="1"/>
  <c r="O66" i="1"/>
  <c r="N66" i="1"/>
  <c r="M66" i="1"/>
  <c r="P65" i="1"/>
  <c r="O65" i="1"/>
  <c r="N65" i="1"/>
  <c r="M65" i="1"/>
  <c r="P64" i="1"/>
  <c r="O64" i="1"/>
  <c r="N64" i="1"/>
  <c r="M64" i="1"/>
  <c r="P63" i="1"/>
  <c r="R63" i="1" s="1"/>
  <c r="O63" i="1"/>
  <c r="N63" i="1"/>
  <c r="M63" i="1"/>
  <c r="P62" i="1"/>
  <c r="O62" i="1"/>
  <c r="N62" i="1"/>
  <c r="M62" i="1"/>
  <c r="P61" i="1"/>
  <c r="O61" i="1"/>
  <c r="N61" i="1"/>
  <c r="M61" i="1"/>
  <c r="P60" i="1"/>
  <c r="O60" i="1"/>
  <c r="N60" i="1"/>
  <c r="M60" i="1"/>
  <c r="P59" i="1"/>
  <c r="O59" i="1"/>
  <c r="N59" i="1"/>
  <c r="M59" i="1"/>
  <c r="P58" i="1"/>
  <c r="O58" i="1"/>
  <c r="N58" i="1"/>
  <c r="M58" i="1"/>
  <c r="P57" i="1"/>
  <c r="R57" i="1" s="1"/>
  <c r="O57" i="1"/>
  <c r="N57" i="1"/>
  <c r="M57" i="1"/>
  <c r="P56" i="1"/>
  <c r="R56" i="1" s="1"/>
  <c r="O56" i="1"/>
  <c r="N56" i="1"/>
  <c r="M56" i="1"/>
  <c r="P55" i="1"/>
  <c r="R55" i="1" s="1"/>
  <c r="O55" i="1"/>
  <c r="N55" i="1"/>
  <c r="M55" i="1"/>
  <c r="P54" i="1"/>
  <c r="O54" i="1"/>
  <c r="N54" i="1"/>
  <c r="M54" i="1"/>
  <c r="P53" i="1"/>
  <c r="O53" i="1"/>
  <c r="N53" i="1"/>
  <c r="M53" i="1"/>
  <c r="P52" i="1"/>
  <c r="O52" i="1"/>
  <c r="N52" i="1"/>
  <c r="M52" i="1"/>
  <c r="P51" i="1"/>
  <c r="O51" i="1"/>
  <c r="N51" i="1"/>
  <c r="M51" i="1"/>
  <c r="P50" i="1"/>
  <c r="O50" i="1"/>
  <c r="N50" i="1"/>
  <c r="M50" i="1"/>
  <c r="P49" i="1"/>
  <c r="R49" i="1" s="1"/>
  <c r="O49" i="1"/>
  <c r="N49" i="1"/>
  <c r="M49" i="1"/>
  <c r="P48" i="1"/>
  <c r="O48" i="1"/>
  <c r="N48" i="1"/>
  <c r="M48" i="1"/>
  <c r="P47" i="1"/>
  <c r="R47" i="1" s="1"/>
  <c r="O47" i="1"/>
  <c r="N47" i="1"/>
  <c r="M47" i="1"/>
  <c r="P46" i="1"/>
  <c r="O46" i="1"/>
  <c r="N46" i="1"/>
  <c r="M46" i="1"/>
  <c r="P45" i="1"/>
  <c r="O45" i="1"/>
  <c r="N45" i="1"/>
  <c r="M45" i="1"/>
  <c r="P44" i="1"/>
  <c r="O44" i="1"/>
  <c r="N44" i="1"/>
  <c r="M44" i="1"/>
  <c r="P43" i="1"/>
  <c r="O43" i="1"/>
  <c r="N43" i="1"/>
  <c r="M43" i="1"/>
  <c r="P42" i="1"/>
  <c r="O42" i="1"/>
  <c r="N42" i="1"/>
  <c r="M42" i="1"/>
  <c r="P41" i="1"/>
  <c r="O41" i="1"/>
  <c r="N41" i="1"/>
  <c r="M41" i="1"/>
  <c r="P40" i="1"/>
  <c r="O40" i="1"/>
  <c r="N40" i="1"/>
  <c r="M40" i="1"/>
  <c r="P39" i="1"/>
  <c r="O39" i="1"/>
  <c r="N39" i="1"/>
  <c r="M39" i="1"/>
  <c r="P38" i="1"/>
  <c r="O38" i="1"/>
  <c r="N38" i="1"/>
  <c r="M38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R31" i="1" s="1"/>
  <c r="O31" i="1"/>
  <c r="N31" i="1"/>
  <c r="M31" i="1"/>
  <c r="P30" i="1"/>
  <c r="O30" i="1"/>
  <c r="N30" i="1"/>
  <c r="M30" i="1"/>
  <c r="P29" i="1"/>
  <c r="O29" i="1"/>
  <c r="N29" i="1"/>
  <c r="M29" i="1"/>
  <c r="P28" i="1"/>
  <c r="O28" i="1"/>
  <c r="N28" i="1"/>
  <c r="M28" i="1"/>
  <c r="P27" i="1"/>
  <c r="O27" i="1"/>
  <c r="N27" i="1"/>
  <c r="M27" i="1"/>
  <c r="P26" i="1"/>
  <c r="O26" i="1"/>
  <c r="N26" i="1"/>
  <c r="M26" i="1"/>
  <c r="P25" i="1"/>
  <c r="R25" i="1" s="1"/>
  <c r="O25" i="1"/>
  <c r="N25" i="1"/>
  <c r="M25" i="1"/>
  <c r="P24" i="1"/>
  <c r="O24" i="1"/>
  <c r="N24" i="1"/>
  <c r="M24" i="1"/>
  <c r="P23" i="1"/>
  <c r="R23" i="1" s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P19" i="1"/>
  <c r="O19" i="1"/>
  <c r="N19" i="1"/>
  <c r="M19" i="1"/>
  <c r="P18" i="1"/>
  <c r="O18" i="1"/>
  <c r="N18" i="1"/>
  <c r="M18" i="1"/>
  <c r="R17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R6" i="1" s="1"/>
  <c r="O6" i="1"/>
  <c r="N6" i="1"/>
  <c r="M6" i="1"/>
  <c r="P5" i="1"/>
  <c r="O5" i="1"/>
  <c r="N5" i="1"/>
  <c r="M5" i="1"/>
  <c r="P4" i="1"/>
  <c r="R4" i="1" s="1"/>
  <c r="O4" i="1"/>
  <c r="N4" i="1"/>
  <c r="M4" i="1"/>
  <c r="P3" i="1"/>
  <c r="O3" i="1"/>
  <c r="N3" i="1"/>
  <c r="M3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R82" i="1" s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R129" i="1" s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1" i="1"/>
  <c r="J172" i="1"/>
  <c r="J173" i="1"/>
  <c r="J174" i="1"/>
  <c r="J175" i="1"/>
  <c r="J177" i="1"/>
  <c r="J178" i="1"/>
  <c r="J180" i="1"/>
  <c r="J181" i="1"/>
  <c r="J183" i="1"/>
  <c r="J184" i="1"/>
  <c r="J185" i="1"/>
  <c r="J186" i="1"/>
  <c r="J187" i="1"/>
  <c r="J189" i="1"/>
  <c r="J190" i="1"/>
  <c r="J191" i="1"/>
  <c r="J193" i="1"/>
  <c r="J194" i="1"/>
  <c r="J195" i="1"/>
  <c r="J196" i="1"/>
  <c r="J198" i="1"/>
  <c r="J199" i="1"/>
  <c r="J201" i="1"/>
  <c r="J202" i="1"/>
  <c r="J204" i="1"/>
  <c r="J205" i="1"/>
  <c r="J206" i="1"/>
  <c r="J207" i="1"/>
  <c r="J208" i="1"/>
  <c r="J209" i="1"/>
  <c r="J210" i="1"/>
  <c r="J212" i="1"/>
  <c r="J213" i="1"/>
  <c r="J214" i="1"/>
  <c r="J216" i="1"/>
  <c r="J217" i="1"/>
  <c r="J218" i="1"/>
  <c r="J219" i="1"/>
  <c r="J220" i="1"/>
  <c r="J221" i="1"/>
  <c r="J223" i="1"/>
  <c r="J224" i="1"/>
  <c r="J225" i="1"/>
  <c r="J226" i="1"/>
  <c r="J228" i="1"/>
  <c r="J229" i="1"/>
  <c r="J231" i="1"/>
  <c r="J232" i="1"/>
  <c r="R232" i="1" s="1"/>
  <c r="J233" i="1"/>
  <c r="J235" i="1"/>
  <c r="J237" i="1"/>
  <c r="J238" i="1"/>
  <c r="J239" i="1"/>
  <c r="J240" i="1"/>
  <c r="J241" i="1"/>
  <c r="J242" i="1"/>
  <c r="J243" i="1"/>
  <c r="J244" i="1"/>
  <c r="J245" i="1"/>
  <c r="J246" i="1"/>
  <c r="J247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8" i="1"/>
  <c r="J440" i="1"/>
  <c r="J442" i="1"/>
  <c r="J444" i="1"/>
  <c r="J446" i="1"/>
  <c r="J448" i="1"/>
  <c r="J450" i="1"/>
  <c r="J452" i="1"/>
  <c r="J454" i="1"/>
  <c r="J456" i="1"/>
  <c r="J5" i="1"/>
  <c r="J6" i="1"/>
  <c r="J7" i="1"/>
  <c r="J8" i="1"/>
  <c r="J9" i="1"/>
  <c r="J3" i="1"/>
  <c r="J4" i="1"/>
  <c r="R21" i="1" l="1"/>
  <c r="R195" i="1"/>
  <c r="R302" i="1"/>
  <c r="R317" i="1"/>
  <c r="R341" i="1"/>
  <c r="R448" i="1"/>
  <c r="R452" i="1"/>
  <c r="R144" i="1"/>
  <c r="R28" i="1"/>
  <c r="R36" i="1"/>
  <c r="R40" i="1"/>
  <c r="R52" i="1"/>
  <c r="R137" i="1"/>
  <c r="R141" i="1"/>
  <c r="R145" i="1"/>
  <c r="R206" i="1"/>
  <c r="R210" i="1"/>
  <c r="R214" i="1"/>
  <c r="R216" i="1"/>
  <c r="R240" i="1"/>
  <c r="R244" i="1"/>
  <c r="R258" i="1"/>
  <c r="R270" i="1"/>
  <c r="R274" i="1"/>
  <c r="R373" i="1"/>
  <c r="R344" i="1"/>
  <c r="R256" i="1"/>
  <c r="R39" i="1"/>
  <c r="R60" i="1"/>
  <c r="R62" i="1"/>
  <c r="R64" i="1"/>
  <c r="R68" i="1"/>
  <c r="R70" i="1"/>
  <c r="R72" i="1"/>
  <c r="R80" i="1"/>
  <c r="R153" i="1"/>
  <c r="R157" i="1"/>
  <c r="R159" i="1"/>
  <c r="R278" i="1"/>
  <c r="R280" i="1"/>
  <c r="R377" i="1"/>
  <c r="R385" i="1"/>
  <c r="R403" i="1"/>
  <c r="R405" i="1"/>
  <c r="R407" i="1"/>
  <c r="R411" i="1"/>
  <c r="R413" i="1"/>
  <c r="R415" i="1"/>
  <c r="R318" i="1"/>
  <c r="R326" i="1"/>
  <c r="R334" i="1"/>
  <c r="R350" i="1"/>
  <c r="R29" i="1"/>
  <c r="R45" i="1"/>
  <c r="R53" i="1"/>
  <c r="R124" i="1"/>
  <c r="R132" i="1"/>
  <c r="R205" i="1"/>
  <c r="R245" i="1"/>
  <c r="R253" i="1"/>
  <c r="R261" i="1"/>
  <c r="R366" i="1"/>
  <c r="R374" i="1"/>
  <c r="R233" i="1"/>
  <c r="R223" i="1"/>
  <c r="R43" i="1"/>
  <c r="R77" i="1"/>
  <c r="R85" i="1"/>
  <c r="R285" i="1"/>
  <c r="R382" i="1"/>
  <c r="R420" i="1"/>
  <c r="R93" i="1"/>
  <c r="R162" i="1"/>
  <c r="R164" i="1"/>
  <c r="R436" i="1"/>
  <c r="R65" i="1"/>
  <c r="R109" i="1"/>
  <c r="R113" i="1"/>
  <c r="R117" i="1"/>
  <c r="R180" i="1"/>
  <c r="R184" i="1"/>
  <c r="R309" i="1"/>
  <c r="R333" i="1"/>
  <c r="R349" i="1"/>
  <c r="R444" i="1"/>
  <c r="R450" i="1"/>
  <c r="R24" i="1"/>
  <c r="R32" i="1"/>
  <c r="R48" i="1"/>
  <c r="R149" i="1"/>
  <c r="R220" i="1"/>
  <c r="R224" i="1"/>
  <c r="R262" i="1"/>
  <c r="R266" i="1"/>
  <c r="R369" i="1"/>
  <c r="R367" i="1"/>
  <c r="R303" i="1"/>
  <c r="R5" i="1"/>
  <c r="R7" i="1"/>
  <c r="R9" i="1"/>
  <c r="R15" i="1"/>
  <c r="R92" i="1"/>
  <c r="R96" i="1"/>
  <c r="R100" i="1"/>
  <c r="R104" i="1"/>
  <c r="R167" i="1"/>
  <c r="R169" i="1"/>
  <c r="R173" i="1"/>
  <c r="R175" i="1"/>
  <c r="R290" i="1"/>
  <c r="R296" i="1"/>
  <c r="R427" i="1"/>
  <c r="R429" i="1"/>
  <c r="R431" i="1"/>
  <c r="R435" i="1"/>
  <c r="R426" i="1"/>
  <c r="R27" i="1"/>
  <c r="R91" i="1"/>
  <c r="R139" i="1"/>
  <c r="R212" i="1"/>
  <c r="R308" i="1"/>
  <c r="R331" i="1"/>
  <c r="R347" i="1"/>
  <c r="R372" i="1"/>
  <c r="R409" i="1"/>
  <c r="R58" i="1"/>
  <c r="R316" i="1"/>
  <c r="R122" i="1"/>
  <c r="R251" i="1"/>
  <c r="R276" i="1"/>
  <c r="R19" i="1"/>
  <c r="R75" i="1"/>
  <c r="R83" i="1"/>
  <c r="R204" i="1"/>
  <c r="R260" i="1"/>
  <c r="R300" i="1"/>
  <c r="R364" i="1"/>
  <c r="R172" i="1"/>
  <c r="R339" i="1"/>
  <c r="R147" i="1"/>
  <c r="R268" i="1"/>
  <c r="R380" i="1"/>
  <c r="R446" i="1"/>
  <c r="R66" i="1"/>
  <c r="R155" i="1"/>
  <c r="R324" i="1"/>
  <c r="R388" i="1"/>
  <c r="R107" i="1"/>
  <c r="R130" i="1"/>
  <c r="R259" i="1"/>
  <c r="R284" i="1"/>
  <c r="R26" i="1"/>
  <c r="R30" i="1"/>
  <c r="R34" i="1"/>
  <c r="R51" i="1"/>
  <c r="R90" i="1"/>
  <c r="R94" i="1"/>
  <c r="R115" i="1"/>
  <c r="R171" i="1"/>
  <c r="R186" i="1"/>
  <c r="R238" i="1"/>
  <c r="R307" i="1"/>
  <c r="R311" i="1"/>
  <c r="R332" i="1"/>
  <c r="R371" i="1"/>
  <c r="R375" i="1"/>
  <c r="R433" i="1"/>
  <c r="R11" i="1"/>
  <c r="R13" i="1"/>
  <c r="R38" i="1"/>
  <c r="R42" i="1"/>
  <c r="R98" i="1"/>
  <c r="R102" i="1"/>
  <c r="R221" i="1"/>
  <c r="R242" i="1"/>
  <c r="R292" i="1"/>
  <c r="R294" i="1"/>
  <c r="R315" i="1"/>
  <c r="R319" i="1"/>
  <c r="R356" i="1"/>
  <c r="R358" i="1"/>
  <c r="R418" i="1"/>
  <c r="R44" i="1"/>
  <c r="R46" i="1"/>
  <c r="R154" i="1"/>
  <c r="R156" i="1"/>
  <c r="R158" i="1"/>
  <c r="R225" i="1"/>
  <c r="R246" i="1"/>
  <c r="R254" i="1"/>
  <c r="R381" i="1"/>
  <c r="R8" i="1"/>
  <c r="R12" i="1"/>
  <c r="R35" i="1"/>
  <c r="R76" i="1"/>
  <c r="R121" i="1"/>
  <c r="R140" i="1"/>
  <c r="R194" i="1"/>
  <c r="R213" i="1"/>
  <c r="R235" i="1"/>
  <c r="R250" i="1"/>
  <c r="R293" i="1"/>
  <c r="R306" i="1"/>
  <c r="R355" i="1"/>
  <c r="R359" i="1"/>
  <c r="R419" i="1"/>
  <c r="R16" i="1"/>
  <c r="R37" i="1"/>
  <c r="R50" i="1"/>
  <c r="R97" i="1"/>
  <c r="R99" i="1"/>
  <c r="R101" i="1"/>
  <c r="R103" i="1"/>
  <c r="R114" i="1"/>
  <c r="R161" i="1"/>
  <c r="R163" i="1"/>
  <c r="R165" i="1"/>
  <c r="R174" i="1"/>
  <c r="R181" i="1"/>
  <c r="R183" i="1"/>
  <c r="R217" i="1"/>
  <c r="R219" i="1"/>
  <c r="R265" i="1"/>
  <c r="R267" i="1"/>
  <c r="R269" i="1"/>
  <c r="R271" i="1"/>
  <c r="R297" i="1"/>
  <c r="R310" i="1"/>
  <c r="R323" i="1"/>
  <c r="R325" i="1"/>
  <c r="R340" i="1"/>
  <c r="R342" i="1"/>
  <c r="R361" i="1"/>
  <c r="R387" i="1"/>
  <c r="R404" i="1"/>
  <c r="R406" i="1"/>
  <c r="R421" i="1"/>
  <c r="R423" i="1"/>
  <c r="R434" i="1"/>
  <c r="R351" i="1"/>
  <c r="R379" i="1"/>
  <c r="R383" i="1"/>
  <c r="R428" i="1"/>
  <c r="R10" i="1"/>
  <c r="R14" i="1"/>
  <c r="R33" i="1"/>
  <c r="R59" i="1"/>
  <c r="R61" i="1"/>
  <c r="R74" i="1"/>
  <c r="R78" i="1"/>
  <c r="R123" i="1"/>
  <c r="R125" i="1"/>
  <c r="R138" i="1"/>
  <c r="R142" i="1"/>
  <c r="R196" i="1"/>
  <c r="R226" i="1"/>
  <c r="R237" i="1"/>
  <c r="R252" i="1"/>
  <c r="R263" i="1"/>
  <c r="R282" i="1"/>
  <c r="R291" i="1"/>
  <c r="R295" i="1"/>
  <c r="R357" i="1"/>
  <c r="R370" i="1"/>
  <c r="R417" i="1"/>
  <c r="R18" i="1"/>
  <c r="R20" i="1"/>
  <c r="R22" i="1"/>
  <c r="R41" i="1"/>
  <c r="R54" i="1"/>
  <c r="R67" i="1"/>
  <c r="R69" i="1"/>
  <c r="R84" i="1"/>
  <c r="R86" i="1"/>
  <c r="R105" i="1"/>
  <c r="R131" i="1"/>
  <c r="R133" i="1"/>
  <c r="R146" i="1"/>
  <c r="R148" i="1"/>
  <c r="R150" i="1"/>
  <c r="R185" i="1"/>
  <c r="R187" i="1"/>
  <c r="R189" i="1"/>
  <c r="R191" i="1"/>
  <c r="R241" i="1"/>
  <c r="R243" i="1"/>
  <c r="R273" i="1"/>
  <c r="R275" i="1"/>
  <c r="R286" i="1"/>
  <c r="R299" i="1"/>
  <c r="R301" i="1"/>
  <c r="R327" i="1"/>
  <c r="R346" i="1"/>
  <c r="R348" i="1"/>
  <c r="R363" i="1"/>
  <c r="R365" i="1"/>
  <c r="R410" i="1"/>
  <c r="R412" i="1"/>
  <c r="R425" i="1"/>
  <c r="R438" i="1"/>
  <c r="O2" i="1"/>
  <c r="P2" i="1"/>
  <c r="R3" i="1"/>
  <c r="K2" i="1"/>
  <c r="R1" i="1" l="1"/>
</calcChain>
</file>

<file path=xl/sharedStrings.xml><?xml version="1.0" encoding="utf-8"?>
<sst xmlns="http://schemas.openxmlformats.org/spreadsheetml/2006/main" count="553" uniqueCount="484">
  <si>
    <t>Price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</si>
  <si>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</si>
  <si>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</si>
  <si>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</si>
  <si>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</si>
  <si>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</si>
  <si>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b/>
        <sz val="8"/>
        <color rgb="FFFFFFFF"/>
        <rFont val="Arial"/>
        <family val="2"/>
      </rPr>
      <t>Item #</t>
    </r>
  </si>
  <si>
    <r>
      <rPr>
        <b/>
        <sz val="8"/>
        <color rgb="FFFFFFFF"/>
        <rFont val="Arial"/>
        <family val="2"/>
      </rPr>
      <t>Description</t>
    </r>
  </si>
  <si>
    <r>
      <rPr>
        <b/>
        <sz val="8"/>
        <color rgb="FFFFFFFF"/>
        <rFont val="Arial"/>
        <family val="2"/>
      </rPr>
      <t>UPC Code</t>
    </r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</si>
  <si>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rgb="FF000000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</si>
  <si>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</si>
  <si>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</si>
  <si>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Fungal Defense 84ct TABLETS</t>
  </si>
  <si>
    <t>Omega-Zyme Ultra 90ct CAPSULES</t>
  </si>
  <si>
    <t>Omega-Zyme Ultra 180ct CAPSULES</t>
  </si>
  <si>
    <t>Omega-Zyme 90ct TABLETS</t>
  </si>
  <si>
    <t>Omega-Zyme 180ct TABLETS</t>
  </si>
  <si>
    <t>Raw Enzymes Men 90ct CAPSULES</t>
  </si>
  <si>
    <t>Raw Enzymes Women 90ct CAPSULES</t>
  </si>
  <si>
    <t>Raw Enzymes Women 50 and Wiser 90ct CAPSULES</t>
  </si>
  <si>
    <t>Raw Enzymes Men 50 and Wiser 90ct CAPSULES</t>
  </si>
  <si>
    <t>Dr. Formulated Enzymes Organic Digest 90ct CHEWABLES</t>
  </si>
  <si>
    <t>Primal Defense Ultra 60ct CAPSULES</t>
  </si>
  <si>
    <t>Primal Defense Ultra 90ct CAPSULES</t>
  </si>
  <si>
    <t>Primal Defense Ultra 180ct CAPSULES</t>
  </si>
  <si>
    <t>Primal Defense 81g POWDER</t>
  </si>
  <si>
    <t>Primal Defense 45ct TABLETS</t>
  </si>
  <si>
    <t>Primal Defense 90ct TABLETS</t>
  </si>
  <si>
    <t>Primal Defense 180ct TABLETS</t>
  </si>
  <si>
    <t>Primal Defense Kids 81g POWDER</t>
  </si>
  <si>
    <t>Raw Probiotics Men COOLER 90ct CAPSULES</t>
  </si>
  <si>
    <t>Raw Probiotics Men 50 and Wiser COOLER 90ct CAPSULES</t>
  </si>
  <si>
    <t>Raw Probiotics Women COOLER 90ct CAPSULES</t>
  </si>
  <si>
    <t>Raw Probiotics Women 50 and Wiser COOLER 90ct CAPSULES</t>
  </si>
  <si>
    <t>Organic Raw Probiotics Kids COOLER 96g POWDER</t>
  </si>
  <si>
    <t>Raw Probiotics Colon Care COOLER 30ct CAPSULES</t>
  </si>
  <si>
    <t>Raw Probiotics Vaginal Care COOLER 30ct CAPSULES</t>
  </si>
  <si>
    <t>Raw Probiotics Ultimate Care COOLER 30ct CAPSULES</t>
  </si>
  <si>
    <t>Organic Raw Probiotics 5-Day Max Care COOLER 75g POWDER</t>
  </si>
  <si>
    <t>Dr. Formulated Probiotics 10B Orange Dream 60ct GUMMY</t>
  </si>
  <si>
    <t>Dr. Formulated Probiotics Kids 5B Strawberry 60ct GUMMY</t>
  </si>
  <si>
    <t>Dr. Formulated Probiotics Gas and Bloating 50B 30ct CAPSULES</t>
  </si>
  <si>
    <t>Dr. Formulated Probiotics 100B 30ct CAPSULES</t>
  </si>
  <si>
    <t>Dr. Formulated Probiotics 30B 30ct CAPSULES</t>
  </si>
  <si>
    <t>Dr. Formulated Probiotics Calm 50B 30ct CAPSULES</t>
  </si>
  <si>
    <t>Dr. Formulated Probiotics Immune 50B 30ct CAPSULES</t>
  </si>
  <si>
    <t>Dr. Formulated Probiotics Womens pH 50B 30ct CAPSULES</t>
  </si>
  <si>
    <t>Dr. Formulated Probiotics Once Daily COOLER 30ct CAPSULES</t>
  </si>
  <si>
    <t>Dr. Formulated Probiotics Once Daily Ultra COOLER 30ct CAPSULES</t>
  </si>
  <si>
    <t>Dr. Formulated Organic Probiotic Fitbiotic 20ct TRAY</t>
  </si>
  <si>
    <t>Dr. Formulated Probiotics Mood COOLER 60ct CAPSULES</t>
  </si>
  <si>
    <t>Dr. Formulated Probiotics Prostate COOLER 60ct CAPSULES</t>
  </si>
  <si>
    <t>Dr. Formulated Probiotics Urinary Tract COOLER 60ct CAPSULES</t>
  </si>
  <si>
    <t>Dr. Formulated Probiotics Once Daily Prenatal COOLER 30ct CAPSULES</t>
  </si>
  <si>
    <t>Dr. Formulated Probiotics Organic Kids Berry Cherry COOLER 30ct CHEWABLES</t>
  </si>
  <si>
    <t>Dr. Formulated Probiotics Organic Kids Watermelon COOLER 30ct CHEWABLES</t>
  </si>
  <si>
    <t>Dr. Formulated Probiotics Organic Kids Straw/Banana COOLER 30ct CHEWABLES</t>
  </si>
  <si>
    <t>Raw Probiotics Colon Care SHELF 30ct CAPSULES</t>
  </si>
  <si>
    <t>Raw Probiotics Vaginal Care SHELF 30ct CAPSULES</t>
  </si>
  <si>
    <t>Raw Probiotics Ultimate Care SHELF 30ct CAPSULES</t>
  </si>
  <si>
    <t>Dr. Formulated Probiotics Once Daily Mens SHELF 30ct CAPSULES</t>
  </si>
  <si>
    <t>Dr. Formulated Probiotics Once Daily Womens SHELF 30ct CAPSULES</t>
  </si>
  <si>
    <t>Dr. Formulated Probiotics Mood SHELF 60ct CAPSULES</t>
  </si>
  <si>
    <t>Dr. Formulated Probiotics Prostate SHELF 60ct CAPSULES</t>
  </si>
  <si>
    <t>Dr. Formulated Probiotics Urinary Tract SHELF 60ct CAPSULES</t>
  </si>
  <si>
    <t>Dr. Formulated Probiotics Once Daily Prenatal SHELF 30ct CAPSULES</t>
  </si>
  <si>
    <t>Dr. Formulated Probiotics Organic Kids Berry Cherry SHELF 30ct CHEWABLES</t>
  </si>
  <si>
    <t>Dr. Formulated Probiotics Organic Kids Watermelon SHELF 30ct CHEWABLES</t>
  </si>
  <si>
    <t>Dr. Formulated Probiotics Organic Kids Straw/Banana SHELF 30ct CHEWABLES</t>
  </si>
  <si>
    <t>Organic Raw Fiber 268g POWDER</t>
  </si>
  <si>
    <t>Organic Raw Fiber 803g POWDER</t>
  </si>
  <si>
    <t>Super Seed 200g POWDER</t>
  </si>
  <si>
    <t>Super Seed 600g POWDER</t>
  </si>
  <si>
    <t>Organic DetoxiFiber 300g POWDER</t>
  </si>
  <si>
    <t>Dr. Formulated Organic Fiber Unflavored 192g POWDER</t>
  </si>
  <si>
    <t>Dr. Formulated Organic Fiber Citrus 223g POWDER</t>
  </si>
  <si>
    <t>Dr. Formulated Magnesium with Pre and Probiotics Raspberry 60ct GUMMY</t>
  </si>
  <si>
    <t>Dr. Formulated Magnesium Peach 60ct GUMMY</t>
  </si>
  <si>
    <t>Dr. Formulated Magnesium Orange Creme 60ct GUMMY</t>
  </si>
  <si>
    <t>Dr. Formulated Magnesium Orange 197.4g POWDER</t>
  </si>
  <si>
    <t>Dr. Formulated Magnesium Orange 419.5g POWDER</t>
  </si>
  <si>
    <t>Dr. Formulated Magnesium Raspberry Lemon 198.4g POWDER</t>
  </si>
  <si>
    <t>Dr. Formulated Magnesium Raspberry Lemon 421.5g POWDER</t>
  </si>
  <si>
    <t>Raw Cleanse 7-Day KIT</t>
  </si>
  <si>
    <t>Perfect Cleanse with Organic Fiber 10-Day KIT</t>
  </si>
  <si>
    <t>Dr. Formulated Brain Health Organic Attention/Focus Kids 60ct CHEWABLES</t>
  </si>
  <si>
    <t>Dr. Formulated Brain Health Organic Memory/Focus Young Adults 60ct TABLETS</t>
  </si>
  <si>
    <t>Dr. Formulated Brain Health Organic Memory/Focus Adults 40 60ct TABLETS</t>
  </si>
  <si>
    <t>Dr. Formulated Brain Health Organic Coconut MCT Oil 16oz LIQUID</t>
  </si>
  <si>
    <t>Dr. Formulated Brain Health Organic Coconut MCT Oil 32oz LIQUID</t>
  </si>
  <si>
    <t>Organic Coconut Oil 14oz LIQUID</t>
  </si>
  <si>
    <t>Organic Coconut Oil 29oz LIQUID</t>
  </si>
  <si>
    <t>Organic Coconut Oil 56oz LIQUID</t>
  </si>
  <si>
    <t>Raw Organics Chia Seed 340g</t>
  </si>
  <si>
    <t>Raw Organics Flax Seed 396g POWDER</t>
  </si>
  <si>
    <t>Raw Organics Flax and Chia Blend 340g</t>
  </si>
  <si>
    <t>Kids Organic Vitamin D3 Orange 60ct GUMMY</t>
  </si>
  <si>
    <t>Kids Organic Immune Cherry 60ct GUMMY</t>
  </si>
  <si>
    <t>Kids Organic Probiotic Cherry 30ct GUMMY</t>
  </si>
  <si>
    <t>Kids Organic Elderberry Syrup 3.9oz LIQUID</t>
  </si>
  <si>
    <t>Kids Organic Multivitamin 60g POWDER</t>
  </si>
  <si>
    <t>kids plant omega-3 Strawberry 2oz LIQUID</t>
  </si>
  <si>
    <t>Organic baby gripe water 4oz LIQUID</t>
  </si>
  <si>
    <t>Organic baby multivitamin 1.9oz LIQUID</t>
  </si>
  <si>
    <t>Baby plant DHA 1.26oz LIQUID</t>
  </si>
  <si>
    <t>Organic baby probiotic 1.9oz LIQUID</t>
  </si>
  <si>
    <t>Organic baby vitamin C 1.9oz LIQUID</t>
  </si>
  <si>
    <t>Organic baby vitamin D3 1.9oz LIQUID</t>
  </si>
  <si>
    <t>Dr. Formulated CBD 30mg 30ct SOFTGELS</t>
  </si>
  <si>
    <t>Dr. Formulated CBD plus Inflammatory Response 15mg 30ct SOFTGELS</t>
  </si>
  <si>
    <t>Dr. Formulated CBD plus Relax 15mg 30ct SOFTGELS</t>
  </si>
  <si>
    <t>Dr. Formulated CBD plus Sleep 15mg 30ct SOFTGELS</t>
  </si>
  <si>
    <t>Dr. Formulated CBD plus Focus 15mg 30ct SOFTGELS</t>
  </si>
  <si>
    <t>Dr. Formulated CBD 10mg Peppermint 1oz LIQUID DROPS</t>
  </si>
  <si>
    <t>Dr. Formulated CBD 30mg Chocolate Mint 1oz LIQUID DROPS</t>
  </si>
  <si>
    <t>Dr. Formulated CBD 30mg Peppermint 1oz LIQUID DROPS</t>
  </si>
  <si>
    <t>Dr. Formulated CBD Pet for Dogs 20mg Peanut Butter 1oz LIQUID DROPS</t>
  </si>
  <si>
    <t>Dr. Formulated CBD plus Inflammatory Response 15mg 1oz LIQUID DROPS</t>
  </si>
  <si>
    <t>Dr. Formulated CBD plus Sleep 15mg 1oz LIQUID DROPS</t>
  </si>
  <si>
    <t>Dr. Formulated CBD plus Stress Relief 15mg 1oz LIQUID DROPS</t>
  </si>
  <si>
    <t>Dr. Formulated CBD 50mg Chocolate Mint 1oz LIQUID DROPS</t>
  </si>
  <si>
    <t>Dr. Formulated CBD 50mg Peppermint 1oz LIQUID DROPS</t>
  </si>
  <si>
    <t>Grass Fed Collagen CBD 15mg 287g POWDER</t>
  </si>
  <si>
    <t>Dr. Formulated CBD Intensive Recovery Lotion 800mg 2.5oz</t>
  </si>
  <si>
    <t>Dr. Formulated CBD Cooling Rescue Cream 200mg 1.3oz</t>
  </si>
  <si>
    <t>Dr. Formulated CBD Blemish Spot Mask Cream 50mg 0.5oz</t>
  </si>
  <si>
    <t>Dr. Formulated CBD 10mg Mango 60ct GUMMY</t>
  </si>
  <si>
    <t>Dr. Formulated CBD 10mg Tart Cherry 60ct GUMMY</t>
  </si>
  <si>
    <t>Dr. Formulated CBD Extra Strength 20mg Tart Cherry 60ct GUMMY</t>
  </si>
  <si>
    <t>Dr. Formulated CBD plus Inflammatory Response 10mg Berry Spice 60ct GUMMY</t>
  </si>
  <si>
    <t>Dr. Formulated CBD plus Sleep 10mg Blueberry 60ct GUMMY</t>
  </si>
  <si>
    <t>MN0389</t>
  </si>
  <si>
    <t>Minami Omega-3 Orange 30ct SOFTGELS</t>
  </si>
  <si>
    <t>MN0013</t>
  </si>
  <si>
    <t>Minami Omega-3 Orange 60ct SOFTGELS</t>
  </si>
  <si>
    <t>MN1058</t>
  </si>
  <si>
    <t>Minami Omega-3 Orange 120ct (2-PK 60ct) SOFTGELS</t>
  </si>
  <si>
    <t>MN0396</t>
  </si>
  <si>
    <t>Minami Prenatal Lemon 30ct SOFTGELS</t>
  </si>
  <si>
    <t>MN0044</t>
  </si>
  <si>
    <t>Minami Prenatal Lemon 60ct SOFTGELS</t>
  </si>
  <si>
    <t>MN0860</t>
  </si>
  <si>
    <t>Minami Cardio Orange 60ct SOFTGELS</t>
  </si>
  <si>
    <t>MN0907</t>
  </si>
  <si>
    <t>Minami Algae Omega-3 60ct SOFTGELS</t>
  </si>
  <si>
    <t>MN1225</t>
  </si>
  <si>
    <t>Minami Platinum Orange 30ct SOFTGELS</t>
  </si>
  <si>
    <t>MN1812</t>
  </si>
  <si>
    <t>Minami Platinum Orange 60ct SOFTGELS</t>
  </si>
  <si>
    <t>Oceans 3 Beyond Omega-3 60ct SOFTGELS</t>
  </si>
  <si>
    <t>Oceans 3 Healthy Hormones 90ct SOFTGELS</t>
  </si>
  <si>
    <t>Oceans 3 Better Brain 90ct SOFTGELS</t>
  </si>
  <si>
    <t>Oceans Kids DHA Berry Lime 120ct CHEWABLE SOFTGELS</t>
  </si>
  <si>
    <t>Oceans Mom Prenatal DHA 30ct SOFTGELS</t>
  </si>
  <si>
    <t>Dr. Formulated Vegan Prenatal DHA 30ct SOFTGELS</t>
  </si>
  <si>
    <t>Dr. Formulated Vegan DHA 30ct SOFTGELS</t>
  </si>
  <si>
    <t>Dr. Formulated Prenatal DHA 30ct SOFTGELS</t>
  </si>
  <si>
    <t>Dr. Formulated DHA 1000mg 30ct SOFTGELS</t>
  </si>
  <si>
    <t>Dr. Formulated Advanced Omega 60ct SOFTGELS</t>
  </si>
  <si>
    <t>Dr. Formulated Advanced Omega 180ct SOFTGELS</t>
  </si>
  <si>
    <t>Dr. Formulated Alaskan Cod Liver Oil 200ml LIQUID</t>
  </si>
  <si>
    <t>Dr. Formulated Alaskan Cod Liver Oil 400ml LIQUID</t>
  </si>
  <si>
    <t>Beets Beauty Blackberry Melon 105g POWDER</t>
  </si>
  <si>
    <t>Beets Detox Cranberry Pomegranate 105g POWDER</t>
  </si>
  <si>
    <t>Beets Beauty Raspberry 60ct GUMMY</t>
  </si>
  <si>
    <t>Beets Raspberry 60ct GUMMY</t>
  </si>
  <si>
    <t>Raw Organic Perfect Food Green Superfood Original 207g POWDER</t>
  </si>
  <si>
    <t>Raw Organic Perfect Food Green Superfood Original 414g POWDER</t>
  </si>
  <si>
    <t>Raw Organic Perfect Food Green Superfood Chocolate 285g POWDER</t>
  </si>
  <si>
    <t>Raw Organic Perfect Food Green Superfood Chocolate 570g POWDER</t>
  </si>
  <si>
    <t>Raw Perfect Food Green Superfood 240ct CAPSULES</t>
  </si>
  <si>
    <t>Raw Organic Perfect Food Green Superfood Apple 231g POWDER</t>
  </si>
  <si>
    <t>Raw Organic Perfect Food Wheat Grass Juice Unflavored 240g POWDER</t>
  </si>
  <si>
    <t>Raw Organic Perfect Food Alkalizer and Detoxifier Lemon-Ginger 282g POWDER</t>
  </si>
  <si>
    <t>Raw Organic Perfect Food Energizer Yerba Mate Pomegranate 276g POWDER</t>
  </si>
  <si>
    <t>Perfect Food Original 300g POWDER</t>
  </si>
  <si>
    <t>Perfect Food 140g POWDER</t>
  </si>
  <si>
    <t>Perfect Food 300g POWDER</t>
  </si>
  <si>
    <t>Perfect Food 600g POWDER</t>
  </si>
  <si>
    <t>Perfect Food 75ct TABLETS</t>
  </si>
  <si>
    <t>Perfect Food 150ct TABLETS</t>
  </si>
  <si>
    <t>Perfect Food 300ct TABLETS</t>
  </si>
  <si>
    <t>Perfect Food Berry 240g POWDER</t>
  </si>
  <si>
    <t>Organic Creamy Protein Chocolate Brownie 920g POWDER</t>
  </si>
  <si>
    <t>Organic Creamy Protein Vanilla Cookie 860g POWDER</t>
  </si>
  <si>
    <t>Organic Plant Protein Unflavored 236g POWDER</t>
  </si>
  <si>
    <t>Organic Plant Protein Vanilla 265g POWDER</t>
  </si>
  <si>
    <t>Organic Plant Protein Vanilla 5ct TRAY</t>
  </si>
  <si>
    <t>NA</t>
  </si>
  <si>
    <t>Organic Plant Protein Vanilla SINGLE PKT</t>
  </si>
  <si>
    <t>Organic Plant Protein Chocolate 276g POWDER</t>
  </si>
  <si>
    <t>Organic Plant Protein Coffee 244g POWDER</t>
  </si>
  <si>
    <t>Organic Plant Protein Energy 239g POWDER</t>
  </si>
  <si>
    <t>Organic Raw Protein and Greens Lightly Sweet 650g POWDER</t>
  </si>
  <si>
    <t>Organic Raw Protein and Greens Lightly Sweet 10ct TRAY</t>
  </si>
  <si>
    <t>Organic Raw Protein and Greens Lightly Sweet SINGLE PKT</t>
  </si>
  <si>
    <t>Organic Raw Protein and Greens Vanilla 550g POWDER</t>
  </si>
  <si>
    <t>Organic Raw Protein and Greens Vanilla 10ct TRAY</t>
  </si>
  <si>
    <t>Organic Raw Protein and Greens Vanilla SINGLE PKT</t>
  </si>
  <si>
    <t>Organic Raw Protein and Greens Chocolate 610g POWDER</t>
  </si>
  <si>
    <t>Organic Raw Protein and Greens Chocolate 10ct TRAY</t>
  </si>
  <si>
    <t>Organic Raw Protein and Greens Chocolate SINGLE PKT</t>
  </si>
  <si>
    <t>Raw Organic Meal Lightly Sweet 1064g POWDER</t>
  </si>
  <si>
    <t>Raw Organic Meal Lightly Sweet 532g POWDER</t>
  </si>
  <si>
    <t>Raw Organic Meal Chocolate 1078g POWDER</t>
  </si>
  <si>
    <t>Raw Organic Meal Chocolate 539g POWDER</t>
  </si>
  <si>
    <t>Raw Organic Meal Chocolate 10ct TRAY</t>
  </si>
  <si>
    <t>Raw Organic Meal Chocolate SINGLE PKT</t>
  </si>
  <si>
    <t>Raw Organic Meal Vanilla 969g POWDER</t>
  </si>
  <si>
    <t>Raw Organic Meal Vanilla 525g POWDER</t>
  </si>
  <si>
    <t>Raw Organic Meal Vanilla 10ct TRAY</t>
  </si>
  <si>
    <t>Raw Organic Meal Vanilla SINGLE PKT</t>
  </si>
  <si>
    <t>Raw Organic Meal Vanilla Spiced Chai 1064g POWDER</t>
  </si>
  <si>
    <t>Raw Organic Meal Vanilla Spiced Chai 454g POWDER</t>
  </si>
  <si>
    <t>Raw Organic Protein Unflavored 560g POWDER</t>
  </si>
  <si>
    <t>Raw Organic Protein Unflavored 10ct TRAY</t>
  </si>
  <si>
    <t>Raw Organic Protein Unflavored SINGLE PKT</t>
  </si>
  <si>
    <t>Raw Organic Protein Chocolate 700g POWDER</t>
  </si>
  <si>
    <t>Raw Organic Protein Chocolate 10ct TRAY</t>
  </si>
  <si>
    <t>Raw Organic Protein Chocolate SINGLE PKT</t>
  </si>
  <si>
    <t>Raw Organic Protein Vanilla 660g POWDER</t>
  </si>
  <si>
    <t>Raw Organic Protein Vanilla 10ct TRAY</t>
  </si>
  <si>
    <t>Raw Organic Protein Vanilla SINGLE PKT</t>
  </si>
  <si>
    <t>Raw Organic Protein Vanilla Chai 680g POWDER</t>
  </si>
  <si>
    <t>Raw Organic Fit Original 890g POWDER</t>
  </si>
  <si>
    <t>Raw Organic Fit Original 445g POWDER</t>
  </si>
  <si>
    <t>Raw Organic Fit Coffee 465g POWDER</t>
  </si>
  <si>
    <t>Raw Organic Fit Vanilla 930g POWDER</t>
  </si>
  <si>
    <t>Raw Organic Fit Vanilla 465g POWDER</t>
  </si>
  <si>
    <t>Raw Organic Fit Vanilla 10ct TRAY</t>
  </si>
  <si>
    <t>Raw Organic Fit Vanilla SINGLE PKT</t>
  </si>
  <si>
    <t>Raw Organic Fit Chocolate 910g POWDER</t>
  </si>
  <si>
    <t>Raw Organic Fit Chocolate 448g POWDER</t>
  </si>
  <si>
    <t>Raw Organic Fit Chocolate 10ct TRAY</t>
  </si>
  <si>
    <t>Raw Organic Fit Chocolate SINGLE PKT</t>
  </si>
  <si>
    <t>Organic Grass Fed Whey Vanilla 378g POWDER</t>
  </si>
  <si>
    <t>Organic Grass Fed Whey Chocolate 396g POWDER</t>
  </si>
  <si>
    <t>Organic Grass Fed Whey Peanut Butter Chocolate 390g POWDER</t>
  </si>
  <si>
    <t>Organic Grass Fed Whey Lightly Sweet 480g POWDER</t>
  </si>
  <si>
    <t>Sport Organic Plant-Based Energy plus Focus Blackberry 432g POWDER</t>
  </si>
  <si>
    <t>Sport Organic Plant-Based Energy plus Focus Blackberry 12ct TRAY</t>
  </si>
  <si>
    <t>Sport Organic Plant-Based Energy plus Focus Blackberry SINGLE PKT</t>
  </si>
  <si>
    <t>Sport Organic Energy plus Focus Sugar Free Blackberry Cherry 231g POWDER</t>
  </si>
  <si>
    <t>Sport Organic Plant-Based Recovery Blackberry Lemonade 446g POWDER</t>
  </si>
  <si>
    <t>Sport Organic Plant-Based Protein Chocolate 840g POWDER</t>
  </si>
  <si>
    <t>Sport Organic Plant-Based Protein Chocolate 12ct TRAY</t>
  </si>
  <si>
    <t>Sport Organic Plant-Based Protein Chocolate SINGLE PKT</t>
  </si>
  <si>
    <t>Sport Organic Plant-Based Protein Vanilla 806g POWDER</t>
  </si>
  <si>
    <t>Sport Organic Plant-Based Protein Vanilla 12ct TRAY</t>
  </si>
  <si>
    <t>Sport Organic Plant-Based Protein Vanilla SINGLE PKT</t>
  </si>
  <si>
    <t>Sport Grass Fed Whey Vanilla 640g POWDER</t>
  </si>
  <si>
    <t>Sport Grass Fed Whey Chocolate 660g POWDER</t>
  </si>
  <si>
    <t>Organic Fit Weight Loss Bar Peanut Butter Chocolate 12ct TRAY</t>
  </si>
  <si>
    <t>Organic Fit Weight Loss Bar Peanut Butter Chocolate SINGLE BAR</t>
  </si>
  <si>
    <t>Sport Organic Plant-Based Protein Bar Peanut Butter Chocolate 12ct TRAY</t>
  </si>
  <si>
    <t>Sport Organic Plant-Based Protein Bar Peanut Butter Chocolate SINGLE BAR</t>
  </si>
  <si>
    <t>Dr. Formulated Keto Organic MCT Powder 300g POWDER</t>
  </si>
  <si>
    <t>Dr. Formulated Keto Organic Grass Fed Butter Powder 300g POWDER</t>
  </si>
  <si>
    <t>Dr. Formulated Keto Meal Vanilla 672g POWDER</t>
  </si>
  <si>
    <t>Dr. Formulated Keto Meal Chocolate 700g POWDER</t>
  </si>
  <si>
    <t>Dr. Formulated Keto Fit Vanilla 365g POWDER</t>
  </si>
  <si>
    <t>Dr. Formulated Keto Fit Chocolate 365g POWDER</t>
  </si>
  <si>
    <t>Grass Fed Collagen Beauty Cranberry Pomegranate 270g POWDER</t>
  </si>
  <si>
    <t>Grass Fed Collagen Beauty Strawberry Lemonade 270g POWDER</t>
  </si>
  <si>
    <t>Grass Fed Collagen Peptides 280g POWDER</t>
  </si>
  <si>
    <t>Grass Fed Collagen Peptides 560g POWDER</t>
  </si>
  <si>
    <t>Grass Fed Collagen Peptides 10ct TRAY</t>
  </si>
  <si>
    <t>Grass Fed Collagen Peptides Packet</t>
  </si>
  <si>
    <t>Collagen Turmeric Apple Cinnamon 220g POWDER</t>
  </si>
  <si>
    <t>Grass Fed Collagen Coconut MCT Vanilla 408g POWDER</t>
  </si>
  <si>
    <t>Grass Fed Collagen Coconut MCT Chocolate 420g POWDER</t>
  </si>
  <si>
    <t>Grass Fed Collagen Creamer Vanilla 330g POWDER</t>
  </si>
  <si>
    <t>Grass Fed Collagen Creamer Chocolate 342g POWDER</t>
  </si>
  <si>
    <t>Grass Fed Collagen Greens Beauty Apple 266g POWDER</t>
  </si>
  <si>
    <t>Grass Fed Collagen Super Beauty Blueberry Acai 270g POWDER</t>
  </si>
  <si>
    <t>Grass Fed Collagen Protein Vanilla 560g POWDER</t>
  </si>
  <si>
    <t>Grass Fed Collagen Protein Chocolate 588g POWDER</t>
  </si>
  <si>
    <t>Collagen Hyaluronic Acid Unflavored 270g POWDER</t>
  </si>
  <si>
    <t>Collagen Multi-Sourced Unflavored 270g POWDER</t>
  </si>
  <si>
    <t>mykind Organics Apple Cider Vinegar 60ct GUMMY</t>
  </si>
  <si>
    <t>mykind Organics Apple Cider Vinegar Diet 63ct GUMMY</t>
  </si>
  <si>
    <t>mykind Organics Apple Cider Vinegar Probiotic 60ct GUMMY</t>
  </si>
  <si>
    <t>mykind Organics Apple Cider Vinegar Energy 63ct GUMMY</t>
  </si>
  <si>
    <t>mykind Organics Adrenal 120ct TABLETS</t>
  </si>
  <si>
    <t>mykind Organics Ashwagandha 60ct TABLETS</t>
  </si>
  <si>
    <t>mykind Organics Golden Milk 105g POWDER</t>
  </si>
  <si>
    <t>mykind Organics Elderberry 120ct GUMMY</t>
  </si>
  <si>
    <t>mykind Organics Elderberry Syrup 6.59oz LIQUID</t>
  </si>
  <si>
    <t>mykind Organics Elderberry and Sleep Syrup 6.59oz LIQUID</t>
  </si>
  <si>
    <t>mykind Organics Kids Elderberry and Sleep Syrup 3.92oz LIQUID</t>
  </si>
  <si>
    <t>myKind Organics Cough and Mucus Syrup 5oz LIQUID</t>
  </si>
  <si>
    <t>myKind Organics Kids Cough and Mucus Syrup 3.92oz LIQUID</t>
  </si>
  <si>
    <t>mykind Organics Liver Bitters 2oz LIQUID SPRAY</t>
  </si>
  <si>
    <t>mykind Organics Oil of Oregano 1oz LIQUID</t>
  </si>
  <si>
    <t>mykind Organics Sleep Well 2oz LIQUID SPRAY</t>
  </si>
  <si>
    <t>mykind Organics Maca Root 225g POWDER</t>
  </si>
  <si>
    <t>mykind Organics Sleep Well 30ct TABLETS</t>
  </si>
  <si>
    <t>mykind Organics Turmeric Extra Strength 60ct TABLETS</t>
  </si>
  <si>
    <t>mykind Organics Turmeric Extra Strength 120ct TABLETS</t>
  </si>
  <si>
    <t>mykind Organics Turmeric 120ct GUMMY</t>
  </si>
  <si>
    <t>mykind Organics Turmeric Max Strength 30ct TABLETS</t>
  </si>
  <si>
    <t>mykind Organics Turmeric Boost 135g POWDER</t>
  </si>
  <si>
    <t>mykind Organics Turmeric Pain Relief 30ct TABLETS</t>
  </si>
  <si>
    <t>Organic Dr. Formulated Stronger Bones 150ct TABLETS</t>
  </si>
  <si>
    <t>Dr. Formulated Quercetin Recovery 30ct TABLETS</t>
  </si>
  <si>
    <t>Dr. Formulated Quercetin Drop Uric Acid 60ct TABLETS</t>
  </si>
  <si>
    <t>Dr. Formulated Quercetin Immune 30ct TABLETS</t>
  </si>
  <si>
    <t>Dr. Formulated Vitamin D3 5000 IU and Zinc 30ct TABLETS</t>
  </si>
  <si>
    <t>mykind Organics Womens Multi 60ct TABLETS</t>
  </si>
  <si>
    <t>mykind Organics Womens Multi 120ct TABLETS</t>
  </si>
  <si>
    <t>mykind Organics Womens 40 Multi 60ct TABLETS</t>
  </si>
  <si>
    <t>mykind Organics Womens 40 Multi 120ct TABLETS</t>
  </si>
  <si>
    <t>mykind Organics Mens Multi 60ct TABLETS</t>
  </si>
  <si>
    <t>mykind Organics Mens Multi 120ct TABLETS</t>
  </si>
  <si>
    <t>mykind Organics Mens 40 Multi 60ct TABLETS</t>
  </si>
  <si>
    <t>mykind Organics Mens 40 Multi 120ct TABLETS</t>
  </si>
  <si>
    <t>mykind Organics Womens Once Daily 30ct TABLETS</t>
  </si>
  <si>
    <t>mykind Organics Womens Once Daily 60ct TABLETS</t>
  </si>
  <si>
    <t>mykind Organics Mens Once Daily 30ct TABLETS</t>
  </si>
  <si>
    <t>mykind Organics Mens Once Daily 60ct TABLETS</t>
  </si>
  <si>
    <t>mykind Organics Prenatal Multi 90ct TABLETS</t>
  </si>
  <si>
    <t>mykind Organics Prenatal Multi 180ct TABLETS</t>
  </si>
  <si>
    <t>mykind Organics Plant Calcium 90ct TABLETS</t>
  </si>
  <si>
    <t>mykind Organics Plant Calcium 180ct TABLETS</t>
  </si>
  <si>
    <t>mykind Organics B12 Raspberry 2oz LIQUID SPRAY</t>
  </si>
  <si>
    <t>mykind Organics Vegan D3 Vanilla 2oz LIQUID SPRAY</t>
  </si>
  <si>
    <t>mykind Organics B-Complex 30ct TABLETS</t>
  </si>
  <si>
    <t>mykind Organics Prenatal Once Daily 30ct TABLETS</t>
  </si>
  <si>
    <t>mykind Organics Prenatal Once Daily 90ct TABLETS</t>
  </si>
  <si>
    <t>mykind Organics Plant Iron and Herbs Cranberry-Lime 8oz LIQUID</t>
  </si>
  <si>
    <t>mykind Organics Vitamin C Orange-Tangerine 2oz LIQUID SPRAY</t>
  </si>
  <si>
    <t>mykind Organics Vitamin C Cherry-Tangerine 2oz LIQUID SPRAY</t>
  </si>
  <si>
    <t>mykind Organics Vegan D3 Raspberry-Lemon 30ct CHEWABLES</t>
  </si>
  <si>
    <t>mykind Organics Plant Collagen Builder 60ct TABLETS</t>
  </si>
  <si>
    <t>mykind Organics Kids Multi Fruit 120ct GUMMY</t>
  </si>
  <si>
    <t>mykind Organics Kids Multi Cherry 120ct GUMMY</t>
  </si>
  <si>
    <t>mykind Organics Womens Multi 120ct GUMMY</t>
  </si>
  <si>
    <t>mykind Organics Womens 40 Multi Berry 120ct GUMMY</t>
  </si>
  <si>
    <t>mykind Organics Prenatal Multi Berry 120ct GUMMY</t>
  </si>
  <si>
    <t>mykind Organics Mens Multi Berry 120ct GUMMY</t>
  </si>
  <si>
    <t>mykind Organics Mens 40 Multi Berry 120ct GUMMY</t>
  </si>
  <si>
    <t>Vitamin Code D3 and K2 Raspberry Lemon 45ct GUMMY</t>
  </si>
  <si>
    <t>Vitamin Code Womens Multi Cherry 90ct GUMMY</t>
  </si>
  <si>
    <t>Vitamin Code Calcium and Magnesium Raspberry 60ct GUMMY</t>
  </si>
  <si>
    <t>Vitamin Code CoQ10 Strawberry 60ct GUMMY</t>
  </si>
  <si>
    <t>Vitamin Code Kids Multi Orange 90ct GUMMY</t>
  </si>
  <si>
    <t>Vitamin Code Mens Multi Lemon Berry 90ct GUMMY</t>
  </si>
  <si>
    <t>Vitamin Code Prenatal Multi Cherry Lemonade 90ct GUMMY</t>
  </si>
  <si>
    <t>Vitamin Code Women 120ct CAPSULES</t>
  </si>
  <si>
    <t>Vitamin Code Women 240ct CAPSULES</t>
  </si>
  <si>
    <t>Vitamin Code 50 and Wiser Women 120ct CAPSULES</t>
  </si>
  <si>
    <t>Vitamin Code 50 and Wiser Women 240ct CAPSULES</t>
  </si>
  <si>
    <t>Vitamin Code Men 120ct CAPSULES</t>
  </si>
  <si>
    <t>Vitamin Code Men 240ct CAPSULES</t>
  </si>
  <si>
    <t>Vitamin Code 50 and Wiser Men 120ct CAPSULES</t>
  </si>
  <si>
    <t>Vitamin Code 50 and Wiser Men 240ct CAPSULES</t>
  </si>
  <si>
    <t>Vitamin Code Family 120ct CAPSULES</t>
  </si>
  <si>
    <t>Vitamin Code Perfect Weight 120ct CAPSULES</t>
  </si>
  <si>
    <t>Vitamin Code Perfect Weight 240ct CAPSULES</t>
  </si>
  <si>
    <t>Vitamin Code Liquid Multi Formula Orange-Mango 30oz</t>
  </si>
  <si>
    <t>Vitamin Code Liquid Multi Formula Fruit Punch 30oz</t>
  </si>
  <si>
    <t>Vitamin Code Kids Cherry Berry 30ct CHEWABLES</t>
  </si>
  <si>
    <t>Vitamin Code Kids Cherry Berry 60ct CHEWABLES</t>
  </si>
  <si>
    <t>Vitamin Code Raw Prenatal 30ct CAPSULES</t>
  </si>
  <si>
    <t>Vitamin Code Raw Prenatal 90ct CAPSULES</t>
  </si>
  <si>
    <t>Vitamin Code Raw Prenatal 180ct CAPSULES</t>
  </si>
  <si>
    <t>Vitamin Code Raw One for Men 30ct CAPSULES</t>
  </si>
  <si>
    <t>Vitamin Code Raw One for Men 75ct CAPSULES</t>
  </si>
  <si>
    <t>Vitamin Code Raw One for Women 30ct CAPSULES</t>
  </si>
  <si>
    <t>Vitamin Code Raw One for Women 75ct CAPSULES</t>
  </si>
  <si>
    <t>Vitamin Code Grow Bone 30-Day KIT</t>
  </si>
  <si>
    <t>Vitamin Code Raw B-12 30ct CAPSULES</t>
  </si>
  <si>
    <t>Vitamin Code Raw B-Complex 60ct CAPSULES</t>
  </si>
  <si>
    <t>Vitamin Code Raw B-Complex 120ct CAPSULES</t>
  </si>
  <si>
    <t>Vitamin Code Raw Vitamin C 60ct CAPSULES</t>
  </si>
  <si>
    <t>Vitamin Code Raw Vitamin C 120ct CAPSULES</t>
  </si>
  <si>
    <t>Vitamin Code Raw Calcium 60ct CAPSULES</t>
  </si>
  <si>
    <t>Vitamin Code Raw Calcium 120ct CAPSULES</t>
  </si>
  <si>
    <t>Vitamin Code Raw D3 2000 IU 60ct CAPSULES</t>
  </si>
  <si>
    <t>Vitamin Code Raw D3 2000 IU 120ct CAPSULES</t>
  </si>
  <si>
    <t>Vitamin Code Raw D3 5000 IU 60ct CAPSULES</t>
  </si>
  <si>
    <t>Vitamin Code Raw Vitamin E 60ct CAPSULES</t>
  </si>
  <si>
    <t>Vitamin Code Healthy Blood 60ct CAPSULES</t>
  </si>
  <si>
    <t>Vitamin Code Raw Iron 30ct CAPSULES</t>
  </si>
  <si>
    <t>Vitamin Code Raw K-Complex 60ct CAPSULES</t>
  </si>
  <si>
    <t>Vitamin Code Raw Kombucha 60ct CAPSULES</t>
  </si>
  <si>
    <t>Vitamin Code Raw Zinc 60ct CAPSULES</t>
  </si>
  <si>
    <t>Raw CoQ10 60ct CAPSULES</t>
  </si>
  <si>
    <t>Raw Resveratrol 60ct CAPSULES</t>
  </si>
  <si>
    <t>FucoThin 90ct SOFTGELS</t>
  </si>
  <si>
    <t>FucoThin 180ct SOFTGELS</t>
  </si>
  <si>
    <t>Wobenzym N 100ct TABLETS</t>
  </si>
  <si>
    <t>Wobenzym N 200ct TABLETS</t>
  </si>
  <si>
    <t>Wobenzym N 400ct TABLETS</t>
  </si>
  <si>
    <t>Wobenzym N 800ct TABLETS</t>
  </si>
  <si>
    <t>Extraordinary Beauty Lovely Legs 30ct TABLETS</t>
  </si>
  <si>
    <t>Cod Liver Oil 8oz LIQUID</t>
  </si>
  <si>
    <t>FYI Restore 60ct CAPSULES</t>
  </si>
  <si>
    <t>FYI Ultra 120ct CAPSULES</t>
  </si>
  <si>
    <t>RM-10 60ct TABLETS</t>
  </si>
  <si>
    <t>RM-10 120ct TABLETS</t>
  </si>
  <si>
    <t>RM-10 Ultra 90ct CAPSULES</t>
  </si>
  <si>
    <t>Flora Cleanse 60ct CAPSULES</t>
  </si>
  <si>
    <t>Gluten Free Support 90ct CAPSULES</t>
  </si>
  <si>
    <t>Immune Balance Sinus 30ct CAPSULES</t>
  </si>
  <si>
    <t>Immune Balance Sinus 60ct CAPSULES</t>
  </si>
  <si>
    <t>Living Vitamin C 60ct TABLETS</t>
  </si>
  <si>
    <t>Living Calcium Advanced 120ct TABLETS</t>
  </si>
  <si>
    <t>TESTER Organic Essential Oil - Tea Tree 0.5oz LIQUID</t>
  </si>
  <si>
    <t>TESTER Organic Essential Oil - Rosemary 0.5oz LIQUID</t>
  </si>
  <si>
    <t>TESTER Organic Essential Oil - Peppermint 0.5oz LIQUID</t>
  </si>
  <si>
    <t>TESTER Organic Essential Oil - Orange 0.5oz LIQUID</t>
  </si>
  <si>
    <t>TESTER Organic Essential Oil - Lemongrass 0.5oz LIQUID</t>
  </si>
  <si>
    <t>TESTER Organic Essential Oil - Lemon 0.5oz LIQUID</t>
  </si>
  <si>
    <t>TESTER Organic Essential Oil - Lavender 0.5oz LIQUID</t>
  </si>
  <si>
    <t>TESTER Organic Essential Oil - Geranium 0.5oz LIQUID</t>
  </si>
  <si>
    <t>TESTER Organic Essential Oil - Frankincense 0.5oz LIQUID</t>
  </si>
  <si>
    <t>TESTER Organic Essential Oil - Eucalyptus Globulus 0.5oz LIQUID</t>
  </si>
  <si>
    <t>TESTER Essential Oil Breathe 0.5oz</t>
  </si>
  <si>
    <t>TESTER Organic Essential Oil Calm 0.5oz</t>
  </si>
  <si>
    <t>TESTER Organic Essential Oil Happy 0.5oz</t>
  </si>
  <si>
    <t>TESTER Organic Essential Oil Sleep 0.5oz</t>
  </si>
  <si>
    <t>Organic Essential Oil - Lavender 0.5oz LIQUID</t>
  </si>
  <si>
    <t>Organic Essential Oil - Lavender 1oz LIQUID</t>
  </si>
  <si>
    <t>Organic Essential Oil - Peppermint 0.5oz LIQUID</t>
  </si>
  <si>
    <t>Organic Essential Oil - Peppermint 1oz LIQUID</t>
  </si>
  <si>
    <t>Organic Essential Oil - Tea Tree 0.5oz LIQUID</t>
  </si>
  <si>
    <t>Organic Essential Oil - Frankincense 0.5oz LIQUID</t>
  </si>
  <si>
    <t>Organic Essential Oil - Eucalyptus Globulus 0.5oz LIQUID</t>
  </si>
  <si>
    <t>Organic Essential Oil - Lemon 0.5oz LIQUID</t>
  </si>
  <si>
    <t>Organic Essential Oil - Rosemary 0.5oz LIQUID</t>
  </si>
  <si>
    <t>Organic Essential Oil - Geranium 0.5oz LIQUID</t>
  </si>
  <si>
    <t>Organic Essential Oil - Lemongrass 0.5oz LIQUID</t>
  </si>
  <si>
    <t>Organic Essential Oil - Orange 0.5oz LIQUID</t>
  </si>
  <si>
    <t>Organic Essential Oil Starter Kit</t>
  </si>
  <si>
    <t>Organic Essential Oil Blend - Breathe 0.5oz LIQUID</t>
  </si>
  <si>
    <t>Organic Essential Oil Blend - Calm 0.5oz LIQUID</t>
  </si>
  <si>
    <t>Organic Essential Oil Blend - Happy 0.5oz LIQUID</t>
  </si>
  <si>
    <t>Organic Essential Oil Blend - Sleep 0.5oz LIQUID</t>
  </si>
  <si>
    <t>Organic Golden Jojoba Skin and Hair Oil 3.9oz LIQUID</t>
  </si>
  <si>
    <t>MN0037</t>
  </si>
  <si>
    <t>Minami Mood 60ct SOFTGELS</t>
  </si>
  <si>
    <t>FYI 90ct TABLETS</t>
  </si>
  <si>
    <t>Goatein 440g POWDER</t>
  </si>
  <si>
    <t>Wild Rose Herbal D-Tox 12-Day KIT</t>
  </si>
  <si>
    <t>FucoThin Green 90ct CAPSULES</t>
  </si>
  <si>
    <t>Raw Organics Flax and Fruit 340g</t>
  </si>
  <si>
    <t>Organic Grass Fed Whey Strawberry 390g POWDER</t>
  </si>
  <si>
    <t>mykind Organics Prostate 60ct TABLETS</t>
  </si>
  <si>
    <t>Dr. Formulated CBD 10mg Chocolate Mint 1oz LIQUID DROPS</t>
  </si>
  <si>
    <t>Dr. Formulated MD Protein Sustainable Plant Based Chocolate 882g POWDER</t>
  </si>
  <si>
    <t>Dr. Formulated MD Protein Sustainable Plant Based Vanilla 840g POWDER</t>
  </si>
  <si>
    <t>Dr. Formulated MD Protein Fit Sustainable Plant Based Chocolate 635g POWDER</t>
  </si>
  <si>
    <t>Dr. Formulated MD Protein Fit Sustainable Plant Based Vanilla 605g POWDER</t>
  </si>
  <si>
    <t>Dr. Formulated MD Protein Plant and Sustainable Salmon Chocolate 686g POWDER</t>
  </si>
  <si>
    <t>Dr. Formulated MD Protein Plant and Sustainable Salmon Vanilla 644g POWDER</t>
  </si>
  <si>
    <t>Raw Organic Perfect Food Green Superfood Original 15ct TRAY</t>
  </si>
  <si>
    <t>Raw Organic Perfect Food Green Superfood Original SINGLE PKT</t>
  </si>
  <si>
    <t>Organic Fit Weight Loss Bar Salted Caramel Chocolate 12ct TRAY</t>
  </si>
  <si>
    <t>Organic Fit Weight Loss Bar Salted Caramel Chocolate SINGLE BAR</t>
  </si>
  <si>
    <t>Organic Fit Weight Loss Bar Chocolate Coconut Almond 12ct TRAY</t>
  </si>
  <si>
    <t>Organic Fit Weight Loss Bar Chocolate Coconut Almond SINGLE BAR</t>
  </si>
  <si>
    <t>Organic Fit Weight Loss Bar Chocolate Almond Brownie 12ct TRAY</t>
  </si>
  <si>
    <t>Organic Fit Weight Loss Bar Chocolate Almond Brownie SINGLE BAR</t>
  </si>
  <si>
    <t>Organic Fit Weight Loss Bar Smores 12ct TRAY</t>
  </si>
  <si>
    <t>Organic Fit Weight Loss Bar Smores SINGLE BAR</t>
  </si>
  <si>
    <t>Organic Fit Weight Loss Bar Chocolate Fudge 12ct TRAY</t>
  </si>
  <si>
    <t>Organic Fit Weight Loss Bar Chocolate Fudge SINGLE BAR</t>
  </si>
  <si>
    <t>Organic Fit Weight Loss Bar Chocolate Covered Cherry 12ct TRAY</t>
  </si>
  <si>
    <t>Organic Fit Weight Loss Bar Chocolate Covered Cherry SINGLE BAR</t>
  </si>
  <si>
    <t>Sport Organic Plant-Based Protein Bar Chocolate Fudge 12ct TRAY</t>
  </si>
  <si>
    <t>Sport Organic Plant-Based Protein Bar Chocolate Fudge SINGLE BAR</t>
  </si>
  <si>
    <t>Sport Organic Plant-Based Protein Bar Sea Salt Caramel 12ct TRAY</t>
  </si>
  <si>
    <t>Sport Organic Plant-Based Protein Bar Sea Salt Caramel SINGLE BAR</t>
  </si>
  <si>
    <t>Sport Organic Plant-Based Protein Bar Chocolate Mint 12ct TRAY</t>
  </si>
  <si>
    <t>Sport Organic Plant-Based Protein Bar Chocolate Mint SINGLE BAR</t>
  </si>
  <si>
    <t>Sport Organic Energy plus Focus Sugar Free Blackberry Cherry 12ct TRAY</t>
  </si>
  <si>
    <t>Sport Organic Energy plus Focus Sugar Free Blackberry Cherry SINGLE PKT</t>
  </si>
  <si>
    <t>No Stock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</si>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</sst>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164" formatCode="\$0.00"/>
    <numFmt numFmtId="165" formatCode="_-[$$-C09]* #,##0.00_-;\-[$$-C09]* #,##0.00_-;_-[$$-C09]* &quot;-&quot;??_-;_-@_-"/>
    <numFmt numFmtId="166" formatCode="_-[$$-409]* #,##0.00_ ;_-[$$-409]* \-#,##0.00\ ;_-[$$-409]* &quot;-&quot;??_ ;_-@_ "/>
    <numFmt numFmtId="167" formatCode="[$$-409]#,##0.00"/>
  </numFmts>
  <fonts count="26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Calibri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6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.5"/>
      <color rgb="FF000000"/>
      <name val="Calibri"/>
      <family val="2"/>
      <charset val="204"/>
      <scheme val="minor"/>
    </font>
    <font>
      <sz val="8"/>
      <color rgb="FF000000"/>
      <name val="Arial MT"/>
      <family val="2"/>
      <charset val="204"/>
    </font>
    <font>
      <sz val="8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theme="0"/>
      <name val="Arial"/>
      <family val="2"/>
      <charset val="204"/>
    </font>
    <font>
      <b/>
      <sz val="8"/>
      <color rgb="FF000000"/>
      <name val="Arial MT"/>
      <family val="2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10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538235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4" fillId="0" borderId="0"/>
  </cellStyleXfs>
  <cellXfs count="42">
    <xf numFmtId="0" fontId="0" fillId="0" borderId="0" xfId="0" applyAlignment="1">
      <alignment horizontal="left" vertical="top"/>
    </xf>
    <xf numFmtId="0" fontId="2" fillId="0" borderId="4" xfId="0" applyFont="1" applyBorder="1" applyProtection="1">
      <protection hidden="1"/>
    </xf>
    <xf numFmtId="0" fontId="2" fillId="0" borderId="5" xfId="0" quotePrefix="1" applyFont="1" applyBorder="1" applyAlignment="1" applyProtection="1">
      <alignment horizontal="center"/>
      <protection hidden="1"/>
    </xf>
    <xf numFmtId="0" fontId="2" fillId="0" borderId="6" xfId="0" quotePrefix="1" applyFont="1" applyBorder="1" applyAlignment="1" applyProtection="1">
      <alignment horizontal="center"/>
      <protection hidden="1"/>
    </xf>
    <xf numFmtId="0" fontId="2" fillId="0" borderId="7" xfId="0" quotePrefix="1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 vertical="top"/>
      <protection hidden="1"/>
    </xf>
    <xf numFmtId="0" fontId="3" fillId="2" borderId="1" xfId="0" applyFont="1" applyFill="1" applyBorder="1" applyAlignment="1" applyProtection="1">
      <alignment horizontal="left" vertical="center" wrapText="1" inden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165" fontId="6" fillId="2" borderId="1" xfId="1" applyNumberFormat="1" applyFont="1" applyFill="1" applyBorder="1" applyAlignment="1" applyProtection="1">
      <alignment horizontal="center" vertical="center" wrapText="1"/>
      <protection hidden="1"/>
    </xf>
    <xf numFmtId="14" fontId="10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164" fontId="11" fillId="0" borderId="1" xfId="0" applyNumberFormat="1" applyFont="1" applyBorder="1" applyAlignment="1" applyProtection="1">
      <alignment horizontal="right" vertical="top" indent="2" shrinkToFit="1"/>
      <protection hidden="1"/>
    </xf>
    <xf numFmtId="0" fontId="12" fillId="0" borderId="0" xfId="0" applyFont="1" applyAlignment="1" applyProtection="1">
      <alignment horizontal="left" vertical="top"/>
      <protection hidden="1"/>
    </xf>
    <xf numFmtId="164" fontId="11" fillId="0" borderId="1" xfId="0" applyNumberFormat="1" applyFont="1" applyBorder="1" applyAlignment="1" applyProtection="1">
      <alignment horizontal="center" vertical="top" shrinkToFit="1"/>
      <protection hidden="1"/>
    </xf>
    <xf numFmtId="0" fontId="0" fillId="0" borderId="0" xfId="0" applyAlignment="1" applyProtection="1">
      <alignment horizontal="center" vertical="top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1" fontId="17" fillId="0" borderId="1" xfId="0" applyNumberFormat="1" applyFont="1" applyBorder="1" applyAlignment="1" applyProtection="1">
      <alignment horizontal="center" vertical="top" shrinkToFit="1"/>
      <protection hidden="1"/>
    </xf>
    <xf numFmtId="1" fontId="19" fillId="0" borderId="1" xfId="0" applyNumberFormat="1" applyFont="1" applyBorder="1" applyAlignment="1">
      <alignment horizontal="left" vertical="top" shrinkToFit="1"/>
    </xf>
    <xf numFmtId="0" fontId="20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 applyProtection="1">
      <alignment horizontal="center" vertical="top" shrinkToFit="1"/>
      <protection locked="0"/>
    </xf>
    <xf numFmtId="1" fontId="18" fillId="0" borderId="0" xfId="0" applyNumberFormat="1" applyFont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left" vertical="center" wrapText="1"/>
      <protection hidden="1"/>
    </xf>
    <xf numFmtId="0" fontId="7" fillId="0" borderId="3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2" fontId="19" fillId="0" borderId="1" xfId="0" applyNumberFormat="1" applyFont="1" applyBorder="1" applyAlignment="1">
      <alignment horizontal="center" vertical="top" shrinkToFit="1"/>
    </xf>
    <xf numFmtId="0" fontId="0" fillId="0" borderId="0" xfId="0"/>
    <xf numFmtId="167" fontId="21" fillId="3" borderId="9" xfId="0" applyNumberFormat="1" applyFont="1" applyFill="1" applyBorder="1" applyAlignment="1">
      <alignment horizontal="center" vertical="center"/>
    </xf>
    <xf numFmtId="166" fontId="22" fillId="0" borderId="0" xfId="0" applyNumberFormat="1" applyFont="1" applyAlignment="1" applyProtection="1">
      <alignment vertical="center" wrapText="1" readingOrder="1"/>
      <protection hidden="1"/>
    </xf>
    <xf numFmtId="4" fontId="2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14" fontId="23" fillId="3" borderId="9" xfId="0" applyNumberFormat="1" applyFont="1" applyFill="1" applyBorder="1" applyAlignment="1">
      <alignment horizontal="center" vertical="center" wrapText="1"/>
    </xf>
    <xf numFmtId="14" fontId="23" fillId="3" borderId="4" xfId="0" applyNumberFormat="1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166" fontId="24" fillId="3" borderId="9" xfId="0" applyNumberFormat="1" applyFont="1" applyFill="1" applyBorder="1" applyAlignment="1" applyProtection="1">
      <alignment horizontal="center" vertical="center" wrapText="1" readingOrder="1"/>
      <protection hidden="1"/>
    </xf>
    <xf numFmtId="0" fontId="25" fillId="4" borderId="9" xfId="0" applyFont="1" applyFill="1" applyBorder="1" applyAlignment="1" applyProtection="1">
      <alignment horizontal="center" vertical="center" wrapText="1" readingOrder="1"/>
      <protection locked="0"/>
    </xf>
    <xf numFmtId="14" fontId="23" fillId="3" borderId="10" xfId="0" applyNumberFormat="1" applyFont="1" applyFill="1" applyBorder="1" applyAlignment="1">
      <alignment horizontal="center" vertical="center" wrapText="1"/>
    </xf>
    <xf numFmtId="4" fontId="23" fillId="4" borderId="10" xfId="0" applyNumberFormat="1" applyFont="1" applyFill="1" applyBorder="1" applyAlignment="1">
      <alignment horizontal="center" vertical="center"/>
    </xf>
    <xf numFmtId="166" fontId="24" fillId="4" borderId="9" xfId="0" applyNumberFormat="1" applyFont="1" applyFill="1" applyBorder="1" applyAlignment="1" applyProtection="1">
      <alignment horizontal="center" vertical="center" wrapText="1" readingOrder="1"/>
      <protection hidden="1"/>
    </xf>
    <xf numFmtId="0" fontId="23" fillId="5" borderId="9" xfId="0" applyFont="1" applyFill="1" applyBorder="1" applyAlignment="1">
      <alignment horizontal="center" vertical="center" wrapText="1"/>
    </xf>
  </cellXfs>
  <cellStyles count="20">
    <cellStyle name="Normal 3" xfId="6" xr:uid="{380EC8DA-90B4-4E2B-9555-79084D81ECDA}"/>
    <cellStyle name="Normal 3 22" xfId="3" xr:uid="{5919208F-1316-46F1-9178-E6A166B88326}"/>
    <cellStyle name="Normal 3 31" xfId="11" xr:uid="{AF5670A9-314A-48EA-BAA9-FF606382A79D}"/>
    <cellStyle name="Normal 3_Wholesale Order Form" xfId="15" xr:uid="{9EC3608D-C414-4C37-B9F9-B864C8D596E2}"/>
    <cellStyle name="Normal 4" xfId="7" xr:uid="{2D6EA055-A00F-4E87-9DA8-B9483E2318C3}"/>
    <cellStyle name="Normal 4 22" xfId="5" xr:uid="{AE1C6A6A-7E70-4D0A-877A-E8CD3475AA02}"/>
    <cellStyle name="Normal 43 7" xfId="8" xr:uid="{8CA27876-572E-481E-94FB-4A673DC5025E}"/>
    <cellStyle name="Normal 5" xfId="10" xr:uid="{88C41F2D-8014-461B-9D71-00322F0ACD78}"/>
    <cellStyle name="Normal 5 15" xfId="18" xr:uid="{47D8E880-B4F6-48FA-AE9B-F6B15F2FCE9A}"/>
    <cellStyle name="Normal 5 18" xfId="2" xr:uid="{14E2E79E-4571-4B55-BB6B-64562364AFE1}"/>
    <cellStyle name="Normal 5_Wholesale Order Form" xfId="14" xr:uid="{FC40CCA6-9645-4B6F-B623-076CF0661AD9}"/>
    <cellStyle name="Normal 6" xfId="12" xr:uid="{CDE8CB09-8E30-4F25-8D61-552F6BAB54F6}"/>
    <cellStyle name="Normal 61" xfId="9" xr:uid="{7AFDFC70-3850-4F1A-8B53-EBCA19723415}"/>
    <cellStyle name="Normal 7 16" xfId="13" xr:uid="{D3D11856-771F-4D41-82B8-7BE7F69B98DB}"/>
    <cellStyle name="Normal 7 19" xfId="17" xr:uid="{D2F06512-75E6-48A2-B745-2DF8EF4693CC}"/>
    <cellStyle name="Normal 7 22 10 2 2" xfId="4" xr:uid="{E14EE8D8-F197-45FC-8B5F-67D9C3F3291E}"/>
    <cellStyle name="Normal 7_Wholesale Order Form" xfId="16" xr:uid="{DFBB7171-69E2-4E80-B331-8931FE88F0D2}"/>
    <cellStyle name="Normal 85 2" xfId="19" xr:uid="{B4B59CDF-B7D8-45D0-B620-9F6F4B07910E}"/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1206509</xdr:colOff>
      <xdr:row>459</xdr:row>
      <xdr:rowOff>12778</xdr:rowOff>
    </xdr:from>
    <xdr:to>
      <xdr:col>1</xdr:col>
      <xdr:colOff>3081132</xdr:colOff>
      <xdr:row>459</xdr:row>
      <xdr:rowOff>329671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F801869D-2619-4419-91C7-1F844BB8DD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344" y="64438221"/>
          <a:ext cx="1874623" cy="316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293206</xdr:colOff>
      <xdr:row>0</xdr:row>
      <xdr:rowOff>0</xdr:rowOff>
    </xdr:from>
    <xdr:to>
      <xdr:col>8</xdr:col>
      <xdr:colOff>748552</xdr:colOff>
      <xdr:row>0</xdr:row>
      <xdr:rowOff>944002</xdr:rowOff>
    </xdr:to>
    <xdr:pic>
      <xdr:nvPicPr>
        <xdr:cNvPr id="3" name="Рисунок 2" descr="Garden of Life Logo Illustrated by Steven Noble on Behance">
          <a:extLst>
            <a:ext uri="{FF2B5EF4-FFF2-40B4-BE49-F238E27FC236}">
              <a16:creationId xmlns:a16="http://schemas.microsoft.com/office/drawing/2014/main" id="{CA1DEA10-E248-BFA8-72A0-F3328253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286" y="0"/>
          <a:ext cx="1124113" cy="94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28"/>
  <sheetViews>
    <sheetView tabSelected="1" zoomScale="90" zoomScaleNormal="90" workbookViewId="0">
      <pane ySplit="2" topLeftCell="A3" activePane="bottomLeft" state="frozen"/>
      <selection pane="bottomLeft" activeCell="B45" sqref="A45:B60"/>
    </sheetView>
  </sheetViews>
  <sheetFormatPr defaultRowHeight="13.2"/>
  <cols>
    <col min="1" max="1" width="7.5546875" style="5" customWidth="1"/>
    <col min="2" max="2" width="61.109375" style="5" customWidth="1"/>
    <col min="3" max="3" width="12.88671875" style="5" customWidth="1"/>
    <col min="4" max="5" width="12.88671875" style="5" hidden="1" customWidth="1"/>
    <col min="6" max="6" width="10.44140625" style="5" customWidth="1"/>
    <col min="7" max="7" width="12.88671875" style="5" hidden="1" customWidth="1"/>
    <col min="8" max="8" width="9.77734375" style="5" bestFit="1" customWidth="1"/>
    <col min="9" max="9" width="11.5546875" style="22" customWidth="1"/>
    <col min="10" max="10" width="12.88671875" style="15" customWidth="1"/>
    <col min="11" max="11" width="14.33203125" style="5" customWidth="1"/>
    <col min="12" max="12" width="8.88671875" style="5"/>
    <col min="13" max="18" width="8.44140625" style="27" customWidth="1"/>
    <col min="19" max="16384" width="8.88671875" style="5"/>
  </cols>
  <sheetData>
    <row r="1" spans="1:18" s="11" customFormat="1" ht="75" customHeight="1" thickBot="1">
      <c r="A1" s="23" t="s">
        <v>9</v>
      </c>
      <c r="B1" s="24"/>
      <c r="C1" s="24"/>
      <c r="D1" s="24"/>
      <c r="E1" s="24"/>
      <c r="F1" s="24"/>
      <c r="G1" s="24"/>
      <c r="H1" s="24"/>
      <c r="I1" s="24"/>
      <c r="J1" s="25"/>
      <c r="K1" s="10">
        <v>45671</v>
      </c>
      <c r="M1" s="33" t="s">
        <v>480</v>
      </c>
      <c r="N1" s="34" t="s">
        <v>481</v>
      </c>
      <c r="O1" s="35" t="s">
        <v>479</v>
      </c>
      <c r="P1" s="36" t="s">
        <v>482</v>
      </c>
      <c r="Q1" s="27"/>
      <c r="R1" s="28" t="str">
        <f>IFERROR(IF(SUM(R3:R277)=0, "-", K2+P2), "-")</f>
        <v>-</v>
      </c>
    </row>
    <row r="2" spans="1:18" ht="26.7" customHeight="1" thickBot="1">
      <c r="A2" s="6" t="s">
        <v>6</v>
      </c>
      <c r="B2" s="7" t="s">
        <v>7</v>
      </c>
      <c r="C2" s="7" t="s">
        <v>8</v>
      </c>
      <c r="D2" s="7"/>
      <c r="E2" s="7"/>
      <c r="F2" s="8" t="s">
        <v>479</v>
      </c>
      <c r="G2" s="7"/>
      <c r="H2" s="8" t="s">
        <v>0</v>
      </c>
      <c r="I2" s="16" t="s">
        <v>1</v>
      </c>
      <c r="J2" s="8" t="s">
        <v>2</v>
      </c>
      <c r="K2" s="9">
        <f>SUM(J4:J404)</f>
        <v>0</v>
      </c>
      <c r="M2" s="37"/>
      <c r="N2" s="38"/>
      <c r="O2" s="39" t="str">
        <f>IF(SUM(O3:O277)=0, "-", SUM(O3:O277))</f>
        <v>-</v>
      </c>
      <c r="P2" s="40" t="str">
        <f>IF(SUM(P3:P277)=0, "-", SUM(P3:P277))</f>
        <v>-</v>
      </c>
      <c r="Q2" s="29"/>
      <c r="R2" s="41" t="s">
        <v>483</v>
      </c>
    </row>
    <row r="3" spans="1:18" s="13" customFormat="1" ht="11.25" hidden="1" customHeight="1">
      <c r="A3" s="18">
        <v>100764</v>
      </c>
      <c r="B3" s="19" t="s">
        <v>12</v>
      </c>
      <c r="C3" s="20">
        <v>658010111393</v>
      </c>
      <c r="D3" s="20"/>
      <c r="E3" s="20"/>
      <c r="F3" s="26">
        <v>0.14000000000000001</v>
      </c>
      <c r="G3" s="20"/>
      <c r="H3" s="12">
        <v>37.031399999999998</v>
      </c>
      <c r="I3" s="21"/>
      <c r="J3" s="14">
        <f t="shared" ref="J3:J66" si="0">I3*H3</f>
        <v>0</v>
      </c>
      <c r="M3" s="30" t="str">
        <f>IFERROR(IF($M$2*F3=0, "-", $M$2*F3), "-")</f>
        <v>-</v>
      </c>
      <c r="N3" s="30" t="str">
        <f>IF(I3&gt;0,H3+F3*I3/$O$2*$P$2/I3,"-")</f>
        <v>-</v>
      </c>
      <c r="O3" s="31" t="str">
        <f>IF(I3&gt;0,I3*F3*1.113, "-")</f>
        <v>-</v>
      </c>
      <c r="P3" s="32" t="str">
        <f>IFERROR(IF($M$2&gt;0, $M$2*O3, "-"), "-")</f>
        <v>-</v>
      </c>
      <c r="Q3" s="27"/>
      <c r="R3" s="32" t="str">
        <f>IFERROR(IF(P3+J3=0, "-", IF(P3&gt;0, P3+J3, "-")), "-")</f>
        <v>-</v>
      </c>
    </row>
    <row r="4" spans="1:18" s="13" customFormat="1" ht="11.25" hidden="1" customHeight="1">
      <c r="A4" s="18">
        <v>101078</v>
      </c>
      <c r="B4" s="19" t="s">
        <v>13</v>
      </c>
      <c r="C4" s="20">
        <v>658010112369</v>
      </c>
      <c r="D4" s="20"/>
      <c r="E4" s="20"/>
      <c r="F4" s="26">
        <v>0.25</v>
      </c>
      <c r="G4" s="20"/>
      <c r="H4" s="12">
        <v>43.079399999999993</v>
      </c>
      <c r="I4" s="21"/>
      <c r="J4" s="14">
        <f t="shared" si="0"/>
        <v>0</v>
      </c>
      <c r="M4" s="30" t="str">
        <f t="shared" ref="M4:M67" si="1">IFERROR(IF($M$2*F4=0, "-", $M$2*F4), "-")</f>
        <v>-</v>
      </c>
      <c r="N4" s="30" t="str">
        <f t="shared" ref="N4:N67" si="2">IF(I4&gt;0,H4+F4*I4/$O$2*$P$2/I4,"-")</f>
        <v>-</v>
      </c>
      <c r="O4" s="31" t="str">
        <f t="shared" ref="O4:O67" si="3">IF(I4&gt;0,I4*F4*1.113, "-")</f>
        <v>-</v>
      </c>
      <c r="P4" s="32" t="str">
        <f t="shared" ref="P4:P67" si="4">IFERROR(IF($M$2&gt;0, $M$2*O4, "-"), "-")</f>
        <v>-</v>
      </c>
      <c r="Q4" s="27"/>
      <c r="R4" s="32" t="str">
        <f t="shared" ref="R4:R67" si="5">IFERROR(IF(P4+J4=0, "-", IF(P4&gt;0, P4+J4, "-")), "-")</f>
        <v>-</v>
      </c>
    </row>
    <row r="5" spans="1:18" s="13" customFormat="1" ht="11.25" hidden="1" customHeight="1">
      <c r="A5" s="18">
        <v>101303</v>
      </c>
      <c r="B5" s="19" t="s">
        <v>14</v>
      </c>
      <c r="C5" s="20">
        <v>658010113373</v>
      </c>
      <c r="D5" s="20"/>
      <c r="E5" s="20"/>
      <c r="F5" s="26">
        <v>0.39</v>
      </c>
      <c r="G5" s="20"/>
      <c r="H5" s="12">
        <v>75.587399999999988</v>
      </c>
      <c r="I5" s="21"/>
      <c r="J5" s="14">
        <f t="shared" si="0"/>
        <v>0</v>
      </c>
      <c r="M5" s="30" t="str">
        <f t="shared" si="1"/>
        <v>-</v>
      </c>
      <c r="N5" s="30" t="str">
        <f t="shared" si="2"/>
        <v>-</v>
      </c>
      <c r="O5" s="31" t="str">
        <f t="shared" si="3"/>
        <v>-</v>
      </c>
      <c r="P5" s="32" t="str">
        <f t="shared" si="4"/>
        <v>-</v>
      </c>
      <c r="Q5" s="27"/>
      <c r="R5" s="32" t="str">
        <f t="shared" si="5"/>
        <v>-</v>
      </c>
    </row>
    <row r="6" spans="1:18" s="13" customFormat="1" ht="11.25" customHeight="1">
      <c r="A6" s="18">
        <v>100046</v>
      </c>
      <c r="B6" s="19" t="s">
        <v>15</v>
      </c>
      <c r="C6" s="20">
        <v>658010111317</v>
      </c>
      <c r="D6" s="20"/>
      <c r="E6" s="20"/>
      <c r="F6" s="26">
        <v>0</v>
      </c>
      <c r="G6" s="20"/>
      <c r="H6" s="12">
        <v>36.275399999999998</v>
      </c>
      <c r="I6" s="21"/>
      <c r="J6" s="14">
        <f t="shared" si="0"/>
        <v>0</v>
      </c>
      <c r="M6" s="30" t="str">
        <f t="shared" si="1"/>
        <v>-</v>
      </c>
      <c r="N6" s="30" t="str">
        <f t="shared" si="2"/>
        <v>-</v>
      </c>
      <c r="O6" s="31" t="str">
        <f t="shared" si="3"/>
        <v>-</v>
      </c>
      <c r="P6" s="32" t="str">
        <f t="shared" si="4"/>
        <v>-</v>
      </c>
      <c r="Q6" s="27"/>
      <c r="R6" s="32" t="str">
        <f t="shared" si="5"/>
        <v>-</v>
      </c>
    </row>
    <row r="7" spans="1:18" s="13" customFormat="1" ht="11.25" customHeight="1">
      <c r="A7" s="18">
        <v>100902</v>
      </c>
      <c r="B7" s="19" t="s">
        <v>16</v>
      </c>
      <c r="C7" s="20">
        <v>658010112024</v>
      </c>
      <c r="D7" s="20"/>
      <c r="E7" s="20"/>
      <c r="F7" s="26">
        <v>0</v>
      </c>
      <c r="G7" s="20"/>
      <c r="H7" s="12">
        <v>64.247399999999999</v>
      </c>
      <c r="I7" s="21"/>
      <c r="J7" s="14">
        <f t="shared" si="0"/>
        <v>0</v>
      </c>
      <c r="M7" s="30" t="str">
        <f t="shared" si="1"/>
        <v>-</v>
      </c>
      <c r="N7" s="30" t="str">
        <f t="shared" si="2"/>
        <v>-</v>
      </c>
      <c r="O7" s="31" t="str">
        <f t="shared" si="3"/>
        <v>-</v>
      </c>
      <c r="P7" s="32" t="str">
        <f t="shared" si="4"/>
        <v>-</v>
      </c>
      <c r="Q7" s="27"/>
      <c r="R7" s="32" t="str">
        <f t="shared" si="5"/>
        <v>-</v>
      </c>
    </row>
    <row r="8" spans="1:18" s="13" customFormat="1" ht="11.25" hidden="1" customHeight="1">
      <c r="A8" s="18">
        <v>101759</v>
      </c>
      <c r="B8" s="19" t="s">
        <v>17</v>
      </c>
      <c r="C8" s="20">
        <v>658010115612</v>
      </c>
      <c r="D8" s="20"/>
      <c r="E8" s="20"/>
      <c r="F8" s="26">
        <v>0.25</v>
      </c>
      <c r="G8" s="20"/>
      <c r="H8" s="12">
        <v>45.347400000000007</v>
      </c>
      <c r="I8" s="21"/>
      <c r="J8" s="14">
        <f t="shared" si="0"/>
        <v>0</v>
      </c>
      <c r="M8" s="30" t="str">
        <f t="shared" si="1"/>
        <v>-</v>
      </c>
      <c r="N8" s="30" t="str">
        <f t="shared" si="2"/>
        <v>-</v>
      </c>
      <c r="O8" s="31" t="str">
        <f t="shared" si="3"/>
        <v>-</v>
      </c>
      <c r="P8" s="32" t="str">
        <f t="shared" si="4"/>
        <v>-</v>
      </c>
      <c r="Q8" s="27"/>
      <c r="R8" s="32" t="str">
        <f t="shared" si="5"/>
        <v>-</v>
      </c>
    </row>
    <row r="9" spans="1:18" s="13" customFormat="1" ht="11.25" hidden="1" customHeight="1">
      <c r="A9" s="18">
        <v>101761</v>
      </c>
      <c r="B9" s="19" t="s">
        <v>18</v>
      </c>
      <c r="C9" s="20">
        <v>658010115636</v>
      </c>
      <c r="D9" s="20"/>
      <c r="E9" s="20"/>
      <c r="F9" s="26">
        <v>0.25</v>
      </c>
      <c r="G9" s="20"/>
      <c r="H9" s="12">
        <v>45.347400000000007</v>
      </c>
      <c r="I9" s="21"/>
      <c r="J9" s="14">
        <f t="shared" si="0"/>
        <v>0</v>
      </c>
      <c r="M9" s="30" t="str">
        <f t="shared" si="1"/>
        <v>-</v>
      </c>
      <c r="N9" s="30" t="str">
        <f t="shared" si="2"/>
        <v>-</v>
      </c>
      <c r="O9" s="31" t="str">
        <f t="shared" si="3"/>
        <v>-</v>
      </c>
      <c r="P9" s="32" t="str">
        <f t="shared" si="4"/>
        <v>-</v>
      </c>
      <c r="Q9" s="27"/>
      <c r="R9" s="32" t="str">
        <f t="shared" si="5"/>
        <v>-</v>
      </c>
    </row>
    <row r="10" spans="1:18" s="13" customFormat="1" ht="11.25" hidden="1" customHeight="1">
      <c r="A10" s="18">
        <v>101762</v>
      </c>
      <c r="B10" s="19" t="s">
        <v>19</v>
      </c>
      <c r="C10" s="20">
        <v>658010115643</v>
      </c>
      <c r="D10" s="20"/>
      <c r="E10" s="20"/>
      <c r="F10" s="26">
        <v>0.25</v>
      </c>
      <c r="G10" s="20"/>
      <c r="H10" s="12">
        <v>45.347400000000007</v>
      </c>
      <c r="I10" s="21"/>
      <c r="J10" s="14">
        <f t="shared" si="0"/>
        <v>0</v>
      </c>
      <c r="M10" s="30" t="str">
        <f t="shared" si="1"/>
        <v>-</v>
      </c>
      <c r="N10" s="30" t="str">
        <f t="shared" si="2"/>
        <v>-</v>
      </c>
      <c r="O10" s="31" t="str">
        <f t="shared" si="3"/>
        <v>-</v>
      </c>
      <c r="P10" s="32" t="str">
        <f t="shared" si="4"/>
        <v>-</v>
      </c>
      <c r="Q10" s="27"/>
      <c r="R10" s="32" t="str">
        <f t="shared" si="5"/>
        <v>-</v>
      </c>
    </row>
    <row r="11" spans="1:18" s="13" customFormat="1" ht="11.25" customHeight="1">
      <c r="A11" s="18">
        <v>101760</v>
      </c>
      <c r="B11" s="19" t="s">
        <v>20</v>
      </c>
      <c r="C11" s="20">
        <v>658010115629</v>
      </c>
      <c r="D11" s="20"/>
      <c r="E11" s="20"/>
      <c r="F11" s="26">
        <v>0</v>
      </c>
      <c r="G11" s="20"/>
      <c r="H11" s="12">
        <v>45.347400000000007</v>
      </c>
      <c r="I11" s="21"/>
      <c r="J11" s="14">
        <f t="shared" si="0"/>
        <v>0</v>
      </c>
      <c r="M11" s="30" t="str">
        <f t="shared" si="1"/>
        <v>-</v>
      </c>
      <c r="N11" s="30" t="str">
        <f t="shared" si="2"/>
        <v>-</v>
      </c>
      <c r="O11" s="31" t="str">
        <f t="shared" si="3"/>
        <v>-</v>
      </c>
      <c r="P11" s="32" t="str">
        <f t="shared" si="4"/>
        <v>-</v>
      </c>
      <c r="Q11" s="27"/>
      <c r="R11" s="32" t="str">
        <f t="shared" si="5"/>
        <v>-</v>
      </c>
    </row>
    <row r="12" spans="1:18" s="13" customFormat="1" ht="11.25" hidden="1" customHeight="1">
      <c r="A12" s="18">
        <v>102428</v>
      </c>
      <c r="B12" s="19" t="s">
        <v>21</v>
      </c>
      <c r="C12" s="20">
        <v>658010118439</v>
      </c>
      <c r="D12" s="20"/>
      <c r="E12" s="20"/>
      <c r="F12" s="26">
        <v>0.38</v>
      </c>
      <c r="G12" s="20"/>
      <c r="H12" s="12">
        <v>25.691400000000002</v>
      </c>
      <c r="I12" s="21"/>
      <c r="J12" s="14">
        <f t="shared" si="0"/>
        <v>0</v>
      </c>
      <c r="M12" s="30" t="str">
        <f t="shared" si="1"/>
        <v>-</v>
      </c>
      <c r="N12" s="30" t="str">
        <f t="shared" si="2"/>
        <v>-</v>
      </c>
      <c r="O12" s="31" t="str">
        <f t="shared" si="3"/>
        <v>-</v>
      </c>
      <c r="P12" s="32" t="str">
        <f t="shared" si="4"/>
        <v>-</v>
      </c>
      <c r="Q12" s="27"/>
      <c r="R12" s="32" t="str">
        <f t="shared" si="5"/>
        <v>-</v>
      </c>
    </row>
    <row r="13" spans="1:18" s="13" customFormat="1" ht="11.25" customHeight="1">
      <c r="A13" s="18">
        <v>101302</v>
      </c>
      <c r="B13" s="19" t="s">
        <v>22</v>
      </c>
      <c r="C13" s="20">
        <v>658010113366</v>
      </c>
      <c r="D13" s="20"/>
      <c r="E13" s="20"/>
      <c r="F13" s="26">
        <v>0</v>
      </c>
      <c r="G13" s="20"/>
      <c r="H13" s="12">
        <v>37.031399999999998</v>
      </c>
      <c r="I13" s="21"/>
      <c r="J13" s="14">
        <f t="shared" si="0"/>
        <v>0</v>
      </c>
      <c r="M13" s="30" t="str">
        <f t="shared" si="1"/>
        <v>-</v>
      </c>
      <c r="N13" s="30" t="str">
        <f t="shared" si="2"/>
        <v>-</v>
      </c>
      <c r="O13" s="31" t="str">
        <f t="shared" si="3"/>
        <v>-</v>
      </c>
      <c r="P13" s="32" t="str">
        <f t="shared" si="4"/>
        <v>-</v>
      </c>
      <c r="Q13" s="27"/>
      <c r="R13" s="32" t="str">
        <f t="shared" si="5"/>
        <v>-</v>
      </c>
    </row>
    <row r="14" spans="1:18" s="13" customFormat="1" ht="11.25" hidden="1" customHeight="1">
      <c r="A14" s="18">
        <v>101077</v>
      </c>
      <c r="B14" s="19" t="s">
        <v>23</v>
      </c>
      <c r="C14" s="20">
        <v>658010112352</v>
      </c>
      <c r="D14" s="20"/>
      <c r="E14" s="20"/>
      <c r="F14" s="26">
        <v>0.24</v>
      </c>
      <c r="G14" s="20"/>
      <c r="H14" s="12">
        <v>47.615400000000001</v>
      </c>
      <c r="I14" s="21"/>
      <c r="J14" s="14">
        <f t="shared" si="0"/>
        <v>0</v>
      </c>
      <c r="M14" s="30" t="str">
        <f t="shared" si="1"/>
        <v>-</v>
      </c>
      <c r="N14" s="30" t="str">
        <f t="shared" si="2"/>
        <v>-</v>
      </c>
      <c r="O14" s="31" t="str">
        <f t="shared" si="3"/>
        <v>-</v>
      </c>
      <c r="P14" s="32" t="str">
        <f t="shared" si="4"/>
        <v>-</v>
      </c>
      <c r="Q14" s="27"/>
      <c r="R14" s="32" t="str">
        <f t="shared" si="5"/>
        <v>-</v>
      </c>
    </row>
    <row r="15" spans="1:18" s="13" customFormat="1" ht="11.25" hidden="1" customHeight="1">
      <c r="A15" s="18">
        <v>101301</v>
      </c>
      <c r="B15" s="19" t="s">
        <v>24</v>
      </c>
      <c r="C15" s="20">
        <v>658010113359</v>
      </c>
      <c r="D15" s="20"/>
      <c r="E15" s="20"/>
      <c r="F15" s="26">
        <v>0.41</v>
      </c>
      <c r="G15" s="20"/>
      <c r="H15" s="12">
        <v>82.39139999999999</v>
      </c>
      <c r="I15" s="21"/>
      <c r="J15" s="14">
        <f t="shared" si="0"/>
        <v>0</v>
      </c>
      <c r="M15" s="30" t="str">
        <f t="shared" si="1"/>
        <v>-</v>
      </c>
      <c r="N15" s="30" t="str">
        <f t="shared" si="2"/>
        <v>-</v>
      </c>
      <c r="O15" s="31" t="str">
        <f t="shared" si="3"/>
        <v>-</v>
      </c>
      <c r="P15" s="32" t="str">
        <f t="shared" si="4"/>
        <v>-</v>
      </c>
      <c r="Q15" s="27"/>
      <c r="R15" s="32" t="str">
        <f t="shared" si="5"/>
        <v>-</v>
      </c>
    </row>
    <row r="16" spans="1:18" s="13" customFormat="1" ht="11.25" hidden="1" customHeight="1">
      <c r="A16" s="18">
        <v>100736</v>
      </c>
      <c r="B16" s="19" t="s">
        <v>25</v>
      </c>
      <c r="C16" s="20">
        <v>658010111256</v>
      </c>
      <c r="D16" s="20"/>
      <c r="E16" s="20"/>
      <c r="F16" s="26">
        <v>0.12</v>
      </c>
      <c r="G16" s="20"/>
      <c r="H16" s="12">
        <v>43.079399999999993</v>
      </c>
      <c r="I16" s="21"/>
      <c r="J16" s="14">
        <f t="shared" si="0"/>
        <v>0</v>
      </c>
      <c r="M16" s="30" t="str">
        <f t="shared" si="1"/>
        <v>-</v>
      </c>
      <c r="N16" s="30" t="str">
        <f t="shared" si="2"/>
        <v>-</v>
      </c>
      <c r="O16" s="31" t="str">
        <f t="shared" si="3"/>
        <v>-</v>
      </c>
      <c r="P16" s="32" t="str">
        <f t="shared" si="4"/>
        <v>-</v>
      </c>
      <c r="Q16" s="27"/>
      <c r="R16" s="32" t="str">
        <f t="shared" si="5"/>
        <v>-</v>
      </c>
    </row>
    <row r="17" spans="1:18" s="13" customFormat="1" ht="11.25" customHeight="1">
      <c r="A17" s="18">
        <v>100735</v>
      </c>
      <c r="B17" s="19" t="s">
        <v>26</v>
      </c>
      <c r="C17" s="20">
        <v>658010111577</v>
      </c>
      <c r="D17" s="20"/>
      <c r="E17" s="20"/>
      <c r="F17" s="26">
        <v>0</v>
      </c>
      <c r="G17" s="20"/>
      <c r="H17" s="12">
        <v>23.436</v>
      </c>
      <c r="I17" s="21"/>
      <c r="J17" s="14">
        <f t="shared" si="0"/>
        <v>0</v>
      </c>
      <c r="M17" s="30" t="str">
        <f t="shared" si="1"/>
        <v>-</v>
      </c>
      <c r="N17" s="30" t="str">
        <f t="shared" si="2"/>
        <v>-</v>
      </c>
      <c r="O17" s="31" t="str">
        <f t="shared" si="3"/>
        <v>-</v>
      </c>
      <c r="P17" s="32" t="str">
        <f t="shared" si="4"/>
        <v>-</v>
      </c>
      <c r="Q17" s="27"/>
      <c r="R17" s="32" t="str">
        <f t="shared" si="5"/>
        <v>-</v>
      </c>
    </row>
    <row r="18" spans="1:18" s="13" customFormat="1" ht="11.25" hidden="1" customHeight="1">
      <c r="A18" s="18">
        <v>100734</v>
      </c>
      <c r="B18" s="19" t="s">
        <v>27</v>
      </c>
      <c r="C18" s="20">
        <v>658010111119</v>
      </c>
      <c r="D18" s="20"/>
      <c r="E18" s="20"/>
      <c r="F18" s="26">
        <v>0.16</v>
      </c>
      <c r="G18" s="20"/>
      <c r="H18" s="12">
        <v>43.079399999999993</v>
      </c>
      <c r="I18" s="21"/>
      <c r="J18" s="14">
        <f t="shared" si="0"/>
        <v>0</v>
      </c>
      <c r="M18" s="30" t="str">
        <f t="shared" si="1"/>
        <v>-</v>
      </c>
      <c r="N18" s="30" t="str">
        <f t="shared" si="2"/>
        <v>-</v>
      </c>
      <c r="O18" s="31" t="str">
        <f t="shared" si="3"/>
        <v>-</v>
      </c>
      <c r="P18" s="32" t="str">
        <f t="shared" si="4"/>
        <v>-</v>
      </c>
      <c r="Q18" s="27"/>
      <c r="R18" s="32" t="str">
        <f t="shared" si="5"/>
        <v>-</v>
      </c>
    </row>
    <row r="19" spans="1:18" s="13" customFormat="1" ht="11.25" customHeight="1">
      <c r="A19" s="18">
        <v>100733</v>
      </c>
      <c r="B19" s="19" t="s">
        <v>28</v>
      </c>
      <c r="C19" s="20">
        <v>658010111560</v>
      </c>
      <c r="D19" s="20"/>
      <c r="E19" s="20"/>
      <c r="F19" s="26">
        <v>0</v>
      </c>
      <c r="G19" s="20"/>
      <c r="H19" s="12">
        <v>74.831400000000002</v>
      </c>
      <c r="I19" s="21"/>
      <c r="J19" s="14">
        <f t="shared" si="0"/>
        <v>0</v>
      </c>
      <c r="M19" s="30" t="str">
        <f t="shared" si="1"/>
        <v>-</v>
      </c>
      <c r="N19" s="30" t="str">
        <f t="shared" si="2"/>
        <v>-</v>
      </c>
      <c r="O19" s="31" t="str">
        <f t="shared" si="3"/>
        <v>-</v>
      </c>
      <c r="P19" s="32" t="str">
        <f t="shared" si="4"/>
        <v>-</v>
      </c>
      <c r="Q19" s="27"/>
      <c r="R19" s="32" t="str">
        <f t="shared" si="5"/>
        <v>-</v>
      </c>
    </row>
    <row r="20" spans="1:18" s="13" customFormat="1" ht="11.25" customHeight="1">
      <c r="A20" s="18">
        <v>101140</v>
      </c>
      <c r="B20" s="19" t="s">
        <v>29</v>
      </c>
      <c r="C20" s="20">
        <v>658010112581</v>
      </c>
      <c r="D20" s="20"/>
      <c r="E20" s="20"/>
      <c r="F20" s="26">
        <v>0</v>
      </c>
      <c r="G20" s="20"/>
      <c r="H20" s="12">
        <v>28.715399999999995</v>
      </c>
      <c r="I20" s="21"/>
      <c r="J20" s="14">
        <f t="shared" si="0"/>
        <v>0</v>
      </c>
      <c r="M20" s="30" t="str">
        <f t="shared" si="1"/>
        <v>-</v>
      </c>
      <c r="N20" s="30" t="str">
        <f t="shared" si="2"/>
        <v>-</v>
      </c>
      <c r="O20" s="31" t="str">
        <f t="shared" si="3"/>
        <v>-</v>
      </c>
      <c r="P20" s="32" t="str">
        <f t="shared" si="4"/>
        <v>-</v>
      </c>
      <c r="Q20" s="27"/>
      <c r="R20" s="32" t="str">
        <f t="shared" si="5"/>
        <v>-</v>
      </c>
    </row>
    <row r="21" spans="1:18" s="13" customFormat="1" ht="11.25" hidden="1" customHeight="1">
      <c r="A21" s="18">
        <v>101763</v>
      </c>
      <c r="B21" s="19" t="s">
        <v>30</v>
      </c>
      <c r="C21" s="20">
        <v>658010115650</v>
      </c>
      <c r="D21" s="20"/>
      <c r="E21" s="20"/>
      <c r="F21" s="26">
        <v>0.25</v>
      </c>
      <c r="G21" s="20"/>
      <c r="H21" s="12">
        <v>45.347400000000007</v>
      </c>
      <c r="I21" s="21"/>
      <c r="J21" s="14">
        <f t="shared" si="0"/>
        <v>0</v>
      </c>
      <c r="M21" s="30" t="str">
        <f t="shared" si="1"/>
        <v>-</v>
      </c>
      <c r="N21" s="30" t="str">
        <f t="shared" si="2"/>
        <v>-</v>
      </c>
      <c r="O21" s="31" t="str">
        <f t="shared" si="3"/>
        <v>-</v>
      </c>
      <c r="P21" s="32" t="str">
        <f t="shared" si="4"/>
        <v>-</v>
      </c>
      <c r="Q21" s="27"/>
      <c r="R21" s="32" t="str">
        <f t="shared" si="5"/>
        <v>-</v>
      </c>
    </row>
    <row r="22" spans="1:18" s="13" customFormat="1" ht="11.25" hidden="1" customHeight="1">
      <c r="A22" s="18">
        <v>101764</v>
      </c>
      <c r="B22" s="19" t="s">
        <v>31</v>
      </c>
      <c r="C22" s="20">
        <v>658010115667</v>
      </c>
      <c r="D22" s="20"/>
      <c r="E22" s="20"/>
      <c r="F22" s="26">
        <v>0.25</v>
      </c>
      <c r="G22" s="20"/>
      <c r="H22" s="12">
        <v>45.347400000000007</v>
      </c>
      <c r="I22" s="21"/>
      <c r="J22" s="14">
        <f t="shared" si="0"/>
        <v>0</v>
      </c>
      <c r="M22" s="30" t="str">
        <f t="shared" si="1"/>
        <v>-</v>
      </c>
      <c r="N22" s="30" t="str">
        <f t="shared" si="2"/>
        <v>-</v>
      </c>
      <c r="O22" s="31" t="str">
        <f t="shared" si="3"/>
        <v>-</v>
      </c>
      <c r="P22" s="32" t="str">
        <f t="shared" si="4"/>
        <v>-</v>
      </c>
      <c r="Q22" s="27"/>
      <c r="R22" s="32" t="str">
        <f t="shared" si="5"/>
        <v>-</v>
      </c>
    </row>
    <row r="23" spans="1:18" s="13" customFormat="1" ht="11.25" hidden="1" customHeight="1">
      <c r="A23" s="18">
        <v>101765</v>
      </c>
      <c r="B23" s="19" t="s">
        <v>32</v>
      </c>
      <c r="C23" s="20">
        <v>658010115674</v>
      </c>
      <c r="D23" s="20"/>
      <c r="E23" s="20"/>
      <c r="F23" s="26">
        <v>0.25</v>
      </c>
      <c r="G23" s="20"/>
      <c r="H23" s="12">
        <v>45.347400000000007</v>
      </c>
      <c r="I23" s="21"/>
      <c r="J23" s="14">
        <f t="shared" si="0"/>
        <v>0</v>
      </c>
      <c r="M23" s="30" t="str">
        <f t="shared" si="1"/>
        <v>-</v>
      </c>
      <c r="N23" s="30" t="str">
        <f t="shared" si="2"/>
        <v>-</v>
      </c>
      <c r="O23" s="31" t="str">
        <f t="shared" si="3"/>
        <v>-</v>
      </c>
      <c r="P23" s="32" t="str">
        <f t="shared" si="4"/>
        <v>-</v>
      </c>
      <c r="Q23" s="27"/>
      <c r="R23" s="32" t="str">
        <f t="shared" si="5"/>
        <v>-</v>
      </c>
    </row>
    <row r="24" spans="1:18" s="13" customFormat="1" ht="11.25" hidden="1" customHeight="1">
      <c r="A24" s="18">
        <v>101766</v>
      </c>
      <c r="B24" s="19" t="s">
        <v>33</v>
      </c>
      <c r="C24" s="20">
        <v>658010115681</v>
      </c>
      <c r="D24" s="20"/>
      <c r="E24" s="20"/>
      <c r="F24" s="26">
        <v>0.24</v>
      </c>
      <c r="G24" s="20"/>
      <c r="H24" s="12">
        <v>45.347400000000007</v>
      </c>
      <c r="I24" s="21"/>
      <c r="J24" s="14">
        <f t="shared" si="0"/>
        <v>0</v>
      </c>
      <c r="M24" s="30" t="str">
        <f t="shared" si="1"/>
        <v>-</v>
      </c>
      <c r="N24" s="30" t="str">
        <f t="shared" si="2"/>
        <v>-</v>
      </c>
      <c r="O24" s="31" t="str">
        <f t="shared" si="3"/>
        <v>-</v>
      </c>
      <c r="P24" s="32" t="str">
        <f t="shared" si="4"/>
        <v>-</v>
      </c>
      <c r="Q24" s="27"/>
      <c r="R24" s="32" t="str">
        <f t="shared" si="5"/>
        <v>-</v>
      </c>
    </row>
    <row r="25" spans="1:18" s="13" customFormat="1" ht="11.25" customHeight="1">
      <c r="A25" s="18">
        <v>101767</v>
      </c>
      <c r="B25" s="19" t="s">
        <v>34</v>
      </c>
      <c r="C25" s="20">
        <v>658010115698</v>
      </c>
      <c r="D25" s="20"/>
      <c r="E25" s="20"/>
      <c r="F25" s="26">
        <v>0</v>
      </c>
      <c r="G25" s="20"/>
      <c r="H25" s="12">
        <v>24.935399999999998</v>
      </c>
      <c r="I25" s="21"/>
      <c r="J25" s="14">
        <f t="shared" si="0"/>
        <v>0</v>
      </c>
      <c r="M25" s="30" t="str">
        <f t="shared" si="1"/>
        <v>-</v>
      </c>
      <c r="N25" s="30" t="str">
        <f t="shared" si="2"/>
        <v>-</v>
      </c>
      <c r="O25" s="31" t="str">
        <f t="shared" si="3"/>
        <v>-</v>
      </c>
      <c r="P25" s="32" t="str">
        <f t="shared" si="4"/>
        <v>-</v>
      </c>
      <c r="Q25" s="27"/>
      <c r="R25" s="32" t="str">
        <f t="shared" si="5"/>
        <v>-</v>
      </c>
    </row>
    <row r="26" spans="1:18" s="13" customFormat="1" ht="11.25" hidden="1" customHeight="1">
      <c r="A26" s="18">
        <v>102051</v>
      </c>
      <c r="B26" s="19" t="s">
        <v>35</v>
      </c>
      <c r="C26" s="20">
        <v>658010116657</v>
      </c>
      <c r="D26" s="20"/>
      <c r="E26" s="20"/>
      <c r="F26" s="26">
        <v>0.16</v>
      </c>
      <c r="G26" s="20"/>
      <c r="H26" s="12">
        <v>36.275399999999998</v>
      </c>
      <c r="I26" s="21"/>
      <c r="J26" s="14">
        <f t="shared" si="0"/>
        <v>0</v>
      </c>
      <c r="M26" s="30" t="str">
        <f t="shared" si="1"/>
        <v>-</v>
      </c>
      <c r="N26" s="30" t="str">
        <f t="shared" si="2"/>
        <v>-</v>
      </c>
      <c r="O26" s="31" t="str">
        <f t="shared" si="3"/>
        <v>-</v>
      </c>
      <c r="P26" s="32" t="str">
        <f t="shared" si="4"/>
        <v>-</v>
      </c>
      <c r="Q26" s="27"/>
      <c r="R26" s="32" t="str">
        <f t="shared" si="5"/>
        <v>-</v>
      </c>
    </row>
    <row r="27" spans="1:18" s="13" customFormat="1" ht="11.25" hidden="1" customHeight="1">
      <c r="A27" s="18">
        <v>102049</v>
      </c>
      <c r="B27" s="19" t="s">
        <v>36</v>
      </c>
      <c r="C27" s="20">
        <v>658010116633</v>
      </c>
      <c r="D27" s="20"/>
      <c r="E27" s="20"/>
      <c r="F27" s="26">
        <v>0.16</v>
      </c>
      <c r="G27" s="20"/>
      <c r="H27" s="12">
        <v>36.275399999999998</v>
      </c>
      <c r="I27" s="21"/>
      <c r="J27" s="14">
        <f t="shared" si="0"/>
        <v>0</v>
      </c>
      <c r="M27" s="30" t="str">
        <f t="shared" si="1"/>
        <v>-</v>
      </c>
      <c r="N27" s="30" t="str">
        <f t="shared" si="2"/>
        <v>-</v>
      </c>
      <c r="O27" s="31" t="str">
        <f t="shared" si="3"/>
        <v>-</v>
      </c>
      <c r="P27" s="32" t="str">
        <f t="shared" si="4"/>
        <v>-</v>
      </c>
      <c r="Q27" s="27"/>
      <c r="R27" s="32" t="str">
        <f t="shared" si="5"/>
        <v>-</v>
      </c>
    </row>
    <row r="28" spans="1:18" s="13" customFormat="1" ht="11.25" hidden="1" customHeight="1">
      <c r="A28" s="18">
        <v>102050</v>
      </c>
      <c r="B28" s="19" t="s">
        <v>37</v>
      </c>
      <c r="C28" s="20">
        <v>658010116640</v>
      </c>
      <c r="D28" s="20"/>
      <c r="E28" s="20"/>
      <c r="F28" s="26">
        <v>0.16</v>
      </c>
      <c r="G28" s="20"/>
      <c r="H28" s="12">
        <v>45.347400000000007</v>
      </c>
      <c r="I28" s="21"/>
      <c r="J28" s="14">
        <f t="shared" si="0"/>
        <v>0</v>
      </c>
      <c r="M28" s="30" t="str">
        <f t="shared" si="1"/>
        <v>-</v>
      </c>
      <c r="N28" s="30" t="str">
        <f t="shared" si="2"/>
        <v>-</v>
      </c>
      <c r="O28" s="31" t="str">
        <f t="shared" si="3"/>
        <v>-</v>
      </c>
      <c r="P28" s="32" t="str">
        <f t="shared" si="4"/>
        <v>-</v>
      </c>
      <c r="Q28" s="27"/>
      <c r="R28" s="32" t="str">
        <f t="shared" si="5"/>
        <v>-</v>
      </c>
    </row>
    <row r="29" spans="1:18" s="13" customFormat="1" ht="11.25" customHeight="1">
      <c r="A29" s="18">
        <v>102052</v>
      </c>
      <c r="B29" s="19" t="s">
        <v>38</v>
      </c>
      <c r="C29" s="20">
        <v>658010116664</v>
      </c>
      <c r="D29" s="20"/>
      <c r="E29" s="20"/>
      <c r="F29" s="26">
        <v>0</v>
      </c>
      <c r="G29" s="20"/>
      <c r="H29" s="12">
        <v>36.275399999999998</v>
      </c>
      <c r="I29" s="21"/>
      <c r="J29" s="14">
        <f t="shared" si="0"/>
        <v>0</v>
      </c>
      <c r="M29" s="30" t="str">
        <f t="shared" si="1"/>
        <v>-</v>
      </c>
      <c r="N29" s="30" t="str">
        <f t="shared" si="2"/>
        <v>-</v>
      </c>
      <c r="O29" s="31" t="str">
        <f t="shared" si="3"/>
        <v>-</v>
      </c>
      <c r="P29" s="32" t="str">
        <f t="shared" si="4"/>
        <v>-</v>
      </c>
      <c r="Q29" s="27"/>
      <c r="R29" s="32" t="str">
        <f t="shared" si="5"/>
        <v>-</v>
      </c>
    </row>
    <row r="30" spans="1:18" s="13" customFormat="1" ht="11.25" hidden="1" customHeight="1">
      <c r="A30" s="18">
        <v>104213</v>
      </c>
      <c r="B30" s="19" t="s">
        <v>39</v>
      </c>
      <c r="C30" s="20">
        <v>658010131414</v>
      </c>
      <c r="D30" s="20"/>
      <c r="E30" s="20"/>
      <c r="F30" s="26">
        <v>0.24</v>
      </c>
      <c r="G30" s="20"/>
      <c r="H30" s="12">
        <v>19.6434</v>
      </c>
      <c r="I30" s="21"/>
      <c r="J30" s="14">
        <f t="shared" si="0"/>
        <v>0</v>
      </c>
      <c r="M30" s="30" t="str">
        <f t="shared" si="1"/>
        <v>-</v>
      </c>
      <c r="N30" s="30" t="str">
        <f t="shared" si="2"/>
        <v>-</v>
      </c>
      <c r="O30" s="31" t="str">
        <f t="shared" si="3"/>
        <v>-</v>
      </c>
      <c r="P30" s="32" t="str">
        <f t="shared" si="4"/>
        <v>-</v>
      </c>
      <c r="Q30" s="27"/>
      <c r="R30" s="32" t="str">
        <f t="shared" si="5"/>
        <v>-</v>
      </c>
    </row>
    <row r="31" spans="1:18" s="13" customFormat="1" ht="11.25" hidden="1" customHeight="1">
      <c r="A31" s="18">
        <v>104212</v>
      </c>
      <c r="B31" s="19" t="s">
        <v>40</v>
      </c>
      <c r="C31" s="20">
        <v>658010131407</v>
      </c>
      <c r="D31" s="20"/>
      <c r="E31" s="20"/>
      <c r="F31" s="26">
        <v>0.25</v>
      </c>
      <c r="G31" s="20"/>
      <c r="H31" s="12">
        <v>19.6434</v>
      </c>
      <c r="I31" s="21"/>
      <c r="J31" s="14">
        <f t="shared" si="0"/>
        <v>0</v>
      </c>
      <c r="M31" s="30" t="str">
        <f t="shared" si="1"/>
        <v>-</v>
      </c>
      <c r="N31" s="30" t="str">
        <f t="shared" si="2"/>
        <v>-</v>
      </c>
      <c r="O31" s="31" t="str">
        <f t="shared" si="3"/>
        <v>-</v>
      </c>
      <c r="P31" s="32" t="str">
        <f t="shared" si="4"/>
        <v>-</v>
      </c>
      <c r="Q31" s="27"/>
      <c r="R31" s="32" t="str">
        <f t="shared" si="5"/>
        <v>-</v>
      </c>
    </row>
    <row r="32" spans="1:18" s="13" customFormat="1" ht="11.25" hidden="1" customHeight="1">
      <c r="A32" s="18">
        <v>104249</v>
      </c>
      <c r="B32" s="19" t="s">
        <v>41</v>
      </c>
      <c r="C32" s="20">
        <v>658010131773</v>
      </c>
      <c r="D32" s="20"/>
      <c r="E32" s="20"/>
      <c r="F32" s="26">
        <v>0.09</v>
      </c>
      <c r="G32" s="20"/>
      <c r="H32" s="12">
        <v>31.739400000000003</v>
      </c>
      <c r="I32" s="21"/>
      <c r="J32" s="14">
        <f t="shared" si="0"/>
        <v>0</v>
      </c>
      <c r="M32" s="30" t="str">
        <f t="shared" si="1"/>
        <v>-</v>
      </c>
      <c r="N32" s="30" t="str">
        <f t="shared" si="2"/>
        <v>-</v>
      </c>
      <c r="O32" s="31" t="str">
        <f t="shared" si="3"/>
        <v>-</v>
      </c>
      <c r="P32" s="32" t="str">
        <f t="shared" si="4"/>
        <v>-</v>
      </c>
      <c r="Q32" s="27"/>
      <c r="R32" s="32" t="str">
        <f t="shared" si="5"/>
        <v>-</v>
      </c>
    </row>
    <row r="33" spans="1:18" s="13" customFormat="1" ht="11.25" hidden="1" customHeight="1">
      <c r="A33" s="18">
        <v>104251</v>
      </c>
      <c r="B33" s="19" t="s">
        <v>42</v>
      </c>
      <c r="C33" s="20">
        <v>658010131797</v>
      </c>
      <c r="D33" s="20"/>
      <c r="E33" s="20"/>
      <c r="F33" s="26">
        <v>0.16</v>
      </c>
      <c r="G33" s="20"/>
      <c r="H33" s="12">
        <v>37.031399999999998</v>
      </c>
      <c r="I33" s="21"/>
      <c r="J33" s="14">
        <f t="shared" si="0"/>
        <v>0</v>
      </c>
      <c r="M33" s="30" t="str">
        <f t="shared" si="1"/>
        <v>-</v>
      </c>
      <c r="N33" s="30" t="str">
        <f t="shared" si="2"/>
        <v>-</v>
      </c>
      <c r="O33" s="31" t="str">
        <f t="shared" si="3"/>
        <v>-</v>
      </c>
      <c r="P33" s="32" t="str">
        <f t="shared" si="4"/>
        <v>-</v>
      </c>
      <c r="Q33" s="27"/>
      <c r="R33" s="32" t="str">
        <f t="shared" si="5"/>
        <v>-</v>
      </c>
    </row>
    <row r="34" spans="1:18" s="13" customFormat="1" ht="11.25" hidden="1" customHeight="1">
      <c r="A34" s="18">
        <v>104250</v>
      </c>
      <c r="B34" s="19" t="s">
        <v>43</v>
      </c>
      <c r="C34" s="20">
        <v>658010131780</v>
      </c>
      <c r="D34" s="20"/>
      <c r="E34" s="20"/>
      <c r="F34" s="26">
        <v>0.09</v>
      </c>
      <c r="G34" s="20"/>
      <c r="H34" s="12">
        <v>22.667399999999997</v>
      </c>
      <c r="I34" s="21"/>
      <c r="J34" s="14">
        <f t="shared" si="0"/>
        <v>0</v>
      </c>
      <c r="M34" s="30" t="str">
        <f t="shared" si="1"/>
        <v>-</v>
      </c>
      <c r="N34" s="30" t="str">
        <f t="shared" si="2"/>
        <v>-</v>
      </c>
      <c r="O34" s="31" t="str">
        <f t="shared" si="3"/>
        <v>-</v>
      </c>
      <c r="P34" s="32" t="str">
        <f t="shared" si="4"/>
        <v>-</v>
      </c>
      <c r="Q34" s="27"/>
      <c r="R34" s="32" t="str">
        <f t="shared" si="5"/>
        <v>-</v>
      </c>
    </row>
    <row r="35" spans="1:18" s="13" customFormat="1" ht="11.25" hidden="1" customHeight="1">
      <c r="A35" s="18">
        <v>104252</v>
      </c>
      <c r="B35" s="19" t="s">
        <v>44</v>
      </c>
      <c r="C35" s="20">
        <v>658010131803</v>
      </c>
      <c r="D35" s="20"/>
      <c r="E35" s="20"/>
      <c r="F35" s="26">
        <v>0.09</v>
      </c>
      <c r="G35" s="20"/>
      <c r="H35" s="12">
        <v>31.739400000000003</v>
      </c>
      <c r="I35" s="21"/>
      <c r="J35" s="14">
        <f t="shared" si="0"/>
        <v>0</v>
      </c>
      <c r="M35" s="30" t="str">
        <f t="shared" si="1"/>
        <v>-</v>
      </c>
      <c r="N35" s="30" t="str">
        <f t="shared" si="2"/>
        <v>-</v>
      </c>
      <c r="O35" s="31" t="str">
        <f t="shared" si="3"/>
        <v>-</v>
      </c>
      <c r="P35" s="32" t="str">
        <f t="shared" si="4"/>
        <v>-</v>
      </c>
      <c r="Q35" s="27"/>
      <c r="R35" s="32" t="str">
        <f t="shared" si="5"/>
        <v>-</v>
      </c>
    </row>
    <row r="36" spans="1:18" s="13" customFormat="1" ht="11.25" hidden="1" customHeight="1">
      <c r="A36" s="18">
        <v>104253</v>
      </c>
      <c r="B36" s="19" t="s">
        <v>45</v>
      </c>
      <c r="C36" s="20">
        <v>658010131810</v>
      </c>
      <c r="D36" s="20"/>
      <c r="E36" s="20"/>
      <c r="F36" s="26">
        <v>0.09</v>
      </c>
      <c r="G36" s="20"/>
      <c r="H36" s="12">
        <v>31.739400000000003</v>
      </c>
      <c r="I36" s="21"/>
      <c r="J36" s="14">
        <f t="shared" si="0"/>
        <v>0</v>
      </c>
      <c r="M36" s="30" t="str">
        <f t="shared" si="1"/>
        <v>-</v>
      </c>
      <c r="N36" s="30" t="str">
        <f t="shared" si="2"/>
        <v>-</v>
      </c>
      <c r="O36" s="31" t="str">
        <f t="shared" si="3"/>
        <v>-</v>
      </c>
      <c r="P36" s="32" t="str">
        <f t="shared" si="4"/>
        <v>-</v>
      </c>
      <c r="Q36" s="27"/>
      <c r="R36" s="32" t="str">
        <f t="shared" si="5"/>
        <v>-</v>
      </c>
    </row>
    <row r="37" spans="1:18" s="13" customFormat="1" ht="11.25" hidden="1" customHeight="1">
      <c r="A37" s="18">
        <v>104267</v>
      </c>
      <c r="B37" s="19" t="s">
        <v>46</v>
      </c>
      <c r="C37" s="20">
        <v>658010131957</v>
      </c>
      <c r="D37" s="20"/>
      <c r="E37" s="20"/>
      <c r="F37" s="26">
        <v>0.1</v>
      </c>
      <c r="G37" s="20"/>
      <c r="H37" s="12">
        <v>31.739400000000003</v>
      </c>
      <c r="I37" s="21"/>
      <c r="J37" s="14">
        <f t="shared" si="0"/>
        <v>0</v>
      </c>
      <c r="M37" s="30" t="str">
        <f t="shared" si="1"/>
        <v>-</v>
      </c>
      <c r="N37" s="30" t="str">
        <f t="shared" si="2"/>
        <v>-</v>
      </c>
      <c r="O37" s="31" t="str">
        <f t="shared" si="3"/>
        <v>-</v>
      </c>
      <c r="P37" s="32" t="str">
        <f t="shared" si="4"/>
        <v>-</v>
      </c>
      <c r="Q37" s="27"/>
      <c r="R37" s="32" t="str">
        <f t="shared" si="5"/>
        <v>-</v>
      </c>
    </row>
    <row r="38" spans="1:18" s="13" customFormat="1" ht="11.25" hidden="1" customHeight="1">
      <c r="A38" s="18">
        <v>102412</v>
      </c>
      <c r="B38" s="19" t="s">
        <v>47</v>
      </c>
      <c r="C38" s="20">
        <v>658010118279</v>
      </c>
      <c r="D38" s="20"/>
      <c r="E38" s="20"/>
      <c r="F38" s="26">
        <v>0.17</v>
      </c>
      <c r="G38" s="20"/>
      <c r="H38" s="12">
        <v>26.447399999999995</v>
      </c>
      <c r="I38" s="21"/>
      <c r="J38" s="14">
        <f t="shared" si="0"/>
        <v>0</v>
      </c>
      <c r="M38" s="30" t="str">
        <f t="shared" si="1"/>
        <v>-</v>
      </c>
      <c r="N38" s="30" t="str">
        <f t="shared" si="2"/>
        <v>-</v>
      </c>
      <c r="O38" s="31" t="str">
        <f t="shared" si="3"/>
        <v>-</v>
      </c>
      <c r="P38" s="32" t="str">
        <f t="shared" si="4"/>
        <v>-</v>
      </c>
      <c r="Q38" s="27"/>
      <c r="R38" s="32" t="str">
        <f t="shared" si="5"/>
        <v>-</v>
      </c>
    </row>
    <row r="39" spans="1:18" s="13" customFormat="1" ht="11.25" hidden="1" customHeight="1">
      <c r="A39" s="18">
        <v>102435</v>
      </c>
      <c r="B39" s="19" t="s">
        <v>48</v>
      </c>
      <c r="C39" s="20">
        <v>658010118453</v>
      </c>
      <c r="D39" s="20"/>
      <c r="E39" s="20"/>
      <c r="F39" s="26">
        <v>0.17</v>
      </c>
      <c r="G39" s="20"/>
      <c r="H39" s="12">
        <v>43.079399999999993</v>
      </c>
      <c r="I39" s="21"/>
      <c r="J39" s="14">
        <f t="shared" si="0"/>
        <v>0</v>
      </c>
      <c r="M39" s="30" t="str">
        <f t="shared" si="1"/>
        <v>-</v>
      </c>
      <c r="N39" s="30" t="str">
        <f t="shared" si="2"/>
        <v>-</v>
      </c>
      <c r="O39" s="31" t="str">
        <f t="shared" si="3"/>
        <v>-</v>
      </c>
      <c r="P39" s="32" t="str">
        <f t="shared" si="4"/>
        <v>-</v>
      </c>
      <c r="Q39" s="27"/>
      <c r="R39" s="32" t="str">
        <f t="shared" si="5"/>
        <v>-</v>
      </c>
    </row>
    <row r="40" spans="1:18" s="13" customFormat="1" ht="11.25" hidden="1" customHeight="1">
      <c r="A40" s="18">
        <v>102418</v>
      </c>
      <c r="B40" s="19" t="s">
        <v>49</v>
      </c>
      <c r="C40" s="20">
        <v>658010118330</v>
      </c>
      <c r="D40" s="20"/>
      <c r="E40" s="20"/>
      <c r="F40" s="26">
        <v>0.12</v>
      </c>
      <c r="G40" s="20"/>
      <c r="H40" s="12">
        <v>38.543399999999998</v>
      </c>
      <c r="I40" s="21"/>
      <c r="J40" s="14">
        <f t="shared" si="0"/>
        <v>0</v>
      </c>
      <c r="M40" s="30" t="str">
        <f t="shared" si="1"/>
        <v>-</v>
      </c>
      <c r="N40" s="30" t="str">
        <f t="shared" si="2"/>
        <v>-</v>
      </c>
      <c r="O40" s="31" t="str">
        <f t="shared" si="3"/>
        <v>-</v>
      </c>
      <c r="P40" s="32" t="str">
        <f t="shared" si="4"/>
        <v>-</v>
      </c>
      <c r="Q40" s="27"/>
      <c r="R40" s="32" t="str">
        <f t="shared" si="5"/>
        <v>-</v>
      </c>
    </row>
    <row r="41" spans="1:18" s="13" customFormat="1" ht="11.25" hidden="1" customHeight="1">
      <c r="A41" s="18">
        <v>102416</v>
      </c>
      <c r="B41" s="19" t="s">
        <v>50</v>
      </c>
      <c r="C41" s="20">
        <v>658010118316</v>
      </c>
      <c r="D41" s="20"/>
      <c r="E41" s="20"/>
      <c r="F41" s="26">
        <v>0.2</v>
      </c>
      <c r="G41" s="20"/>
      <c r="H41" s="12">
        <v>38.543399999999998</v>
      </c>
      <c r="I41" s="21"/>
      <c r="J41" s="14">
        <f t="shared" si="0"/>
        <v>0</v>
      </c>
      <c r="M41" s="30" t="str">
        <f t="shared" si="1"/>
        <v>-</v>
      </c>
      <c r="N41" s="30" t="str">
        <f t="shared" si="2"/>
        <v>-</v>
      </c>
      <c r="O41" s="31" t="str">
        <f t="shared" si="3"/>
        <v>-</v>
      </c>
      <c r="P41" s="32" t="str">
        <f t="shared" si="4"/>
        <v>-</v>
      </c>
      <c r="Q41" s="27"/>
      <c r="R41" s="32" t="str">
        <f t="shared" si="5"/>
        <v>-</v>
      </c>
    </row>
    <row r="42" spans="1:18" s="13" customFormat="1" ht="11.25" customHeight="1">
      <c r="A42" s="18">
        <v>102415</v>
      </c>
      <c r="B42" s="19" t="s">
        <v>51</v>
      </c>
      <c r="C42" s="20">
        <v>658010118309</v>
      </c>
      <c r="D42" s="20"/>
      <c r="E42" s="20"/>
      <c r="F42" s="26">
        <v>0</v>
      </c>
      <c r="G42" s="20"/>
      <c r="H42" s="12">
        <v>38.543399999999998</v>
      </c>
      <c r="I42" s="21"/>
      <c r="J42" s="14">
        <f t="shared" si="0"/>
        <v>0</v>
      </c>
      <c r="M42" s="30" t="str">
        <f t="shared" si="1"/>
        <v>-</v>
      </c>
      <c r="N42" s="30" t="str">
        <f t="shared" si="2"/>
        <v>-</v>
      </c>
      <c r="O42" s="31" t="str">
        <f t="shared" si="3"/>
        <v>-</v>
      </c>
      <c r="P42" s="32" t="str">
        <f t="shared" si="4"/>
        <v>-</v>
      </c>
      <c r="Q42" s="27"/>
      <c r="R42" s="32" t="str">
        <f t="shared" si="5"/>
        <v>-</v>
      </c>
    </row>
    <row r="43" spans="1:18" s="13" customFormat="1" ht="11.25" hidden="1" customHeight="1">
      <c r="A43" s="18">
        <v>102419</v>
      </c>
      <c r="B43" s="19" t="s">
        <v>52</v>
      </c>
      <c r="C43" s="20">
        <v>658010118347</v>
      </c>
      <c r="D43" s="20"/>
      <c r="E43" s="20"/>
      <c r="F43" s="26">
        <v>0.2</v>
      </c>
      <c r="G43" s="20"/>
      <c r="H43" s="12">
        <v>38.543399999999998</v>
      </c>
      <c r="I43" s="21"/>
      <c r="J43" s="14">
        <f t="shared" si="0"/>
        <v>0</v>
      </c>
      <c r="M43" s="30" t="str">
        <f t="shared" si="1"/>
        <v>-</v>
      </c>
      <c r="N43" s="30" t="str">
        <f t="shared" si="2"/>
        <v>-</v>
      </c>
      <c r="O43" s="31" t="str">
        <f t="shared" si="3"/>
        <v>-</v>
      </c>
      <c r="P43" s="32" t="str">
        <f t="shared" si="4"/>
        <v>-</v>
      </c>
      <c r="Q43" s="27"/>
      <c r="R43" s="32" t="str">
        <f t="shared" si="5"/>
        <v>-</v>
      </c>
    </row>
    <row r="44" spans="1:18" s="13" customFormat="1" ht="11.25" hidden="1" customHeight="1">
      <c r="A44" s="18">
        <v>102779</v>
      </c>
      <c r="B44" s="19" t="s">
        <v>53</v>
      </c>
      <c r="C44" s="20">
        <v>658010120081</v>
      </c>
      <c r="D44" s="20"/>
      <c r="E44" s="20"/>
      <c r="F44" s="26">
        <v>0.16</v>
      </c>
      <c r="G44" s="20"/>
      <c r="H44" s="12">
        <v>21.9114</v>
      </c>
      <c r="I44" s="21"/>
      <c r="J44" s="14">
        <f t="shared" si="0"/>
        <v>0</v>
      </c>
      <c r="M44" s="30" t="str">
        <f t="shared" si="1"/>
        <v>-</v>
      </c>
      <c r="N44" s="30" t="str">
        <f t="shared" si="2"/>
        <v>-</v>
      </c>
      <c r="O44" s="31" t="str">
        <f t="shared" si="3"/>
        <v>-</v>
      </c>
      <c r="P44" s="32" t="str">
        <f t="shared" si="4"/>
        <v>-</v>
      </c>
      <c r="Q44" s="27"/>
      <c r="R44" s="32" t="str">
        <f t="shared" si="5"/>
        <v>-</v>
      </c>
    </row>
    <row r="45" spans="1:18" s="13" customFormat="1" ht="11.25" customHeight="1">
      <c r="A45" s="18">
        <v>102427</v>
      </c>
      <c r="B45" s="19" t="s">
        <v>54</v>
      </c>
      <c r="C45" s="20">
        <v>658010118422</v>
      </c>
      <c r="D45" s="20"/>
      <c r="E45" s="20"/>
      <c r="F45" s="26">
        <v>0</v>
      </c>
      <c r="G45" s="20"/>
      <c r="H45" s="12">
        <v>21.155399999999997</v>
      </c>
      <c r="I45" s="21"/>
      <c r="J45" s="14">
        <f t="shared" si="0"/>
        <v>0</v>
      </c>
      <c r="M45" s="30" t="str">
        <f t="shared" si="1"/>
        <v>-</v>
      </c>
      <c r="N45" s="30" t="str">
        <f t="shared" si="2"/>
        <v>-</v>
      </c>
      <c r="O45" s="31" t="str">
        <f t="shared" si="3"/>
        <v>-</v>
      </c>
      <c r="P45" s="32" t="str">
        <f t="shared" si="4"/>
        <v>-</v>
      </c>
      <c r="Q45" s="27"/>
      <c r="R45" s="32" t="str">
        <f t="shared" si="5"/>
        <v>-</v>
      </c>
    </row>
    <row r="46" spans="1:18" s="13" customFormat="1" ht="11.25" hidden="1" customHeight="1">
      <c r="A46" s="18">
        <v>103114</v>
      </c>
      <c r="B46" s="19" t="s">
        <v>55</v>
      </c>
      <c r="C46" s="20">
        <v>658010122146</v>
      </c>
      <c r="D46" s="20"/>
      <c r="E46" s="20"/>
      <c r="F46" s="26">
        <v>0.21</v>
      </c>
      <c r="G46" s="20"/>
      <c r="H46" s="12">
        <v>21.155399999999997</v>
      </c>
      <c r="I46" s="21"/>
      <c r="J46" s="14">
        <f t="shared" si="0"/>
        <v>0</v>
      </c>
      <c r="M46" s="30" t="str">
        <f t="shared" si="1"/>
        <v>-</v>
      </c>
      <c r="N46" s="30" t="str">
        <f t="shared" si="2"/>
        <v>-</v>
      </c>
      <c r="O46" s="31" t="str">
        <f t="shared" si="3"/>
        <v>-</v>
      </c>
      <c r="P46" s="32" t="str">
        <f t="shared" si="4"/>
        <v>-</v>
      </c>
      <c r="Q46" s="27"/>
      <c r="R46" s="32" t="str">
        <f t="shared" si="5"/>
        <v>-</v>
      </c>
    </row>
    <row r="47" spans="1:18" s="13" customFormat="1" ht="11.25" customHeight="1">
      <c r="A47" s="18">
        <v>103128</v>
      </c>
      <c r="B47" s="19" t="s">
        <v>56</v>
      </c>
      <c r="C47" s="20">
        <v>658010122207</v>
      </c>
      <c r="D47" s="20"/>
      <c r="E47" s="20"/>
      <c r="F47" s="26">
        <v>0</v>
      </c>
      <c r="G47" s="20"/>
      <c r="H47" s="12">
        <v>21.155399999999997</v>
      </c>
      <c r="I47" s="21"/>
      <c r="J47" s="14">
        <f t="shared" si="0"/>
        <v>0</v>
      </c>
      <c r="M47" s="30" t="str">
        <f t="shared" si="1"/>
        <v>-</v>
      </c>
      <c r="N47" s="30" t="str">
        <f t="shared" si="2"/>
        <v>-</v>
      </c>
      <c r="O47" s="31" t="str">
        <f t="shared" si="3"/>
        <v>-</v>
      </c>
      <c r="P47" s="32" t="str">
        <f t="shared" si="4"/>
        <v>-</v>
      </c>
      <c r="Q47" s="27"/>
      <c r="R47" s="32" t="str">
        <f t="shared" si="5"/>
        <v>-</v>
      </c>
    </row>
    <row r="48" spans="1:18" s="13" customFormat="1" ht="11.25" hidden="1" customHeight="1">
      <c r="A48" s="18">
        <v>103328</v>
      </c>
      <c r="B48" s="19" t="s">
        <v>57</v>
      </c>
      <c r="C48" s="20">
        <v>658010123327</v>
      </c>
      <c r="D48" s="20"/>
      <c r="E48" s="20"/>
      <c r="F48" s="26">
        <v>0.1</v>
      </c>
      <c r="G48" s="20"/>
      <c r="H48" s="12">
        <v>36.275399999999998</v>
      </c>
      <c r="I48" s="21"/>
      <c r="J48" s="14">
        <f t="shared" si="0"/>
        <v>0</v>
      </c>
      <c r="M48" s="30" t="str">
        <f t="shared" si="1"/>
        <v>-</v>
      </c>
      <c r="N48" s="30" t="str">
        <f t="shared" si="2"/>
        <v>-</v>
      </c>
      <c r="O48" s="31" t="str">
        <f t="shared" si="3"/>
        <v>-</v>
      </c>
      <c r="P48" s="32" t="str">
        <f t="shared" si="4"/>
        <v>-</v>
      </c>
      <c r="Q48" s="27"/>
      <c r="R48" s="32" t="str">
        <f t="shared" si="5"/>
        <v>-</v>
      </c>
    </row>
    <row r="49" spans="1:18" s="13" customFormat="1" ht="11.25" hidden="1" customHeight="1">
      <c r="A49" s="18">
        <v>103330</v>
      </c>
      <c r="B49" s="19" t="s">
        <v>58</v>
      </c>
      <c r="C49" s="20">
        <v>658010123341</v>
      </c>
      <c r="D49" s="20"/>
      <c r="E49" s="20"/>
      <c r="F49" s="26">
        <v>0.09</v>
      </c>
      <c r="G49" s="20"/>
      <c r="H49" s="12">
        <v>36.275399999999998</v>
      </c>
      <c r="I49" s="21"/>
      <c r="J49" s="14">
        <f t="shared" si="0"/>
        <v>0</v>
      </c>
      <c r="M49" s="30" t="str">
        <f t="shared" si="1"/>
        <v>-</v>
      </c>
      <c r="N49" s="30" t="str">
        <f t="shared" si="2"/>
        <v>-</v>
      </c>
      <c r="O49" s="31" t="str">
        <f t="shared" si="3"/>
        <v>-</v>
      </c>
      <c r="P49" s="32" t="str">
        <f t="shared" si="4"/>
        <v>-</v>
      </c>
      <c r="Q49" s="27"/>
      <c r="R49" s="32" t="str">
        <f t="shared" si="5"/>
        <v>-</v>
      </c>
    </row>
    <row r="50" spans="1:18" s="13" customFormat="1" ht="11.25" hidden="1" customHeight="1">
      <c r="A50" s="18">
        <v>103329</v>
      </c>
      <c r="B50" s="19" t="s">
        <v>59</v>
      </c>
      <c r="C50" s="20">
        <v>658010123334</v>
      </c>
      <c r="D50" s="20"/>
      <c r="E50" s="20"/>
      <c r="F50" s="26">
        <v>0.1</v>
      </c>
      <c r="G50" s="20"/>
      <c r="H50" s="12">
        <v>45.347400000000007</v>
      </c>
      <c r="I50" s="21"/>
      <c r="J50" s="14">
        <f t="shared" si="0"/>
        <v>0</v>
      </c>
      <c r="M50" s="30" t="str">
        <f t="shared" si="1"/>
        <v>-</v>
      </c>
      <c r="N50" s="30" t="str">
        <f t="shared" si="2"/>
        <v>-</v>
      </c>
      <c r="O50" s="31" t="str">
        <f t="shared" si="3"/>
        <v>-</v>
      </c>
      <c r="P50" s="32" t="str">
        <f t="shared" si="4"/>
        <v>-</v>
      </c>
      <c r="Q50" s="27"/>
      <c r="R50" s="32" t="str">
        <f t="shared" si="5"/>
        <v>-</v>
      </c>
    </row>
    <row r="51" spans="1:18" s="13" customFormat="1" ht="11.25" hidden="1" customHeight="1">
      <c r="A51" s="18">
        <v>102414</v>
      </c>
      <c r="B51" s="19" t="s">
        <v>60</v>
      </c>
      <c r="C51" s="20">
        <v>658010118293</v>
      </c>
      <c r="D51" s="20"/>
      <c r="E51" s="20"/>
      <c r="F51" s="26">
        <v>0.09</v>
      </c>
      <c r="G51" s="20"/>
      <c r="H51" s="12">
        <v>34.763399999999997</v>
      </c>
      <c r="I51" s="21"/>
      <c r="J51" s="14">
        <f t="shared" si="0"/>
        <v>0</v>
      </c>
      <c r="M51" s="30" t="str">
        <f t="shared" si="1"/>
        <v>-</v>
      </c>
      <c r="N51" s="30" t="str">
        <f t="shared" si="2"/>
        <v>-</v>
      </c>
      <c r="O51" s="31" t="str">
        <f t="shared" si="3"/>
        <v>-</v>
      </c>
      <c r="P51" s="32" t="str">
        <f t="shared" si="4"/>
        <v>-</v>
      </c>
      <c r="Q51" s="27"/>
      <c r="R51" s="32" t="str">
        <f t="shared" si="5"/>
        <v>-</v>
      </c>
    </row>
    <row r="52" spans="1:18" s="13" customFormat="1" ht="11.25" hidden="1" customHeight="1">
      <c r="A52" s="18">
        <v>102417</v>
      </c>
      <c r="B52" s="19" t="s">
        <v>61</v>
      </c>
      <c r="C52" s="20">
        <v>658010118323</v>
      </c>
      <c r="D52" s="20"/>
      <c r="E52" s="20"/>
      <c r="F52" s="26">
        <v>0.09</v>
      </c>
      <c r="G52" s="20"/>
      <c r="H52" s="12">
        <v>34.763399999999997</v>
      </c>
      <c r="I52" s="21"/>
      <c r="J52" s="14">
        <f t="shared" si="0"/>
        <v>0</v>
      </c>
      <c r="M52" s="30" t="str">
        <f t="shared" si="1"/>
        <v>-</v>
      </c>
      <c r="N52" s="30" t="str">
        <f t="shared" si="2"/>
        <v>-</v>
      </c>
      <c r="O52" s="31" t="str">
        <f t="shared" si="3"/>
        <v>-</v>
      </c>
      <c r="P52" s="32" t="str">
        <f t="shared" si="4"/>
        <v>-</v>
      </c>
      <c r="Q52" s="27"/>
      <c r="R52" s="32" t="str">
        <f t="shared" si="5"/>
        <v>-</v>
      </c>
    </row>
    <row r="53" spans="1:18" s="13" customFormat="1" ht="11.25" hidden="1" customHeight="1">
      <c r="A53" s="18">
        <v>102775</v>
      </c>
      <c r="B53" s="19" t="s">
        <v>62</v>
      </c>
      <c r="C53" s="20">
        <v>658010120043</v>
      </c>
      <c r="D53" s="20"/>
      <c r="E53" s="20"/>
      <c r="F53" s="26">
        <v>0.11</v>
      </c>
      <c r="G53" s="20"/>
      <c r="H53" s="12">
        <v>38.543399999999998</v>
      </c>
      <c r="I53" s="21"/>
      <c r="J53" s="14">
        <f t="shared" si="0"/>
        <v>0</v>
      </c>
      <c r="M53" s="30" t="str">
        <f t="shared" si="1"/>
        <v>-</v>
      </c>
      <c r="N53" s="30" t="str">
        <f t="shared" si="2"/>
        <v>-</v>
      </c>
      <c r="O53" s="31" t="str">
        <f t="shared" si="3"/>
        <v>-</v>
      </c>
      <c r="P53" s="32" t="str">
        <f t="shared" si="4"/>
        <v>-</v>
      </c>
      <c r="Q53" s="27"/>
      <c r="R53" s="32" t="str">
        <f t="shared" si="5"/>
        <v>-</v>
      </c>
    </row>
    <row r="54" spans="1:18" s="13" customFormat="1" ht="11.25" hidden="1" customHeight="1">
      <c r="A54" s="18">
        <v>102776</v>
      </c>
      <c r="B54" s="19" t="s">
        <v>63</v>
      </c>
      <c r="C54" s="20">
        <v>658010120050</v>
      </c>
      <c r="D54" s="20"/>
      <c r="E54" s="20"/>
      <c r="F54" s="26">
        <v>0.1</v>
      </c>
      <c r="G54" s="20"/>
      <c r="H54" s="12">
        <v>38.543399999999998</v>
      </c>
      <c r="I54" s="21"/>
      <c r="J54" s="14">
        <f t="shared" si="0"/>
        <v>0</v>
      </c>
      <c r="M54" s="30" t="str">
        <f t="shared" si="1"/>
        <v>-</v>
      </c>
      <c r="N54" s="30" t="str">
        <f t="shared" si="2"/>
        <v>-</v>
      </c>
      <c r="O54" s="31" t="str">
        <f t="shared" si="3"/>
        <v>-</v>
      </c>
      <c r="P54" s="32" t="str">
        <f t="shared" si="4"/>
        <v>-</v>
      </c>
      <c r="Q54" s="27"/>
      <c r="R54" s="32" t="str">
        <f t="shared" si="5"/>
        <v>-</v>
      </c>
    </row>
    <row r="55" spans="1:18" s="13" customFormat="1" ht="11.25" hidden="1" customHeight="1">
      <c r="A55" s="18">
        <v>102777</v>
      </c>
      <c r="B55" s="19" t="s">
        <v>64</v>
      </c>
      <c r="C55" s="20">
        <v>658010120067</v>
      </c>
      <c r="D55" s="20"/>
      <c r="E55" s="20"/>
      <c r="F55" s="26">
        <v>0.1</v>
      </c>
      <c r="G55" s="20"/>
      <c r="H55" s="12">
        <v>38.543399999999998</v>
      </c>
      <c r="I55" s="21"/>
      <c r="J55" s="14">
        <f t="shared" si="0"/>
        <v>0</v>
      </c>
      <c r="M55" s="30" t="str">
        <f t="shared" si="1"/>
        <v>-</v>
      </c>
      <c r="N55" s="30" t="str">
        <f t="shared" si="2"/>
        <v>-</v>
      </c>
      <c r="O55" s="31" t="str">
        <f t="shared" si="3"/>
        <v>-</v>
      </c>
      <c r="P55" s="32" t="str">
        <f t="shared" si="4"/>
        <v>-</v>
      </c>
      <c r="Q55" s="27"/>
      <c r="R55" s="32" t="str">
        <f t="shared" si="5"/>
        <v>-</v>
      </c>
    </row>
    <row r="56" spans="1:18" s="13" customFormat="1" ht="11.25" hidden="1" customHeight="1">
      <c r="A56" s="18">
        <v>102774</v>
      </c>
      <c r="B56" s="19" t="s">
        <v>65</v>
      </c>
      <c r="C56" s="20">
        <v>658010120036</v>
      </c>
      <c r="D56" s="20"/>
      <c r="E56" s="20"/>
      <c r="F56" s="26">
        <v>0.08</v>
      </c>
      <c r="G56" s="20"/>
      <c r="H56" s="12">
        <v>21.9114</v>
      </c>
      <c r="I56" s="21"/>
      <c r="J56" s="14">
        <f t="shared" si="0"/>
        <v>0</v>
      </c>
      <c r="M56" s="30" t="str">
        <f t="shared" si="1"/>
        <v>-</v>
      </c>
      <c r="N56" s="30" t="str">
        <f t="shared" si="2"/>
        <v>-</v>
      </c>
      <c r="O56" s="31" t="str">
        <f t="shared" si="3"/>
        <v>-</v>
      </c>
      <c r="P56" s="32" t="str">
        <f t="shared" si="4"/>
        <v>-</v>
      </c>
      <c r="Q56" s="27"/>
      <c r="R56" s="32" t="str">
        <f t="shared" si="5"/>
        <v>-</v>
      </c>
    </row>
    <row r="57" spans="1:18" s="13" customFormat="1" ht="11.25" hidden="1" customHeight="1">
      <c r="A57" s="18">
        <v>102987</v>
      </c>
      <c r="B57" s="19" t="s">
        <v>66</v>
      </c>
      <c r="C57" s="20">
        <v>658010121194</v>
      </c>
      <c r="D57" s="20"/>
      <c r="E57" s="20"/>
      <c r="F57" s="26">
        <v>0.14000000000000001</v>
      </c>
      <c r="G57" s="20"/>
      <c r="H57" s="12">
        <v>21.155399999999997</v>
      </c>
      <c r="I57" s="21"/>
      <c r="J57" s="14">
        <f t="shared" si="0"/>
        <v>0</v>
      </c>
      <c r="M57" s="30" t="str">
        <f t="shared" si="1"/>
        <v>-</v>
      </c>
      <c r="N57" s="30" t="str">
        <f t="shared" si="2"/>
        <v>-</v>
      </c>
      <c r="O57" s="31" t="str">
        <f t="shared" si="3"/>
        <v>-</v>
      </c>
      <c r="P57" s="32" t="str">
        <f t="shared" si="4"/>
        <v>-</v>
      </c>
      <c r="Q57" s="27"/>
      <c r="R57" s="32" t="str">
        <f t="shared" si="5"/>
        <v>-</v>
      </c>
    </row>
    <row r="58" spans="1:18" s="13" customFormat="1" ht="11.25" hidden="1" customHeight="1">
      <c r="A58" s="18">
        <v>103115</v>
      </c>
      <c r="B58" s="19" t="s">
        <v>67</v>
      </c>
      <c r="C58" s="20">
        <v>658010122153</v>
      </c>
      <c r="D58" s="20"/>
      <c r="E58" s="20"/>
      <c r="F58" s="26">
        <v>0.14000000000000001</v>
      </c>
      <c r="G58" s="20"/>
      <c r="H58" s="12">
        <v>21.155399999999997</v>
      </c>
      <c r="I58" s="21"/>
      <c r="J58" s="14">
        <f t="shared" si="0"/>
        <v>0</v>
      </c>
      <c r="M58" s="30" t="str">
        <f t="shared" si="1"/>
        <v>-</v>
      </c>
      <c r="N58" s="30" t="str">
        <f t="shared" si="2"/>
        <v>-</v>
      </c>
      <c r="O58" s="31" t="str">
        <f t="shared" si="3"/>
        <v>-</v>
      </c>
      <c r="P58" s="32" t="str">
        <f t="shared" si="4"/>
        <v>-</v>
      </c>
      <c r="Q58" s="27"/>
      <c r="R58" s="32" t="str">
        <f t="shared" si="5"/>
        <v>-</v>
      </c>
    </row>
    <row r="59" spans="1:18" s="13" customFormat="1" ht="11.25" hidden="1" customHeight="1">
      <c r="A59" s="18">
        <v>103129</v>
      </c>
      <c r="B59" s="19" t="s">
        <v>68</v>
      </c>
      <c r="C59" s="20">
        <v>658010122214</v>
      </c>
      <c r="D59" s="20"/>
      <c r="E59" s="20"/>
      <c r="F59" s="26">
        <v>0.14000000000000001</v>
      </c>
      <c r="G59" s="20"/>
      <c r="H59" s="12">
        <v>21.155399999999997</v>
      </c>
      <c r="I59" s="21"/>
      <c r="J59" s="14">
        <f t="shared" si="0"/>
        <v>0</v>
      </c>
      <c r="M59" s="30" t="str">
        <f t="shared" si="1"/>
        <v>-</v>
      </c>
      <c r="N59" s="30" t="str">
        <f t="shared" si="2"/>
        <v>-</v>
      </c>
      <c r="O59" s="31" t="str">
        <f t="shared" si="3"/>
        <v>-</v>
      </c>
      <c r="P59" s="32" t="str">
        <f t="shared" si="4"/>
        <v>-</v>
      </c>
      <c r="Q59" s="27"/>
      <c r="R59" s="32" t="str">
        <f t="shared" si="5"/>
        <v>-</v>
      </c>
    </row>
    <row r="60" spans="1:18" s="13" customFormat="1" ht="11.25" customHeight="1">
      <c r="A60" s="18">
        <v>101986</v>
      </c>
      <c r="B60" s="19" t="s">
        <v>69</v>
      </c>
      <c r="C60" s="20">
        <v>658010115711</v>
      </c>
      <c r="D60" s="20"/>
      <c r="E60" s="20"/>
      <c r="F60" s="26">
        <v>0</v>
      </c>
      <c r="G60" s="20"/>
      <c r="H60" s="12">
        <v>16.619399999999999</v>
      </c>
      <c r="I60" s="21"/>
      <c r="J60" s="14">
        <f t="shared" si="0"/>
        <v>0</v>
      </c>
      <c r="M60" s="30" t="str">
        <f t="shared" si="1"/>
        <v>-</v>
      </c>
      <c r="N60" s="30" t="str">
        <f t="shared" si="2"/>
        <v>-</v>
      </c>
      <c r="O60" s="31" t="str">
        <f t="shared" si="3"/>
        <v>-</v>
      </c>
      <c r="P60" s="32" t="str">
        <f t="shared" si="4"/>
        <v>-</v>
      </c>
      <c r="Q60" s="27"/>
      <c r="R60" s="32" t="str">
        <f t="shared" si="5"/>
        <v>-</v>
      </c>
    </row>
    <row r="61" spans="1:18" s="13" customFormat="1" ht="11.25" hidden="1" customHeight="1">
      <c r="A61" s="18">
        <v>101985</v>
      </c>
      <c r="B61" s="19" t="s">
        <v>70</v>
      </c>
      <c r="C61" s="20">
        <v>658010115704</v>
      </c>
      <c r="D61" s="20"/>
      <c r="E61" s="20"/>
      <c r="F61" s="26">
        <v>0.95</v>
      </c>
      <c r="G61" s="20"/>
      <c r="H61" s="12">
        <v>29.471399999999999</v>
      </c>
      <c r="I61" s="21"/>
      <c r="J61" s="14">
        <f t="shared" si="0"/>
        <v>0</v>
      </c>
      <c r="M61" s="30" t="str">
        <f t="shared" si="1"/>
        <v>-</v>
      </c>
      <c r="N61" s="30" t="str">
        <f t="shared" si="2"/>
        <v>-</v>
      </c>
      <c r="O61" s="31" t="str">
        <f t="shared" si="3"/>
        <v>-</v>
      </c>
      <c r="P61" s="32" t="str">
        <f t="shared" si="4"/>
        <v>-</v>
      </c>
      <c r="Q61" s="27"/>
      <c r="R61" s="32" t="str">
        <f t="shared" si="5"/>
        <v>-</v>
      </c>
    </row>
    <row r="62" spans="1:18" s="13" customFormat="1" ht="11.25" customHeight="1">
      <c r="A62" s="18">
        <v>101233</v>
      </c>
      <c r="B62" s="19" t="s">
        <v>71</v>
      </c>
      <c r="C62" s="20">
        <v>658010112987</v>
      </c>
      <c r="D62" s="20"/>
      <c r="E62" s="20"/>
      <c r="F62" s="26">
        <v>0</v>
      </c>
      <c r="G62" s="20"/>
      <c r="H62" s="12">
        <v>10.571400000000001</v>
      </c>
      <c r="I62" s="21"/>
      <c r="J62" s="14">
        <f t="shared" si="0"/>
        <v>0</v>
      </c>
      <c r="M62" s="30" t="str">
        <f t="shared" si="1"/>
        <v>-</v>
      </c>
      <c r="N62" s="30" t="str">
        <f t="shared" si="2"/>
        <v>-</v>
      </c>
      <c r="O62" s="31" t="str">
        <f t="shared" si="3"/>
        <v>-</v>
      </c>
      <c r="P62" s="32" t="str">
        <f t="shared" si="4"/>
        <v>-</v>
      </c>
      <c r="Q62" s="27"/>
      <c r="R62" s="32" t="str">
        <f t="shared" si="5"/>
        <v>-</v>
      </c>
    </row>
    <row r="63" spans="1:18" s="13" customFormat="1" ht="11.25" hidden="1" customHeight="1">
      <c r="A63" s="18">
        <v>100066</v>
      </c>
      <c r="B63" s="19" t="s">
        <v>72</v>
      </c>
      <c r="C63" s="20">
        <v>658010111386</v>
      </c>
      <c r="D63" s="20"/>
      <c r="E63" s="20"/>
      <c r="F63" s="26">
        <v>0.7</v>
      </c>
      <c r="G63" s="20"/>
      <c r="H63" s="12">
        <v>22.667399999999997</v>
      </c>
      <c r="I63" s="21"/>
      <c r="J63" s="14">
        <f t="shared" si="0"/>
        <v>0</v>
      </c>
      <c r="M63" s="30" t="str">
        <f t="shared" si="1"/>
        <v>-</v>
      </c>
      <c r="N63" s="30" t="str">
        <f t="shared" si="2"/>
        <v>-</v>
      </c>
      <c r="O63" s="31" t="str">
        <f t="shared" si="3"/>
        <v>-</v>
      </c>
      <c r="P63" s="32" t="str">
        <f t="shared" si="4"/>
        <v>-</v>
      </c>
      <c r="Q63" s="27"/>
      <c r="R63" s="32" t="str">
        <f t="shared" si="5"/>
        <v>-</v>
      </c>
    </row>
    <row r="64" spans="1:18" s="13" customFormat="1" ht="11.25" hidden="1" customHeight="1">
      <c r="A64" s="18">
        <v>101223</v>
      </c>
      <c r="B64" s="19" t="s">
        <v>73</v>
      </c>
      <c r="C64" s="20">
        <v>658010112895</v>
      </c>
      <c r="D64" s="20"/>
      <c r="E64" s="20"/>
      <c r="F64" s="26">
        <v>0.38</v>
      </c>
      <c r="G64" s="20"/>
      <c r="H64" s="12">
        <v>19.6434</v>
      </c>
      <c r="I64" s="21"/>
      <c r="J64" s="14">
        <f t="shared" si="0"/>
        <v>0</v>
      </c>
      <c r="M64" s="30" t="str">
        <f t="shared" si="1"/>
        <v>-</v>
      </c>
      <c r="N64" s="30" t="str">
        <f t="shared" si="2"/>
        <v>-</v>
      </c>
      <c r="O64" s="31" t="str">
        <f t="shared" si="3"/>
        <v>-</v>
      </c>
      <c r="P64" s="32" t="str">
        <f t="shared" si="4"/>
        <v>-</v>
      </c>
      <c r="Q64" s="27"/>
      <c r="R64" s="32" t="str">
        <f t="shared" si="5"/>
        <v>-</v>
      </c>
    </row>
    <row r="65" spans="1:18" s="13" customFormat="1" ht="11.25" hidden="1" customHeight="1">
      <c r="A65" s="18">
        <v>102425</v>
      </c>
      <c r="B65" s="19" t="s">
        <v>74</v>
      </c>
      <c r="C65" s="20">
        <v>658010118408</v>
      </c>
      <c r="D65" s="20"/>
      <c r="E65" s="20"/>
      <c r="F65" s="26">
        <v>0.26</v>
      </c>
      <c r="G65" s="20"/>
      <c r="H65" s="12">
        <v>17.375399999999999</v>
      </c>
      <c r="I65" s="21"/>
      <c r="J65" s="14">
        <f t="shared" si="0"/>
        <v>0</v>
      </c>
      <c r="M65" s="30" t="str">
        <f t="shared" si="1"/>
        <v>-</v>
      </c>
      <c r="N65" s="30" t="str">
        <f t="shared" si="2"/>
        <v>-</v>
      </c>
      <c r="O65" s="31" t="str">
        <f t="shared" si="3"/>
        <v>-</v>
      </c>
      <c r="P65" s="32" t="str">
        <f t="shared" si="4"/>
        <v>-</v>
      </c>
      <c r="Q65" s="27"/>
      <c r="R65" s="32" t="str">
        <f t="shared" si="5"/>
        <v>-</v>
      </c>
    </row>
    <row r="66" spans="1:18" s="13" customFormat="1" ht="11.25" hidden="1" customHeight="1">
      <c r="A66" s="18">
        <v>102426</v>
      </c>
      <c r="B66" s="19" t="s">
        <v>75</v>
      </c>
      <c r="C66" s="20">
        <v>658010118415</v>
      </c>
      <c r="D66" s="20"/>
      <c r="E66" s="20"/>
      <c r="F66" s="26">
        <v>0.91</v>
      </c>
      <c r="G66" s="20"/>
      <c r="H66" s="12">
        <v>17.375399999999999</v>
      </c>
      <c r="I66" s="21"/>
      <c r="J66" s="14">
        <f t="shared" si="0"/>
        <v>0</v>
      </c>
      <c r="M66" s="30" t="str">
        <f t="shared" si="1"/>
        <v>-</v>
      </c>
      <c r="N66" s="30" t="str">
        <f t="shared" si="2"/>
        <v>-</v>
      </c>
      <c r="O66" s="31" t="str">
        <f t="shared" si="3"/>
        <v>-</v>
      </c>
      <c r="P66" s="32" t="str">
        <f t="shared" si="4"/>
        <v>-</v>
      </c>
      <c r="Q66" s="27"/>
      <c r="R66" s="32" t="str">
        <f t="shared" si="5"/>
        <v>-</v>
      </c>
    </row>
    <row r="67" spans="1:18" s="13" customFormat="1" ht="11.25" hidden="1" customHeight="1">
      <c r="A67" s="18">
        <v>104161</v>
      </c>
      <c r="B67" s="19" t="s">
        <v>76</v>
      </c>
      <c r="C67" s="20">
        <v>658010130899</v>
      </c>
      <c r="D67" s="20"/>
      <c r="E67" s="20"/>
      <c r="F67" s="26">
        <v>0.25</v>
      </c>
      <c r="G67" s="20"/>
      <c r="H67" s="12">
        <v>15.863399999999999</v>
      </c>
      <c r="I67" s="21"/>
      <c r="J67" s="14">
        <f t="shared" ref="J67:J130" si="6">I67*H67</f>
        <v>0</v>
      </c>
      <c r="M67" s="30" t="str">
        <f t="shared" si="1"/>
        <v>-</v>
      </c>
      <c r="N67" s="30" t="str">
        <f t="shared" si="2"/>
        <v>-</v>
      </c>
      <c r="O67" s="31" t="str">
        <f t="shared" si="3"/>
        <v>-</v>
      </c>
      <c r="P67" s="32" t="str">
        <f t="shared" si="4"/>
        <v>-</v>
      </c>
      <c r="Q67" s="27"/>
      <c r="R67" s="32" t="str">
        <f t="shared" si="5"/>
        <v>-</v>
      </c>
    </row>
    <row r="68" spans="1:18" s="13" customFormat="1" ht="11.25" hidden="1" customHeight="1">
      <c r="A68" s="18">
        <v>104341</v>
      </c>
      <c r="B68" s="19" t="s">
        <v>77</v>
      </c>
      <c r="C68" s="20">
        <v>658010132695</v>
      </c>
      <c r="D68" s="20"/>
      <c r="E68" s="20"/>
      <c r="F68" s="26">
        <v>0.22</v>
      </c>
      <c r="G68" s="20"/>
      <c r="H68" s="12">
        <v>15.863399999999999</v>
      </c>
      <c r="I68" s="21"/>
      <c r="J68" s="14">
        <f t="shared" si="6"/>
        <v>0</v>
      </c>
      <c r="M68" s="30" t="str">
        <f t="shared" ref="M68:M131" si="7">IFERROR(IF($M$2*F68=0, "-", $M$2*F68), "-")</f>
        <v>-</v>
      </c>
      <c r="N68" s="30" t="str">
        <f t="shared" ref="N68:N131" si="8">IF(I68&gt;0,H68+F68*I68/$O$2*$P$2/I68,"-")</f>
        <v>-</v>
      </c>
      <c r="O68" s="31" t="str">
        <f t="shared" ref="O68:O131" si="9">IF(I68&gt;0,I68*F68*1.113, "-")</f>
        <v>-</v>
      </c>
      <c r="P68" s="32" t="str">
        <f t="shared" ref="P68:P131" si="10">IFERROR(IF($M$2&gt;0, $M$2*O68, "-"), "-")</f>
        <v>-</v>
      </c>
      <c r="Q68" s="27"/>
      <c r="R68" s="32" t="str">
        <f t="shared" ref="R68:R131" si="11">IFERROR(IF(P68+J68=0, "-", IF(P68&gt;0, P68+J68, "-")), "-")</f>
        <v>-</v>
      </c>
    </row>
    <row r="69" spans="1:18" s="13" customFormat="1" ht="11.25" hidden="1" customHeight="1">
      <c r="A69" s="18">
        <v>104342</v>
      </c>
      <c r="B69" s="19" t="s">
        <v>78</v>
      </c>
      <c r="C69" s="20">
        <v>658010132701</v>
      </c>
      <c r="D69" s="20"/>
      <c r="E69" s="20"/>
      <c r="F69" s="26">
        <v>0.23</v>
      </c>
      <c r="G69" s="20"/>
      <c r="H69" s="12">
        <v>15.863399999999999</v>
      </c>
      <c r="I69" s="21"/>
      <c r="J69" s="14">
        <f t="shared" si="6"/>
        <v>0</v>
      </c>
      <c r="M69" s="30" t="str">
        <f t="shared" si="7"/>
        <v>-</v>
      </c>
      <c r="N69" s="30" t="str">
        <f t="shared" si="8"/>
        <v>-</v>
      </c>
      <c r="O69" s="31" t="str">
        <f t="shared" si="9"/>
        <v>-</v>
      </c>
      <c r="P69" s="32" t="str">
        <f t="shared" si="10"/>
        <v>-</v>
      </c>
      <c r="Q69" s="27"/>
      <c r="R69" s="32" t="str">
        <f t="shared" si="11"/>
        <v>-</v>
      </c>
    </row>
    <row r="70" spans="1:18" s="13" customFormat="1" ht="11.25" hidden="1" customHeight="1">
      <c r="A70" s="18">
        <v>103196</v>
      </c>
      <c r="B70" s="19" t="s">
        <v>79</v>
      </c>
      <c r="C70" s="20">
        <v>658010122788</v>
      </c>
      <c r="D70" s="20"/>
      <c r="E70" s="20"/>
      <c r="F70" s="26">
        <v>0.24</v>
      </c>
      <c r="G70" s="20"/>
      <c r="H70" s="12">
        <v>18.8874</v>
      </c>
      <c r="I70" s="21"/>
      <c r="J70" s="14">
        <f t="shared" si="6"/>
        <v>0</v>
      </c>
      <c r="M70" s="30" t="str">
        <f t="shared" si="7"/>
        <v>-</v>
      </c>
      <c r="N70" s="30" t="str">
        <f t="shared" si="8"/>
        <v>-</v>
      </c>
      <c r="O70" s="31" t="str">
        <f t="shared" si="9"/>
        <v>-</v>
      </c>
      <c r="P70" s="32" t="str">
        <f t="shared" si="10"/>
        <v>-</v>
      </c>
      <c r="Q70" s="27"/>
      <c r="R70" s="32" t="str">
        <f t="shared" si="11"/>
        <v>-</v>
      </c>
    </row>
    <row r="71" spans="1:18" s="13" customFormat="1" ht="11.25" hidden="1" customHeight="1">
      <c r="A71" s="18">
        <v>103195</v>
      </c>
      <c r="B71" s="19" t="s">
        <v>80</v>
      </c>
      <c r="C71" s="20">
        <v>658010122771</v>
      </c>
      <c r="D71" s="20"/>
      <c r="E71" s="20"/>
      <c r="F71" s="26">
        <v>0.47</v>
      </c>
      <c r="G71" s="20"/>
      <c r="H71" s="12">
        <v>32.495399999999997</v>
      </c>
      <c r="I71" s="21"/>
      <c r="J71" s="14">
        <f t="shared" si="6"/>
        <v>0</v>
      </c>
      <c r="M71" s="30" t="str">
        <f t="shared" si="7"/>
        <v>-</v>
      </c>
      <c r="N71" s="30" t="str">
        <f t="shared" si="8"/>
        <v>-</v>
      </c>
      <c r="O71" s="31" t="str">
        <f t="shared" si="9"/>
        <v>-</v>
      </c>
      <c r="P71" s="32" t="str">
        <f t="shared" si="10"/>
        <v>-</v>
      </c>
      <c r="Q71" s="27"/>
      <c r="R71" s="32" t="str">
        <f t="shared" si="11"/>
        <v>-</v>
      </c>
    </row>
    <row r="72" spans="1:18" s="13" customFormat="1" ht="11.25" hidden="1" customHeight="1">
      <c r="A72" s="18">
        <v>103197</v>
      </c>
      <c r="B72" s="19" t="s">
        <v>81</v>
      </c>
      <c r="C72" s="20">
        <v>658010122795</v>
      </c>
      <c r="D72" s="20"/>
      <c r="E72" s="20"/>
      <c r="F72" s="26">
        <v>0.24</v>
      </c>
      <c r="G72" s="20"/>
      <c r="H72" s="12">
        <v>18.8874</v>
      </c>
      <c r="I72" s="21"/>
      <c r="J72" s="14">
        <f t="shared" si="6"/>
        <v>0</v>
      </c>
      <c r="M72" s="30" t="str">
        <f t="shared" si="7"/>
        <v>-</v>
      </c>
      <c r="N72" s="30" t="str">
        <f t="shared" si="8"/>
        <v>-</v>
      </c>
      <c r="O72" s="31" t="str">
        <f t="shared" si="9"/>
        <v>-</v>
      </c>
      <c r="P72" s="32" t="str">
        <f t="shared" si="10"/>
        <v>-</v>
      </c>
      <c r="Q72" s="27"/>
      <c r="R72" s="32" t="str">
        <f t="shared" si="11"/>
        <v>-</v>
      </c>
    </row>
    <row r="73" spans="1:18" s="13" customFormat="1" ht="11.25" hidden="1" customHeight="1">
      <c r="A73" s="18">
        <v>103198</v>
      </c>
      <c r="B73" s="19" t="s">
        <v>82</v>
      </c>
      <c r="C73" s="20">
        <v>658010122801</v>
      </c>
      <c r="D73" s="20"/>
      <c r="E73" s="20"/>
      <c r="F73" s="26">
        <v>0.48</v>
      </c>
      <c r="G73" s="20"/>
      <c r="H73" s="12">
        <v>32.495399999999997</v>
      </c>
      <c r="I73" s="21"/>
      <c r="J73" s="14">
        <f t="shared" si="6"/>
        <v>0</v>
      </c>
      <c r="M73" s="30" t="str">
        <f t="shared" si="7"/>
        <v>-</v>
      </c>
      <c r="N73" s="30" t="str">
        <f t="shared" si="8"/>
        <v>-</v>
      </c>
      <c r="O73" s="31" t="str">
        <f t="shared" si="9"/>
        <v>-</v>
      </c>
      <c r="P73" s="32" t="str">
        <f t="shared" si="10"/>
        <v>-</v>
      </c>
      <c r="Q73" s="27"/>
      <c r="R73" s="32" t="str">
        <f t="shared" si="11"/>
        <v>-</v>
      </c>
    </row>
    <row r="74" spans="1:18" s="13" customFormat="1" ht="11.25" customHeight="1">
      <c r="A74" s="18">
        <v>101620</v>
      </c>
      <c r="B74" s="19" t="s">
        <v>83</v>
      </c>
      <c r="C74" s="20">
        <v>658010114226</v>
      </c>
      <c r="D74" s="20"/>
      <c r="E74" s="20"/>
      <c r="F74" s="26">
        <v>0</v>
      </c>
      <c r="G74" s="20"/>
      <c r="H74" s="12">
        <v>37.031399999999998</v>
      </c>
      <c r="I74" s="21"/>
      <c r="J74" s="14">
        <f t="shared" si="6"/>
        <v>0</v>
      </c>
      <c r="M74" s="30" t="str">
        <f t="shared" si="7"/>
        <v>-</v>
      </c>
      <c r="N74" s="30" t="str">
        <f t="shared" si="8"/>
        <v>-</v>
      </c>
      <c r="O74" s="31" t="str">
        <f t="shared" si="9"/>
        <v>-</v>
      </c>
      <c r="P74" s="32" t="str">
        <f t="shared" si="10"/>
        <v>-</v>
      </c>
      <c r="Q74" s="27"/>
      <c r="R74" s="32" t="str">
        <f t="shared" si="11"/>
        <v>-</v>
      </c>
    </row>
    <row r="75" spans="1:18" s="13" customFormat="1" ht="11.25" customHeight="1">
      <c r="A75" s="18">
        <v>101222</v>
      </c>
      <c r="B75" s="19" t="s">
        <v>84</v>
      </c>
      <c r="C75" s="20">
        <v>658010112888</v>
      </c>
      <c r="D75" s="20"/>
      <c r="E75" s="20"/>
      <c r="F75" s="26">
        <v>0</v>
      </c>
      <c r="G75" s="20"/>
      <c r="H75" s="12">
        <v>27.203399999999998</v>
      </c>
      <c r="I75" s="21"/>
      <c r="J75" s="14">
        <f t="shared" si="6"/>
        <v>0</v>
      </c>
      <c r="M75" s="30" t="str">
        <f t="shared" si="7"/>
        <v>-</v>
      </c>
      <c r="N75" s="30" t="str">
        <f t="shared" si="8"/>
        <v>-</v>
      </c>
      <c r="O75" s="31" t="str">
        <f t="shared" si="9"/>
        <v>-</v>
      </c>
      <c r="P75" s="32" t="str">
        <f t="shared" si="10"/>
        <v>-</v>
      </c>
      <c r="Q75" s="27"/>
      <c r="R75" s="32" t="str">
        <f t="shared" si="11"/>
        <v>-</v>
      </c>
    </row>
    <row r="76" spans="1:18" s="13" customFormat="1" ht="11.25" hidden="1" customHeight="1">
      <c r="A76" s="18">
        <v>102899</v>
      </c>
      <c r="B76" s="19" t="s">
        <v>85</v>
      </c>
      <c r="C76" s="20">
        <v>658010120715</v>
      </c>
      <c r="D76" s="20"/>
      <c r="E76" s="20"/>
      <c r="F76" s="26">
        <v>0.16</v>
      </c>
      <c r="G76" s="20"/>
      <c r="H76" s="12">
        <v>32.495399999999997</v>
      </c>
      <c r="I76" s="21"/>
      <c r="J76" s="14">
        <f t="shared" si="6"/>
        <v>0</v>
      </c>
      <c r="M76" s="30" t="str">
        <f t="shared" si="7"/>
        <v>-</v>
      </c>
      <c r="N76" s="30" t="str">
        <f t="shared" si="8"/>
        <v>-</v>
      </c>
      <c r="O76" s="31" t="str">
        <f t="shared" si="9"/>
        <v>-</v>
      </c>
      <c r="P76" s="32" t="str">
        <f t="shared" si="10"/>
        <v>-</v>
      </c>
      <c r="Q76" s="27"/>
      <c r="R76" s="32" t="str">
        <f t="shared" si="11"/>
        <v>-</v>
      </c>
    </row>
    <row r="77" spans="1:18" s="13" customFormat="1" ht="11.25" customHeight="1">
      <c r="A77" s="18">
        <v>103013</v>
      </c>
      <c r="B77" s="19" t="s">
        <v>86</v>
      </c>
      <c r="C77" s="20">
        <v>658010121279</v>
      </c>
      <c r="D77" s="20"/>
      <c r="E77" s="20"/>
      <c r="F77" s="26">
        <v>0</v>
      </c>
      <c r="G77" s="20"/>
      <c r="H77" s="12">
        <v>28.715399999999995</v>
      </c>
      <c r="I77" s="21"/>
      <c r="J77" s="14">
        <f t="shared" si="6"/>
        <v>0</v>
      </c>
      <c r="M77" s="30" t="str">
        <f t="shared" si="7"/>
        <v>-</v>
      </c>
      <c r="N77" s="30" t="str">
        <f t="shared" si="8"/>
        <v>-</v>
      </c>
      <c r="O77" s="31" t="str">
        <f t="shared" si="9"/>
        <v>-</v>
      </c>
      <c r="P77" s="32" t="str">
        <f t="shared" si="10"/>
        <v>-</v>
      </c>
      <c r="Q77" s="27"/>
      <c r="R77" s="32" t="str">
        <f t="shared" si="11"/>
        <v>-</v>
      </c>
    </row>
    <row r="78" spans="1:18" s="13" customFormat="1" ht="11.25" customHeight="1">
      <c r="A78" s="18">
        <v>102898</v>
      </c>
      <c r="B78" s="19" t="s">
        <v>87</v>
      </c>
      <c r="C78" s="20">
        <v>658010120708</v>
      </c>
      <c r="D78" s="20"/>
      <c r="E78" s="20"/>
      <c r="F78" s="26">
        <v>0</v>
      </c>
      <c r="G78" s="20"/>
      <c r="H78" s="12">
        <v>28.715399999999995</v>
      </c>
      <c r="I78" s="21"/>
      <c r="J78" s="14">
        <f t="shared" si="6"/>
        <v>0</v>
      </c>
      <c r="M78" s="30" t="str">
        <f t="shared" si="7"/>
        <v>-</v>
      </c>
      <c r="N78" s="30" t="str">
        <f t="shared" si="8"/>
        <v>-</v>
      </c>
      <c r="O78" s="31" t="str">
        <f t="shared" si="9"/>
        <v>-</v>
      </c>
      <c r="P78" s="32" t="str">
        <f t="shared" si="10"/>
        <v>-</v>
      </c>
      <c r="Q78" s="27"/>
      <c r="R78" s="32" t="str">
        <f t="shared" si="11"/>
        <v>-</v>
      </c>
    </row>
    <row r="79" spans="1:18" s="13" customFormat="1" ht="11.25" hidden="1" customHeight="1">
      <c r="A79" s="18">
        <v>103131</v>
      </c>
      <c r="B79" s="19" t="s">
        <v>88</v>
      </c>
      <c r="C79" s="20">
        <v>658010122221</v>
      </c>
      <c r="D79" s="20"/>
      <c r="E79" s="20"/>
      <c r="F79" s="26">
        <v>0.5</v>
      </c>
      <c r="G79" s="20"/>
      <c r="H79" s="12">
        <v>21.281399999999998</v>
      </c>
      <c r="I79" s="21"/>
      <c r="J79" s="14">
        <f t="shared" si="6"/>
        <v>0</v>
      </c>
      <c r="M79" s="30" t="str">
        <f t="shared" si="7"/>
        <v>-</v>
      </c>
      <c r="N79" s="30" t="str">
        <f t="shared" si="8"/>
        <v>-</v>
      </c>
      <c r="O79" s="31" t="str">
        <f t="shared" si="9"/>
        <v>-</v>
      </c>
      <c r="P79" s="32" t="str">
        <f t="shared" si="10"/>
        <v>-</v>
      </c>
      <c r="Q79" s="27"/>
      <c r="R79" s="32" t="str">
        <f t="shared" si="11"/>
        <v>-</v>
      </c>
    </row>
    <row r="80" spans="1:18" s="13" customFormat="1" ht="11.25" hidden="1" customHeight="1">
      <c r="A80" s="18">
        <v>103132</v>
      </c>
      <c r="B80" s="19" t="s">
        <v>89</v>
      </c>
      <c r="C80" s="20">
        <v>658010122238</v>
      </c>
      <c r="D80" s="20"/>
      <c r="E80" s="20"/>
      <c r="F80" s="26">
        <v>0.96</v>
      </c>
      <c r="G80" s="20"/>
      <c r="H80" s="12">
        <v>36.842399999999998</v>
      </c>
      <c r="I80" s="21"/>
      <c r="J80" s="14">
        <f t="shared" si="6"/>
        <v>0</v>
      </c>
      <c r="M80" s="30" t="str">
        <f t="shared" si="7"/>
        <v>-</v>
      </c>
      <c r="N80" s="30" t="str">
        <f t="shared" si="8"/>
        <v>-</v>
      </c>
      <c r="O80" s="31" t="str">
        <f t="shared" si="9"/>
        <v>-</v>
      </c>
      <c r="P80" s="32" t="str">
        <f t="shared" si="10"/>
        <v>-</v>
      </c>
      <c r="Q80" s="27"/>
      <c r="R80" s="32" t="str">
        <f t="shared" si="11"/>
        <v>-</v>
      </c>
    </row>
    <row r="81" spans="1:18" s="13" customFormat="1" ht="11.25" hidden="1" customHeight="1">
      <c r="A81" s="18">
        <v>102612</v>
      </c>
      <c r="B81" s="19" t="s">
        <v>90</v>
      </c>
      <c r="C81" s="20">
        <v>658010118873</v>
      </c>
      <c r="D81" s="20"/>
      <c r="E81" s="20"/>
      <c r="F81" s="26">
        <v>0.43</v>
      </c>
      <c r="G81" s="20"/>
      <c r="H81" s="12">
        <v>9.0594000000000001</v>
      </c>
      <c r="I81" s="21"/>
      <c r="J81" s="14">
        <f t="shared" si="6"/>
        <v>0</v>
      </c>
      <c r="M81" s="30" t="str">
        <f t="shared" si="7"/>
        <v>-</v>
      </c>
      <c r="N81" s="30" t="str">
        <f t="shared" si="8"/>
        <v>-</v>
      </c>
      <c r="O81" s="31" t="str">
        <f t="shared" si="9"/>
        <v>-</v>
      </c>
      <c r="P81" s="32" t="str">
        <f t="shared" si="10"/>
        <v>-</v>
      </c>
      <c r="Q81" s="27"/>
      <c r="R81" s="32" t="str">
        <f t="shared" si="11"/>
        <v>-</v>
      </c>
    </row>
    <row r="82" spans="1:18" s="13" customFormat="1" ht="11.25" hidden="1" customHeight="1">
      <c r="A82" s="18">
        <v>102611</v>
      </c>
      <c r="B82" s="19" t="s">
        <v>91</v>
      </c>
      <c r="C82" s="20">
        <v>658010118866</v>
      </c>
      <c r="D82" s="20"/>
      <c r="E82" s="20"/>
      <c r="F82" s="26">
        <v>0.86</v>
      </c>
      <c r="G82" s="20"/>
      <c r="H82" s="12">
        <v>16.619399999999999</v>
      </c>
      <c r="I82" s="21"/>
      <c r="J82" s="14">
        <f t="shared" si="6"/>
        <v>0</v>
      </c>
      <c r="M82" s="30" t="str">
        <f t="shared" si="7"/>
        <v>-</v>
      </c>
      <c r="N82" s="30" t="str">
        <f t="shared" si="8"/>
        <v>-</v>
      </c>
      <c r="O82" s="31" t="str">
        <f t="shared" si="9"/>
        <v>-</v>
      </c>
      <c r="P82" s="32" t="str">
        <f t="shared" si="10"/>
        <v>-</v>
      </c>
      <c r="Q82" s="27"/>
      <c r="R82" s="32" t="str">
        <f t="shared" si="11"/>
        <v>-</v>
      </c>
    </row>
    <row r="83" spans="1:18" s="13" customFormat="1" ht="11.25" customHeight="1">
      <c r="A83" s="18">
        <v>102823</v>
      </c>
      <c r="B83" s="19" t="s">
        <v>92</v>
      </c>
      <c r="C83" s="20">
        <v>658010120258</v>
      </c>
      <c r="D83" s="20"/>
      <c r="E83" s="20"/>
      <c r="F83" s="26">
        <v>0</v>
      </c>
      <c r="G83" s="20"/>
      <c r="H83" s="12">
        <v>27.203399999999998</v>
      </c>
      <c r="I83" s="21"/>
      <c r="J83" s="14">
        <f t="shared" si="6"/>
        <v>0</v>
      </c>
      <c r="M83" s="30" t="str">
        <f t="shared" si="7"/>
        <v>-</v>
      </c>
      <c r="N83" s="30" t="str">
        <f t="shared" si="8"/>
        <v>-</v>
      </c>
      <c r="O83" s="31" t="str">
        <f t="shared" si="9"/>
        <v>-</v>
      </c>
      <c r="P83" s="32" t="str">
        <f t="shared" si="10"/>
        <v>-</v>
      </c>
      <c r="Q83" s="27"/>
      <c r="R83" s="32" t="str">
        <f t="shared" si="11"/>
        <v>-</v>
      </c>
    </row>
    <row r="84" spans="1:18" s="13" customFormat="1" ht="11.25" customHeight="1">
      <c r="A84" s="18">
        <v>102095</v>
      </c>
      <c r="B84" s="19" t="s">
        <v>93</v>
      </c>
      <c r="C84" s="20">
        <v>658010116770</v>
      </c>
      <c r="D84" s="20"/>
      <c r="E84" s="20"/>
      <c r="F84" s="26">
        <v>0</v>
      </c>
      <c r="G84" s="20"/>
      <c r="H84" s="12">
        <v>14.099399999999999</v>
      </c>
      <c r="I84" s="21"/>
      <c r="J84" s="14">
        <f t="shared" si="6"/>
        <v>0</v>
      </c>
      <c r="M84" s="30" t="str">
        <f t="shared" si="7"/>
        <v>-</v>
      </c>
      <c r="N84" s="30" t="str">
        <f t="shared" si="8"/>
        <v>-</v>
      </c>
      <c r="O84" s="31" t="str">
        <f t="shared" si="9"/>
        <v>-</v>
      </c>
      <c r="P84" s="32" t="str">
        <f t="shared" si="10"/>
        <v>-</v>
      </c>
      <c r="Q84" s="27"/>
      <c r="R84" s="32" t="str">
        <f t="shared" si="11"/>
        <v>-</v>
      </c>
    </row>
    <row r="85" spans="1:18" s="13" customFormat="1" ht="11.25" customHeight="1">
      <c r="A85" s="18">
        <v>102096</v>
      </c>
      <c r="B85" s="19" t="s">
        <v>94</v>
      </c>
      <c r="C85" s="20">
        <v>658010116787</v>
      </c>
      <c r="D85" s="20"/>
      <c r="E85" s="20"/>
      <c r="F85" s="26">
        <v>0</v>
      </c>
      <c r="G85" s="20"/>
      <c r="H85" s="12">
        <v>8.8073999999999995</v>
      </c>
      <c r="I85" s="21"/>
      <c r="J85" s="14">
        <f t="shared" si="6"/>
        <v>0</v>
      </c>
      <c r="M85" s="30" t="str">
        <f t="shared" si="7"/>
        <v>-</v>
      </c>
      <c r="N85" s="30" t="str">
        <f t="shared" si="8"/>
        <v>-</v>
      </c>
      <c r="O85" s="31" t="str">
        <f t="shared" si="9"/>
        <v>-</v>
      </c>
      <c r="P85" s="32" t="str">
        <f t="shared" si="10"/>
        <v>-</v>
      </c>
      <c r="Q85" s="27"/>
      <c r="R85" s="32" t="str">
        <f t="shared" si="11"/>
        <v>-</v>
      </c>
    </row>
    <row r="86" spans="1:18" s="13" customFormat="1" ht="11.25" customHeight="1">
      <c r="A86" s="18">
        <v>102097</v>
      </c>
      <c r="B86" s="19" t="s">
        <v>95</v>
      </c>
      <c r="C86" s="20">
        <v>658010116794</v>
      </c>
      <c r="D86" s="20"/>
      <c r="E86" s="20"/>
      <c r="F86" s="26">
        <v>0</v>
      </c>
      <c r="G86" s="20"/>
      <c r="H86" s="12">
        <v>9.6893999999999991</v>
      </c>
      <c r="I86" s="21"/>
      <c r="J86" s="14">
        <f t="shared" si="6"/>
        <v>0</v>
      </c>
      <c r="M86" s="30" t="str">
        <f t="shared" si="7"/>
        <v>-</v>
      </c>
      <c r="N86" s="30" t="str">
        <f t="shared" si="8"/>
        <v>-</v>
      </c>
      <c r="O86" s="31" t="str">
        <f t="shared" si="9"/>
        <v>-</v>
      </c>
      <c r="P86" s="32" t="str">
        <f t="shared" si="10"/>
        <v>-</v>
      </c>
      <c r="Q86" s="27"/>
      <c r="R86" s="32" t="str">
        <f t="shared" si="11"/>
        <v>-</v>
      </c>
    </row>
    <row r="87" spans="1:18" s="13" customFormat="1" ht="11.25" hidden="1" customHeight="1">
      <c r="A87" s="18">
        <v>103589</v>
      </c>
      <c r="B87" s="19" t="s">
        <v>96</v>
      </c>
      <c r="C87" s="20">
        <v>658010125178</v>
      </c>
      <c r="D87" s="20"/>
      <c r="E87" s="20"/>
      <c r="F87" s="26">
        <v>0.19</v>
      </c>
      <c r="G87" s="20"/>
      <c r="H87" s="12">
        <v>13.5954</v>
      </c>
      <c r="I87" s="21"/>
      <c r="J87" s="14">
        <f t="shared" si="6"/>
        <v>0</v>
      </c>
      <c r="M87" s="30" t="str">
        <f t="shared" si="7"/>
        <v>-</v>
      </c>
      <c r="N87" s="30" t="str">
        <f t="shared" si="8"/>
        <v>-</v>
      </c>
      <c r="O87" s="31" t="str">
        <f t="shared" si="9"/>
        <v>-</v>
      </c>
      <c r="P87" s="32" t="str">
        <f t="shared" si="10"/>
        <v>-</v>
      </c>
      <c r="Q87" s="27"/>
      <c r="R87" s="32" t="str">
        <f t="shared" si="11"/>
        <v>-</v>
      </c>
    </row>
    <row r="88" spans="1:18" s="13" customFormat="1" ht="11.25" hidden="1" customHeight="1">
      <c r="A88" s="18">
        <v>103590</v>
      </c>
      <c r="B88" s="19" t="s">
        <v>97</v>
      </c>
      <c r="C88" s="20">
        <v>658010125185</v>
      </c>
      <c r="D88" s="20"/>
      <c r="E88" s="20"/>
      <c r="F88" s="26">
        <v>0.28999999999999998</v>
      </c>
      <c r="G88" s="20"/>
      <c r="H88" s="12">
        <v>21.9114</v>
      </c>
      <c r="I88" s="21"/>
      <c r="J88" s="14">
        <f t="shared" si="6"/>
        <v>0</v>
      </c>
      <c r="M88" s="30" t="str">
        <f t="shared" si="7"/>
        <v>-</v>
      </c>
      <c r="N88" s="30" t="str">
        <f t="shared" si="8"/>
        <v>-</v>
      </c>
      <c r="O88" s="31" t="str">
        <f t="shared" si="9"/>
        <v>-</v>
      </c>
      <c r="P88" s="32" t="str">
        <f t="shared" si="10"/>
        <v>-</v>
      </c>
      <c r="Q88" s="27"/>
      <c r="R88" s="32" t="str">
        <f t="shared" si="11"/>
        <v>-</v>
      </c>
    </row>
    <row r="89" spans="1:18" s="13" customFormat="1" ht="11.25" hidden="1" customHeight="1">
      <c r="A89" s="18">
        <v>103587</v>
      </c>
      <c r="B89" s="19" t="s">
        <v>98</v>
      </c>
      <c r="C89" s="20">
        <v>658010125154</v>
      </c>
      <c r="D89" s="20"/>
      <c r="E89" s="20"/>
      <c r="F89" s="26">
        <v>0.14000000000000001</v>
      </c>
      <c r="G89" s="20"/>
      <c r="H89" s="12">
        <v>24.179400000000001</v>
      </c>
      <c r="I89" s="21"/>
      <c r="J89" s="14">
        <f t="shared" si="6"/>
        <v>0</v>
      </c>
      <c r="M89" s="30" t="str">
        <f t="shared" si="7"/>
        <v>-</v>
      </c>
      <c r="N89" s="30" t="str">
        <f t="shared" si="8"/>
        <v>-</v>
      </c>
      <c r="O89" s="31" t="str">
        <f t="shared" si="9"/>
        <v>-</v>
      </c>
      <c r="P89" s="32" t="str">
        <f t="shared" si="10"/>
        <v>-</v>
      </c>
      <c r="Q89" s="27"/>
      <c r="R89" s="32" t="str">
        <f t="shared" si="11"/>
        <v>-</v>
      </c>
    </row>
    <row r="90" spans="1:18" s="13" customFormat="1" ht="11.25" customHeight="1">
      <c r="A90" s="18">
        <v>103596</v>
      </c>
      <c r="B90" s="19" t="s">
        <v>99</v>
      </c>
      <c r="C90" s="20">
        <v>658010125246</v>
      </c>
      <c r="D90" s="20"/>
      <c r="E90" s="20"/>
      <c r="F90" s="26">
        <v>0</v>
      </c>
      <c r="G90" s="20"/>
      <c r="H90" s="12">
        <v>24.179400000000001</v>
      </c>
      <c r="I90" s="21"/>
      <c r="J90" s="14">
        <f t="shared" si="6"/>
        <v>0</v>
      </c>
      <c r="M90" s="30" t="str">
        <f t="shared" si="7"/>
        <v>-</v>
      </c>
      <c r="N90" s="30" t="str">
        <f t="shared" si="8"/>
        <v>-</v>
      </c>
      <c r="O90" s="31" t="str">
        <f t="shared" si="9"/>
        <v>-</v>
      </c>
      <c r="P90" s="32" t="str">
        <f t="shared" si="10"/>
        <v>-</v>
      </c>
      <c r="Q90" s="27"/>
      <c r="R90" s="32" t="str">
        <f t="shared" si="11"/>
        <v>-</v>
      </c>
    </row>
    <row r="91" spans="1:18" s="13" customFormat="1" ht="11.25" hidden="1" customHeight="1">
      <c r="A91" s="18">
        <v>103597</v>
      </c>
      <c r="B91" s="19" t="s">
        <v>100</v>
      </c>
      <c r="C91" s="20">
        <v>658010125253</v>
      </c>
      <c r="D91" s="20"/>
      <c r="E91" s="20"/>
      <c r="F91" s="26">
        <v>0.09</v>
      </c>
      <c r="G91" s="20"/>
      <c r="H91" s="12">
        <v>15.863399999999999</v>
      </c>
      <c r="I91" s="21"/>
      <c r="J91" s="14">
        <f t="shared" si="6"/>
        <v>0</v>
      </c>
      <c r="M91" s="30" t="str">
        <f t="shared" si="7"/>
        <v>-</v>
      </c>
      <c r="N91" s="30" t="str">
        <f t="shared" si="8"/>
        <v>-</v>
      </c>
      <c r="O91" s="31" t="str">
        <f t="shared" si="9"/>
        <v>-</v>
      </c>
      <c r="P91" s="32" t="str">
        <f t="shared" si="10"/>
        <v>-</v>
      </c>
      <c r="Q91" s="27"/>
      <c r="R91" s="32" t="str">
        <f t="shared" si="11"/>
        <v>-</v>
      </c>
    </row>
    <row r="92" spans="1:18" s="13" customFormat="1" ht="11.25" hidden="1" customHeight="1">
      <c r="A92" s="18">
        <v>103599</v>
      </c>
      <c r="B92" s="19" t="s">
        <v>101</v>
      </c>
      <c r="C92" s="20">
        <v>658010125277</v>
      </c>
      <c r="D92" s="20"/>
      <c r="E92" s="20"/>
      <c r="F92" s="26">
        <v>0.13</v>
      </c>
      <c r="G92" s="20"/>
      <c r="H92" s="12">
        <v>31.739400000000003</v>
      </c>
      <c r="I92" s="21"/>
      <c r="J92" s="14">
        <f t="shared" si="6"/>
        <v>0</v>
      </c>
      <c r="M92" s="30" t="str">
        <f t="shared" si="7"/>
        <v>-</v>
      </c>
      <c r="N92" s="30" t="str">
        <f t="shared" si="8"/>
        <v>-</v>
      </c>
      <c r="O92" s="31" t="str">
        <f t="shared" si="9"/>
        <v>-</v>
      </c>
      <c r="P92" s="32" t="str">
        <f t="shared" si="10"/>
        <v>-</v>
      </c>
      <c r="Q92" s="27"/>
      <c r="R92" s="32" t="str">
        <f t="shared" si="11"/>
        <v>-</v>
      </c>
    </row>
    <row r="93" spans="1:18" s="13" customFormat="1" ht="11.25" customHeight="1">
      <c r="A93" s="18">
        <v>103591</v>
      </c>
      <c r="B93" s="19" t="s">
        <v>102</v>
      </c>
      <c r="C93" s="20">
        <v>658010125192</v>
      </c>
      <c r="D93" s="20"/>
      <c r="E93" s="20"/>
      <c r="F93" s="26">
        <v>0</v>
      </c>
      <c r="G93" s="20"/>
      <c r="H93" s="12">
        <v>12.083399999999999</v>
      </c>
      <c r="I93" s="21"/>
      <c r="J93" s="14">
        <f t="shared" si="6"/>
        <v>0</v>
      </c>
      <c r="M93" s="30" t="str">
        <f t="shared" si="7"/>
        <v>-</v>
      </c>
      <c r="N93" s="30" t="str">
        <f t="shared" si="8"/>
        <v>-</v>
      </c>
      <c r="O93" s="31" t="str">
        <f t="shared" si="9"/>
        <v>-</v>
      </c>
      <c r="P93" s="32" t="str">
        <f t="shared" si="10"/>
        <v>-</v>
      </c>
      <c r="Q93" s="27"/>
      <c r="R93" s="32" t="str">
        <f t="shared" si="11"/>
        <v>-</v>
      </c>
    </row>
    <row r="94" spans="1:18" s="13" customFormat="1" ht="11.25" customHeight="1">
      <c r="A94" s="18">
        <v>103592</v>
      </c>
      <c r="B94" s="19" t="s">
        <v>103</v>
      </c>
      <c r="C94" s="20">
        <v>658010125208</v>
      </c>
      <c r="D94" s="20"/>
      <c r="E94" s="20"/>
      <c r="F94" s="26">
        <v>0</v>
      </c>
      <c r="G94" s="20"/>
      <c r="H94" s="12">
        <v>18.131399999999999</v>
      </c>
      <c r="I94" s="21"/>
      <c r="J94" s="14">
        <f t="shared" si="6"/>
        <v>0</v>
      </c>
      <c r="M94" s="30" t="str">
        <f t="shared" si="7"/>
        <v>-</v>
      </c>
      <c r="N94" s="30" t="str">
        <f t="shared" si="8"/>
        <v>-</v>
      </c>
      <c r="O94" s="31" t="str">
        <f t="shared" si="9"/>
        <v>-</v>
      </c>
      <c r="P94" s="32" t="str">
        <f t="shared" si="10"/>
        <v>-</v>
      </c>
      <c r="Q94" s="27"/>
      <c r="R94" s="32" t="str">
        <f t="shared" si="11"/>
        <v>-</v>
      </c>
    </row>
    <row r="95" spans="1:18" s="13" customFormat="1" ht="11.25" customHeight="1">
      <c r="A95" s="18">
        <v>103601</v>
      </c>
      <c r="B95" s="19" t="s">
        <v>104</v>
      </c>
      <c r="C95" s="20">
        <v>658010125291</v>
      </c>
      <c r="D95" s="20"/>
      <c r="E95" s="20"/>
      <c r="F95" s="26">
        <v>0</v>
      </c>
      <c r="G95" s="20"/>
      <c r="H95" s="12">
        <v>27.959399999999999</v>
      </c>
      <c r="I95" s="21"/>
      <c r="J95" s="14">
        <f t="shared" si="6"/>
        <v>0</v>
      </c>
      <c r="M95" s="30" t="str">
        <f t="shared" si="7"/>
        <v>-</v>
      </c>
      <c r="N95" s="30" t="str">
        <f t="shared" si="8"/>
        <v>-</v>
      </c>
      <c r="O95" s="31" t="str">
        <f t="shared" si="9"/>
        <v>-</v>
      </c>
      <c r="P95" s="32" t="str">
        <f t="shared" si="10"/>
        <v>-</v>
      </c>
      <c r="Q95" s="27"/>
      <c r="R95" s="32" t="str">
        <f t="shared" si="11"/>
        <v>-</v>
      </c>
    </row>
    <row r="96" spans="1:18" s="13" customFormat="1" ht="11.25" customHeight="1">
      <c r="A96" s="18">
        <v>103595</v>
      </c>
      <c r="B96" s="19" t="s">
        <v>105</v>
      </c>
      <c r="C96" s="20">
        <v>658010125239</v>
      </c>
      <c r="D96" s="20"/>
      <c r="E96" s="20"/>
      <c r="F96" s="26">
        <v>0</v>
      </c>
      <c r="G96" s="20"/>
      <c r="H96" s="12">
        <v>19.6434</v>
      </c>
      <c r="I96" s="21"/>
      <c r="J96" s="14">
        <f t="shared" si="6"/>
        <v>0</v>
      </c>
      <c r="M96" s="30" t="str">
        <f t="shared" si="7"/>
        <v>-</v>
      </c>
      <c r="N96" s="30" t="str">
        <f t="shared" si="8"/>
        <v>-</v>
      </c>
      <c r="O96" s="31" t="str">
        <f t="shared" si="9"/>
        <v>-</v>
      </c>
      <c r="P96" s="32" t="str">
        <f t="shared" si="10"/>
        <v>-</v>
      </c>
      <c r="Q96" s="27"/>
      <c r="R96" s="32" t="str">
        <f t="shared" si="11"/>
        <v>-</v>
      </c>
    </row>
    <row r="97" spans="1:18" s="13" customFormat="1" ht="11.25" customHeight="1">
      <c r="A97" s="18">
        <v>103594</v>
      </c>
      <c r="B97" s="19" t="s">
        <v>106</v>
      </c>
      <c r="C97" s="20">
        <v>658010125222</v>
      </c>
      <c r="D97" s="20"/>
      <c r="E97" s="20"/>
      <c r="F97" s="26">
        <v>0</v>
      </c>
      <c r="G97" s="20"/>
      <c r="H97" s="12">
        <v>12.839399999999998</v>
      </c>
      <c r="I97" s="21"/>
      <c r="J97" s="14">
        <f t="shared" si="6"/>
        <v>0</v>
      </c>
      <c r="M97" s="30" t="str">
        <f t="shared" si="7"/>
        <v>-</v>
      </c>
      <c r="N97" s="30" t="str">
        <f t="shared" si="8"/>
        <v>-</v>
      </c>
      <c r="O97" s="31" t="str">
        <f t="shared" si="9"/>
        <v>-</v>
      </c>
      <c r="P97" s="32" t="str">
        <f t="shared" si="10"/>
        <v>-</v>
      </c>
      <c r="Q97" s="27"/>
      <c r="R97" s="32" t="str">
        <f t="shared" si="11"/>
        <v>-</v>
      </c>
    </row>
    <row r="98" spans="1:18" s="13" customFormat="1" ht="11.25" customHeight="1">
      <c r="A98" s="18">
        <v>103593</v>
      </c>
      <c r="B98" s="19" t="s">
        <v>107</v>
      </c>
      <c r="C98" s="20">
        <v>658010125215</v>
      </c>
      <c r="D98" s="20"/>
      <c r="E98" s="20"/>
      <c r="F98" s="26">
        <v>0</v>
      </c>
      <c r="G98" s="20"/>
      <c r="H98" s="12">
        <v>14.3514</v>
      </c>
      <c r="I98" s="21"/>
      <c r="J98" s="14">
        <f t="shared" si="6"/>
        <v>0</v>
      </c>
      <c r="M98" s="30" t="str">
        <f t="shared" si="7"/>
        <v>-</v>
      </c>
      <c r="N98" s="30" t="str">
        <f t="shared" si="8"/>
        <v>-</v>
      </c>
      <c r="O98" s="31" t="str">
        <f t="shared" si="9"/>
        <v>-</v>
      </c>
      <c r="P98" s="32" t="str">
        <f t="shared" si="10"/>
        <v>-</v>
      </c>
      <c r="Q98" s="27"/>
      <c r="R98" s="32" t="str">
        <f t="shared" si="11"/>
        <v>-</v>
      </c>
    </row>
    <row r="99" spans="1:18" s="13" customFormat="1" ht="11.25" customHeight="1">
      <c r="A99" s="18">
        <v>103619</v>
      </c>
      <c r="B99" s="19" t="s">
        <v>108</v>
      </c>
      <c r="C99" s="20">
        <v>658010125475</v>
      </c>
      <c r="D99" s="20"/>
      <c r="E99" s="20"/>
      <c r="F99" s="26">
        <v>0</v>
      </c>
      <c r="G99" s="20"/>
      <c r="H99" s="12">
        <v>49.896000000000001</v>
      </c>
      <c r="I99" s="21"/>
      <c r="J99" s="14">
        <f t="shared" si="6"/>
        <v>0</v>
      </c>
      <c r="M99" s="30" t="str">
        <f t="shared" si="7"/>
        <v>-</v>
      </c>
      <c r="N99" s="30" t="str">
        <f t="shared" si="8"/>
        <v>-</v>
      </c>
      <c r="O99" s="31" t="str">
        <f t="shared" si="9"/>
        <v>-</v>
      </c>
      <c r="P99" s="32" t="str">
        <f t="shared" si="10"/>
        <v>-</v>
      </c>
      <c r="Q99" s="27"/>
      <c r="R99" s="32" t="str">
        <f t="shared" si="11"/>
        <v>-</v>
      </c>
    </row>
    <row r="100" spans="1:18" s="13" customFormat="1" ht="11.25" customHeight="1">
      <c r="A100" s="18">
        <v>103621</v>
      </c>
      <c r="B100" s="19" t="s">
        <v>109</v>
      </c>
      <c r="C100" s="20">
        <v>658010125499</v>
      </c>
      <c r="D100" s="20"/>
      <c r="E100" s="20"/>
      <c r="F100" s="26">
        <v>0</v>
      </c>
      <c r="G100" s="20"/>
      <c r="H100" s="12">
        <v>32.508000000000003</v>
      </c>
      <c r="I100" s="21"/>
      <c r="J100" s="14">
        <f t="shared" si="6"/>
        <v>0</v>
      </c>
      <c r="M100" s="30" t="str">
        <f t="shared" si="7"/>
        <v>-</v>
      </c>
      <c r="N100" s="30" t="str">
        <f t="shared" si="8"/>
        <v>-</v>
      </c>
      <c r="O100" s="31" t="str">
        <f t="shared" si="9"/>
        <v>-</v>
      </c>
      <c r="P100" s="32" t="str">
        <f t="shared" si="10"/>
        <v>-</v>
      </c>
      <c r="Q100" s="27"/>
      <c r="R100" s="32" t="str">
        <f t="shared" si="11"/>
        <v>-</v>
      </c>
    </row>
    <row r="101" spans="1:18" s="13" customFormat="1" ht="11.25" customHeight="1">
      <c r="A101" s="18">
        <v>103622</v>
      </c>
      <c r="B101" s="19" t="s">
        <v>110</v>
      </c>
      <c r="C101" s="20">
        <v>658010125505</v>
      </c>
      <c r="D101" s="20"/>
      <c r="E101" s="20"/>
      <c r="F101" s="26">
        <v>0</v>
      </c>
      <c r="G101" s="20"/>
      <c r="H101" s="12">
        <v>32.508000000000003</v>
      </c>
      <c r="I101" s="21"/>
      <c r="J101" s="14">
        <f t="shared" si="6"/>
        <v>0</v>
      </c>
      <c r="M101" s="30" t="str">
        <f t="shared" si="7"/>
        <v>-</v>
      </c>
      <c r="N101" s="30" t="str">
        <f t="shared" si="8"/>
        <v>-</v>
      </c>
      <c r="O101" s="31" t="str">
        <f t="shared" si="9"/>
        <v>-</v>
      </c>
      <c r="P101" s="32" t="str">
        <f t="shared" si="10"/>
        <v>-</v>
      </c>
      <c r="Q101" s="27"/>
      <c r="R101" s="32" t="str">
        <f t="shared" si="11"/>
        <v>-</v>
      </c>
    </row>
    <row r="102" spans="1:18" s="13" customFormat="1" ht="11.25" customHeight="1">
      <c r="A102" s="18">
        <v>103623</v>
      </c>
      <c r="B102" s="19" t="s">
        <v>111</v>
      </c>
      <c r="C102" s="20">
        <v>658010125512</v>
      </c>
      <c r="D102" s="20"/>
      <c r="E102" s="20"/>
      <c r="F102" s="26">
        <v>0</v>
      </c>
      <c r="G102" s="20"/>
      <c r="H102" s="12">
        <v>32.508000000000003</v>
      </c>
      <c r="I102" s="21"/>
      <c r="J102" s="14">
        <f t="shared" si="6"/>
        <v>0</v>
      </c>
      <c r="M102" s="30" t="str">
        <f t="shared" si="7"/>
        <v>-</v>
      </c>
      <c r="N102" s="30" t="str">
        <f t="shared" si="8"/>
        <v>-</v>
      </c>
      <c r="O102" s="31" t="str">
        <f t="shared" si="9"/>
        <v>-</v>
      </c>
      <c r="P102" s="32" t="str">
        <f t="shared" si="10"/>
        <v>-</v>
      </c>
      <c r="Q102" s="27"/>
      <c r="R102" s="32" t="str">
        <f t="shared" si="11"/>
        <v>-</v>
      </c>
    </row>
    <row r="103" spans="1:18" s="13" customFormat="1" ht="11.25" customHeight="1">
      <c r="A103" s="18">
        <v>103624</v>
      </c>
      <c r="B103" s="19" t="s">
        <v>112</v>
      </c>
      <c r="C103" s="20">
        <v>658010125529</v>
      </c>
      <c r="D103" s="20"/>
      <c r="E103" s="20"/>
      <c r="F103" s="26">
        <v>0</v>
      </c>
      <c r="G103" s="20"/>
      <c r="H103" s="12">
        <v>32.508000000000003</v>
      </c>
      <c r="I103" s="21"/>
      <c r="J103" s="14">
        <f t="shared" si="6"/>
        <v>0</v>
      </c>
      <c r="M103" s="30" t="str">
        <f t="shared" si="7"/>
        <v>-</v>
      </c>
      <c r="N103" s="30" t="str">
        <f t="shared" si="8"/>
        <v>-</v>
      </c>
      <c r="O103" s="31" t="str">
        <f t="shared" si="9"/>
        <v>-</v>
      </c>
      <c r="P103" s="32" t="str">
        <f t="shared" si="10"/>
        <v>-</v>
      </c>
      <c r="Q103" s="27"/>
      <c r="R103" s="32" t="str">
        <f t="shared" si="11"/>
        <v>-</v>
      </c>
    </row>
    <row r="104" spans="1:18" s="13" customFormat="1" ht="11.25" customHeight="1">
      <c r="A104" s="18">
        <v>103656</v>
      </c>
      <c r="B104" s="19" t="s">
        <v>113</v>
      </c>
      <c r="C104" s="20">
        <v>658010125840</v>
      </c>
      <c r="D104" s="20"/>
      <c r="E104" s="20"/>
      <c r="F104" s="26">
        <v>0</v>
      </c>
      <c r="G104" s="20"/>
      <c r="H104" s="12">
        <v>21.167999999999999</v>
      </c>
      <c r="I104" s="21"/>
      <c r="J104" s="14">
        <f t="shared" si="6"/>
        <v>0</v>
      </c>
      <c r="M104" s="30" t="str">
        <f t="shared" si="7"/>
        <v>-</v>
      </c>
      <c r="N104" s="30" t="str">
        <f t="shared" si="8"/>
        <v>-</v>
      </c>
      <c r="O104" s="31" t="str">
        <f t="shared" si="9"/>
        <v>-</v>
      </c>
      <c r="P104" s="32" t="str">
        <f t="shared" si="10"/>
        <v>-</v>
      </c>
      <c r="Q104" s="27"/>
      <c r="R104" s="32" t="str">
        <f t="shared" si="11"/>
        <v>-</v>
      </c>
    </row>
    <row r="105" spans="1:18" s="13" customFormat="1" ht="11.25" customHeight="1">
      <c r="A105" s="18">
        <v>103657</v>
      </c>
      <c r="B105" s="19" t="s">
        <v>114</v>
      </c>
      <c r="C105" s="20">
        <v>658010125857</v>
      </c>
      <c r="D105" s="20"/>
      <c r="E105" s="20"/>
      <c r="F105" s="26">
        <v>0</v>
      </c>
      <c r="G105" s="20"/>
      <c r="H105" s="12">
        <v>49.896000000000001</v>
      </c>
      <c r="I105" s="21"/>
      <c r="J105" s="14">
        <f t="shared" si="6"/>
        <v>0</v>
      </c>
      <c r="M105" s="30" t="str">
        <f t="shared" si="7"/>
        <v>-</v>
      </c>
      <c r="N105" s="30" t="str">
        <f t="shared" si="8"/>
        <v>-</v>
      </c>
      <c r="O105" s="31" t="str">
        <f t="shared" si="9"/>
        <v>-</v>
      </c>
      <c r="P105" s="32" t="str">
        <f t="shared" si="10"/>
        <v>-</v>
      </c>
      <c r="Q105" s="27"/>
      <c r="R105" s="32" t="str">
        <f t="shared" si="11"/>
        <v>-</v>
      </c>
    </row>
    <row r="106" spans="1:18" s="13" customFormat="1" ht="11.25" customHeight="1">
      <c r="A106" s="18">
        <v>103658</v>
      </c>
      <c r="B106" s="19" t="s">
        <v>115</v>
      </c>
      <c r="C106" s="20">
        <v>658010125864</v>
      </c>
      <c r="D106" s="20"/>
      <c r="E106" s="20"/>
      <c r="F106" s="26">
        <v>0</v>
      </c>
      <c r="G106" s="20"/>
      <c r="H106" s="12">
        <v>49.896000000000001</v>
      </c>
      <c r="I106" s="21"/>
      <c r="J106" s="14">
        <f t="shared" si="6"/>
        <v>0</v>
      </c>
      <c r="M106" s="30" t="str">
        <f t="shared" si="7"/>
        <v>-</v>
      </c>
      <c r="N106" s="30" t="str">
        <f t="shared" si="8"/>
        <v>-</v>
      </c>
      <c r="O106" s="31" t="str">
        <f t="shared" si="9"/>
        <v>-</v>
      </c>
      <c r="P106" s="32" t="str">
        <f t="shared" si="10"/>
        <v>-</v>
      </c>
      <c r="Q106" s="27"/>
      <c r="R106" s="32" t="str">
        <f t="shared" si="11"/>
        <v>-</v>
      </c>
    </row>
    <row r="107" spans="1:18" s="13" customFormat="1" ht="11.25" customHeight="1">
      <c r="A107" s="18">
        <v>103659</v>
      </c>
      <c r="B107" s="19" t="s">
        <v>116</v>
      </c>
      <c r="C107" s="20">
        <v>658010125871</v>
      </c>
      <c r="D107" s="20"/>
      <c r="E107" s="20"/>
      <c r="F107" s="26">
        <v>0</v>
      </c>
      <c r="G107" s="20"/>
      <c r="H107" s="12">
        <v>37.043999999999997</v>
      </c>
      <c r="I107" s="21"/>
      <c r="J107" s="14">
        <f t="shared" si="6"/>
        <v>0</v>
      </c>
      <c r="M107" s="30" t="str">
        <f t="shared" si="7"/>
        <v>-</v>
      </c>
      <c r="N107" s="30" t="str">
        <f t="shared" si="8"/>
        <v>-</v>
      </c>
      <c r="O107" s="31" t="str">
        <f t="shared" si="9"/>
        <v>-</v>
      </c>
      <c r="P107" s="32" t="str">
        <f t="shared" si="10"/>
        <v>-</v>
      </c>
      <c r="Q107" s="27"/>
      <c r="R107" s="32" t="str">
        <f t="shared" si="11"/>
        <v>-</v>
      </c>
    </row>
    <row r="108" spans="1:18" s="13" customFormat="1" ht="11.25" customHeight="1">
      <c r="A108" s="18">
        <v>103661</v>
      </c>
      <c r="B108" s="19" t="s">
        <v>117</v>
      </c>
      <c r="C108" s="20">
        <v>658010125895</v>
      </c>
      <c r="D108" s="20"/>
      <c r="E108" s="20"/>
      <c r="F108" s="26">
        <v>0</v>
      </c>
      <c r="G108" s="20"/>
      <c r="H108" s="12">
        <v>32.508000000000003</v>
      </c>
      <c r="I108" s="21"/>
      <c r="J108" s="14">
        <f t="shared" si="6"/>
        <v>0</v>
      </c>
      <c r="M108" s="30" t="str">
        <f t="shared" si="7"/>
        <v>-</v>
      </c>
      <c r="N108" s="30" t="str">
        <f t="shared" si="8"/>
        <v>-</v>
      </c>
      <c r="O108" s="31" t="str">
        <f t="shared" si="9"/>
        <v>-</v>
      </c>
      <c r="P108" s="32" t="str">
        <f t="shared" si="10"/>
        <v>-</v>
      </c>
      <c r="Q108" s="27"/>
      <c r="R108" s="32" t="str">
        <f t="shared" si="11"/>
        <v>-</v>
      </c>
    </row>
    <row r="109" spans="1:18" s="13" customFormat="1" ht="11.25" customHeight="1">
      <c r="A109" s="18">
        <v>103662</v>
      </c>
      <c r="B109" s="19" t="s">
        <v>118</v>
      </c>
      <c r="C109" s="20">
        <v>658010125901</v>
      </c>
      <c r="D109" s="20"/>
      <c r="E109" s="20"/>
      <c r="F109" s="26">
        <v>0</v>
      </c>
      <c r="G109" s="20"/>
      <c r="H109" s="12">
        <v>32.508000000000003</v>
      </c>
      <c r="I109" s="21"/>
      <c r="J109" s="14">
        <f t="shared" si="6"/>
        <v>0</v>
      </c>
      <c r="M109" s="30" t="str">
        <f t="shared" si="7"/>
        <v>-</v>
      </c>
      <c r="N109" s="30" t="str">
        <f t="shared" si="8"/>
        <v>-</v>
      </c>
      <c r="O109" s="31" t="str">
        <f t="shared" si="9"/>
        <v>-</v>
      </c>
      <c r="P109" s="32" t="str">
        <f t="shared" si="10"/>
        <v>-</v>
      </c>
      <c r="Q109" s="27"/>
      <c r="R109" s="32" t="str">
        <f t="shared" si="11"/>
        <v>-</v>
      </c>
    </row>
    <row r="110" spans="1:18" s="13" customFormat="1" ht="11.25" customHeight="1">
      <c r="A110" s="18">
        <v>103663</v>
      </c>
      <c r="B110" s="19" t="s">
        <v>119</v>
      </c>
      <c r="C110" s="20">
        <v>658010125918</v>
      </c>
      <c r="D110" s="20"/>
      <c r="E110" s="20"/>
      <c r="F110" s="26">
        <v>0</v>
      </c>
      <c r="G110" s="20"/>
      <c r="H110" s="12">
        <v>32.508000000000003</v>
      </c>
      <c r="I110" s="21"/>
      <c r="J110" s="14">
        <f t="shared" si="6"/>
        <v>0</v>
      </c>
      <c r="M110" s="30" t="str">
        <f t="shared" si="7"/>
        <v>-</v>
      </c>
      <c r="N110" s="30" t="str">
        <f t="shared" si="8"/>
        <v>-</v>
      </c>
      <c r="O110" s="31" t="str">
        <f t="shared" si="9"/>
        <v>-</v>
      </c>
      <c r="P110" s="32" t="str">
        <f t="shared" si="10"/>
        <v>-</v>
      </c>
      <c r="Q110" s="27"/>
      <c r="R110" s="32" t="str">
        <f t="shared" si="11"/>
        <v>-</v>
      </c>
    </row>
    <row r="111" spans="1:18" s="13" customFormat="1" ht="11.25" customHeight="1">
      <c r="A111" s="18">
        <v>103665</v>
      </c>
      <c r="B111" s="19" t="s">
        <v>120</v>
      </c>
      <c r="C111" s="20">
        <v>658010125932</v>
      </c>
      <c r="D111" s="20"/>
      <c r="E111" s="20"/>
      <c r="F111" s="26">
        <v>0</v>
      </c>
      <c r="G111" s="20"/>
      <c r="H111" s="12">
        <v>74.843999999999994</v>
      </c>
      <c r="I111" s="21"/>
      <c r="J111" s="14">
        <f t="shared" si="6"/>
        <v>0</v>
      </c>
      <c r="M111" s="30" t="str">
        <f t="shared" si="7"/>
        <v>-</v>
      </c>
      <c r="N111" s="30" t="str">
        <f t="shared" si="8"/>
        <v>-</v>
      </c>
      <c r="O111" s="31" t="str">
        <f t="shared" si="9"/>
        <v>-</v>
      </c>
      <c r="P111" s="32" t="str">
        <f t="shared" si="10"/>
        <v>-</v>
      </c>
      <c r="Q111" s="27"/>
      <c r="R111" s="32" t="str">
        <f t="shared" si="11"/>
        <v>-</v>
      </c>
    </row>
    <row r="112" spans="1:18" s="13" customFormat="1" ht="11.25" customHeight="1">
      <c r="A112" s="18">
        <v>103666</v>
      </c>
      <c r="B112" s="19" t="s">
        <v>121</v>
      </c>
      <c r="C112" s="20">
        <v>658010125949</v>
      </c>
      <c r="D112" s="20"/>
      <c r="E112" s="20"/>
      <c r="F112" s="26">
        <v>0</v>
      </c>
      <c r="G112" s="20"/>
      <c r="H112" s="12">
        <v>74.843999999999994</v>
      </c>
      <c r="I112" s="21"/>
      <c r="J112" s="14">
        <f t="shared" si="6"/>
        <v>0</v>
      </c>
      <c r="M112" s="30" t="str">
        <f t="shared" si="7"/>
        <v>-</v>
      </c>
      <c r="N112" s="30" t="str">
        <f t="shared" si="8"/>
        <v>-</v>
      </c>
      <c r="O112" s="31" t="str">
        <f t="shared" si="9"/>
        <v>-</v>
      </c>
      <c r="P112" s="32" t="str">
        <f t="shared" si="10"/>
        <v>-</v>
      </c>
      <c r="Q112" s="27"/>
      <c r="R112" s="32" t="str">
        <f t="shared" si="11"/>
        <v>-</v>
      </c>
    </row>
    <row r="113" spans="1:18" s="13" customFormat="1" ht="11.25" customHeight="1">
      <c r="A113" s="18">
        <v>103791</v>
      </c>
      <c r="B113" s="19" t="s">
        <v>122</v>
      </c>
      <c r="C113" s="20">
        <v>658010127196</v>
      </c>
      <c r="D113" s="20"/>
      <c r="E113" s="20"/>
      <c r="F113" s="26">
        <v>0</v>
      </c>
      <c r="G113" s="20"/>
      <c r="H113" s="12">
        <v>36.287999999999997</v>
      </c>
      <c r="I113" s="21"/>
      <c r="J113" s="14">
        <f t="shared" si="6"/>
        <v>0</v>
      </c>
      <c r="M113" s="30" t="str">
        <f t="shared" si="7"/>
        <v>-</v>
      </c>
      <c r="N113" s="30" t="str">
        <f t="shared" si="8"/>
        <v>-</v>
      </c>
      <c r="O113" s="31" t="str">
        <f t="shared" si="9"/>
        <v>-</v>
      </c>
      <c r="P113" s="32" t="str">
        <f t="shared" si="10"/>
        <v>-</v>
      </c>
      <c r="Q113" s="27"/>
      <c r="R113" s="32" t="str">
        <f t="shared" si="11"/>
        <v>-</v>
      </c>
    </row>
    <row r="114" spans="1:18" s="13" customFormat="1" ht="11.25" customHeight="1">
      <c r="A114" s="18">
        <v>103828</v>
      </c>
      <c r="B114" s="19" t="s">
        <v>123</v>
      </c>
      <c r="C114" s="20">
        <v>658010127561</v>
      </c>
      <c r="D114" s="20"/>
      <c r="E114" s="20"/>
      <c r="F114" s="26">
        <v>0</v>
      </c>
      <c r="G114" s="20"/>
      <c r="H114" s="12">
        <v>29.483999999999995</v>
      </c>
      <c r="I114" s="21"/>
      <c r="J114" s="14">
        <f t="shared" si="6"/>
        <v>0</v>
      </c>
      <c r="M114" s="30" t="str">
        <f t="shared" si="7"/>
        <v>-</v>
      </c>
      <c r="N114" s="30" t="str">
        <f t="shared" si="8"/>
        <v>-</v>
      </c>
      <c r="O114" s="31" t="str">
        <f t="shared" si="9"/>
        <v>-</v>
      </c>
      <c r="P114" s="32" t="str">
        <f t="shared" si="10"/>
        <v>-</v>
      </c>
      <c r="Q114" s="27"/>
      <c r="R114" s="32" t="str">
        <f t="shared" si="11"/>
        <v>-</v>
      </c>
    </row>
    <row r="115" spans="1:18" s="13" customFormat="1" ht="11.25" customHeight="1">
      <c r="A115" s="18">
        <v>103827</v>
      </c>
      <c r="B115" s="19" t="s">
        <v>124</v>
      </c>
      <c r="C115" s="20">
        <v>658010127554</v>
      </c>
      <c r="D115" s="20"/>
      <c r="E115" s="20"/>
      <c r="F115" s="26">
        <v>0</v>
      </c>
      <c r="G115" s="20"/>
      <c r="H115" s="12">
        <v>21.923999999999996</v>
      </c>
      <c r="I115" s="21"/>
      <c r="J115" s="14">
        <f t="shared" si="6"/>
        <v>0</v>
      </c>
      <c r="M115" s="30" t="str">
        <f t="shared" si="7"/>
        <v>-</v>
      </c>
      <c r="N115" s="30" t="str">
        <f t="shared" si="8"/>
        <v>-</v>
      </c>
      <c r="O115" s="31" t="str">
        <f t="shared" si="9"/>
        <v>-</v>
      </c>
      <c r="P115" s="32" t="str">
        <f t="shared" si="10"/>
        <v>-</v>
      </c>
      <c r="Q115" s="27"/>
      <c r="R115" s="32" t="str">
        <f t="shared" si="11"/>
        <v>-</v>
      </c>
    </row>
    <row r="116" spans="1:18" s="13" customFormat="1" ht="11.25" customHeight="1">
      <c r="A116" s="18">
        <v>103829</v>
      </c>
      <c r="B116" s="19" t="s">
        <v>125</v>
      </c>
      <c r="C116" s="20">
        <v>658010127578</v>
      </c>
      <c r="D116" s="20"/>
      <c r="E116" s="20"/>
      <c r="F116" s="26">
        <v>0</v>
      </c>
      <c r="G116" s="20"/>
      <c r="H116" s="12">
        <v>12.851999999999999</v>
      </c>
      <c r="I116" s="21"/>
      <c r="J116" s="14">
        <f t="shared" si="6"/>
        <v>0</v>
      </c>
      <c r="M116" s="30" t="str">
        <f t="shared" si="7"/>
        <v>-</v>
      </c>
      <c r="N116" s="30" t="str">
        <f t="shared" si="8"/>
        <v>-</v>
      </c>
      <c r="O116" s="31" t="str">
        <f t="shared" si="9"/>
        <v>-</v>
      </c>
      <c r="P116" s="32" t="str">
        <f t="shared" si="10"/>
        <v>-</v>
      </c>
      <c r="Q116" s="27"/>
      <c r="R116" s="32" t="str">
        <f t="shared" si="11"/>
        <v>-</v>
      </c>
    </row>
    <row r="117" spans="1:18" s="13" customFormat="1" ht="11.25" customHeight="1">
      <c r="A117" s="18">
        <v>103830</v>
      </c>
      <c r="B117" s="19" t="s">
        <v>126</v>
      </c>
      <c r="C117" s="20">
        <v>658010127585</v>
      </c>
      <c r="D117" s="20"/>
      <c r="E117" s="20"/>
      <c r="F117" s="26">
        <v>0</v>
      </c>
      <c r="G117" s="20"/>
      <c r="H117" s="12">
        <v>24.192</v>
      </c>
      <c r="I117" s="21"/>
      <c r="J117" s="14">
        <f t="shared" si="6"/>
        <v>0</v>
      </c>
      <c r="M117" s="30" t="str">
        <f t="shared" si="7"/>
        <v>-</v>
      </c>
      <c r="N117" s="30" t="str">
        <f t="shared" si="8"/>
        <v>-</v>
      </c>
      <c r="O117" s="31" t="str">
        <f t="shared" si="9"/>
        <v>-</v>
      </c>
      <c r="P117" s="32" t="str">
        <f t="shared" si="10"/>
        <v>-</v>
      </c>
      <c r="Q117" s="27"/>
      <c r="R117" s="32" t="str">
        <f t="shared" si="11"/>
        <v>-</v>
      </c>
    </row>
    <row r="118" spans="1:18" s="13" customFormat="1" ht="11.25" customHeight="1">
      <c r="A118" s="18">
        <v>103859</v>
      </c>
      <c r="B118" s="19" t="s">
        <v>127</v>
      </c>
      <c r="C118" s="20">
        <v>658010127875</v>
      </c>
      <c r="D118" s="20"/>
      <c r="E118" s="20"/>
      <c r="F118" s="26">
        <v>0</v>
      </c>
      <c r="G118" s="20"/>
      <c r="H118" s="12">
        <v>24.192</v>
      </c>
      <c r="I118" s="21"/>
      <c r="J118" s="14">
        <f t="shared" si="6"/>
        <v>0</v>
      </c>
      <c r="M118" s="30" t="str">
        <f t="shared" si="7"/>
        <v>-</v>
      </c>
      <c r="N118" s="30" t="str">
        <f t="shared" si="8"/>
        <v>-</v>
      </c>
      <c r="O118" s="31" t="str">
        <f t="shared" si="9"/>
        <v>-</v>
      </c>
      <c r="P118" s="32" t="str">
        <f t="shared" si="10"/>
        <v>-</v>
      </c>
      <c r="Q118" s="27"/>
      <c r="R118" s="32" t="str">
        <f t="shared" si="11"/>
        <v>-</v>
      </c>
    </row>
    <row r="119" spans="1:18" s="13" customFormat="1" ht="11.25" customHeight="1">
      <c r="A119" s="18">
        <v>103845</v>
      </c>
      <c r="B119" s="19" t="s">
        <v>128</v>
      </c>
      <c r="C119" s="20">
        <v>658010127738</v>
      </c>
      <c r="D119" s="20"/>
      <c r="E119" s="20"/>
      <c r="F119" s="26">
        <v>0</v>
      </c>
      <c r="G119" s="20"/>
      <c r="H119" s="12">
        <v>27.971999999999998</v>
      </c>
      <c r="I119" s="21"/>
      <c r="J119" s="14">
        <f t="shared" si="6"/>
        <v>0</v>
      </c>
      <c r="M119" s="30" t="str">
        <f t="shared" si="7"/>
        <v>-</v>
      </c>
      <c r="N119" s="30" t="str">
        <f t="shared" si="8"/>
        <v>-</v>
      </c>
      <c r="O119" s="31" t="str">
        <f t="shared" si="9"/>
        <v>-</v>
      </c>
      <c r="P119" s="32" t="str">
        <f t="shared" si="10"/>
        <v>-</v>
      </c>
      <c r="Q119" s="27"/>
      <c r="R119" s="32" t="str">
        <f t="shared" si="11"/>
        <v>-</v>
      </c>
    </row>
    <row r="120" spans="1:18" s="13" customFormat="1" ht="11.25" customHeight="1">
      <c r="A120" s="18">
        <v>103833</v>
      </c>
      <c r="B120" s="19" t="s">
        <v>129</v>
      </c>
      <c r="C120" s="20">
        <v>658010127615</v>
      </c>
      <c r="D120" s="20"/>
      <c r="E120" s="20"/>
      <c r="F120" s="26">
        <v>0</v>
      </c>
      <c r="G120" s="20"/>
      <c r="H120" s="12">
        <v>24.192</v>
      </c>
      <c r="I120" s="21"/>
      <c r="J120" s="14">
        <f t="shared" si="6"/>
        <v>0</v>
      </c>
      <c r="M120" s="30" t="str">
        <f t="shared" si="7"/>
        <v>-</v>
      </c>
      <c r="N120" s="30" t="str">
        <f t="shared" si="8"/>
        <v>-</v>
      </c>
      <c r="O120" s="31" t="str">
        <f t="shared" si="9"/>
        <v>-</v>
      </c>
      <c r="P120" s="32" t="str">
        <f t="shared" si="10"/>
        <v>-</v>
      </c>
      <c r="Q120" s="27"/>
      <c r="R120" s="32" t="str">
        <f t="shared" si="11"/>
        <v>-</v>
      </c>
    </row>
    <row r="121" spans="1:18" s="13" customFormat="1" ht="11.25" customHeight="1">
      <c r="A121" s="18">
        <v>103832</v>
      </c>
      <c r="B121" s="19" t="s">
        <v>130</v>
      </c>
      <c r="C121" s="20">
        <v>658010127608</v>
      </c>
      <c r="D121" s="20"/>
      <c r="E121" s="20"/>
      <c r="F121" s="26">
        <v>0</v>
      </c>
      <c r="G121" s="20"/>
      <c r="H121" s="12">
        <v>24.192</v>
      </c>
      <c r="I121" s="21"/>
      <c r="J121" s="14">
        <f t="shared" si="6"/>
        <v>0</v>
      </c>
      <c r="M121" s="30" t="str">
        <f t="shared" si="7"/>
        <v>-</v>
      </c>
      <c r="N121" s="30" t="str">
        <f t="shared" si="8"/>
        <v>-</v>
      </c>
      <c r="O121" s="31" t="str">
        <f t="shared" si="9"/>
        <v>-</v>
      </c>
      <c r="P121" s="32" t="str">
        <f t="shared" si="10"/>
        <v>-</v>
      </c>
      <c r="Q121" s="27"/>
      <c r="R121" s="32" t="str">
        <f t="shared" si="11"/>
        <v>-</v>
      </c>
    </row>
    <row r="122" spans="1:18" s="13" customFormat="1" ht="11.25" customHeight="1">
      <c r="A122" s="18" t="s">
        <v>131</v>
      </c>
      <c r="B122" s="19" t="s">
        <v>132</v>
      </c>
      <c r="C122" s="20">
        <v>5425018610389</v>
      </c>
      <c r="D122" s="20"/>
      <c r="E122" s="20"/>
      <c r="F122" s="26">
        <v>0</v>
      </c>
      <c r="G122" s="20"/>
      <c r="H122" s="12">
        <v>19.6434</v>
      </c>
      <c r="I122" s="21"/>
      <c r="J122" s="14">
        <f t="shared" si="6"/>
        <v>0</v>
      </c>
      <c r="M122" s="30" t="str">
        <f t="shared" si="7"/>
        <v>-</v>
      </c>
      <c r="N122" s="30" t="str">
        <f t="shared" si="8"/>
        <v>-</v>
      </c>
      <c r="O122" s="31" t="str">
        <f t="shared" si="9"/>
        <v>-</v>
      </c>
      <c r="P122" s="32" t="str">
        <f t="shared" si="10"/>
        <v>-</v>
      </c>
      <c r="Q122" s="27"/>
      <c r="R122" s="32" t="str">
        <f t="shared" si="11"/>
        <v>-</v>
      </c>
    </row>
    <row r="123" spans="1:18" s="13" customFormat="1" ht="11.25" hidden="1" customHeight="1">
      <c r="A123" s="18" t="s">
        <v>133</v>
      </c>
      <c r="B123" s="19" t="s">
        <v>134</v>
      </c>
      <c r="C123" s="20">
        <v>5425018610013</v>
      </c>
      <c r="D123" s="20"/>
      <c r="E123" s="20"/>
      <c r="F123" s="26">
        <v>0.12</v>
      </c>
      <c r="G123" s="20"/>
      <c r="H123" s="12">
        <v>35.519399999999997</v>
      </c>
      <c r="I123" s="21"/>
      <c r="J123" s="14">
        <f t="shared" si="6"/>
        <v>0</v>
      </c>
      <c r="M123" s="30" t="str">
        <f t="shared" si="7"/>
        <v>-</v>
      </c>
      <c r="N123" s="30" t="str">
        <f t="shared" si="8"/>
        <v>-</v>
      </c>
      <c r="O123" s="31" t="str">
        <f t="shared" si="9"/>
        <v>-</v>
      </c>
      <c r="P123" s="32" t="str">
        <f t="shared" si="10"/>
        <v>-</v>
      </c>
      <c r="Q123" s="27"/>
      <c r="R123" s="32" t="str">
        <f t="shared" si="11"/>
        <v>-</v>
      </c>
    </row>
    <row r="124" spans="1:18" s="13" customFormat="1" ht="11.25" hidden="1" customHeight="1">
      <c r="A124" s="18" t="s">
        <v>135</v>
      </c>
      <c r="B124" s="19" t="s">
        <v>136</v>
      </c>
      <c r="C124" s="20">
        <v>5425018611058</v>
      </c>
      <c r="D124" s="20"/>
      <c r="E124" s="20"/>
      <c r="F124" s="26">
        <v>0.22</v>
      </c>
      <c r="G124" s="20"/>
      <c r="H124" s="12">
        <v>65.759399999999985</v>
      </c>
      <c r="I124" s="21"/>
      <c r="J124" s="14">
        <f t="shared" si="6"/>
        <v>0</v>
      </c>
      <c r="M124" s="30" t="str">
        <f t="shared" si="7"/>
        <v>-</v>
      </c>
      <c r="N124" s="30" t="str">
        <f t="shared" si="8"/>
        <v>-</v>
      </c>
      <c r="O124" s="31" t="str">
        <f t="shared" si="9"/>
        <v>-</v>
      </c>
      <c r="P124" s="32" t="str">
        <f t="shared" si="10"/>
        <v>-</v>
      </c>
      <c r="Q124" s="27"/>
      <c r="R124" s="32" t="str">
        <f t="shared" si="11"/>
        <v>-</v>
      </c>
    </row>
    <row r="125" spans="1:18" s="13" customFormat="1" ht="11.25" customHeight="1">
      <c r="A125" s="18" t="s">
        <v>137</v>
      </c>
      <c r="B125" s="19" t="s">
        <v>138</v>
      </c>
      <c r="C125" s="20">
        <v>5425018610396</v>
      </c>
      <c r="D125" s="20"/>
      <c r="E125" s="20"/>
      <c r="F125" s="26">
        <v>0</v>
      </c>
      <c r="G125" s="20"/>
      <c r="H125" s="12">
        <v>18.131399999999999</v>
      </c>
      <c r="I125" s="21"/>
      <c r="J125" s="14">
        <f t="shared" si="6"/>
        <v>0</v>
      </c>
      <c r="M125" s="30" t="str">
        <f t="shared" si="7"/>
        <v>-</v>
      </c>
      <c r="N125" s="30" t="str">
        <f t="shared" si="8"/>
        <v>-</v>
      </c>
      <c r="O125" s="31" t="str">
        <f t="shared" si="9"/>
        <v>-</v>
      </c>
      <c r="P125" s="32" t="str">
        <f t="shared" si="10"/>
        <v>-</v>
      </c>
      <c r="Q125" s="27"/>
      <c r="R125" s="32" t="str">
        <f t="shared" si="11"/>
        <v>-</v>
      </c>
    </row>
    <row r="126" spans="1:18" s="13" customFormat="1" ht="11.25" hidden="1" customHeight="1">
      <c r="A126" s="18" t="s">
        <v>139</v>
      </c>
      <c r="B126" s="19" t="s">
        <v>140</v>
      </c>
      <c r="C126" s="20">
        <v>5425018610044</v>
      </c>
      <c r="D126" s="20"/>
      <c r="E126" s="20"/>
      <c r="F126" s="26">
        <v>0.11</v>
      </c>
      <c r="G126" s="20"/>
      <c r="H126" s="12">
        <v>32.495399999999997</v>
      </c>
      <c r="I126" s="21"/>
      <c r="J126" s="14">
        <f t="shared" si="6"/>
        <v>0</v>
      </c>
      <c r="M126" s="30" t="str">
        <f t="shared" si="7"/>
        <v>-</v>
      </c>
      <c r="N126" s="30" t="str">
        <f t="shared" si="8"/>
        <v>-</v>
      </c>
      <c r="O126" s="31" t="str">
        <f t="shared" si="9"/>
        <v>-</v>
      </c>
      <c r="P126" s="32" t="str">
        <f t="shared" si="10"/>
        <v>-</v>
      </c>
      <c r="Q126" s="27"/>
      <c r="R126" s="32" t="str">
        <f t="shared" si="11"/>
        <v>-</v>
      </c>
    </row>
    <row r="127" spans="1:18" s="13" customFormat="1" ht="11.25" hidden="1" customHeight="1">
      <c r="A127" s="18" t="s">
        <v>141</v>
      </c>
      <c r="B127" s="19" t="s">
        <v>142</v>
      </c>
      <c r="C127" s="20">
        <v>5425018610860</v>
      </c>
      <c r="D127" s="20"/>
      <c r="E127" s="20"/>
      <c r="F127" s="26">
        <v>0.11</v>
      </c>
      <c r="G127" s="20"/>
      <c r="H127" s="12">
        <v>42.323400000000007</v>
      </c>
      <c r="I127" s="21"/>
      <c r="J127" s="14">
        <f t="shared" si="6"/>
        <v>0</v>
      </c>
      <c r="M127" s="30" t="str">
        <f t="shared" si="7"/>
        <v>-</v>
      </c>
      <c r="N127" s="30" t="str">
        <f t="shared" si="8"/>
        <v>-</v>
      </c>
      <c r="O127" s="31" t="str">
        <f t="shared" si="9"/>
        <v>-</v>
      </c>
      <c r="P127" s="32" t="str">
        <f t="shared" si="10"/>
        <v>-</v>
      </c>
      <c r="Q127" s="27"/>
      <c r="R127" s="32" t="str">
        <f t="shared" si="11"/>
        <v>-</v>
      </c>
    </row>
    <row r="128" spans="1:18" s="13" customFormat="1" ht="11.25" hidden="1" customHeight="1">
      <c r="A128" s="18" t="s">
        <v>143</v>
      </c>
      <c r="B128" s="19" t="s">
        <v>144</v>
      </c>
      <c r="C128" s="20">
        <v>5425018610907</v>
      </c>
      <c r="D128" s="20"/>
      <c r="E128" s="20"/>
      <c r="F128" s="26">
        <v>7.0000000000000007E-2</v>
      </c>
      <c r="G128" s="20"/>
      <c r="H128" s="12">
        <v>37.031399999999998</v>
      </c>
      <c r="I128" s="21"/>
      <c r="J128" s="14">
        <f t="shared" si="6"/>
        <v>0</v>
      </c>
      <c r="M128" s="30" t="str">
        <f t="shared" si="7"/>
        <v>-</v>
      </c>
      <c r="N128" s="30" t="str">
        <f t="shared" si="8"/>
        <v>-</v>
      </c>
      <c r="O128" s="31" t="str">
        <f t="shared" si="9"/>
        <v>-</v>
      </c>
      <c r="P128" s="32" t="str">
        <f t="shared" si="10"/>
        <v>-</v>
      </c>
      <c r="Q128" s="27"/>
      <c r="R128" s="32" t="str">
        <f t="shared" si="11"/>
        <v>-</v>
      </c>
    </row>
    <row r="129" spans="1:18" s="13" customFormat="1" ht="11.25" customHeight="1">
      <c r="A129" s="18" t="s">
        <v>145</v>
      </c>
      <c r="B129" s="19" t="s">
        <v>146</v>
      </c>
      <c r="C129" s="20">
        <v>5425018611225</v>
      </c>
      <c r="D129" s="20"/>
      <c r="E129" s="20"/>
      <c r="F129" s="26">
        <v>0</v>
      </c>
      <c r="G129" s="20"/>
      <c r="H129" s="12">
        <v>27.203399999999998</v>
      </c>
      <c r="I129" s="21"/>
      <c r="J129" s="14">
        <f t="shared" si="6"/>
        <v>0</v>
      </c>
      <c r="M129" s="30" t="str">
        <f t="shared" si="7"/>
        <v>-</v>
      </c>
      <c r="N129" s="30" t="str">
        <f t="shared" si="8"/>
        <v>-</v>
      </c>
      <c r="O129" s="31" t="str">
        <f t="shared" si="9"/>
        <v>-</v>
      </c>
      <c r="P129" s="32" t="str">
        <f t="shared" si="10"/>
        <v>-</v>
      </c>
      <c r="Q129" s="27"/>
      <c r="R129" s="32" t="str">
        <f t="shared" si="11"/>
        <v>-</v>
      </c>
    </row>
    <row r="130" spans="1:18" s="13" customFormat="1" ht="11.25" customHeight="1">
      <c r="A130" s="18" t="s">
        <v>147</v>
      </c>
      <c r="B130" s="19" t="s">
        <v>148</v>
      </c>
      <c r="C130" s="20">
        <v>5425018611812</v>
      </c>
      <c r="D130" s="20"/>
      <c r="E130" s="20"/>
      <c r="F130" s="26">
        <v>0</v>
      </c>
      <c r="G130" s="20"/>
      <c r="H130" s="12">
        <v>49.883400000000009</v>
      </c>
      <c r="I130" s="21"/>
      <c r="J130" s="14">
        <f t="shared" si="6"/>
        <v>0</v>
      </c>
      <c r="M130" s="30" t="str">
        <f t="shared" si="7"/>
        <v>-</v>
      </c>
      <c r="N130" s="30" t="str">
        <f t="shared" si="8"/>
        <v>-</v>
      </c>
      <c r="O130" s="31" t="str">
        <f t="shared" si="9"/>
        <v>-</v>
      </c>
      <c r="P130" s="32" t="str">
        <f t="shared" si="10"/>
        <v>-</v>
      </c>
      <c r="Q130" s="27"/>
      <c r="R130" s="32" t="str">
        <f t="shared" si="11"/>
        <v>-</v>
      </c>
    </row>
    <row r="131" spans="1:18" s="13" customFormat="1" ht="11.25" hidden="1" customHeight="1">
      <c r="A131" s="18">
        <v>101518</v>
      </c>
      <c r="B131" s="19" t="s">
        <v>149</v>
      </c>
      <c r="C131" s="20">
        <v>658010113854</v>
      </c>
      <c r="D131" s="20"/>
      <c r="E131" s="20"/>
      <c r="F131" s="26">
        <v>0.28999999999999998</v>
      </c>
      <c r="G131" s="20"/>
      <c r="H131" s="12">
        <v>27.959399999999999</v>
      </c>
      <c r="I131" s="21"/>
      <c r="J131" s="14">
        <f t="shared" ref="J131:J194" si="12">I131*H131</f>
        <v>0</v>
      </c>
      <c r="M131" s="30" t="str">
        <f t="shared" si="7"/>
        <v>-</v>
      </c>
      <c r="N131" s="30" t="str">
        <f t="shared" si="8"/>
        <v>-</v>
      </c>
      <c r="O131" s="31" t="str">
        <f t="shared" si="9"/>
        <v>-</v>
      </c>
      <c r="P131" s="32" t="str">
        <f t="shared" si="10"/>
        <v>-</v>
      </c>
      <c r="Q131" s="27"/>
      <c r="R131" s="32" t="str">
        <f t="shared" si="11"/>
        <v>-</v>
      </c>
    </row>
    <row r="132" spans="1:18" s="13" customFormat="1" ht="11.25" customHeight="1">
      <c r="A132" s="18">
        <v>101519</v>
      </c>
      <c r="B132" s="19" t="s">
        <v>150</v>
      </c>
      <c r="C132" s="20">
        <v>658010113861</v>
      </c>
      <c r="D132" s="20"/>
      <c r="E132" s="20"/>
      <c r="F132" s="26">
        <v>0</v>
      </c>
      <c r="G132" s="20"/>
      <c r="H132" s="12">
        <v>43.079399999999993</v>
      </c>
      <c r="I132" s="21"/>
      <c r="J132" s="14">
        <f t="shared" si="12"/>
        <v>0</v>
      </c>
      <c r="M132" s="30" t="str">
        <f t="shared" ref="M132:M195" si="13">IFERROR(IF($M$2*F132=0, "-", $M$2*F132), "-")</f>
        <v>-</v>
      </c>
      <c r="N132" s="30" t="str">
        <f t="shared" ref="N132:N195" si="14">IF(I132&gt;0,H132+F132*I132/$O$2*$P$2/I132,"-")</f>
        <v>-</v>
      </c>
      <c r="O132" s="31" t="str">
        <f t="shared" ref="O132:O195" si="15">IF(I132&gt;0,I132*F132*1.113, "-")</f>
        <v>-</v>
      </c>
      <c r="P132" s="32" t="str">
        <f t="shared" ref="P132:P195" si="16">IFERROR(IF($M$2&gt;0, $M$2*O132, "-"), "-")</f>
        <v>-</v>
      </c>
      <c r="Q132" s="27"/>
      <c r="R132" s="32" t="str">
        <f t="shared" ref="R132:R195" si="17">IFERROR(IF(P132+J132=0, "-", IF(P132&gt;0, P132+J132, "-")), "-")</f>
        <v>-</v>
      </c>
    </row>
    <row r="133" spans="1:18" s="13" customFormat="1" ht="11.25" customHeight="1">
      <c r="A133" s="18">
        <v>101516</v>
      </c>
      <c r="B133" s="19" t="s">
        <v>151</v>
      </c>
      <c r="C133" s="20">
        <v>658010113830</v>
      </c>
      <c r="D133" s="20"/>
      <c r="E133" s="20"/>
      <c r="F133" s="26">
        <v>0</v>
      </c>
      <c r="G133" s="20"/>
      <c r="H133" s="12">
        <v>43.079399999999993</v>
      </c>
      <c r="I133" s="21"/>
      <c r="J133" s="14">
        <f t="shared" si="12"/>
        <v>0</v>
      </c>
      <c r="M133" s="30" t="str">
        <f t="shared" si="13"/>
        <v>-</v>
      </c>
      <c r="N133" s="30" t="str">
        <f t="shared" si="14"/>
        <v>-</v>
      </c>
      <c r="O133" s="31" t="str">
        <f t="shared" si="15"/>
        <v>-</v>
      </c>
      <c r="P133" s="32" t="str">
        <f t="shared" si="16"/>
        <v>-</v>
      </c>
      <c r="Q133" s="27"/>
      <c r="R133" s="32" t="str">
        <f t="shared" si="17"/>
        <v>-</v>
      </c>
    </row>
    <row r="134" spans="1:18" s="13" customFormat="1" ht="11.25" customHeight="1">
      <c r="A134" s="18">
        <v>101520</v>
      </c>
      <c r="B134" s="19" t="s">
        <v>152</v>
      </c>
      <c r="C134" s="20">
        <v>658010113878</v>
      </c>
      <c r="D134" s="20"/>
      <c r="E134" s="20"/>
      <c r="F134" s="26">
        <v>0</v>
      </c>
      <c r="G134" s="20"/>
      <c r="H134" s="12">
        <v>16.619399999999999</v>
      </c>
      <c r="I134" s="21"/>
      <c r="J134" s="14">
        <f t="shared" si="12"/>
        <v>0</v>
      </c>
      <c r="M134" s="30" t="str">
        <f t="shared" si="13"/>
        <v>-</v>
      </c>
      <c r="N134" s="30" t="str">
        <f t="shared" si="14"/>
        <v>-</v>
      </c>
      <c r="O134" s="31" t="str">
        <f t="shared" si="15"/>
        <v>-</v>
      </c>
      <c r="P134" s="32" t="str">
        <f t="shared" si="16"/>
        <v>-</v>
      </c>
      <c r="Q134" s="27"/>
      <c r="R134" s="32" t="str">
        <f t="shared" si="17"/>
        <v>-</v>
      </c>
    </row>
    <row r="135" spans="1:18" s="13" customFormat="1" ht="11.25" hidden="1" customHeight="1">
      <c r="A135" s="18">
        <v>101552</v>
      </c>
      <c r="B135" s="19" t="s">
        <v>153</v>
      </c>
      <c r="C135" s="20">
        <v>658010113953</v>
      </c>
      <c r="D135" s="20"/>
      <c r="E135" s="20"/>
      <c r="F135" s="26">
        <v>0.16</v>
      </c>
      <c r="G135" s="20"/>
      <c r="H135" s="12">
        <v>16.619399999999999</v>
      </c>
      <c r="I135" s="21"/>
      <c r="J135" s="14">
        <f t="shared" si="12"/>
        <v>0</v>
      </c>
      <c r="M135" s="30" t="str">
        <f t="shared" si="13"/>
        <v>-</v>
      </c>
      <c r="N135" s="30" t="str">
        <f t="shared" si="14"/>
        <v>-</v>
      </c>
      <c r="O135" s="31" t="str">
        <f t="shared" si="15"/>
        <v>-</v>
      </c>
      <c r="P135" s="32" t="str">
        <f t="shared" si="16"/>
        <v>-</v>
      </c>
      <c r="Q135" s="27"/>
      <c r="R135" s="32" t="str">
        <f t="shared" si="17"/>
        <v>-</v>
      </c>
    </row>
    <row r="136" spans="1:18" s="13" customFormat="1" ht="11.25" hidden="1" customHeight="1">
      <c r="A136" s="18">
        <v>103542</v>
      </c>
      <c r="B136" s="19" t="s">
        <v>154</v>
      </c>
      <c r="C136" s="20">
        <v>658010124652</v>
      </c>
      <c r="D136" s="20"/>
      <c r="E136" s="20"/>
      <c r="F136" s="26">
        <v>7.0000000000000007E-2</v>
      </c>
      <c r="G136" s="20"/>
      <c r="H136" s="12">
        <v>22.679999999999996</v>
      </c>
      <c r="I136" s="21"/>
      <c r="J136" s="14">
        <f t="shared" si="12"/>
        <v>0</v>
      </c>
      <c r="M136" s="30" t="str">
        <f t="shared" si="13"/>
        <v>-</v>
      </c>
      <c r="N136" s="30" t="str">
        <f t="shared" si="14"/>
        <v>-</v>
      </c>
      <c r="O136" s="31" t="str">
        <f t="shared" si="15"/>
        <v>-</v>
      </c>
      <c r="P136" s="32" t="str">
        <f t="shared" si="16"/>
        <v>-</v>
      </c>
      <c r="Q136" s="27"/>
      <c r="R136" s="32" t="str">
        <f t="shared" si="17"/>
        <v>-</v>
      </c>
    </row>
    <row r="137" spans="1:18" s="13" customFormat="1" ht="11.25" hidden="1" customHeight="1">
      <c r="A137" s="18">
        <v>104004</v>
      </c>
      <c r="B137" s="19" t="s">
        <v>155</v>
      </c>
      <c r="C137" s="20">
        <v>658010129329</v>
      </c>
      <c r="D137" s="20"/>
      <c r="E137" s="20"/>
      <c r="F137" s="26">
        <v>0.08</v>
      </c>
      <c r="G137" s="20"/>
      <c r="H137" s="12">
        <v>22.679999999999996</v>
      </c>
      <c r="I137" s="21"/>
      <c r="J137" s="14">
        <f t="shared" si="12"/>
        <v>0</v>
      </c>
      <c r="M137" s="30" t="str">
        <f t="shared" si="13"/>
        <v>-</v>
      </c>
      <c r="N137" s="30" t="str">
        <f t="shared" si="14"/>
        <v>-</v>
      </c>
      <c r="O137" s="31" t="str">
        <f t="shared" si="15"/>
        <v>-</v>
      </c>
      <c r="P137" s="32" t="str">
        <f t="shared" si="16"/>
        <v>-</v>
      </c>
      <c r="Q137" s="27"/>
      <c r="R137" s="32" t="str">
        <f t="shared" si="17"/>
        <v>-</v>
      </c>
    </row>
    <row r="138" spans="1:18" s="13" customFormat="1" ht="11.25" hidden="1" customHeight="1">
      <c r="A138" s="18">
        <v>103546</v>
      </c>
      <c r="B138" s="19" t="s">
        <v>156</v>
      </c>
      <c r="C138" s="20">
        <v>658010124690</v>
      </c>
      <c r="D138" s="20"/>
      <c r="E138" s="20"/>
      <c r="F138" s="26">
        <v>0.08</v>
      </c>
      <c r="G138" s="20"/>
      <c r="H138" s="12">
        <v>24.192</v>
      </c>
      <c r="I138" s="21"/>
      <c r="J138" s="14">
        <f t="shared" si="12"/>
        <v>0</v>
      </c>
      <c r="M138" s="30" t="str">
        <f t="shared" si="13"/>
        <v>-</v>
      </c>
      <c r="N138" s="30" t="str">
        <f t="shared" si="14"/>
        <v>-</v>
      </c>
      <c r="O138" s="31" t="str">
        <f t="shared" si="15"/>
        <v>-</v>
      </c>
      <c r="P138" s="32" t="str">
        <f t="shared" si="16"/>
        <v>-</v>
      </c>
      <c r="Q138" s="27"/>
      <c r="R138" s="32" t="str">
        <f t="shared" si="17"/>
        <v>-</v>
      </c>
    </row>
    <row r="139" spans="1:18" s="13" customFormat="1" ht="11.25" hidden="1" customHeight="1">
      <c r="A139" s="18">
        <v>103604</v>
      </c>
      <c r="B139" s="19" t="s">
        <v>157</v>
      </c>
      <c r="C139" s="20">
        <v>658010125321</v>
      </c>
      <c r="D139" s="20"/>
      <c r="E139" s="20"/>
      <c r="F139" s="26">
        <v>0.09</v>
      </c>
      <c r="G139" s="20"/>
      <c r="H139" s="12">
        <v>24.192</v>
      </c>
      <c r="I139" s="21"/>
      <c r="J139" s="14">
        <f t="shared" si="12"/>
        <v>0</v>
      </c>
      <c r="M139" s="30" t="str">
        <f t="shared" si="13"/>
        <v>-</v>
      </c>
      <c r="N139" s="30" t="str">
        <f t="shared" si="14"/>
        <v>-</v>
      </c>
      <c r="O139" s="31" t="str">
        <f t="shared" si="15"/>
        <v>-</v>
      </c>
      <c r="P139" s="32" t="str">
        <f t="shared" si="16"/>
        <v>-</v>
      </c>
      <c r="Q139" s="27"/>
      <c r="R139" s="32" t="str">
        <f t="shared" si="17"/>
        <v>-</v>
      </c>
    </row>
    <row r="140" spans="1:18" s="13" customFormat="1" ht="11.25" hidden="1" customHeight="1">
      <c r="A140" s="18">
        <v>103538</v>
      </c>
      <c r="B140" s="19" t="s">
        <v>158</v>
      </c>
      <c r="C140" s="20">
        <v>658010124614</v>
      </c>
      <c r="D140" s="20"/>
      <c r="E140" s="20"/>
      <c r="F140" s="26">
        <v>0.1</v>
      </c>
      <c r="G140" s="20"/>
      <c r="H140" s="12">
        <v>24.192</v>
      </c>
      <c r="I140" s="21"/>
      <c r="J140" s="14">
        <f t="shared" si="12"/>
        <v>0</v>
      </c>
      <c r="M140" s="30" t="str">
        <f t="shared" si="13"/>
        <v>-</v>
      </c>
      <c r="N140" s="30" t="str">
        <f t="shared" si="14"/>
        <v>-</v>
      </c>
      <c r="O140" s="31" t="str">
        <f t="shared" si="15"/>
        <v>-</v>
      </c>
      <c r="P140" s="32" t="str">
        <f t="shared" si="16"/>
        <v>-</v>
      </c>
      <c r="Q140" s="27"/>
      <c r="R140" s="32" t="str">
        <f t="shared" si="17"/>
        <v>-</v>
      </c>
    </row>
    <row r="141" spans="1:18" s="13" customFormat="1" ht="11.25" hidden="1" customHeight="1">
      <c r="A141" s="18">
        <v>103540</v>
      </c>
      <c r="B141" s="19" t="s">
        <v>159</v>
      </c>
      <c r="C141" s="20">
        <v>658010124638</v>
      </c>
      <c r="D141" s="20"/>
      <c r="E141" s="20"/>
      <c r="F141" s="26">
        <v>0.23</v>
      </c>
      <c r="G141" s="20"/>
      <c r="H141" s="12">
        <v>55.943999999999996</v>
      </c>
      <c r="I141" s="21"/>
      <c r="J141" s="14">
        <f t="shared" si="12"/>
        <v>0</v>
      </c>
      <c r="M141" s="30" t="str">
        <f t="shared" si="13"/>
        <v>-</v>
      </c>
      <c r="N141" s="30" t="str">
        <f t="shared" si="14"/>
        <v>-</v>
      </c>
      <c r="O141" s="31" t="str">
        <f t="shared" si="15"/>
        <v>-</v>
      </c>
      <c r="P141" s="32" t="str">
        <f t="shared" si="16"/>
        <v>-</v>
      </c>
      <c r="Q141" s="27"/>
      <c r="R141" s="32" t="str">
        <f t="shared" si="17"/>
        <v>-</v>
      </c>
    </row>
    <row r="142" spans="1:18" s="13" customFormat="1" ht="11.25" hidden="1" customHeight="1">
      <c r="A142" s="18">
        <v>103547</v>
      </c>
      <c r="B142" s="19" t="s">
        <v>160</v>
      </c>
      <c r="C142" s="20">
        <v>658010124706</v>
      </c>
      <c r="D142" s="20"/>
      <c r="E142" s="20"/>
      <c r="F142" s="26">
        <v>0.39</v>
      </c>
      <c r="G142" s="20"/>
      <c r="H142" s="12">
        <v>24.192</v>
      </c>
      <c r="I142" s="21"/>
      <c r="J142" s="14">
        <f t="shared" si="12"/>
        <v>0</v>
      </c>
      <c r="M142" s="30" t="str">
        <f t="shared" si="13"/>
        <v>-</v>
      </c>
      <c r="N142" s="30" t="str">
        <f t="shared" si="14"/>
        <v>-</v>
      </c>
      <c r="O142" s="31" t="str">
        <f t="shared" si="15"/>
        <v>-</v>
      </c>
      <c r="P142" s="32" t="str">
        <f t="shared" si="16"/>
        <v>-</v>
      </c>
      <c r="Q142" s="27"/>
      <c r="R142" s="32" t="str">
        <f t="shared" si="17"/>
        <v>-</v>
      </c>
    </row>
    <row r="143" spans="1:18" s="13" customFormat="1" ht="11.25" hidden="1" customHeight="1">
      <c r="A143" s="18">
        <v>103548</v>
      </c>
      <c r="B143" s="19" t="s">
        <v>161</v>
      </c>
      <c r="C143" s="20">
        <v>658010124713</v>
      </c>
      <c r="D143" s="20"/>
      <c r="E143" s="20"/>
      <c r="F143" s="26">
        <v>0.7</v>
      </c>
      <c r="G143" s="20"/>
      <c r="H143" s="12">
        <v>40.067999999999998</v>
      </c>
      <c r="I143" s="21"/>
      <c r="J143" s="14">
        <f t="shared" si="12"/>
        <v>0</v>
      </c>
      <c r="M143" s="30" t="str">
        <f t="shared" si="13"/>
        <v>-</v>
      </c>
      <c r="N143" s="30" t="str">
        <f t="shared" si="14"/>
        <v>-</v>
      </c>
      <c r="O143" s="31" t="str">
        <f t="shared" si="15"/>
        <v>-</v>
      </c>
      <c r="P143" s="32" t="str">
        <f t="shared" si="16"/>
        <v>-</v>
      </c>
      <c r="Q143" s="27"/>
      <c r="R143" s="32" t="str">
        <f t="shared" si="17"/>
        <v>-</v>
      </c>
    </row>
    <row r="144" spans="1:18" s="13" customFormat="1" ht="11.25" customHeight="1">
      <c r="A144" s="18">
        <v>104208</v>
      </c>
      <c r="B144" s="19" t="s">
        <v>162</v>
      </c>
      <c r="C144" s="20">
        <v>658010131360</v>
      </c>
      <c r="D144" s="20"/>
      <c r="E144" s="20"/>
      <c r="F144" s="26">
        <v>0</v>
      </c>
      <c r="G144" s="20"/>
      <c r="H144" s="12">
        <v>31.739400000000003</v>
      </c>
      <c r="I144" s="21"/>
      <c r="J144" s="14">
        <f t="shared" si="12"/>
        <v>0</v>
      </c>
      <c r="M144" s="30" t="str">
        <f t="shared" si="13"/>
        <v>-</v>
      </c>
      <c r="N144" s="30" t="str">
        <f t="shared" si="14"/>
        <v>-</v>
      </c>
      <c r="O144" s="31" t="str">
        <f t="shared" si="15"/>
        <v>-</v>
      </c>
      <c r="P144" s="32" t="str">
        <f t="shared" si="16"/>
        <v>-</v>
      </c>
      <c r="Q144" s="27"/>
      <c r="R144" s="32" t="str">
        <f t="shared" si="17"/>
        <v>-</v>
      </c>
    </row>
    <row r="145" spans="1:18" s="13" customFormat="1" ht="11.25" hidden="1" customHeight="1">
      <c r="A145" s="18">
        <v>104209</v>
      </c>
      <c r="B145" s="19" t="s">
        <v>163</v>
      </c>
      <c r="C145" s="20">
        <v>658010131377</v>
      </c>
      <c r="D145" s="20"/>
      <c r="E145" s="20"/>
      <c r="F145" s="26">
        <v>0.16</v>
      </c>
      <c r="G145" s="20"/>
      <c r="H145" s="12">
        <v>27.959399999999999</v>
      </c>
      <c r="I145" s="21"/>
      <c r="J145" s="14">
        <f t="shared" si="12"/>
        <v>0</v>
      </c>
      <c r="M145" s="30" t="str">
        <f t="shared" si="13"/>
        <v>-</v>
      </c>
      <c r="N145" s="30" t="str">
        <f t="shared" si="14"/>
        <v>-</v>
      </c>
      <c r="O145" s="31" t="str">
        <f t="shared" si="15"/>
        <v>-</v>
      </c>
      <c r="P145" s="32" t="str">
        <f t="shared" si="16"/>
        <v>-</v>
      </c>
      <c r="Q145" s="27"/>
      <c r="R145" s="32" t="str">
        <f t="shared" si="17"/>
        <v>-</v>
      </c>
    </row>
    <row r="146" spans="1:18" s="13" customFormat="1" ht="11.25" hidden="1" customHeight="1">
      <c r="A146" s="18">
        <v>104151</v>
      </c>
      <c r="B146" s="19" t="s">
        <v>164</v>
      </c>
      <c r="C146" s="20">
        <v>658010130790</v>
      </c>
      <c r="D146" s="20"/>
      <c r="E146" s="20"/>
      <c r="F146" s="26">
        <v>0.25</v>
      </c>
      <c r="G146" s="20"/>
      <c r="H146" s="12">
        <v>24.179400000000001</v>
      </c>
      <c r="I146" s="21"/>
      <c r="J146" s="14">
        <f t="shared" si="12"/>
        <v>0</v>
      </c>
      <c r="M146" s="30" t="str">
        <f t="shared" si="13"/>
        <v>-</v>
      </c>
      <c r="N146" s="30" t="str">
        <f t="shared" si="14"/>
        <v>-</v>
      </c>
      <c r="O146" s="31" t="str">
        <f t="shared" si="15"/>
        <v>-</v>
      </c>
      <c r="P146" s="32" t="str">
        <f t="shared" si="16"/>
        <v>-</v>
      </c>
      <c r="Q146" s="27"/>
      <c r="R146" s="32" t="str">
        <f t="shared" si="17"/>
        <v>-</v>
      </c>
    </row>
    <row r="147" spans="1:18" s="13" customFormat="1" ht="11.25" hidden="1" customHeight="1">
      <c r="A147" s="18">
        <v>104152</v>
      </c>
      <c r="B147" s="19" t="s">
        <v>165</v>
      </c>
      <c r="C147" s="20">
        <v>658010130806</v>
      </c>
      <c r="D147" s="20"/>
      <c r="E147" s="20"/>
      <c r="F147" s="26">
        <v>0.25</v>
      </c>
      <c r="G147" s="20"/>
      <c r="H147" s="12">
        <v>24.179400000000001</v>
      </c>
      <c r="I147" s="21"/>
      <c r="J147" s="14">
        <f t="shared" si="12"/>
        <v>0</v>
      </c>
      <c r="M147" s="30" t="str">
        <f t="shared" si="13"/>
        <v>-</v>
      </c>
      <c r="N147" s="30" t="str">
        <f t="shared" si="14"/>
        <v>-</v>
      </c>
      <c r="O147" s="31" t="str">
        <f t="shared" si="15"/>
        <v>-</v>
      </c>
      <c r="P147" s="32" t="str">
        <f t="shared" si="16"/>
        <v>-</v>
      </c>
      <c r="Q147" s="27"/>
      <c r="R147" s="32" t="str">
        <f t="shared" si="17"/>
        <v>-</v>
      </c>
    </row>
    <row r="148" spans="1:18" s="13" customFormat="1" ht="11.25" hidden="1" customHeight="1">
      <c r="A148" s="18">
        <v>101567</v>
      </c>
      <c r="B148" s="19" t="s">
        <v>166</v>
      </c>
      <c r="C148" s="20">
        <v>658010114059</v>
      </c>
      <c r="D148" s="20"/>
      <c r="E148" s="20"/>
      <c r="F148" s="26">
        <v>0.26</v>
      </c>
      <c r="G148" s="20"/>
      <c r="H148" s="12">
        <v>37.031399999999998</v>
      </c>
      <c r="I148" s="21"/>
      <c r="J148" s="14">
        <f t="shared" si="12"/>
        <v>0</v>
      </c>
      <c r="M148" s="30" t="str">
        <f t="shared" si="13"/>
        <v>-</v>
      </c>
      <c r="N148" s="30" t="str">
        <f t="shared" si="14"/>
        <v>-</v>
      </c>
      <c r="O148" s="31" t="str">
        <f t="shared" si="15"/>
        <v>-</v>
      </c>
      <c r="P148" s="32" t="str">
        <f t="shared" si="16"/>
        <v>-</v>
      </c>
      <c r="Q148" s="27"/>
      <c r="R148" s="32" t="str">
        <f t="shared" si="17"/>
        <v>-</v>
      </c>
    </row>
    <row r="149" spans="1:18" s="13" customFormat="1" ht="11.25" hidden="1" customHeight="1">
      <c r="A149" s="18">
        <v>102130</v>
      </c>
      <c r="B149" s="19" t="s">
        <v>167</v>
      </c>
      <c r="C149" s="20">
        <v>658010117081</v>
      </c>
      <c r="D149" s="20"/>
      <c r="E149" s="20"/>
      <c r="F149" s="26">
        <v>0.51</v>
      </c>
      <c r="G149" s="20"/>
      <c r="H149" s="12">
        <v>67.2714</v>
      </c>
      <c r="I149" s="21"/>
      <c r="J149" s="14">
        <f t="shared" si="12"/>
        <v>0</v>
      </c>
      <c r="M149" s="30" t="str">
        <f t="shared" si="13"/>
        <v>-</v>
      </c>
      <c r="N149" s="30" t="str">
        <f t="shared" si="14"/>
        <v>-</v>
      </c>
      <c r="O149" s="31" t="str">
        <f t="shared" si="15"/>
        <v>-</v>
      </c>
      <c r="P149" s="32" t="str">
        <f t="shared" si="16"/>
        <v>-</v>
      </c>
      <c r="Q149" s="27"/>
      <c r="R149" s="32" t="str">
        <f t="shared" si="17"/>
        <v>-</v>
      </c>
    </row>
    <row r="150" spans="1:18" s="13" customFormat="1" ht="11.25" customHeight="1">
      <c r="A150" s="18">
        <v>101818</v>
      </c>
      <c r="B150" s="19" t="s">
        <v>168</v>
      </c>
      <c r="C150" s="20">
        <v>658010115957</v>
      </c>
      <c r="D150" s="20"/>
      <c r="E150" s="20"/>
      <c r="F150" s="26">
        <v>0</v>
      </c>
      <c r="G150" s="20"/>
      <c r="H150" s="12">
        <v>37.031399999999998</v>
      </c>
      <c r="I150" s="21"/>
      <c r="J150" s="14">
        <f t="shared" si="12"/>
        <v>0</v>
      </c>
      <c r="M150" s="30" t="str">
        <f t="shared" si="13"/>
        <v>-</v>
      </c>
      <c r="N150" s="30" t="str">
        <f t="shared" si="14"/>
        <v>-</v>
      </c>
      <c r="O150" s="31" t="str">
        <f t="shared" si="15"/>
        <v>-</v>
      </c>
      <c r="P150" s="32" t="str">
        <f t="shared" si="16"/>
        <v>-</v>
      </c>
      <c r="Q150" s="27"/>
      <c r="R150" s="32" t="str">
        <f t="shared" si="17"/>
        <v>-</v>
      </c>
    </row>
    <row r="151" spans="1:18" s="13" customFormat="1" ht="11.25" customHeight="1">
      <c r="A151" s="18">
        <v>102131</v>
      </c>
      <c r="B151" s="19" t="s">
        <v>169</v>
      </c>
      <c r="C151" s="20">
        <v>658010117098</v>
      </c>
      <c r="D151" s="20"/>
      <c r="E151" s="20"/>
      <c r="F151" s="26">
        <v>0</v>
      </c>
      <c r="G151" s="20"/>
      <c r="H151" s="12">
        <v>67.2714</v>
      </c>
      <c r="I151" s="21"/>
      <c r="J151" s="14">
        <f t="shared" si="12"/>
        <v>0</v>
      </c>
      <c r="M151" s="30" t="str">
        <f t="shared" si="13"/>
        <v>-</v>
      </c>
      <c r="N151" s="30" t="str">
        <f t="shared" si="14"/>
        <v>-</v>
      </c>
      <c r="O151" s="31" t="str">
        <f t="shared" si="15"/>
        <v>-</v>
      </c>
      <c r="P151" s="32" t="str">
        <f t="shared" si="16"/>
        <v>-</v>
      </c>
      <c r="Q151" s="27"/>
      <c r="R151" s="32" t="str">
        <f t="shared" si="17"/>
        <v>-</v>
      </c>
    </row>
    <row r="152" spans="1:18" s="13" customFormat="1" ht="11.25" customHeight="1">
      <c r="A152" s="18">
        <v>101568</v>
      </c>
      <c r="B152" s="19" t="s">
        <v>170</v>
      </c>
      <c r="C152" s="20">
        <v>658010114066</v>
      </c>
      <c r="D152" s="20"/>
      <c r="E152" s="20"/>
      <c r="F152" s="26">
        <v>0</v>
      </c>
      <c r="G152" s="20"/>
      <c r="H152" s="12">
        <v>37.031399999999998</v>
      </c>
      <c r="I152" s="21"/>
      <c r="J152" s="14">
        <f t="shared" si="12"/>
        <v>0</v>
      </c>
      <c r="M152" s="30" t="str">
        <f t="shared" si="13"/>
        <v>-</v>
      </c>
      <c r="N152" s="30" t="str">
        <f t="shared" si="14"/>
        <v>-</v>
      </c>
      <c r="O152" s="31" t="str">
        <f t="shared" si="15"/>
        <v>-</v>
      </c>
      <c r="P152" s="32" t="str">
        <f t="shared" si="16"/>
        <v>-</v>
      </c>
      <c r="Q152" s="27"/>
      <c r="R152" s="32" t="str">
        <f t="shared" si="17"/>
        <v>-</v>
      </c>
    </row>
    <row r="153" spans="1:18" s="13" customFormat="1" ht="11.25" customHeight="1">
      <c r="A153" s="18">
        <v>101922</v>
      </c>
      <c r="B153" s="19" t="s">
        <v>171</v>
      </c>
      <c r="C153" s="20">
        <v>658010116244</v>
      </c>
      <c r="D153" s="20"/>
      <c r="E153" s="20"/>
      <c r="F153" s="26">
        <v>0</v>
      </c>
      <c r="G153" s="20"/>
      <c r="H153" s="12">
        <v>37.031399999999998</v>
      </c>
      <c r="I153" s="21"/>
      <c r="J153" s="14">
        <f t="shared" si="12"/>
        <v>0</v>
      </c>
      <c r="M153" s="30" t="str">
        <f t="shared" si="13"/>
        <v>-</v>
      </c>
      <c r="N153" s="30" t="str">
        <f t="shared" si="14"/>
        <v>-</v>
      </c>
      <c r="O153" s="31" t="str">
        <f t="shared" si="15"/>
        <v>-</v>
      </c>
      <c r="P153" s="32" t="str">
        <f t="shared" si="16"/>
        <v>-</v>
      </c>
      <c r="Q153" s="27"/>
      <c r="R153" s="32" t="str">
        <f t="shared" si="17"/>
        <v>-</v>
      </c>
    </row>
    <row r="154" spans="1:18" s="13" customFormat="1" ht="11.25" customHeight="1">
      <c r="A154" s="18">
        <v>103468</v>
      </c>
      <c r="B154" s="19" t="s">
        <v>172</v>
      </c>
      <c r="C154" s="20">
        <v>658010124003</v>
      </c>
      <c r="D154" s="20"/>
      <c r="E154" s="20"/>
      <c r="F154" s="26">
        <v>0</v>
      </c>
      <c r="G154" s="20"/>
      <c r="H154" s="12">
        <v>37.031399999999998</v>
      </c>
      <c r="I154" s="21"/>
      <c r="J154" s="14">
        <f t="shared" si="12"/>
        <v>0</v>
      </c>
      <c r="M154" s="30" t="str">
        <f t="shared" si="13"/>
        <v>-</v>
      </c>
      <c r="N154" s="30" t="str">
        <f t="shared" si="14"/>
        <v>-</v>
      </c>
      <c r="O154" s="31" t="str">
        <f t="shared" si="15"/>
        <v>-</v>
      </c>
      <c r="P154" s="32" t="str">
        <f t="shared" si="16"/>
        <v>-</v>
      </c>
      <c r="Q154" s="27"/>
      <c r="R154" s="32" t="str">
        <f t="shared" si="17"/>
        <v>-</v>
      </c>
    </row>
    <row r="155" spans="1:18" s="13" customFormat="1" ht="11.25" customHeight="1">
      <c r="A155" s="18">
        <v>102156</v>
      </c>
      <c r="B155" s="19" t="s">
        <v>173</v>
      </c>
      <c r="C155" s="20">
        <v>658010117142</v>
      </c>
      <c r="D155" s="20"/>
      <c r="E155" s="20"/>
      <c r="F155" s="26">
        <v>0</v>
      </c>
      <c r="G155" s="20"/>
      <c r="H155" s="12">
        <v>37.031399999999998</v>
      </c>
      <c r="I155" s="21"/>
      <c r="J155" s="14">
        <f t="shared" si="12"/>
        <v>0</v>
      </c>
      <c r="M155" s="30" t="str">
        <f t="shared" si="13"/>
        <v>-</v>
      </c>
      <c r="N155" s="30" t="str">
        <f t="shared" si="14"/>
        <v>-</v>
      </c>
      <c r="O155" s="31" t="str">
        <f t="shared" si="15"/>
        <v>-</v>
      </c>
      <c r="P155" s="32" t="str">
        <f t="shared" si="16"/>
        <v>-</v>
      </c>
      <c r="Q155" s="27"/>
      <c r="R155" s="32" t="str">
        <f t="shared" si="17"/>
        <v>-</v>
      </c>
    </row>
    <row r="156" spans="1:18" s="13" customFormat="1" ht="11.25" customHeight="1">
      <c r="A156" s="18">
        <v>102157</v>
      </c>
      <c r="B156" s="19" t="s">
        <v>174</v>
      </c>
      <c r="C156" s="20">
        <v>658010117159</v>
      </c>
      <c r="D156" s="20"/>
      <c r="E156" s="20"/>
      <c r="F156" s="26">
        <v>0</v>
      </c>
      <c r="G156" s="20"/>
      <c r="H156" s="12">
        <v>37.031399999999998</v>
      </c>
      <c r="I156" s="21"/>
      <c r="J156" s="14">
        <f t="shared" si="12"/>
        <v>0</v>
      </c>
      <c r="M156" s="30" t="str">
        <f t="shared" si="13"/>
        <v>-</v>
      </c>
      <c r="N156" s="30" t="str">
        <f t="shared" si="14"/>
        <v>-</v>
      </c>
      <c r="O156" s="31" t="str">
        <f t="shared" si="15"/>
        <v>-</v>
      </c>
      <c r="P156" s="32" t="str">
        <f t="shared" si="16"/>
        <v>-</v>
      </c>
      <c r="Q156" s="27"/>
      <c r="R156" s="32" t="str">
        <f t="shared" si="17"/>
        <v>-</v>
      </c>
    </row>
    <row r="157" spans="1:18" s="13" customFormat="1" ht="11.25" customHeight="1">
      <c r="A157" s="18">
        <v>100054</v>
      </c>
      <c r="B157" s="19" t="s">
        <v>175</v>
      </c>
      <c r="C157" s="20">
        <v>658010111126</v>
      </c>
      <c r="D157" s="20"/>
      <c r="E157" s="20"/>
      <c r="F157" s="26">
        <v>0</v>
      </c>
      <c r="G157" s="20"/>
      <c r="H157" s="12">
        <v>43.079399999999993</v>
      </c>
      <c r="I157" s="21"/>
      <c r="J157" s="14">
        <f t="shared" si="12"/>
        <v>0</v>
      </c>
      <c r="M157" s="30" t="str">
        <f t="shared" si="13"/>
        <v>-</v>
      </c>
      <c r="N157" s="30" t="str">
        <f t="shared" si="14"/>
        <v>-</v>
      </c>
      <c r="O157" s="31" t="str">
        <f t="shared" si="15"/>
        <v>-</v>
      </c>
      <c r="P157" s="32" t="str">
        <f t="shared" si="16"/>
        <v>-</v>
      </c>
      <c r="Q157" s="27"/>
      <c r="R157" s="32" t="str">
        <f t="shared" si="17"/>
        <v>-</v>
      </c>
    </row>
    <row r="158" spans="1:18" s="13" customFormat="1" ht="11.25" customHeight="1">
      <c r="A158" s="18">
        <v>100051</v>
      </c>
      <c r="B158" s="19" t="s">
        <v>176</v>
      </c>
      <c r="C158" s="20">
        <v>658010111546</v>
      </c>
      <c r="D158" s="20"/>
      <c r="E158" s="20"/>
      <c r="F158" s="26">
        <v>0</v>
      </c>
      <c r="G158" s="20"/>
      <c r="H158" s="12">
        <v>23.423400000000001</v>
      </c>
      <c r="I158" s="21"/>
      <c r="J158" s="14">
        <f t="shared" si="12"/>
        <v>0</v>
      </c>
      <c r="M158" s="30" t="str">
        <f t="shared" si="13"/>
        <v>-</v>
      </c>
      <c r="N158" s="30" t="str">
        <f t="shared" si="14"/>
        <v>-</v>
      </c>
      <c r="O158" s="31" t="str">
        <f t="shared" si="15"/>
        <v>-</v>
      </c>
      <c r="P158" s="32" t="str">
        <f t="shared" si="16"/>
        <v>-</v>
      </c>
      <c r="Q158" s="27"/>
      <c r="R158" s="32" t="str">
        <f t="shared" si="17"/>
        <v>-</v>
      </c>
    </row>
    <row r="159" spans="1:18" s="13" customFormat="1" ht="11.25" customHeight="1">
      <c r="A159" s="18">
        <v>100052</v>
      </c>
      <c r="B159" s="19" t="s">
        <v>177</v>
      </c>
      <c r="C159" s="20">
        <v>658010111287</v>
      </c>
      <c r="D159" s="20"/>
      <c r="E159" s="20"/>
      <c r="F159" s="26">
        <v>0</v>
      </c>
      <c r="G159" s="20"/>
      <c r="H159" s="12">
        <v>43.079399999999993</v>
      </c>
      <c r="I159" s="21"/>
      <c r="J159" s="14">
        <f t="shared" si="12"/>
        <v>0</v>
      </c>
      <c r="M159" s="30" t="str">
        <f t="shared" si="13"/>
        <v>-</v>
      </c>
      <c r="N159" s="30" t="str">
        <f t="shared" si="14"/>
        <v>-</v>
      </c>
      <c r="O159" s="31" t="str">
        <f t="shared" si="15"/>
        <v>-</v>
      </c>
      <c r="P159" s="32" t="str">
        <f t="shared" si="16"/>
        <v>-</v>
      </c>
      <c r="Q159" s="27"/>
      <c r="R159" s="32" t="str">
        <f t="shared" si="17"/>
        <v>-</v>
      </c>
    </row>
    <row r="160" spans="1:18" s="13" customFormat="1" ht="11.25" hidden="1" customHeight="1">
      <c r="A160" s="18">
        <v>100053</v>
      </c>
      <c r="B160" s="19" t="s">
        <v>178</v>
      </c>
      <c r="C160" s="20">
        <v>658010111607</v>
      </c>
      <c r="D160" s="20"/>
      <c r="E160" s="20"/>
      <c r="F160" s="26">
        <v>0.75</v>
      </c>
      <c r="G160" s="20"/>
      <c r="H160" s="12">
        <v>74.831400000000002</v>
      </c>
      <c r="I160" s="21"/>
      <c r="J160" s="14">
        <f t="shared" si="12"/>
        <v>0</v>
      </c>
      <c r="M160" s="30" t="str">
        <f t="shared" si="13"/>
        <v>-</v>
      </c>
      <c r="N160" s="30" t="str">
        <f t="shared" si="14"/>
        <v>-</v>
      </c>
      <c r="O160" s="31" t="str">
        <f t="shared" si="15"/>
        <v>-</v>
      </c>
      <c r="P160" s="32" t="str">
        <f t="shared" si="16"/>
        <v>-</v>
      </c>
      <c r="Q160" s="27"/>
      <c r="R160" s="32" t="str">
        <f t="shared" si="17"/>
        <v>-</v>
      </c>
    </row>
    <row r="161" spans="1:18" s="13" customFormat="1" ht="11.25" customHeight="1">
      <c r="A161" s="18">
        <v>100050</v>
      </c>
      <c r="B161" s="19" t="s">
        <v>179</v>
      </c>
      <c r="C161" s="20">
        <v>658010111584</v>
      </c>
      <c r="D161" s="20"/>
      <c r="E161" s="20"/>
      <c r="F161" s="26">
        <v>0</v>
      </c>
      <c r="G161" s="20"/>
      <c r="H161" s="12">
        <v>23.423400000000001</v>
      </c>
      <c r="I161" s="21"/>
      <c r="J161" s="14">
        <f t="shared" si="12"/>
        <v>0</v>
      </c>
      <c r="M161" s="30" t="str">
        <f t="shared" si="13"/>
        <v>-</v>
      </c>
      <c r="N161" s="30" t="str">
        <f t="shared" si="14"/>
        <v>-</v>
      </c>
      <c r="O161" s="31" t="str">
        <f t="shared" si="15"/>
        <v>-</v>
      </c>
      <c r="P161" s="32" t="str">
        <f t="shared" si="16"/>
        <v>-</v>
      </c>
      <c r="Q161" s="27"/>
      <c r="R161" s="32" t="str">
        <f t="shared" si="17"/>
        <v>-</v>
      </c>
    </row>
    <row r="162" spans="1:18" s="13" customFormat="1" ht="11.25" customHeight="1">
      <c r="A162" s="18">
        <v>100048</v>
      </c>
      <c r="B162" s="19" t="s">
        <v>180</v>
      </c>
      <c r="C162" s="20">
        <v>658010111164</v>
      </c>
      <c r="D162" s="20"/>
      <c r="E162" s="20"/>
      <c r="F162" s="26">
        <v>0</v>
      </c>
      <c r="G162" s="20"/>
      <c r="H162" s="12">
        <v>43.079399999999993</v>
      </c>
      <c r="I162" s="21"/>
      <c r="J162" s="14">
        <f t="shared" si="12"/>
        <v>0</v>
      </c>
      <c r="M162" s="30" t="str">
        <f t="shared" si="13"/>
        <v>-</v>
      </c>
      <c r="N162" s="30" t="str">
        <f t="shared" si="14"/>
        <v>-</v>
      </c>
      <c r="O162" s="31" t="str">
        <f t="shared" si="15"/>
        <v>-</v>
      </c>
      <c r="P162" s="32" t="str">
        <f t="shared" si="16"/>
        <v>-</v>
      </c>
      <c r="Q162" s="27"/>
      <c r="R162" s="32" t="str">
        <f t="shared" si="17"/>
        <v>-</v>
      </c>
    </row>
    <row r="163" spans="1:18" s="13" customFormat="1" ht="11.25" customHeight="1">
      <c r="A163" s="18">
        <v>100049</v>
      </c>
      <c r="B163" s="19" t="s">
        <v>181</v>
      </c>
      <c r="C163" s="20">
        <v>658010111591</v>
      </c>
      <c r="D163" s="20"/>
      <c r="E163" s="20"/>
      <c r="F163" s="26">
        <v>0</v>
      </c>
      <c r="G163" s="20"/>
      <c r="H163" s="12">
        <v>74.831400000000002</v>
      </c>
      <c r="I163" s="21"/>
      <c r="J163" s="14">
        <f t="shared" si="12"/>
        <v>0</v>
      </c>
      <c r="M163" s="30" t="str">
        <f t="shared" si="13"/>
        <v>-</v>
      </c>
      <c r="N163" s="30" t="str">
        <f t="shared" si="14"/>
        <v>-</v>
      </c>
      <c r="O163" s="31" t="str">
        <f t="shared" si="15"/>
        <v>-</v>
      </c>
      <c r="P163" s="32" t="str">
        <f t="shared" si="16"/>
        <v>-</v>
      </c>
      <c r="Q163" s="27"/>
      <c r="R163" s="32" t="str">
        <f t="shared" si="17"/>
        <v>-</v>
      </c>
    </row>
    <row r="164" spans="1:18" s="13" customFormat="1" ht="11.25" customHeight="1">
      <c r="A164" s="18">
        <v>101187</v>
      </c>
      <c r="B164" s="19" t="s">
        <v>182</v>
      </c>
      <c r="C164" s="20">
        <v>658010112857</v>
      </c>
      <c r="D164" s="20"/>
      <c r="E164" s="20"/>
      <c r="F164" s="26">
        <v>0</v>
      </c>
      <c r="G164" s="20"/>
      <c r="H164" s="12">
        <v>43.079399999999993</v>
      </c>
      <c r="I164" s="21"/>
      <c r="J164" s="14">
        <f t="shared" si="12"/>
        <v>0</v>
      </c>
      <c r="M164" s="30" t="str">
        <f t="shared" si="13"/>
        <v>-</v>
      </c>
      <c r="N164" s="30" t="str">
        <f t="shared" si="14"/>
        <v>-</v>
      </c>
      <c r="O164" s="31" t="str">
        <f t="shared" si="15"/>
        <v>-</v>
      </c>
      <c r="P164" s="32" t="str">
        <f t="shared" si="16"/>
        <v>-</v>
      </c>
      <c r="Q164" s="27"/>
      <c r="R164" s="32" t="str">
        <f t="shared" si="17"/>
        <v>-</v>
      </c>
    </row>
    <row r="165" spans="1:18" s="13" customFormat="1" ht="11.25" hidden="1" customHeight="1">
      <c r="A165" s="18">
        <v>104343</v>
      </c>
      <c r="B165" s="19" t="s">
        <v>183</v>
      </c>
      <c r="C165" s="20">
        <v>658010132718</v>
      </c>
      <c r="D165" s="20"/>
      <c r="E165" s="20"/>
      <c r="F165" s="26">
        <v>1.0900000000000001</v>
      </c>
      <c r="G165" s="20"/>
      <c r="H165" s="12">
        <v>34.007399999999997</v>
      </c>
      <c r="I165" s="21"/>
      <c r="J165" s="14">
        <f t="shared" si="12"/>
        <v>0</v>
      </c>
      <c r="M165" s="30" t="str">
        <f t="shared" si="13"/>
        <v>-</v>
      </c>
      <c r="N165" s="30" t="str">
        <f t="shared" si="14"/>
        <v>-</v>
      </c>
      <c r="O165" s="31" t="str">
        <f t="shared" si="15"/>
        <v>-</v>
      </c>
      <c r="P165" s="32" t="str">
        <f t="shared" si="16"/>
        <v>-</v>
      </c>
      <c r="Q165" s="27"/>
      <c r="R165" s="32" t="str">
        <f t="shared" si="17"/>
        <v>-</v>
      </c>
    </row>
    <row r="166" spans="1:18" s="13" customFormat="1" ht="11.25" hidden="1" customHeight="1">
      <c r="A166" s="18">
        <v>104344</v>
      </c>
      <c r="B166" s="19" t="s">
        <v>184</v>
      </c>
      <c r="C166" s="20">
        <v>658010132725</v>
      </c>
      <c r="D166" s="20"/>
      <c r="E166" s="20"/>
      <c r="F166" s="26">
        <v>1.04</v>
      </c>
      <c r="G166" s="20"/>
      <c r="H166" s="12">
        <v>34.007399999999997</v>
      </c>
      <c r="I166" s="21"/>
      <c r="J166" s="14">
        <f t="shared" si="12"/>
        <v>0</v>
      </c>
      <c r="M166" s="30" t="str">
        <f t="shared" si="13"/>
        <v>-</v>
      </c>
      <c r="N166" s="30" t="str">
        <f t="shared" si="14"/>
        <v>-</v>
      </c>
      <c r="O166" s="31" t="str">
        <f t="shared" si="15"/>
        <v>-</v>
      </c>
      <c r="P166" s="32" t="str">
        <f t="shared" si="16"/>
        <v>-</v>
      </c>
      <c r="Q166" s="27"/>
      <c r="R166" s="32" t="str">
        <f t="shared" si="17"/>
        <v>-</v>
      </c>
    </row>
    <row r="167" spans="1:18" s="13" customFormat="1" ht="11.25" hidden="1" customHeight="1">
      <c r="A167" s="18">
        <v>102526</v>
      </c>
      <c r="B167" s="19" t="s">
        <v>185</v>
      </c>
      <c r="C167" s="20">
        <v>658010118637</v>
      </c>
      <c r="D167" s="20"/>
      <c r="E167" s="20"/>
      <c r="F167" s="26">
        <v>0.33</v>
      </c>
      <c r="G167" s="20"/>
      <c r="H167" s="12">
        <v>25.691400000000002</v>
      </c>
      <c r="I167" s="21"/>
      <c r="J167" s="14">
        <f t="shared" si="12"/>
        <v>0</v>
      </c>
      <c r="M167" s="30" t="str">
        <f t="shared" si="13"/>
        <v>-</v>
      </c>
      <c r="N167" s="30" t="str">
        <f t="shared" si="14"/>
        <v>-</v>
      </c>
      <c r="O167" s="31" t="str">
        <f t="shared" si="15"/>
        <v>-</v>
      </c>
      <c r="P167" s="32" t="str">
        <f t="shared" si="16"/>
        <v>-</v>
      </c>
      <c r="Q167" s="27"/>
      <c r="R167" s="32" t="str">
        <f t="shared" si="17"/>
        <v>-</v>
      </c>
    </row>
    <row r="168" spans="1:18" s="13" customFormat="1" ht="11.25" hidden="1" customHeight="1">
      <c r="A168" s="18">
        <v>102358</v>
      </c>
      <c r="B168" s="19" t="s">
        <v>186</v>
      </c>
      <c r="C168" s="20">
        <v>658010118026</v>
      </c>
      <c r="D168" s="20"/>
      <c r="E168" s="20"/>
      <c r="F168" s="26">
        <v>0.55000000000000004</v>
      </c>
      <c r="G168" s="20"/>
      <c r="H168" s="12">
        <v>25.691400000000002</v>
      </c>
      <c r="I168" s="21"/>
      <c r="J168" s="14">
        <f t="shared" si="12"/>
        <v>0</v>
      </c>
      <c r="M168" s="30" t="str">
        <f t="shared" si="13"/>
        <v>-</v>
      </c>
      <c r="N168" s="30" t="str">
        <f t="shared" si="14"/>
        <v>-</v>
      </c>
      <c r="O168" s="31" t="str">
        <f t="shared" si="15"/>
        <v>-</v>
      </c>
      <c r="P168" s="32" t="str">
        <f t="shared" si="16"/>
        <v>-</v>
      </c>
      <c r="Q168" s="27"/>
      <c r="R168" s="32" t="str">
        <f t="shared" si="17"/>
        <v>-</v>
      </c>
    </row>
    <row r="169" spans="1:18" s="13" customFormat="1" ht="11.25" customHeight="1">
      <c r="A169" s="18">
        <v>102371</v>
      </c>
      <c r="B169" s="19" t="s">
        <v>187</v>
      </c>
      <c r="C169" s="20">
        <v>658010118101</v>
      </c>
      <c r="D169" s="20"/>
      <c r="E169" s="20"/>
      <c r="F169" s="26">
        <v>0</v>
      </c>
      <c r="G169" s="20"/>
      <c r="H169" s="12">
        <v>23.410799999999995</v>
      </c>
      <c r="I169" s="21"/>
      <c r="J169" s="14">
        <f t="shared" si="12"/>
        <v>0</v>
      </c>
      <c r="M169" s="30" t="str">
        <f t="shared" si="13"/>
        <v>-</v>
      </c>
      <c r="N169" s="30" t="str">
        <f t="shared" si="14"/>
        <v>-</v>
      </c>
      <c r="O169" s="31" t="str">
        <f t="shared" si="15"/>
        <v>-</v>
      </c>
      <c r="P169" s="32" t="str">
        <f t="shared" si="16"/>
        <v>-</v>
      </c>
      <c r="Q169" s="27"/>
      <c r="R169" s="32" t="str">
        <f t="shared" si="17"/>
        <v>-</v>
      </c>
    </row>
    <row r="170" spans="1:18" s="13" customFormat="1" ht="11.25" hidden="1" customHeight="1">
      <c r="A170" s="18" t="s">
        <v>188</v>
      </c>
      <c r="B170" s="19" t="s">
        <v>189</v>
      </c>
      <c r="C170" s="20">
        <v>658010118163</v>
      </c>
      <c r="D170" s="20"/>
      <c r="E170" s="20"/>
      <c r="F170" s="26">
        <v>0</v>
      </c>
      <c r="G170" s="20"/>
      <c r="H170" s="14" t="s">
        <v>478</v>
      </c>
      <c r="I170" s="17"/>
      <c r="J170" s="14">
        <v>0</v>
      </c>
      <c r="M170" s="30" t="str">
        <f t="shared" si="13"/>
        <v>-</v>
      </c>
      <c r="N170" s="30" t="str">
        <f t="shared" si="14"/>
        <v>-</v>
      </c>
      <c r="O170" s="31" t="str">
        <f t="shared" si="15"/>
        <v>-</v>
      </c>
      <c r="P170" s="32" t="str">
        <f t="shared" si="16"/>
        <v>-</v>
      </c>
      <c r="Q170" s="27"/>
      <c r="R170" s="32" t="str">
        <f t="shared" si="17"/>
        <v>-</v>
      </c>
    </row>
    <row r="171" spans="1:18" s="13" customFormat="1" ht="11.25" customHeight="1">
      <c r="A171" s="18">
        <v>102359</v>
      </c>
      <c r="B171" s="19" t="s">
        <v>190</v>
      </c>
      <c r="C171" s="20">
        <v>658010118033</v>
      </c>
      <c r="D171" s="20"/>
      <c r="E171" s="20"/>
      <c r="F171" s="26">
        <v>0</v>
      </c>
      <c r="G171" s="20"/>
      <c r="H171" s="14">
        <v>25.691400000000002</v>
      </c>
      <c r="I171" s="21"/>
      <c r="J171" s="14">
        <f t="shared" si="12"/>
        <v>0</v>
      </c>
      <c r="M171" s="30" t="str">
        <f t="shared" si="13"/>
        <v>-</v>
      </c>
      <c r="N171" s="30" t="str">
        <f t="shared" si="14"/>
        <v>-</v>
      </c>
      <c r="O171" s="31" t="str">
        <f t="shared" si="15"/>
        <v>-</v>
      </c>
      <c r="P171" s="32" t="str">
        <f t="shared" si="16"/>
        <v>-</v>
      </c>
      <c r="Q171" s="27"/>
      <c r="R171" s="32" t="str">
        <f t="shared" si="17"/>
        <v>-</v>
      </c>
    </row>
    <row r="172" spans="1:18" s="13" customFormat="1" ht="11.25" customHeight="1">
      <c r="A172" s="18">
        <v>102361</v>
      </c>
      <c r="B172" s="19" t="s">
        <v>191</v>
      </c>
      <c r="C172" s="20">
        <v>658010118057</v>
      </c>
      <c r="D172" s="20"/>
      <c r="E172" s="20"/>
      <c r="F172" s="26">
        <v>0</v>
      </c>
      <c r="G172" s="20"/>
      <c r="H172" s="14">
        <v>25.691400000000002</v>
      </c>
      <c r="I172" s="21"/>
      <c r="J172" s="14">
        <f t="shared" si="12"/>
        <v>0</v>
      </c>
      <c r="M172" s="30" t="str">
        <f t="shared" si="13"/>
        <v>-</v>
      </c>
      <c r="N172" s="30" t="str">
        <f t="shared" si="14"/>
        <v>-</v>
      </c>
      <c r="O172" s="31" t="str">
        <f t="shared" si="15"/>
        <v>-</v>
      </c>
      <c r="P172" s="32" t="str">
        <f t="shared" si="16"/>
        <v>-</v>
      </c>
      <c r="Q172" s="27"/>
      <c r="R172" s="32" t="str">
        <f t="shared" si="17"/>
        <v>-</v>
      </c>
    </row>
    <row r="173" spans="1:18" s="13" customFormat="1" ht="11.25" customHeight="1">
      <c r="A173" s="18">
        <v>102362</v>
      </c>
      <c r="B173" s="19" t="s">
        <v>192</v>
      </c>
      <c r="C173" s="20">
        <v>658010118064</v>
      </c>
      <c r="D173" s="20"/>
      <c r="E173" s="20"/>
      <c r="F173" s="26">
        <v>0</v>
      </c>
      <c r="G173" s="20"/>
      <c r="H173" s="14">
        <v>25.691400000000002</v>
      </c>
      <c r="I173" s="21"/>
      <c r="J173" s="14">
        <f t="shared" si="12"/>
        <v>0</v>
      </c>
      <c r="M173" s="30" t="str">
        <f t="shared" si="13"/>
        <v>-</v>
      </c>
      <c r="N173" s="30" t="str">
        <f t="shared" si="14"/>
        <v>-</v>
      </c>
      <c r="O173" s="31" t="str">
        <f t="shared" si="15"/>
        <v>-</v>
      </c>
      <c r="P173" s="32" t="str">
        <f t="shared" si="16"/>
        <v>-</v>
      </c>
      <c r="Q173" s="27"/>
      <c r="R173" s="32" t="str">
        <f t="shared" si="17"/>
        <v>-</v>
      </c>
    </row>
    <row r="174" spans="1:18" s="13" customFormat="1" ht="11.25" hidden="1" customHeight="1">
      <c r="A174" s="18">
        <v>102565</v>
      </c>
      <c r="B174" s="19" t="s">
        <v>193</v>
      </c>
      <c r="C174" s="20">
        <v>658010118682</v>
      </c>
      <c r="D174" s="20"/>
      <c r="E174" s="20"/>
      <c r="F174" s="26">
        <v>0.8</v>
      </c>
      <c r="G174" s="20"/>
      <c r="H174" s="14">
        <v>38.543399999999998</v>
      </c>
      <c r="I174" s="21"/>
      <c r="J174" s="14">
        <f t="shared" si="12"/>
        <v>0</v>
      </c>
      <c r="M174" s="30" t="str">
        <f t="shared" si="13"/>
        <v>-</v>
      </c>
      <c r="N174" s="30" t="str">
        <f t="shared" si="14"/>
        <v>-</v>
      </c>
      <c r="O174" s="31" t="str">
        <f t="shared" si="15"/>
        <v>-</v>
      </c>
      <c r="P174" s="32" t="str">
        <f t="shared" si="16"/>
        <v>-</v>
      </c>
      <c r="Q174" s="27"/>
      <c r="R174" s="32" t="str">
        <f t="shared" si="17"/>
        <v>-</v>
      </c>
    </row>
    <row r="175" spans="1:18" s="13" customFormat="1" ht="11.25" customHeight="1">
      <c r="A175" s="18">
        <v>102566</v>
      </c>
      <c r="B175" s="19" t="s">
        <v>194</v>
      </c>
      <c r="C175" s="20">
        <v>658010118699</v>
      </c>
      <c r="D175" s="20"/>
      <c r="E175" s="20"/>
      <c r="F175" s="26">
        <v>0</v>
      </c>
      <c r="G175" s="20"/>
      <c r="H175" s="14">
        <v>27.216000000000001</v>
      </c>
      <c r="I175" s="21"/>
      <c r="J175" s="14">
        <f t="shared" si="12"/>
        <v>0</v>
      </c>
      <c r="M175" s="30" t="str">
        <f t="shared" si="13"/>
        <v>-</v>
      </c>
      <c r="N175" s="30" t="str">
        <f t="shared" si="14"/>
        <v>-</v>
      </c>
      <c r="O175" s="31" t="str">
        <f t="shared" si="15"/>
        <v>-</v>
      </c>
      <c r="P175" s="32" t="str">
        <f t="shared" si="16"/>
        <v>-</v>
      </c>
      <c r="Q175" s="27"/>
      <c r="R175" s="32" t="str">
        <f t="shared" si="17"/>
        <v>-</v>
      </c>
    </row>
    <row r="176" spans="1:18" s="13" customFormat="1" ht="11.25" hidden="1" customHeight="1">
      <c r="A176" s="18" t="s">
        <v>188</v>
      </c>
      <c r="B176" s="19" t="s">
        <v>195</v>
      </c>
      <c r="C176" s="20">
        <v>658010118750</v>
      </c>
      <c r="D176" s="20"/>
      <c r="E176" s="20"/>
      <c r="F176" s="26">
        <v>0</v>
      </c>
      <c r="G176" s="20"/>
      <c r="H176" s="14" t="s">
        <v>478</v>
      </c>
      <c r="I176" s="17"/>
      <c r="J176" s="14">
        <v>0</v>
      </c>
      <c r="M176" s="30" t="str">
        <f t="shared" si="13"/>
        <v>-</v>
      </c>
      <c r="N176" s="30" t="str">
        <f t="shared" si="14"/>
        <v>-</v>
      </c>
      <c r="O176" s="31" t="str">
        <f t="shared" si="15"/>
        <v>-</v>
      </c>
      <c r="P176" s="32" t="str">
        <f t="shared" si="16"/>
        <v>-</v>
      </c>
      <c r="Q176" s="27"/>
      <c r="R176" s="32" t="str">
        <f t="shared" si="17"/>
        <v>-</v>
      </c>
    </row>
    <row r="177" spans="1:18" s="13" customFormat="1" ht="11.25" hidden="1" customHeight="1">
      <c r="A177" s="18">
        <v>102567</v>
      </c>
      <c r="B177" s="19" t="s">
        <v>196</v>
      </c>
      <c r="C177" s="20">
        <v>658010118705</v>
      </c>
      <c r="D177" s="20"/>
      <c r="E177" s="20"/>
      <c r="F177" s="26">
        <v>0.71</v>
      </c>
      <c r="G177" s="20"/>
      <c r="H177" s="14">
        <v>38.543399999999998</v>
      </c>
      <c r="I177" s="21"/>
      <c r="J177" s="14">
        <f t="shared" si="12"/>
        <v>0</v>
      </c>
      <c r="M177" s="30" t="str">
        <f t="shared" si="13"/>
        <v>-</v>
      </c>
      <c r="N177" s="30" t="str">
        <f t="shared" si="14"/>
        <v>-</v>
      </c>
      <c r="O177" s="31" t="str">
        <f t="shared" si="15"/>
        <v>-</v>
      </c>
      <c r="P177" s="32" t="str">
        <f t="shared" si="16"/>
        <v>-</v>
      </c>
      <c r="Q177" s="27"/>
      <c r="R177" s="32" t="str">
        <f t="shared" si="17"/>
        <v>-</v>
      </c>
    </row>
    <row r="178" spans="1:18" s="13" customFormat="1" ht="11.25" customHeight="1">
      <c r="A178" s="18">
        <v>102568</v>
      </c>
      <c r="B178" s="19" t="s">
        <v>197</v>
      </c>
      <c r="C178" s="20">
        <v>658010118712</v>
      </c>
      <c r="D178" s="20"/>
      <c r="E178" s="20"/>
      <c r="F178" s="26">
        <v>0</v>
      </c>
      <c r="G178" s="20"/>
      <c r="H178" s="14">
        <v>27.216000000000001</v>
      </c>
      <c r="I178" s="21"/>
      <c r="J178" s="14">
        <f t="shared" si="12"/>
        <v>0</v>
      </c>
      <c r="M178" s="30" t="str">
        <f t="shared" si="13"/>
        <v>-</v>
      </c>
      <c r="N178" s="30" t="str">
        <f t="shared" si="14"/>
        <v>-</v>
      </c>
      <c r="O178" s="31" t="str">
        <f t="shared" si="15"/>
        <v>-</v>
      </c>
      <c r="P178" s="32" t="str">
        <f t="shared" si="16"/>
        <v>-</v>
      </c>
      <c r="Q178" s="27"/>
      <c r="R178" s="32" t="str">
        <f t="shared" si="17"/>
        <v>-</v>
      </c>
    </row>
    <row r="179" spans="1:18" s="13" customFormat="1" ht="11.25" hidden="1" customHeight="1">
      <c r="A179" s="18" t="s">
        <v>188</v>
      </c>
      <c r="B179" s="19" t="s">
        <v>198</v>
      </c>
      <c r="C179" s="20">
        <v>658010118767</v>
      </c>
      <c r="D179" s="20"/>
      <c r="E179" s="20"/>
      <c r="F179" s="26">
        <v>0</v>
      </c>
      <c r="G179" s="20"/>
      <c r="H179" s="14" t="s">
        <v>478</v>
      </c>
      <c r="I179" s="17"/>
      <c r="J179" s="14">
        <v>0</v>
      </c>
      <c r="M179" s="30" t="str">
        <f t="shared" si="13"/>
        <v>-</v>
      </c>
      <c r="N179" s="30" t="str">
        <f t="shared" si="14"/>
        <v>-</v>
      </c>
      <c r="O179" s="31" t="str">
        <f t="shared" si="15"/>
        <v>-</v>
      </c>
      <c r="P179" s="32" t="str">
        <f t="shared" si="16"/>
        <v>-</v>
      </c>
      <c r="Q179" s="27"/>
      <c r="R179" s="32" t="str">
        <f t="shared" si="17"/>
        <v>-</v>
      </c>
    </row>
    <row r="180" spans="1:18" s="13" customFormat="1" ht="11.25" hidden="1" customHeight="1">
      <c r="A180" s="18">
        <v>102569</v>
      </c>
      <c r="B180" s="19" t="s">
        <v>199</v>
      </c>
      <c r="C180" s="20">
        <v>658010118729</v>
      </c>
      <c r="D180" s="20"/>
      <c r="E180" s="20"/>
      <c r="F180" s="26">
        <v>0.77</v>
      </c>
      <c r="G180" s="20"/>
      <c r="H180" s="14">
        <v>38.543399999999998</v>
      </c>
      <c r="I180" s="21"/>
      <c r="J180" s="14">
        <f t="shared" si="12"/>
        <v>0</v>
      </c>
      <c r="M180" s="30" t="str">
        <f t="shared" si="13"/>
        <v>-</v>
      </c>
      <c r="N180" s="30" t="str">
        <f t="shared" si="14"/>
        <v>-</v>
      </c>
      <c r="O180" s="31" t="str">
        <f t="shared" si="15"/>
        <v>-</v>
      </c>
      <c r="P180" s="32" t="str">
        <f t="shared" si="16"/>
        <v>-</v>
      </c>
      <c r="Q180" s="27"/>
      <c r="R180" s="32" t="str">
        <f t="shared" si="17"/>
        <v>-</v>
      </c>
    </row>
    <row r="181" spans="1:18" s="13" customFormat="1" ht="11.25" customHeight="1">
      <c r="A181" s="18">
        <v>102570</v>
      </c>
      <c r="B181" s="19" t="s">
        <v>200</v>
      </c>
      <c r="C181" s="20">
        <v>658010118736</v>
      </c>
      <c r="D181" s="20"/>
      <c r="E181" s="20"/>
      <c r="F181" s="26">
        <v>0</v>
      </c>
      <c r="G181" s="20"/>
      <c r="H181" s="14">
        <v>27.216000000000001</v>
      </c>
      <c r="I181" s="21"/>
      <c r="J181" s="14">
        <f t="shared" si="12"/>
        <v>0</v>
      </c>
      <c r="M181" s="30" t="str">
        <f t="shared" si="13"/>
        <v>-</v>
      </c>
      <c r="N181" s="30" t="str">
        <f t="shared" si="14"/>
        <v>-</v>
      </c>
      <c r="O181" s="31" t="str">
        <f t="shared" si="15"/>
        <v>-</v>
      </c>
      <c r="P181" s="32" t="str">
        <f t="shared" si="16"/>
        <v>-</v>
      </c>
      <c r="Q181" s="27"/>
      <c r="R181" s="32" t="str">
        <f t="shared" si="17"/>
        <v>-</v>
      </c>
    </row>
    <row r="182" spans="1:18" s="13" customFormat="1" ht="11.25" hidden="1" customHeight="1">
      <c r="A182" s="18" t="s">
        <v>188</v>
      </c>
      <c r="B182" s="19" t="s">
        <v>201</v>
      </c>
      <c r="C182" s="20">
        <v>658010118774</v>
      </c>
      <c r="D182" s="20"/>
      <c r="E182" s="20"/>
      <c r="F182" s="26">
        <v>0</v>
      </c>
      <c r="G182" s="20"/>
      <c r="H182" s="14" t="s">
        <v>478</v>
      </c>
      <c r="I182" s="17"/>
      <c r="J182" s="14">
        <v>0</v>
      </c>
      <c r="M182" s="30" t="str">
        <f t="shared" si="13"/>
        <v>-</v>
      </c>
      <c r="N182" s="30" t="str">
        <f t="shared" si="14"/>
        <v>-</v>
      </c>
      <c r="O182" s="31" t="str">
        <f t="shared" si="15"/>
        <v>-</v>
      </c>
      <c r="P182" s="32" t="str">
        <f t="shared" si="16"/>
        <v>-</v>
      </c>
      <c r="Q182" s="27"/>
      <c r="R182" s="32" t="str">
        <f t="shared" si="17"/>
        <v>-</v>
      </c>
    </row>
    <row r="183" spans="1:18" s="13" customFormat="1" ht="11.25" hidden="1" customHeight="1">
      <c r="A183" s="18">
        <v>101610</v>
      </c>
      <c r="B183" s="19" t="s">
        <v>202</v>
      </c>
      <c r="C183" s="20">
        <v>658010114141</v>
      </c>
      <c r="D183" s="20"/>
      <c r="E183" s="20"/>
      <c r="F183" s="26">
        <v>1.21</v>
      </c>
      <c r="G183" s="20"/>
      <c r="H183" s="14">
        <v>52.151400000000002</v>
      </c>
      <c r="I183" s="21"/>
      <c r="J183" s="14">
        <f t="shared" si="12"/>
        <v>0</v>
      </c>
      <c r="M183" s="30" t="str">
        <f t="shared" si="13"/>
        <v>-</v>
      </c>
      <c r="N183" s="30" t="str">
        <f t="shared" si="14"/>
        <v>-</v>
      </c>
      <c r="O183" s="31" t="str">
        <f t="shared" si="15"/>
        <v>-</v>
      </c>
      <c r="P183" s="32" t="str">
        <f t="shared" si="16"/>
        <v>-</v>
      </c>
      <c r="Q183" s="27"/>
      <c r="R183" s="32" t="str">
        <f t="shared" si="17"/>
        <v>-</v>
      </c>
    </row>
    <row r="184" spans="1:18" s="13" customFormat="1" ht="11.25" hidden="1" customHeight="1">
      <c r="A184" s="18">
        <v>102110</v>
      </c>
      <c r="B184" s="19" t="s">
        <v>203</v>
      </c>
      <c r="C184" s="20">
        <v>658010116961</v>
      </c>
      <c r="D184" s="20"/>
      <c r="E184" s="20"/>
      <c r="F184" s="26">
        <v>0.66</v>
      </c>
      <c r="G184" s="20"/>
      <c r="H184" s="14">
        <v>27.959399999999999</v>
      </c>
      <c r="I184" s="21"/>
      <c r="J184" s="14">
        <f t="shared" si="12"/>
        <v>0</v>
      </c>
      <c r="M184" s="30" t="str">
        <f t="shared" si="13"/>
        <v>-</v>
      </c>
      <c r="N184" s="30" t="str">
        <f t="shared" si="14"/>
        <v>-</v>
      </c>
      <c r="O184" s="31" t="str">
        <f t="shared" si="15"/>
        <v>-</v>
      </c>
      <c r="P184" s="32" t="str">
        <f t="shared" si="16"/>
        <v>-</v>
      </c>
      <c r="Q184" s="27"/>
      <c r="R184" s="32" t="str">
        <f t="shared" si="17"/>
        <v>-</v>
      </c>
    </row>
    <row r="185" spans="1:18" s="13" customFormat="1" ht="11.25" hidden="1" customHeight="1">
      <c r="A185" s="18">
        <v>101816</v>
      </c>
      <c r="B185" s="19" t="s">
        <v>204</v>
      </c>
      <c r="C185" s="20">
        <v>658010115933</v>
      </c>
      <c r="D185" s="20"/>
      <c r="E185" s="20"/>
      <c r="F185" s="26">
        <v>1.25</v>
      </c>
      <c r="G185" s="20"/>
      <c r="H185" s="14">
        <v>52.151400000000002</v>
      </c>
      <c r="I185" s="21"/>
      <c r="J185" s="14">
        <f t="shared" si="12"/>
        <v>0</v>
      </c>
      <c r="M185" s="30" t="str">
        <f t="shared" si="13"/>
        <v>-</v>
      </c>
      <c r="N185" s="30" t="str">
        <f t="shared" si="14"/>
        <v>-</v>
      </c>
      <c r="O185" s="31" t="str">
        <f t="shared" si="15"/>
        <v>-</v>
      </c>
      <c r="P185" s="32" t="str">
        <f t="shared" si="16"/>
        <v>-</v>
      </c>
      <c r="Q185" s="27"/>
      <c r="R185" s="32" t="str">
        <f t="shared" si="17"/>
        <v>-</v>
      </c>
    </row>
    <row r="186" spans="1:18" s="13" customFormat="1" ht="11.25" hidden="1" customHeight="1">
      <c r="A186" s="18">
        <v>102109</v>
      </c>
      <c r="B186" s="19" t="s">
        <v>205</v>
      </c>
      <c r="C186" s="20">
        <v>658010116954</v>
      </c>
      <c r="D186" s="20"/>
      <c r="E186" s="20"/>
      <c r="F186" s="26">
        <v>0.66</v>
      </c>
      <c r="G186" s="20"/>
      <c r="H186" s="14">
        <v>27.959399999999999</v>
      </c>
      <c r="I186" s="21"/>
      <c r="J186" s="14">
        <f t="shared" si="12"/>
        <v>0</v>
      </c>
      <c r="M186" s="30" t="str">
        <f t="shared" si="13"/>
        <v>-</v>
      </c>
      <c r="N186" s="30" t="str">
        <f t="shared" si="14"/>
        <v>-</v>
      </c>
      <c r="O186" s="31" t="str">
        <f t="shared" si="15"/>
        <v>-</v>
      </c>
      <c r="P186" s="32" t="str">
        <f t="shared" si="16"/>
        <v>-</v>
      </c>
      <c r="Q186" s="27"/>
      <c r="R186" s="32" t="str">
        <f t="shared" si="17"/>
        <v>-</v>
      </c>
    </row>
    <row r="187" spans="1:18" s="13" customFormat="1" ht="11.25" customHeight="1">
      <c r="A187" s="18">
        <v>101894</v>
      </c>
      <c r="B187" s="19" t="s">
        <v>206</v>
      </c>
      <c r="C187" s="20">
        <v>658010116114</v>
      </c>
      <c r="D187" s="20"/>
      <c r="E187" s="20"/>
      <c r="F187" s="26">
        <v>0</v>
      </c>
      <c r="G187" s="20"/>
      <c r="H187" s="14">
        <v>47.602800000000002</v>
      </c>
      <c r="I187" s="21"/>
      <c r="J187" s="14">
        <f t="shared" si="12"/>
        <v>0</v>
      </c>
      <c r="M187" s="30" t="str">
        <f t="shared" si="13"/>
        <v>-</v>
      </c>
      <c r="N187" s="30" t="str">
        <f t="shared" si="14"/>
        <v>-</v>
      </c>
      <c r="O187" s="31" t="str">
        <f t="shared" si="15"/>
        <v>-</v>
      </c>
      <c r="P187" s="32" t="str">
        <f t="shared" si="16"/>
        <v>-</v>
      </c>
      <c r="Q187" s="27"/>
      <c r="R187" s="32" t="str">
        <f t="shared" si="17"/>
        <v>-</v>
      </c>
    </row>
    <row r="188" spans="1:18" s="13" customFormat="1" ht="11.25" hidden="1" customHeight="1">
      <c r="A188" s="18" t="s">
        <v>188</v>
      </c>
      <c r="B188" s="19" t="s">
        <v>207</v>
      </c>
      <c r="C188" s="20">
        <v>658010116107</v>
      </c>
      <c r="D188" s="20"/>
      <c r="E188" s="20"/>
      <c r="F188" s="26">
        <v>0</v>
      </c>
      <c r="G188" s="20"/>
      <c r="H188" s="14" t="s">
        <v>478</v>
      </c>
      <c r="I188" s="17"/>
      <c r="J188" s="14">
        <v>0</v>
      </c>
      <c r="M188" s="30" t="str">
        <f t="shared" si="13"/>
        <v>-</v>
      </c>
      <c r="N188" s="30" t="str">
        <f t="shared" si="14"/>
        <v>-</v>
      </c>
      <c r="O188" s="31" t="str">
        <f t="shared" si="15"/>
        <v>-</v>
      </c>
      <c r="P188" s="32" t="str">
        <f t="shared" si="16"/>
        <v>-</v>
      </c>
      <c r="Q188" s="27"/>
      <c r="R188" s="32" t="str">
        <f t="shared" si="17"/>
        <v>-</v>
      </c>
    </row>
    <row r="189" spans="1:18" s="13" customFormat="1" ht="11.25" hidden="1" customHeight="1">
      <c r="A189" s="18">
        <v>101866</v>
      </c>
      <c r="B189" s="19" t="s">
        <v>208</v>
      </c>
      <c r="C189" s="20">
        <v>658010116022</v>
      </c>
      <c r="D189" s="20"/>
      <c r="E189" s="20"/>
      <c r="F189" s="26">
        <v>1.23</v>
      </c>
      <c r="G189" s="20"/>
      <c r="H189" s="14">
        <v>52.151400000000002</v>
      </c>
      <c r="I189" s="21"/>
      <c r="J189" s="14">
        <f t="shared" si="12"/>
        <v>0</v>
      </c>
      <c r="M189" s="30" t="str">
        <f t="shared" si="13"/>
        <v>-</v>
      </c>
      <c r="N189" s="30" t="str">
        <f t="shared" si="14"/>
        <v>-</v>
      </c>
      <c r="O189" s="31" t="str">
        <f t="shared" si="15"/>
        <v>-</v>
      </c>
      <c r="P189" s="32" t="str">
        <f t="shared" si="16"/>
        <v>-</v>
      </c>
      <c r="Q189" s="27"/>
      <c r="R189" s="32" t="str">
        <f t="shared" si="17"/>
        <v>-</v>
      </c>
    </row>
    <row r="190" spans="1:18" s="13" customFormat="1" ht="11.25" hidden="1" customHeight="1">
      <c r="A190" s="18">
        <v>102107</v>
      </c>
      <c r="B190" s="19" t="s">
        <v>209</v>
      </c>
      <c r="C190" s="20">
        <v>658010116930</v>
      </c>
      <c r="D190" s="20"/>
      <c r="E190" s="20"/>
      <c r="F190" s="26">
        <v>0.65</v>
      </c>
      <c r="G190" s="20"/>
      <c r="H190" s="14">
        <v>27.959399999999999</v>
      </c>
      <c r="I190" s="21"/>
      <c r="J190" s="14">
        <f t="shared" si="12"/>
        <v>0</v>
      </c>
      <c r="M190" s="30" t="str">
        <f t="shared" si="13"/>
        <v>-</v>
      </c>
      <c r="N190" s="30" t="str">
        <f t="shared" si="14"/>
        <v>-</v>
      </c>
      <c r="O190" s="31" t="str">
        <f t="shared" si="15"/>
        <v>-</v>
      </c>
      <c r="P190" s="32" t="str">
        <f t="shared" si="16"/>
        <v>-</v>
      </c>
      <c r="Q190" s="27"/>
      <c r="R190" s="32" t="str">
        <f t="shared" si="17"/>
        <v>-</v>
      </c>
    </row>
    <row r="191" spans="1:18" s="13" customFormat="1" ht="11.25" customHeight="1">
      <c r="A191" s="18">
        <v>101895</v>
      </c>
      <c r="B191" s="19" t="s">
        <v>210</v>
      </c>
      <c r="C191" s="20">
        <v>658010116138</v>
      </c>
      <c r="D191" s="20"/>
      <c r="E191" s="20"/>
      <c r="F191" s="26">
        <v>0</v>
      </c>
      <c r="G191" s="20"/>
      <c r="H191" s="14">
        <v>47.602800000000002</v>
      </c>
      <c r="I191" s="21"/>
      <c r="J191" s="14">
        <f t="shared" si="12"/>
        <v>0</v>
      </c>
      <c r="M191" s="30" t="str">
        <f t="shared" si="13"/>
        <v>-</v>
      </c>
      <c r="N191" s="30" t="str">
        <f t="shared" si="14"/>
        <v>-</v>
      </c>
      <c r="O191" s="31" t="str">
        <f t="shared" si="15"/>
        <v>-</v>
      </c>
      <c r="P191" s="32" t="str">
        <f t="shared" si="16"/>
        <v>-</v>
      </c>
      <c r="Q191" s="27"/>
      <c r="R191" s="32" t="str">
        <f t="shared" si="17"/>
        <v>-</v>
      </c>
    </row>
    <row r="192" spans="1:18" s="13" customFormat="1" ht="11.25" hidden="1" customHeight="1">
      <c r="A192" s="18" t="s">
        <v>188</v>
      </c>
      <c r="B192" s="19" t="s">
        <v>211</v>
      </c>
      <c r="C192" s="20">
        <v>658010116121</v>
      </c>
      <c r="D192" s="20"/>
      <c r="E192" s="20"/>
      <c r="F192" s="26">
        <v>0</v>
      </c>
      <c r="G192" s="20"/>
      <c r="H192" s="14" t="s">
        <v>478</v>
      </c>
      <c r="I192" s="17"/>
      <c r="J192" s="14">
        <v>0</v>
      </c>
      <c r="M192" s="30" t="str">
        <f t="shared" si="13"/>
        <v>-</v>
      </c>
      <c r="N192" s="30" t="str">
        <f t="shared" si="14"/>
        <v>-</v>
      </c>
      <c r="O192" s="31" t="str">
        <f t="shared" si="15"/>
        <v>-</v>
      </c>
      <c r="P192" s="32" t="str">
        <f t="shared" si="16"/>
        <v>-</v>
      </c>
      <c r="Q192" s="27"/>
      <c r="R192" s="32" t="str">
        <f t="shared" si="17"/>
        <v>-</v>
      </c>
    </row>
    <row r="193" spans="1:18" s="13" customFormat="1" ht="11.25" hidden="1" customHeight="1">
      <c r="A193" s="18">
        <v>102112</v>
      </c>
      <c r="B193" s="19" t="s">
        <v>212</v>
      </c>
      <c r="C193" s="20">
        <v>658010116046</v>
      </c>
      <c r="D193" s="20"/>
      <c r="E193" s="20"/>
      <c r="F193" s="26">
        <v>1.27</v>
      </c>
      <c r="G193" s="20"/>
      <c r="H193" s="14">
        <v>52.151400000000002</v>
      </c>
      <c r="I193" s="21"/>
      <c r="J193" s="14">
        <f t="shared" si="12"/>
        <v>0</v>
      </c>
      <c r="M193" s="30" t="str">
        <f t="shared" si="13"/>
        <v>-</v>
      </c>
      <c r="N193" s="30" t="str">
        <f t="shared" si="14"/>
        <v>-</v>
      </c>
      <c r="O193" s="31" t="str">
        <f t="shared" si="15"/>
        <v>-</v>
      </c>
      <c r="P193" s="32" t="str">
        <f t="shared" si="16"/>
        <v>-</v>
      </c>
      <c r="Q193" s="27"/>
      <c r="R193" s="32" t="str">
        <f t="shared" si="17"/>
        <v>-</v>
      </c>
    </row>
    <row r="194" spans="1:18" s="13" customFormat="1" ht="11.25" hidden="1" customHeight="1">
      <c r="A194" s="18">
        <v>102108</v>
      </c>
      <c r="B194" s="19" t="s">
        <v>213</v>
      </c>
      <c r="C194" s="20">
        <v>658010116947</v>
      </c>
      <c r="D194" s="20"/>
      <c r="E194" s="20"/>
      <c r="F194" s="26">
        <v>0.65</v>
      </c>
      <c r="G194" s="20"/>
      <c r="H194" s="14">
        <v>27.959399999999999</v>
      </c>
      <c r="I194" s="21"/>
      <c r="J194" s="14">
        <f t="shared" si="12"/>
        <v>0</v>
      </c>
      <c r="M194" s="30" t="str">
        <f t="shared" si="13"/>
        <v>-</v>
      </c>
      <c r="N194" s="30" t="str">
        <f t="shared" si="14"/>
        <v>-</v>
      </c>
      <c r="O194" s="31" t="str">
        <f t="shared" si="15"/>
        <v>-</v>
      </c>
      <c r="P194" s="32" t="str">
        <f t="shared" si="16"/>
        <v>-</v>
      </c>
      <c r="Q194" s="27"/>
      <c r="R194" s="32" t="str">
        <f t="shared" si="17"/>
        <v>-</v>
      </c>
    </row>
    <row r="195" spans="1:18" s="13" customFormat="1" ht="11.25" hidden="1" customHeight="1">
      <c r="A195" s="18">
        <v>101611</v>
      </c>
      <c r="B195" s="19" t="s">
        <v>214</v>
      </c>
      <c r="C195" s="20">
        <v>658010114158</v>
      </c>
      <c r="D195" s="20"/>
      <c r="E195" s="20"/>
      <c r="F195" s="26">
        <v>0.71</v>
      </c>
      <c r="G195" s="20"/>
      <c r="H195" s="14">
        <v>38.543399999999998</v>
      </c>
      <c r="I195" s="21"/>
      <c r="J195" s="14">
        <f t="shared" ref="J195:J258" si="18">I195*H195</f>
        <v>0</v>
      </c>
      <c r="M195" s="30" t="str">
        <f t="shared" si="13"/>
        <v>-</v>
      </c>
      <c r="N195" s="30" t="str">
        <f t="shared" si="14"/>
        <v>-</v>
      </c>
      <c r="O195" s="31" t="str">
        <f t="shared" si="15"/>
        <v>-</v>
      </c>
      <c r="P195" s="32" t="str">
        <f t="shared" si="16"/>
        <v>-</v>
      </c>
      <c r="Q195" s="27"/>
      <c r="R195" s="32" t="str">
        <f t="shared" si="17"/>
        <v>-</v>
      </c>
    </row>
    <row r="196" spans="1:18" s="13" customFormat="1" ht="11.25" customHeight="1">
      <c r="A196" s="18">
        <v>101754</v>
      </c>
      <c r="B196" s="19" t="s">
        <v>215</v>
      </c>
      <c r="C196" s="20">
        <v>658010115544</v>
      </c>
      <c r="D196" s="20"/>
      <c r="E196" s="20"/>
      <c r="F196" s="26">
        <v>0</v>
      </c>
      <c r="G196" s="20"/>
      <c r="H196" s="14">
        <v>34.007399999999997</v>
      </c>
      <c r="I196" s="21"/>
      <c r="J196" s="14">
        <f t="shared" si="18"/>
        <v>0</v>
      </c>
      <c r="M196" s="30" t="str">
        <f t="shared" ref="M196:M259" si="19">IFERROR(IF($M$2*F196=0, "-", $M$2*F196), "-")</f>
        <v>-</v>
      </c>
      <c r="N196" s="30" t="str">
        <f t="shared" ref="N196:N259" si="20">IF(I196&gt;0,H196+F196*I196/$O$2*$P$2/I196,"-")</f>
        <v>-</v>
      </c>
      <c r="O196" s="31" t="str">
        <f t="shared" ref="O196:O259" si="21">IF(I196&gt;0,I196*F196*1.113, "-")</f>
        <v>-</v>
      </c>
      <c r="P196" s="32" t="str">
        <f t="shared" ref="P196:P259" si="22">IFERROR(IF($M$2&gt;0, $M$2*O196, "-"), "-")</f>
        <v>-</v>
      </c>
      <c r="Q196" s="27"/>
      <c r="R196" s="32" t="str">
        <f t="shared" ref="R196:R259" si="23">IFERROR(IF(P196+J196=0, "-", IF(P196&gt;0, P196+J196, "-")), "-")</f>
        <v>-</v>
      </c>
    </row>
    <row r="197" spans="1:18" s="13" customFormat="1" ht="11.25" hidden="1" customHeight="1">
      <c r="A197" s="18" t="s">
        <v>188</v>
      </c>
      <c r="B197" s="19" t="s">
        <v>216</v>
      </c>
      <c r="C197" s="20">
        <v>658010115551</v>
      </c>
      <c r="D197" s="20"/>
      <c r="E197" s="20"/>
      <c r="F197" s="26">
        <v>0</v>
      </c>
      <c r="G197" s="20"/>
      <c r="H197" s="14" t="s">
        <v>478</v>
      </c>
      <c r="I197" s="17"/>
      <c r="J197" s="14">
        <v>0</v>
      </c>
      <c r="M197" s="30" t="str">
        <f t="shared" si="19"/>
        <v>-</v>
      </c>
      <c r="N197" s="30" t="str">
        <f t="shared" si="20"/>
        <v>-</v>
      </c>
      <c r="O197" s="31" t="str">
        <f t="shared" si="21"/>
        <v>-</v>
      </c>
      <c r="P197" s="32" t="str">
        <f t="shared" si="22"/>
        <v>-</v>
      </c>
      <c r="Q197" s="27"/>
      <c r="R197" s="32" t="str">
        <f t="shared" si="23"/>
        <v>-</v>
      </c>
    </row>
    <row r="198" spans="1:18" s="13" customFormat="1" ht="11.25" hidden="1" customHeight="1">
      <c r="A198" s="18">
        <v>101817</v>
      </c>
      <c r="B198" s="19" t="s">
        <v>217</v>
      </c>
      <c r="C198" s="20">
        <v>658010115940</v>
      </c>
      <c r="D198" s="20"/>
      <c r="E198" s="20"/>
      <c r="F198" s="26">
        <v>0.87</v>
      </c>
      <c r="G198" s="20"/>
      <c r="H198" s="14">
        <v>38.543399999999998</v>
      </c>
      <c r="I198" s="21"/>
      <c r="J198" s="14">
        <f t="shared" si="18"/>
        <v>0</v>
      </c>
      <c r="M198" s="30" t="str">
        <f t="shared" si="19"/>
        <v>-</v>
      </c>
      <c r="N198" s="30" t="str">
        <f t="shared" si="20"/>
        <v>-</v>
      </c>
      <c r="O198" s="31" t="str">
        <f t="shared" si="21"/>
        <v>-</v>
      </c>
      <c r="P198" s="32" t="str">
        <f t="shared" si="22"/>
        <v>-</v>
      </c>
      <c r="Q198" s="27"/>
      <c r="R198" s="32" t="str">
        <f t="shared" si="23"/>
        <v>-</v>
      </c>
    </row>
    <row r="199" spans="1:18" s="13" customFormat="1" ht="11.25" customHeight="1">
      <c r="A199" s="18">
        <v>101896</v>
      </c>
      <c r="B199" s="19" t="s">
        <v>218</v>
      </c>
      <c r="C199" s="20">
        <v>658010116152</v>
      </c>
      <c r="D199" s="20"/>
      <c r="E199" s="20"/>
      <c r="F199" s="26">
        <v>0</v>
      </c>
      <c r="G199" s="20"/>
      <c r="H199" s="14">
        <v>34.007399999999997</v>
      </c>
      <c r="I199" s="21"/>
      <c r="J199" s="14">
        <f t="shared" si="18"/>
        <v>0</v>
      </c>
      <c r="M199" s="30" t="str">
        <f t="shared" si="19"/>
        <v>-</v>
      </c>
      <c r="N199" s="30" t="str">
        <f t="shared" si="20"/>
        <v>-</v>
      </c>
      <c r="O199" s="31" t="str">
        <f t="shared" si="21"/>
        <v>-</v>
      </c>
      <c r="P199" s="32" t="str">
        <f t="shared" si="22"/>
        <v>-</v>
      </c>
      <c r="Q199" s="27"/>
      <c r="R199" s="32" t="str">
        <f t="shared" si="23"/>
        <v>-</v>
      </c>
    </row>
    <row r="200" spans="1:18" s="13" customFormat="1" ht="11.25" hidden="1" customHeight="1">
      <c r="A200" s="18" t="s">
        <v>188</v>
      </c>
      <c r="B200" s="19" t="s">
        <v>219</v>
      </c>
      <c r="C200" s="20">
        <v>658010116145</v>
      </c>
      <c r="D200" s="20"/>
      <c r="E200" s="20"/>
      <c r="F200" s="26">
        <v>0</v>
      </c>
      <c r="G200" s="20"/>
      <c r="H200" s="14" t="s">
        <v>478</v>
      </c>
      <c r="I200" s="17"/>
      <c r="J200" s="14">
        <v>0</v>
      </c>
      <c r="M200" s="30" t="str">
        <f t="shared" si="19"/>
        <v>-</v>
      </c>
      <c r="N200" s="30" t="str">
        <f t="shared" si="20"/>
        <v>-</v>
      </c>
      <c r="O200" s="31" t="str">
        <f t="shared" si="21"/>
        <v>-</v>
      </c>
      <c r="P200" s="32" t="str">
        <f t="shared" si="22"/>
        <v>-</v>
      </c>
      <c r="Q200" s="27"/>
      <c r="R200" s="32" t="str">
        <f t="shared" si="23"/>
        <v>-</v>
      </c>
    </row>
    <row r="201" spans="1:18" s="13" customFormat="1" ht="11.25" hidden="1" customHeight="1">
      <c r="A201" s="18">
        <v>101867</v>
      </c>
      <c r="B201" s="19" t="s">
        <v>220</v>
      </c>
      <c r="C201" s="20">
        <v>658010116039</v>
      </c>
      <c r="D201" s="20"/>
      <c r="E201" s="20"/>
      <c r="F201" s="26">
        <v>0.8</v>
      </c>
      <c r="G201" s="20"/>
      <c r="H201" s="14">
        <v>38.543399999999998</v>
      </c>
      <c r="I201" s="21"/>
      <c r="J201" s="14">
        <f t="shared" si="18"/>
        <v>0</v>
      </c>
      <c r="M201" s="30" t="str">
        <f t="shared" si="19"/>
        <v>-</v>
      </c>
      <c r="N201" s="30" t="str">
        <f t="shared" si="20"/>
        <v>-</v>
      </c>
      <c r="O201" s="31" t="str">
        <f t="shared" si="21"/>
        <v>-</v>
      </c>
      <c r="P201" s="32" t="str">
        <f t="shared" si="22"/>
        <v>-</v>
      </c>
      <c r="Q201" s="27"/>
      <c r="R201" s="32" t="str">
        <f t="shared" si="23"/>
        <v>-</v>
      </c>
    </row>
    <row r="202" spans="1:18" s="13" customFormat="1" ht="11.25" customHeight="1">
      <c r="A202" s="18">
        <v>101897</v>
      </c>
      <c r="B202" s="19" t="s">
        <v>221</v>
      </c>
      <c r="C202" s="20">
        <v>658010116176</v>
      </c>
      <c r="D202" s="20"/>
      <c r="E202" s="20"/>
      <c r="F202" s="26">
        <v>0</v>
      </c>
      <c r="G202" s="20"/>
      <c r="H202" s="14">
        <v>34.007399999999997</v>
      </c>
      <c r="I202" s="21"/>
      <c r="J202" s="14">
        <f t="shared" si="18"/>
        <v>0</v>
      </c>
      <c r="M202" s="30" t="str">
        <f t="shared" si="19"/>
        <v>-</v>
      </c>
      <c r="N202" s="30" t="str">
        <f t="shared" si="20"/>
        <v>-</v>
      </c>
      <c r="O202" s="31" t="str">
        <f t="shared" si="21"/>
        <v>-</v>
      </c>
      <c r="P202" s="32" t="str">
        <f t="shared" si="22"/>
        <v>-</v>
      </c>
      <c r="Q202" s="27"/>
      <c r="R202" s="32" t="str">
        <f t="shared" si="23"/>
        <v>-</v>
      </c>
    </row>
    <row r="203" spans="1:18" s="13" customFormat="1" ht="11.25" hidden="1" customHeight="1">
      <c r="A203" s="18" t="s">
        <v>188</v>
      </c>
      <c r="B203" s="19" t="s">
        <v>222</v>
      </c>
      <c r="C203" s="20">
        <v>658010116169</v>
      </c>
      <c r="D203" s="20"/>
      <c r="E203" s="20"/>
      <c r="F203" s="26">
        <v>0</v>
      </c>
      <c r="G203" s="20"/>
      <c r="H203" s="14" t="s">
        <v>478</v>
      </c>
      <c r="I203" s="17"/>
      <c r="J203" s="14">
        <v>0</v>
      </c>
      <c r="M203" s="30" t="str">
        <f t="shared" si="19"/>
        <v>-</v>
      </c>
      <c r="N203" s="30" t="str">
        <f t="shared" si="20"/>
        <v>-</v>
      </c>
      <c r="O203" s="31" t="str">
        <f t="shared" si="21"/>
        <v>-</v>
      </c>
      <c r="P203" s="32" t="str">
        <f t="shared" si="22"/>
        <v>-</v>
      </c>
      <c r="Q203" s="27"/>
      <c r="R203" s="32" t="str">
        <f t="shared" si="23"/>
        <v>-</v>
      </c>
    </row>
    <row r="204" spans="1:18" s="13" customFormat="1" ht="11.25" hidden="1" customHeight="1">
      <c r="A204" s="18">
        <v>102113</v>
      </c>
      <c r="B204" s="19" t="s">
        <v>223</v>
      </c>
      <c r="C204" s="20">
        <v>658010116060</v>
      </c>
      <c r="D204" s="20"/>
      <c r="E204" s="20"/>
      <c r="F204" s="26">
        <v>0.83</v>
      </c>
      <c r="G204" s="20"/>
      <c r="H204" s="14">
        <v>38.543399999999998</v>
      </c>
      <c r="I204" s="21"/>
      <c r="J204" s="14">
        <f t="shared" si="18"/>
        <v>0</v>
      </c>
      <c r="M204" s="30" t="str">
        <f t="shared" si="19"/>
        <v>-</v>
      </c>
      <c r="N204" s="30" t="str">
        <f t="shared" si="20"/>
        <v>-</v>
      </c>
      <c r="O204" s="31" t="str">
        <f t="shared" si="21"/>
        <v>-</v>
      </c>
      <c r="P204" s="32" t="str">
        <f t="shared" si="22"/>
        <v>-</v>
      </c>
      <c r="Q204" s="27"/>
      <c r="R204" s="32" t="str">
        <f t="shared" si="23"/>
        <v>-</v>
      </c>
    </row>
    <row r="205" spans="1:18" s="13" customFormat="1" ht="11.25" hidden="1" customHeight="1">
      <c r="A205" s="18">
        <v>102854</v>
      </c>
      <c r="B205" s="19" t="s">
        <v>224</v>
      </c>
      <c r="C205" s="20">
        <v>658010120401</v>
      </c>
      <c r="D205" s="20"/>
      <c r="E205" s="20"/>
      <c r="F205" s="26">
        <v>1.06</v>
      </c>
      <c r="G205" s="20"/>
      <c r="H205" s="14">
        <v>49.883400000000009</v>
      </c>
      <c r="I205" s="21"/>
      <c r="J205" s="14">
        <f t="shared" si="18"/>
        <v>0</v>
      </c>
      <c r="M205" s="30" t="str">
        <f t="shared" si="19"/>
        <v>-</v>
      </c>
      <c r="N205" s="30" t="str">
        <f t="shared" si="20"/>
        <v>-</v>
      </c>
      <c r="O205" s="31" t="str">
        <f t="shared" si="21"/>
        <v>-</v>
      </c>
      <c r="P205" s="32" t="str">
        <f t="shared" si="22"/>
        <v>-</v>
      </c>
      <c r="Q205" s="27"/>
      <c r="R205" s="32" t="str">
        <f t="shared" si="23"/>
        <v>-</v>
      </c>
    </row>
    <row r="206" spans="1:18" s="13" customFormat="1" ht="11.25" customHeight="1">
      <c r="A206" s="18">
        <v>102092</v>
      </c>
      <c r="B206" s="19" t="s">
        <v>225</v>
      </c>
      <c r="C206" s="20">
        <v>658010116725</v>
      </c>
      <c r="D206" s="20"/>
      <c r="E206" s="20"/>
      <c r="F206" s="26">
        <v>0</v>
      </c>
      <c r="G206" s="20"/>
      <c r="H206" s="14">
        <v>39.299399999999999</v>
      </c>
      <c r="I206" s="21"/>
      <c r="J206" s="14">
        <f t="shared" si="18"/>
        <v>0</v>
      </c>
      <c r="M206" s="30" t="str">
        <f t="shared" si="19"/>
        <v>-</v>
      </c>
      <c r="N206" s="30" t="str">
        <f t="shared" si="20"/>
        <v>-</v>
      </c>
      <c r="O206" s="31" t="str">
        <f t="shared" si="21"/>
        <v>-</v>
      </c>
      <c r="P206" s="32" t="str">
        <f t="shared" si="22"/>
        <v>-</v>
      </c>
      <c r="Q206" s="27"/>
      <c r="R206" s="32" t="str">
        <f t="shared" si="23"/>
        <v>-</v>
      </c>
    </row>
    <row r="207" spans="1:18" s="13" customFormat="1" ht="11.25" customHeight="1">
      <c r="A207" s="18">
        <v>102251</v>
      </c>
      <c r="B207" s="19" t="s">
        <v>226</v>
      </c>
      <c r="C207" s="20">
        <v>658010117548</v>
      </c>
      <c r="D207" s="20"/>
      <c r="E207" s="20"/>
      <c r="F207" s="26">
        <v>0</v>
      </c>
      <c r="G207" s="20"/>
      <c r="H207" s="14">
        <v>39.299399999999999</v>
      </c>
      <c r="I207" s="21"/>
      <c r="J207" s="14">
        <f t="shared" si="18"/>
        <v>0</v>
      </c>
      <c r="M207" s="30" t="str">
        <f t="shared" si="19"/>
        <v>-</v>
      </c>
      <c r="N207" s="30" t="str">
        <f t="shared" si="20"/>
        <v>-</v>
      </c>
      <c r="O207" s="31" t="str">
        <f t="shared" si="21"/>
        <v>-</v>
      </c>
      <c r="P207" s="32" t="str">
        <f t="shared" si="22"/>
        <v>-</v>
      </c>
      <c r="Q207" s="27"/>
      <c r="R207" s="32" t="str">
        <f t="shared" si="23"/>
        <v>-</v>
      </c>
    </row>
    <row r="208" spans="1:18" s="13" customFormat="1" ht="11.25" hidden="1" customHeight="1">
      <c r="A208" s="18">
        <v>102873</v>
      </c>
      <c r="B208" s="19" t="s">
        <v>227</v>
      </c>
      <c r="C208" s="20">
        <v>658010120425</v>
      </c>
      <c r="D208" s="20"/>
      <c r="E208" s="20"/>
      <c r="F208" s="26">
        <v>1.0900000000000001</v>
      </c>
      <c r="G208" s="20"/>
      <c r="H208" s="14">
        <v>49.883400000000009</v>
      </c>
      <c r="I208" s="21"/>
      <c r="J208" s="14">
        <f t="shared" si="18"/>
        <v>0</v>
      </c>
      <c r="M208" s="30" t="str">
        <f t="shared" si="19"/>
        <v>-</v>
      </c>
      <c r="N208" s="30" t="str">
        <f t="shared" si="20"/>
        <v>-</v>
      </c>
      <c r="O208" s="31" t="str">
        <f t="shared" si="21"/>
        <v>-</v>
      </c>
      <c r="P208" s="32" t="str">
        <f t="shared" si="22"/>
        <v>-</v>
      </c>
      <c r="Q208" s="27"/>
      <c r="R208" s="32" t="str">
        <f t="shared" si="23"/>
        <v>-</v>
      </c>
    </row>
    <row r="209" spans="1:18" s="13" customFormat="1" ht="11.25" customHeight="1">
      <c r="A209" s="18">
        <v>102208</v>
      </c>
      <c r="B209" s="19" t="s">
        <v>228</v>
      </c>
      <c r="C209" s="20">
        <v>658010117418</v>
      </c>
      <c r="D209" s="20"/>
      <c r="E209" s="20"/>
      <c r="F209" s="26">
        <v>0</v>
      </c>
      <c r="G209" s="20"/>
      <c r="H209" s="14">
        <v>39.299399999999999</v>
      </c>
      <c r="I209" s="21"/>
      <c r="J209" s="14">
        <f t="shared" si="18"/>
        <v>0</v>
      </c>
      <c r="M209" s="30" t="str">
        <f t="shared" si="19"/>
        <v>-</v>
      </c>
      <c r="N209" s="30" t="str">
        <f t="shared" si="20"/>
        <v>-</v>
      </c>
      <c r="O209" s="31" t="str">
        <f t="shared" si="21"/>
        <v>-</v>
      </c>
      <c r="P209" s="32" t="str">
        <f t="shared" si="22"/>
        <v>-</v>
      </c>
      <c r="Q209" s="27"/>
      <c r="R209" s="32" t="str">
        <f t="shared" si="23"/>
        <v>-</v>
      </c>
    </row>
    <row r="210" spans="1:18" s="13" customFormat="1" ht="11.25" customHeight="1">
      <c r="A210" s="18">
        <v>102210</v>
      </c>
      <c r="B210" s="19" t="s">
        <v>229</v>
      </c>
      <c r="C210" s="20">
        <v>658010117432</v>
      </c>
      <c r="D210" s="20"/>
      <c r="E210" s="20"/>
      <c r="F210" s="26">
        <v>0</v>
      </c>
      <c r="G210" s="20"/>
      <c r="H210" s="14">
        <v>44.5914</v>
      </c>
      <c r="I210" s="21"/>
      <c r="J210" s="14">
        <f t="shared" si="18"/>
        <v>0</v>
      </c>
      <c r="M210" s="30" t="str">
        <f t="shared" si="19"/>
        <v>-</v>
      </c>
      <c r="N210" s="30" t="str">
        <f t="shared" si="20"/>
        <v>-</v>
      </c>
      <c r="O210" s="31" t="str">
        <f t="shared" si="21"/>
        <v>-</v>
      </c>
      <c r="P210" s="32" t="str">
        <f t="shared" si="22"/>
        <v>-</v>
      </c>
      <c r="Q210" s="27"/>
      <c r="R210" s="32" t="str">
        <f t="shared" si="23"/>
        <v>-</v>
      </c>
    </row>
    <row r="211" spans="1:18" s="13" customFormat="1" ht="11.25" hidden="1" customHeight="1">
      <c r="A211" s="18" t="s">
        <v>188</v>
      </c>
      <c r="B211" s="19" t="s">
        <v>230</v>
      </c>
      <c r="C211" s="20">
        <v>658010117449</v>
      </c>
      <c r="D211" s="20"/>
      <c r="E211" s="20"/>
      <c r="F211" s="26">
        <v>0</v>
      </c>
      <c r="G211" s="20"/>
      <c r="H211" s="14" t="s">
        <v>478</v>
      </c>
      <c r="I211" s="17"/>
      <c r="J211" s="14">
        <v>0</v>
      </c>
      <c r="M211" s="30" t="str">
        <f t="shared" si="19"/>
        <v>-</v>
      </c>
      <c r="N211" s="30" t="str">
        <f t="shared" si="20"/>
        <v>-</v>
      </c>
      <c r="O211" s="31" t="str">
        <f t="shared" si="21"/>
        <v>-</v>
      </c>
      <c r="P211" s="32" t="str">
        <f t="shared" si="22"/>
        <v>-</v>
      </c>
      <c r="Q211" s="27"/>
      <c r="R211" s="32" t="str">
        <f t="shared" si="23"/>
        <v>-</v>
      </c>
    </row>
    <row r="212" spans="1:18" s="13" customFormat="1" ht="11.25" hidden="1" customHeight="1">
      <c r="A212" s="18">
        <v>102747</v>
      </c>
      <c r="B212" s="19" t="s">
        <v>231</v>
      </c>
      <c r="C212" s="20">
        <v>658010119849</v>
      </c>
      <c r="D212" s="20"/>
      <c r="E212" s="20"/>
      <c r="F212" s="26">
        <v>1.1100000000000001</v>
      </c>
      <c r="G212" s="20"/>
      <c r="H212" s="14">
        <v>49.883400000000009</v>
      </c>
      <c r="I212" s="21"/>
      <c r="J212" s="14">
        <f t="shared" si="18"/>
        <v>0</v>
      </c>
      <c r="M212" s="30" t="str">
        <f t="shared" si="19"/>
        <v>-</v>
      </c>
      <c r="N212" s="30" t="str">
        <f t="shared" si="20"/>
        <v>-</v>
      </c>
      <c r="O212" s="31" t="str">
        <f t="shared" si="21"/>
        <v>-</v>
      </c>
      <c r="P212" s="32" t="str">
        <f t="shared" si="22"/>
        <v>-</v>
      </c>
      <c r="Q212" s="27"/>
      <c r="R212" s="32" t="str">
        <f t="shared" si="23"/>
        <v>-</v>
      </c>
    </row>
    <row r="213" spans="1:18" s="13" customFormat="1" ht="11.25" customHeight="1">
      <c r="A213" s="18">
        <v>102209</v>
      </c>
      <c r="B213" s="19" t="s">
        <v>232</v>
      </c>
      <c r="C213" s="20">
        <v>658010117425</v>
      </c>
      <c r="D213" s="20"/>
      <c r="E213" s="20"/>
      <c r="F213" s="26">
        <v>0</v>
      </c>
      <c r="G213" s="20"/>
      <c r="H213" s="14">
        <v>39.299399999999999</v>
      </c>
      <c r="I213" s="21"/>
      <c r="J213" s="14">
        <f t="shared" si="18"/>
        <v>0</v>
      </c>
      <c r="M213" s="30" t="str">
        <f t="shared" si="19"/>
        <v>-</v>
      </c>
      <c r="N213" s="30" t="str">
        <f t="shared" si="20"/>
        <v>-</v>
      </c>
      <c r="O213" s="31" t="str">
        <f t="shared" si="21"/>
        <v>-</v>
      </c>
      <c r="P213" s="32" t="str">
        <f t="shared" si="22"/>
        <v>-</v>
      </c>
      <c r="Q213" s="27"/>
      <c r="R213" s="32" t="str">
        <f t="shared" si="23"/>
        <v>-</v>
      </c>
    </row>
    <row r="214" spans="1:18" s="13" customFormat="1" ht="11.25" customHeight="1">
      <c r="A214" s="18">
        <v>102211</v>
      </c>
      <c r="B214" s="19" t="s">
        <v>233</v>
      </c>
      <c r="C214" s="20">
        <v>658010117456</v>
      </c>
      <c r="D214" s="20"/>
      <c r="E214" s="20"/>
      <c r="F214" s="26">
        <v>0</v>
      </c>
      <c r="G214" s="20"/>
      <c r="H214" s="14">
        <v>44.5914</v>
      </c>
      <c r="I214" s="21"/>
      <c r="J214" s="14">
        <f t="shared" si="18"/>
        <v>0</v>
      </c>
      <c r="M214" s="30" t="str">
        <f t="shared" si="19"/>
        <v>-</v>
      </c>
      <c r="N214" s="30" t="str">
        <f t="shared" si="20"/>
        <v>-</v>
      </c>
      <c r="O214" s="31" t="str">
        <f t="shared" si="21"/>
        <v>-</v>
      </c>
      <c r="P214" s="32" t="str">
        <f t="shared" si="22"/>
        <v>-</v>
      </c>
      <c r="Q214" s="27"/>
      <c r="R214" s="32" t="str">
        <f t="shared" si="23"/>
        <v>-</v>
      </c>
    </row>
    <row r="215" spans="1:18" s="13" customFormat="1" ht="11.25" hidden="1" customHeight="1">
      <c r="A215" s="18" t="s">
        <v>188</v>
      </c>
      <c r="B215" s="19" t="s">
        <v>234</v>
      </c>
      <c r="C215" s="20">
        <v>658010117463</v>
      </c>
      <c r="D215" s="20"/>
      <c r="E215" s="20"/>
      <c r="F215" s="26">
        <v>0</v>
      </c>
      <c r="G215" s="20"/>
      <c r="H215" s="14" t="s">
        <v>478</v>
      </c>
      <c r="I215" s="17"/>
      <c r="J215" s="14">
        <v>0</v>
      </c>
      <c r="M215" s="30" t="str">
        <f t="shared" si="19"/>
        <v>-</v>
      </c>
      <c r="N215" s="30" t="str">
        <f t="shared" si="20"/>
        <v>-</v>
      </c>
      <c r="O215" s="31" t="str">
        <f t="shared" si="21"/>
        <v>-</v>
      </c>
      <c r="P215" s="32" t="str">
        <f t="shared" si="22"/>
        <v>-</v>
      </c>
      <c r="Q215" s="27"/>
      <c r="R215" s="32" t="str">
        <f t="shared" si="23"/>
        <v>-</v>
      </c>
    </row>
    <row r="216" spans="1:18" s="13" customFormat="1" ht="11.25" hidden="1" customHeight="1">
      <c r="A216" s="18">
        <v>103012</v>
      </c>
      <c r="B216" s="19" t="s">
        <v>235</v>
      </c>
      <c r="C216" s="20">
        <v>658010121262</v>
      </c>
      <c r="D216" s="20"/>
      <c r="E216" s="20"/>
      <c r="F216" s="26">
        <v>0.49</v>
      </c>
      <c r="G216" s="20"/>
      <c r="H216" s="14">
        <v>32.495399999999997</v>
      </c>
      <c r="I216" s="21"/>
      <c r="J216" s="14">
        <f t="shared" si="18"/>
        <v>0</v>
      </c>
      <c r="M216" s="30" t="str">
        <f t="shared" si="19"/>
        <v>-</v>
      </c>
      <c r="N216" s="30" t="str">
        <f t="shared" si="20"/>
        <v>-</v>
      </c>
      <c r="O216" s="31" t="str">
        <f t="shared" si="21"/>
        <v>-</v>
      </c>
      <c r="P216" s="32" t="str">
        <f t="shared" si="22"/>
        <v>-</v>
      </c>
      <c r="Q216" s="27"/>
      <c r="R216" s="32" t="str">
        <f t="shared" si="23"/>
        <v>-</v>
      </c>
    </row>
    <row r="217" spans="1:18" s="13" customFormat="1" ht="11.25" hidden="1" customHeight="1">
      <c r="A217" s="18">
        <v>103008</v>
      </c>
      <c r="B217" s="19" t="s">
        <v>236</v>
      </c>
      <c r="C217" s="20">
        <v>658010121224</v>
      </c>
      <c r="D217" s="20"/>
      <c r="E217" s="20"/>
      <c r="F217" s="26">
        <v>0.52</v>
      </c>
      <c r="G217" s="20"/>
      <c r="H217" s="14">
        <v>32.495399999999997</v>
      </c>
      <c r="I217" s="21"/>
      <c r="J217" s="14">
        <f t="shared" si="18"/>
        <v>0</v>
      </c>
      <c r="M217" s="30" t="str">
        <f t="shared" si="19"/>
        <v>-</v>
      </c>
      <c r="N217" s="30" t="str">
        <f t="shared" si="20"/>
        <v>-</v>
      </c>
      <c r="O217" s="31" t="str">
        <f t="shared" si="21"/>
        <v>-</v>
      </c>
      <c r="P217" s="32" t="str">
        <f t="shared" si="22"/>
        <v>-</v>
      </c>
      <c r="Q217" s="27"/>
      <c r="R217" s="32" t="str">
        <f t="shared" si="23"/>
        <v>-</v>
      </c>
    </row>
    <row r="218" spans="1:18" s="13" customFormat="1" ht="11.25" customHeight="1">
      <c r="A218" s="18">
        <v>103010</v>
      </c>
      <c r="B218" s="19" t="s">
        <v>237</v>
      </c>
      <c r="C218" s="20">
        <v>658010121248</v>
      </c>
      <c r="D218" s="20"/>
      <c r="E218" s="20"/>
      <c r="F218" s="26">
        <v>0</v>
      </c>
      <c r="G218" s="20"/>
      <c r="H218" s="14">
        <v>32.495399999999997</v>
      </c>
      <c r="I218" s="21"/>
      <c r="J218" s="14">
        <f t="shared" si="18"/>
        <v>0</v>
      </c>
      <c r="M218" s="30" t="str">
        <f t="shared" si="19"/>
        <v>-</v>
      </c>
      <c r="N218" s="30" t="str">
        <f t="shared" si="20"/>
        <v>-</v>
      </c>
      <c r="O218" s="31" t="str">
        <f t="shared" si="21"/>
        <v>-</v>
      </c>
      <c r="P218" s="32" t="str">
        <f t="shared" si="22"/>
        <v>-</v>
      </c>
      <c r="Q218" s="27"/>
      <c r="R218" s="32" t="str">
        <f t="shared" si="23"/>
        <v>-</v>
      </c>
    </row>
    <row r="219" spans="1:18" s="13" customFormat="1" ht="11.25" customHeight="1">
      <c r="A219" s="18">
        <v>103009</v>
      </c>
      <c r="B219" s="19" t="s">
        <v>238</v>
      </c>
      <c r="C219" s="20">
        <v>658010121231</v>
      </c>
      <c r="D219" s="20"/>
      <c r="E219" s="20"/>
      <c r="F219" s="26">
        <v>0</v>
      </c>
      <c r="G219" s="20"/>
      <c r="H219" s="14">
        <v>32.495399999999997</v>
      </c>
      <c r="I219" s="21"/>
      <c r="J219" s="14">
        <f t="shared" si="18"/>
        <v>0</v>
      </c>
      <c r="M219" s="30" t="str">
        <f t="shared" si="19"/>
        <v>-</v>
      </c>
      <c r="N219" s="30" t="str">
        <f t="shared" si="20"/>
        <v>-</v>
      </c>
      <c r="O219" s="31" t="str">
        <f t="shared" si="21"/>
        <v>-</v>
      </c>
      <c r="P219" s="32" t="str">
        <f t="shared" si="22"/>
        <v>-</v>
      </c>
      <c r="Q219" s="27"/>
      <c r="R219" s="32" t="str">
        <f t="shared" si="23"/>
        <v>-</v>
      </c>
    </row>
    <row r="220" spans="1:18" s="13" customFormat="1" ht="11.25" customHeight="1">
      <c r="A220" s="18">
        <v>102665</v>
      </c>
      <c r="B220" s="19" t="s">
        <v>239</v>
      </c>
      <c r="C220" s="20">
        <v>658010119450</v>
      </c>
      <c r="D220" s="20"/>
      <c r="E220" s="20"/>
      <c r="F220" s="26">
        <v>0</v>
      </c>
      <c r="G220" s="20"/>
      <c r="H220" s="14">
        <v>32.495399999999997</v>
      </c>
      <c r="I220" s="21"/>
      <c r="J220" s="14">
        <f t="shared" si="18"/>
        <v>0</v>
      </c>
      <c r="M220" s="30" t="str">
        <f t="shared" si="19"/>
        <v>-</v>
      </c>
      <c r="N220" s="30" t="str">
        <f t="shared" si="20"/>
        <v>-</v>
      </c>
      <c r="O220" s="31" t="str">
        <f t="shared" si="21"/>
        <v>-</v>
      </c>
      <c r="P220" s="32" t="str">
        <f t="shared" si="22"/>
        <v>-</v>
      </c>
      <c r="Q220" s="27"/>
      <c r="R220" s="32" t="str">
        <f t="shared" si="23"/>
        <v>-</v>
      </c>
    </row>
    <row r="221" spans="1:18" s="13" customFormat="1" ht="11.25" customHeight="1">
      <c r="A221" s="18">
        <v>102666</v>
      </c>
      <c r="B221" s="19" t="s">
        <v>240</v>
      </c>
      <c r="C221" s="20">
        <v>658010119467</v>
      </c>
      <c r="D221" s="20"/>
      <c r="E221" s="20"/>
      <c r="F221" s="26">
        <v>0</v>
      </c>
      <c r="G221" s="20"/>
      <c r="H221" s="14">
        <v>34.007399999999997</v>
      </c>
      <c r="I221" s="21"/>
      <c r="J221" s="14">
        <f t="shared" si="18"/>
        <v>0</v>
      </c>
      <c r="M221" s="30" t="str">
        <f t="shared" si="19"/>
        <v>-</v>
      </c>
      <c r="N221" s="30" t="str">
        <f t="shared" si="20"/>
        <v>-</v>
      </c>
      <c r="O221" s="31" t="str">
        <f t="shared" si="21"/>
        <v>-</v>
      </c>
      <c r="P221" s="32" t="str">
        <f t="shared" si="22"/>
        <v>-</v>
      </c>
      <c r="Q221" s="27"/>
      <c r="R221" s="32" t="str">
        <f t="shared" si="23"/>
        <v>-</v>
      </c>
    </row>
    <row r="222" spans="1:18" s="13" customFormat="1" ht="11.25" hidden="1" customHeight="1">
      <c r="A222" s="18" t="s">
        <v>188</v>
      </c>
      <c r="B222" s="19" t="s">
        <v>241</v>
      </c>
      <c r="C222" s="20">
        <v>658010120586</v>
      </c>
      <c r="D222" s="20"/>
      <c r="E222" s="20"/>
      <c r="F222" s="26">
        <v>0</v>
      </c>
      <c r="G222" s="20"/>
      <c r="H222" s="14" t="s">
        <v>478</v>
      </c>
      <c r="I222" s="17"/>
      <c r="J222" s="14">
        <v>0</v>
      </c>
      <c r="M222" s="30" t="str">
        <f t="shared" si="19"/>
        <v>-</v>
      </c>
      <c r="N222" s="30" t="str">
        <f t="shared" si="20"/>
        <v>-</v>
      </c>
      <c r="O222" s="31" t="str">
        <f t="shared" si="21"/>
        <v>-</v>
      </c>
      <c r="P222" s="32" t="str">
        <f t="shared" si="22"/>
        <v>-</v>
      </c>
      <c r="Q222" s="27"/>
      <c r="R222" s="32" t="str">
        <f t="shared" si="23"/>
        <v>-</v>
      </c>
    </row>
    <row r="223" spans="1:18" s="13" customFormat="1" ht="11.25" hidden="1" customHeight="1">
      <c r="A223" s="18">
        <v>102889</v>
      </c>
      <c r="B223" s="19" t="s">
        <v>242</v>
      </c>
      <c r="C223" s="20">
        <v>658010120654</v>
      </c>
      <c r="D223" s="20"/>
      <c r="E223" s="20"/>
      <c r="F223" s="26">
        <v>0.28999999999999998</v>
      </c>
      <c r="G223" s="20"/>
      <c r="H223" s="14">
        <v>32.495399999999997</v>
      </c>
      <c r="I223" s="21"/>
      <c r="J223" s="14">
        <f t="shared" si="18"/>
        <v>0</v>
      </c>
      <c r="M223" s="30" t="str">
        <f t="shared" si="19"/>
        <v>-</v>
      </c>
      <c r="N223" s="30" t="str">
        <f t="shared" si="20"/>
        <v>-</v>
      </c>
      <c r="O223" s="31" t="str">
        <f t="shared" si="21"/>
        <v>-</v>
      </c>
      <c r="P223" s="32" t="str">
        <f t="shared" si="22"/>
        <v>-</v>
      </c>
      <c r="Q223" s="27"/>
      <c r="R223" s="32" t="str">
        <f t="shared" si="23"/>
        <v>-</v>
      </c>
    </row>
    <row r="224" spans="1:18" s="13" customFormat="1" ht="11.25" customHeight="1">
      <c r="A224" s="18">
        <v>102667</v>
      </c>
      <c r="B224" s="19" t="s">
        <v>243</v>
      </c>
      <c r="C224" s="20">
        <v>658010119474</v>
      </c>
      <c r="D224" s="20"/>
      <c r="E224" s="20"/>
      <c r="F224" s="26">
        <v>0</v>
      </c>
      <c r="G224" s="20"/>
      <c r="H224" s="14">
        <v>32.495399999999997</v>
      </c>
      <c r="I224" s="21"/>
      <c r="J224" s="14">
        <f t="shared" si="18"/>
        <v>0</v>
      </c>
      <c r="M224" s="30" t="str">
        <f t="shared" si="19"/>
        <v>-</v>
      </c>
      <c r="N224" s="30" t="str">
        <f t="shared" si="20"/>
        <v>-</v>
      </c>
      <c r="O224" s="31" t="str">
        <f t="shared" si="21"/>
        <v>-</v>
      </c>
      <c r="P224" s="32" t="str">
        <f t="shared" si="22"/>
        <v>-</v>
      </c>
      <c r="Q224" s="27"/>
      <c r="R224" s="32" t="str">
        <f t="shared" si="23"/>
        <v>-</v>
      </c>
    </row>
    <row r="225" spans="1:18" s="13" customFormat="1" ht="11.25" hidden="1" customHeight="1">
      <c r="A225" s="18">
        <v>102661</v>
      </c>
      <c r="B225" s="19" t="s">
        <v>244</v>
      </c>
      <c r="C225" s="20">
        <v>658010119412</v>
      </c>
      <c r="D225" s="20"/>
      <c r="E225" s="20"/>
      <c r="F225" s="26">
        <v>1.07</v>
      </c>
      <c r="G225" s="20"/>
      <c r="H225" s="14">
        <v>45.347400000000007</v>
      </c>
      <c r="I225" s="21"/>
      <c r="J225" s="14">
        <f t="shared" si="18"/>
        <v>0</v>
      </c>
      <c r="M225" s="30" t="str">
        <f t="shared" si="19"/>
        <v>-</v>
      </c>
      <c r="N225" s="30" t="str">
        <f t="shared" si="20"/>
        <v>-</v>
      </c>
      <c r="O225" s="31" t="str">
        <f t="shared" si="21"/>
        <v>-</v>
      </c>
      <c r="P225" s="32" t="str">
        <f t="shared" si="22"/>
        <v>-</v>
      </c>
      <c r="Q225" s="27"/>
      <c r="R225" s="32" t="str">
        <f t="shared" si="23"/>
        <v>-</v>
      </c>
    </row>
    <row r="226" spans="1:18" s="13" customFormat="1" ht="11.25" customHeight="1">
      <c r="A226" s="18">
        <v>102662</v>
      </c>
      <c r="B226" s="19" t="s">
        <v>245</v>
      </c>
      <c r="C226" s="20">
        <v>658010119429</v>
      </c>
      <c r="D226" s="20"/>
      <c r="E226" s="20"/>
      <c r="F226" s="26">
        <v>0</v>
      </c>
      <c r="G226" s="20"/>
      <c r="H226" s="14">
        <v>40.055399999999999</v>
      </c>
      <c r="I226" s="21"/>
      <c r="J226" s="14">
        <f t="shared" si="18"/>
        <v>0</v>
      </c>
      <c r="M226" s="30" t="str">
        <f t="shared" si="19"/>
        <v>-</v>
      </c>
      <c r="N226" s="30" t="str">
        <f t="shared" si="20"/>
        <v>-</v>
      </c>
      <c r="O226" s="31" t="str">
        <f t="shared" si="21"/>
        <v>-</v>
      </c>
      <c r="P226" s="32" t="str">
        <f t="shared" si="22"/>
        <v>-</v>
      </c>
      <c r="Q226" s="27"/>
      <c r="R226" s="32" t="str">
        <f t="shared" si="23"/>
        <v>-</v>
      </c>
    </row>
    <row r="227" spans="1:18" s="13" customFormat="1" ht="11.25" hidden="1" customHeight="1">
      <c r="A227" s="18" t="s">
        <v>188</v>
      </c>
      <c r="B227" s="19" t="s">
        <v>246</v>
      </c>
      <c r="C227" s="20">
        <v>658010120593</v>
      </c>
      <c r="D227" s="20"/>
      <c r="E227" s="20"/>
      <c r="F227" s="26">
        <v>0</v>
      </c>
      <c r="G227" s="20"/>
      <c r="H227" s="14" t="s">
        <v>478</v>
      </c>
      <c r="I227" s="17"/>
      <c r="J227" s="14">
        <v>0</v>
      </c>
      <c r="M227" s="30" t="str">
        <f t="shared" si="19"/>
        <v>-</v>
      </c>
      <c r="N227" s="30" t="str">
        <f t="shared" si="20"/>
        <v>-</v>
      </c>
      <c r="O227" s="31" t="str">
        <f t="shared" si="21"/>
        <v>-</v>
      </c>
      <c r="P227" s="32" t="str">
        <f t="shared" si="22"/>
        <v>-</v>
      </c>
      <c r="Q227" s="27"/>
      <c r="R227" s="32" t="str">
        <f t="shared" si="23"/>
        <v>-</v>
      </c>
    </row>
    <row r="228" spans="1:18" s="13" customFormat="1" ht="11.25" hidden="1" customHeight="1">
      <c r="A228" s="18">
        <v>102663</v>
      </c>
      <c r="B228" s="19" t="s">
        <v>247</v>
      </c>
      <c r="C228" s="20">
        <v>658010119436</v>
      </c>
      <c r="D228" s="20"/>
      <c r="E228" s="20"/>
      <c r="F228" s="26">
        <v>1.03</v>
      </c>
      <c r="G228" s="20"/>
      <c r="H228" s="14">
        <v>45.347400000000007</v>
      </c>
      <c r="I228" s="21"/>
      <c r="J228" s="14">
        <f t="shared" si="18"/>
        <v>0</v>
      </c>
      <c r="M228" s="30" t="str">
        <f t="shared" si="19"/>
        <v>-</v>
      </c>
      <c r="N228" s="30" t="str">
        <f t="shared" si="20"/>
        <v>-</v>
      </c>
      <c r="O228" s="31" t="str">
        <f t="shared" si="21"/>
        <v>-</v>
      </c>
      <c r="P228" s="32" t="str">
        <f t="shared" si="22"/>
        <v>-</v>
      </c>
      <c r="Q228" s="27"/>
      <c r="R228" s="32" t="str">
        <f t="shared" si="23"/>
        <v>-</v>
      </c>
    </row>
    <row r="229" spans="1:18" s="13" customFormat="1" ht="11.25" customHeight="1">
      <c r="A229" s="18">
        <v>102664</v>
      </c>
      <c r="B229" s="19" t="s">
        <v>248</v>
      </c>
      <c r="C229" s="20">
        <v>658010119443</v>
      </c>
      <c r="D229" s="20"/>
      <c r="E229" s="20"/>
      <c r="F229" s="26">
        <v>0</v>
      </c>
      <c r="G229" s="20"/>
      <c r="H229" s="14">
        <v>37.787399999999998</v>
      </c>
      <c r="I229" s="21"/>
      <c r="J229" s="14">
        <f t="shared" si="18"/>
        <v>0</v>
      </c>
      <c r="M229" s="30" t="str">
        <f t="shared" si="19"/>
        <v>-</v>
      </c>
      <c r="N229" s="30" t="str">
        <f t="shared" si="20"/>
        <v>-</v>
      </c>
      <c r="O229" s="31" t="str">
        <f t="shared" si="21"/>
        <v>-</v>
      </c>
      <c r="P229" s="32" t="str">
        <f t="shared" si="22"/>
        <v>-</v>
      </c>
      <c r="Q229" s="27"/>
      <c r="R229" s="32" t="str">
        <f t="shared" si="23"/>
        <v>-</v>
      </c>
    </row>
    <row r="230" spans="1:18" s="13" customFormat="1" ht="11.25" hidden="1" customHeight="1">
      <c r="A230" s="18" t="s">
        <v>188</v>
      </c>
      <c r="B230" s="19" t="s">
        <v>249</v>
      </c>
      <c r="C230" s="20">
        <v>658010120609</v>
      </c>
      <c r="D230" s="20"/>
      <c r="E230" s="20"/>
      <c r="F230" s="26">
        <v>0</v>
      </c>
      <c r="G230" s="20"/>
      <c r="H230" s="14" t="s">
        <v>478</v>
      </c>
      <c r="I230" s="17"/>
      <c r="J230" s="14">
        <v>0</v>
      </c>
      <c r="M230" s="30" t="str">
        <f t="shared" si="19"/>
        <v>-</v>
      </c>
      <c r="N230" s="30" t="str">
        <f t="shared" si="20"/>
        <v>-</v>
      </c>
      <c r="O230" s="31" t="str">
        <f t="shared" si="21"/>
        <v>-</v>
      </c>
      <c r="P230" s="32" t="str">
        <f t="shared" si="22"/>
        <v>-</v>
      </c>
      <c r="Q230" s="27"/>
      <c r="R230" s="32" t="str">
        <f t="shared" si="23"/>
        <v>-</v>
      </c>
    </row>
    <row r="231" spans="1:18" s="13" customFormat="1" ht="11.25" hidden="1" customHeight="1">
      <c r="A231" s="18">
        <v>102887</v>
      </c>
      <c r="B231" s="19" t="s">
        <v>250</v>
      </c>
      <c r="C231" s="20">
        <v>658010120630</v>
      </c>
      <c r="D231" s="20"/>
      <c r="E231" s="20"/>
      <c r="F231" s="26">
        <v>0.82</v>
      </c>
      <c r="G231" s="20"/>
      <c r="H231" s="14">
        <v>45.347400000000007</v>
      </c>
      <c r="I231" s="21"/>
      <c r="J231" s="14">
        <f t="shared" si="18"/>
        <v>0</v>
      </c>
      <c r="M231" s="30" t="str">
        <f t="shared" si="19"/>
        <v>-</v>
      </c>
      <c r="N231" s="30" t="str">
        <f t="shared" si="20"/>
        <v>-</v>
      </c>
      <c r="O231" s="31" t="str">
        <f t="shared" si="21"/>
        <v>-</v>
      </c>
      <c r="P231" s="32" t="str">
        <f t="shared" si="22"/>
        <v>-</v>
      </c>
      <c r="Q231" s="27"/>
      <c r="R231" s="32" t="str">
        <f t="shared" si="23"/>
        <v>-</v>
      </c>
    </row>
    <row r="232" spans="1:18" s="13" customFormat="1" ht="11.25" hidden="1" customHeight="1">
      <c r="A232" s="18">
        <v>102886</v>
      </c>
      <c r="B232" s="19" t="s">
        <v>251</v>
      </c>
      <c r="C232" s="20">
        <v>658010120623</v>
      </c>
      <c r="D232" s="20"/>
      <c r="E232" s="20"/>
      <c r="F232" s="26">
        <v>0.84</v>
      </c>
      <c r="G232" s="20"/>
      <c r="H232" s="14">
        <v>45.347400000000007</v>
      </c>
      <c r="I232" s="21"/>
      <c r="J232" s="14">
        <f t="shared" si="18"/>
        <v>0</v>
      </c>
      <c r="M232" s="30" t="str">
        <f t="shared" si="19"/>
        <v>-</v>
      </c>
      <c r="N232" s="30" t="str">
        <f t="shared" si="20"/>
        <v>-</v>
      </c>
      <c r="O232" s="31" t="str">
        <f t="shared" si="21"/>
        <v>-</v>
      </c>
      <c r="P232" s="32" t="str">
        <f t="shared" si="22"/>
        <v>-</v>
      </c>
      <c r="Q232" s="27"/>
      <c r="R232" s="32" t="str">
        <f t="shared" si="23"/>
        <v>-</v>
      </c>
    </row>
    <row r="233" spans="1:18" s="13" customFormat="1" ht="11.25" customHeight="1">
      <c r="A233" s="18">
        <v>102641</v>
      </c>
      <c r="B233" s="19" t="s">
        <v>252</v>
      </c>
      <c r="C233" s="20">
        <v>658010119153</v>
      </c>
      <c r="D233" s="20"/>
      <c r="E233" s="20"/>
      <c r="F233" s="26">
        <v>0</v>
      </c>
      <c r="G233" s="20"/>
      <c r="H233" s="14">
        <v>32.747399999999999</v>
      </c>
      <c r="I233" s="21"/>
      <c r="J233" s="14">
        <f t="shared" si="18"/>
        <v>0</v>
      </c>
      <c r="M233" s="30" t="str">
        <f t="shared" si="19"/>
        <v>-</v>
      </c>
      <c r="N233" s="30" t="str">
        <f t="shared" si="20"/>
        <v>-</v>
      </c>
      <c r="O233" s="31" t="str">
        <f t="shared" si="21"/>
        <v>-</v>
      </c>
      <c r="P233" s="32" t="str">
        <f t="shared" si="22"/>
        <v>-</v>
      </c>
      <c r="Q233" s="27"/>
      <c r="R233" s="32" t="str">
        <f t="shared" si="23"/>
        <v>-</v>
      </c>
    </row>
    <row r="234" spans="1:18" s="13" customFormat="1" ht="11.25" hidden="1" customHeight="1">
      <c r="A234" s="18" t="s">
        <v>188</v>
      </c>
      <c r="B234" s="19" t="s">
        <v>253</v>
      </c>
      <c r="C234" s="20">
        <v>658010119276</v>
      </c>
      <c r="D234" s="20"/>
      <c r="E234" s="20"/>
      <c r="F234" s="26">
        <v>0</v>
      </c>
      <c r="G234" s="20"/>
      <c r="H234" s="14" t="s">
        <v>478</v>
      </c>
      <c r="I234" s="17"/>
      <c r="J234" s="14">
        <v>0</v>
      </c>
      <c r="M234" s="30" t="str">
        <f t="shared" si="19"/>
        <v>-</v>
      </c>
      <c r="N234" s="30" t="str">
        <f t="shared" si="20"/>
        <v>-</v>
      </c>
      <c r="O234" s="31" t="str">
        <f t="shared" si="21"/>
        <v>-</v>
      </c>
      <c r="P234" s="32" t="str">
        <f t="shared" si="22"/>
        <v>-</v>
      </c>
      <c r="Q234" s="27"/>
      <c r="R234" s="32" t="str">
        <f t="shared" si="23"/>
        <v>-</v>
      </c>
    </row>
    <row r="235" spans="1:18" s="13" customFormat="1" ht="11.25" customHeight="1">
      <c r="A235" s="18">
        <v>102632</v>
      </c>
      <c r="B235" s="19" t="s">
        <v>254</v>
      </c>
      <c r="C235" s="20">
        <v>658010119061</v>
      </c>
      <c r="D235" s="20"/>
      <c r="E235" s="20"/>
      <c r="F235" s="26">
        <v>0</v>
      </c>
      <c r="G235" s="20"/>
      <c r="H235" s="14">
        <v>34.385399999999997</v>
      </c>
      <c r="I235" s="21"/>
      <c r="J235" s="14">
        <f t="shared" si="18"/>
        <v>0</v>
      </c>
      <c r="M235" s="30" t="str">
        <f t="shared" si="19"/>
        <v>-</v>
      </c>
      <c r="N235" s="30" t="str">
        <f t="shared" si="20"/>
        <v>-</v>
      </c>
      <c r="O235" s="31" t="str">
        <f t="shared" si="21"/>
        <v>-</v>
      </c>
      <c r="P235" s="32" t="str">
        <f t="shared" si="22"/>
        <v>-</v>
      </c>
      <c r="Q235" s="27"/>
      <c r="R235" s="32" t="str">
        <f t="shared" si="23"/>
        <v>-</v>
      </c>
    </row>
    <row r="236" spans="1:18" s="13" customFormat="1" ht="11.25" hidden="1" customHeight="1">
      <c r="A236" s="18" t="s">
        <v>188</v>
      </c>
      <c r="B236" s="19" t="s">
        <v>255</v>
      </c>
      <c r="C236" s="20">
        <v>658010119184</v>
      </c>
      <c r="D236" s="20"/>
      <c r="E236" s="20"/>
      <c r="F236" s="26">
        <v>0</v>
      </c>
      <c r="G236" s="20"/>
      <c r="H236" s="14" t="s">
        <v>478</v>
      </c>
      <c r="I236" s="17"/>
      <c r="J236" s="14">
        <v>0</v>
      </c>
      <c r="M236" s="30" t="str">
        <f t="shared" si="19"/>
        <v>-</v>
      </c>
      <c r="N236" s="30" t="str">
        <f t="shared" si="20"/>
        <v>-</v>
      </c>
      <c r="O236" s="31" t="str">
        <f t="shared" si="21"/>
        <v>-</v>
      </c>
      <c r="P236" s="32" t="str">
        <f t="shared" si="22"/>
        <v>-</v>
      </c>
      <c r="Q236" s="27"/>
      <c r="R236" s="32" t="str">
        <f t="shared" si="23"/>
        <v>-</v>
      </c>
    </row>
    <row r="237" spans="1:18" s="13" customFormat="1" ht="11.25" hidden="1" customHeight="1">
      <c r="A237" s="18">
        <v>103522</v>
      </c>
      <c r="B237" s="19" t="s">
        <v>256</v>
      </c>
      <c r="C237" s="20">
        <v>658010124454</v>
      </c>
      <c r="D237" s="20"/>
      <c r="E237" s="20"/>
      <c r="F237" s="26">
        <v>0.39</v>
      </c>
      <c r="G237" s="20"/>
      <c r="H237" s="14">
        <v>24.935399999999998</v>
      </c>
      <c r="I237" s="21"/>
      <c r="J237" s="14">
        <f t="shared" si="18"/>
        <v>0</v>
      </c>
      <c r="M237" s="30" t="str">
        <f t="shared" si="19"/>
        <v>-</v>
      </c>
      <c r="N237" s="30" t="str">
        <f t="shared" si="20"/>
        <v>-</v>
      </c>
      <c r="O237" s="31" t="str">
        <f t="shared" si="21"/>
        <v>-</v>
      </c>
      <c r="P237" s="32" t="str">
        <f t="shared" si="22"/>
        <v>-</v>
      </c>
      <c r="Q237" s="27"/>
      <c r="R237" s="32" t="str">
        <f t="shared" si="23"/>
        <v>-</v>
      </c>
    </row>
    <row r="238" spans="1:18" s="13" customFormat="1" ht="11.25" customHeight="1">
      <c r="A238" s="18">
        <v>103523</v>
      </c>
      <c r="B238" s="19" t="s">
        <v>257</v>
      </c>
      <c r="C238" s="20">
        <v>658010124461</v>
      </c>
      <c r="D238" s="20"/>
      <c r="E238" s="20"/>
      <c r="F238" s="26">
        <v>0</v>
      </c>
      <c r="G238" s="20"/>
      <c r="H238" s="14">
        <v>32.495399999999997</v>
      </c>
      <c r="I238" s="21"/>
      <c r="J238" s="14">
        <f t="shared" si="18"/>
        <v>0</v>
      </c>
      <c r="M238" s="30" t="str">
        <f t="shared" si="19"/>
        <v>-</v>
      </c>
      <c r="N238" s="30" t="str">
        <f t="shared" si="20"/>
        <v>-</v>
      </c>
      <c r="O238" s="31" t="str">
        <f t="shared" si="21"/>
        <v>-</v>
      </c>
      <c r="P238" s="32" t="str">
        <f t="shared" si="22"/>
        <v>-</v>
      </c>
      <c r="Q238" s="27"/>
      <c r="R238" s="32" t="str">
        <f t="shared" si="23"/>
        <v>-</v>
      </c>
    </row>
    <row r="239" spans="1:18" s="13" customFormat="1" ht="11.25" customHeight="1">
      <c r="A239" s="18">
        <v>103524</v>
      </c>
      <c r="B239" s="19" t="s">
        <v>258</v>
      </c>
      <c r="C239" s="20">
        <v>658010124478</v>
      </c>
      <c r="D239" s="20"/>
      <c r="E239" s="20"/>
      <c r="F239" s="26">
        <v>0</v>
      </c>
      <c r="G239" s="20"/>
      <c r="H239" s="14">
        <v>57.443400000000004</v>
      </c>
      <c r="I239" s="21"/>
      <c r="J239" s="14">
        <f t="shared" si="18"/>
        <v>0</v>
      </c>
      <c r="M239" s="30" t="str">
        <f t="shared" si="19"/>
        <v>-</v>
      </c>
      <c r="N239" s="30" t="str">
        <f t="shared" si="20"/>
        <v>-</v>
      </c>
      <c r="O239" s="31" t="str">
        <f t="shared" si="21"/>
        <v>-</v>
      </c>
      <c r="P239" s="32" t="str">
        <f t="shared" si="22"/>
        <v>-</v>
      </c>
      <c r="Q239" s="27"/>
      <c r="R239" s="32" t="str">
        <f t="shared" si="23"/>
        <v>-</v>
      </c>
    </row>
    <row r="240" spans="1:18" s="13" customFormat="1" ht="11.25" customHeight="1">
      <c r="A240" s="18">
        <v>103525</v>
      </c>
      <c r="B240" s="19" t="s">
        <v>259</v>
      </c>
      <c r="C240" s="20">
        <v>658010124485</v>
      </c>
      <c r="D240" s="20"/>
      <c r="E240" s="20"/>
      <c r="F240" s="26">
        <v>0</v>
      </c>
      <c r="G240" s="20"/>
      <c r="H240" s="14">
        <v>57.443400000000004</v>
      </c>
      <c r="I240" s="21"/>
      <c r="J240" s="14">
        <f t="shared" si="18"/>
        <v>0</v>
      </c>
      <c r="M240" s="30" t="str">
        <f t="shared" si="19"/>
        <v>-</v>
      </c>
      <c r="N240" s="30" t="str">
        <f t="shared" si="20"/>
        <v>-</v>
      </c>
      <c r="O240" s="31" t="str">
        <f t="shared" si="21"/>
        <v>-</v>
      </c>
      <c r="P240" s="32" t="str">
        <f t="shared" si="22"/>
        <v>-</v>
      </c>
      <c r="Q240" s="27"/>
      <c r="R240" s="32" t="str">
        <f t="shared" si="23"/>
        <v>-</v>
      </c>
    </row>
    <row r="241" spans="1:18" s="13" customFormat="1" ht="11.25" customHeight="1">
      <c r="A241" s="18">
        <v>103531</v>
      </c>
      <c r="B241" s="19" t="s">
        <v>260</v>
      </c>
      <c r="C241" s="20">
        <v>658010124546</v>
      </c>
      <c r="D241" s="20"/>
      <c r="E241" s="20"/>
      <c r="F241" s="26">
        <v>0</v>
      </c>
      <c r="G241" s="20"/>
      <c r="H241" s="14">
        <v>40.811399999999999</v>
      </c>
      <c r="I241" s="21"/>
      <c r="J241" s="14">
        <f t="shared" si="18"/>
        <v>0</v>
      </c>
      <c r="M241" s="30" t="str">
        <f t="shared" si="19"/>
        <v>-</v>
      </c>
      <c r="N241" s="30" t="str">
        <f t="shared" si="20"/>
        <v>-</v>
      </c>
      <c r="O241" s="31" t="str">
        <f t="shared" si="21"/>
        <v>-</v>
      </c>
      <c r="P241" s="32" t="str">
        <f t="shared" si="22"/>
        <v>-</v>
      </c>
      <c r="Q241" s="27"/>
      <c r="R241" s="32" t="str">
        <f t="shared" si="23"/>
        <v>-</v>
      </c>
    </row>
    <row r="242" spans="1:18" s="13" customFormat="1" ht="11.25" customHeight="1">
      <c r="A242" s="18">
        <v>103529</v>
      </c>
      <c r="B242" s="19" t="s">
        <v>261</v>
      </c>
      <c r="C242" s="20">
        <v>658010124522</v>
      </c>
      <c r="D242" s="20"/>
      <c r="E242" s="20"/>
      <c r="F242" s="26">
        <v>0</v>
      </c>
      <c r="G242" s="20"/>
      <c r="H242" s="14">
        <v>40.811399999999999</v>
      </c>
      <c r="I242" s="21"/>
      <c r="J242" s="14">
        <f t="shared" si="18"/>
        <v>0</v>
      </c>
      <c r="M242" s="30" t="str">
        <f t="shared" si="19"/>
        <v>-</v>
      </c>
      <c r="N242" s="30" t="str">
        <f t="shared" si="20"/>
        <v>-</v>
      </c>
      <c r="O242" s="31" t="str">
        <f t="shared" si="21"/>
        <v>-</v>
      </c>
      <c r="P242" s="32" t="str">
        <f t="shared" si="22"/>
        <v>-</v>
      </c>
      <c r="Q242" s="27"/>
      <c r="R242" s="32" t="str">
        <f t="shared" si="23"/>
        <v>-</v>
      </c>
    </row>
    <row r="243" spans="1:18" s="13" customFormat="1" ht="11.25" hidden="1" customHeight="1">
      <c r="A243" s="18">
        <v>103532</v>
      </c>
      <c r="B243" s="19" t="s">
        <v>262</v>
      </c>
      <c r="C243" s="20">
        <v>658010124553</v>
      </c>
      <c r="D243" s="20"/>
      <c r="E243" s="20"/>
      <c r="F243" s="26">
        <v>0.34</v>
      </c>
      <c r="G243" s="20"/>
      <c r="H243" s="14">
        <v>27.959399999999999</v>
      </c>
      <c r="I243" s="21"/>
      <c r="J243" s="14">
        <f t="shared" si="18"/>
        <v>0</v>
      </c>
      <c r="M243" s="30" t="str">
        <f t="shared" si="19"/>
        <v>-</v>
      </c>
      <c r="N243" s="30" t="str">
        <f t="shared" si="20"/>
        <v>-</v>
      </c>
      <c r="O243" s="31" t="str">
        <f t="shared" si="21"/>
        <v>-</v>
      </c>
      <c r="P243" s="32" t="str">
        <f t="shared" si="22"/>
        <v>-</v>
      </c>
      <c r="Q243" s="27"/>
      <c r="R243" s="32" t="str">
        <f t="shared" si="23"/>
        <v>-</v>
      </c>
    </row>
    <row r="244" spans="1:18" s="13" customFormat="1" ht="11.25" hidden="1" customHeight="1">
      <c r="A244" s="18">
        <v>103533</v>
      </c>
      <c r="B244" s="19" t="s">
        <v>263</v>
      </c>
      <c r="C244" s="20">
        <v>658010124560</v>
      </c>
      <c r="D244" s="20"/>
      <c r="E244" s="20"/>
      <c r="F244" s="26">
        <v>0.34</v>
      </c>
      <c r="G244" s="20"/>
      <c r="H244" s="14">
        <v>27.959399999999999</v>
      </c>
      <c r="I244" s="21"/>
      <c r="J244" s="14">
        <f t="shared" si="18"/>
        <v>0</v>
      </c>
      <c r="M244" s="30" t="str">
        <f t="shared" si="19"/>
        <v>-</v>
      </c>
      <c r="N244" s="30" t="str">
        <f t="shared" si="20"/>
        <v>-</v>
      </c>
      <c r="O244" s="31" t="str">
        <f t="shared" si="21"/>
        <v>-</v>
      </c>
      <c r="P244" s="32" t="str">
        <f t="shared" si="22"/>
        <v>-</v>
      </c>
      <c r="Q244" s="27"/>
      <c r="R244" s="32" t="str">
        <f t="shared" si="23"/>
        <v>-</v>
      </c>
    </row>
    <row r="245" spans="1:18" s="13" customFormat="1" ht="11.25" hidden="1" customHeight="1">
      <c r="A245" s="18">
        <v>103534</v>
      </c>
      <c r="B245" s="19" t="s">
        <v>264</v>
      </c>
      <c r="C245" s="20">
        <v>658010124577</v>
      </c>
      <c r="D245" s="20"/>
      <c r="E245" s="20"/>
      <c r="F245" s="26">
        <v>0.37</v>
      </c>
      <c r="G245" s="20"/>
      <c r="H245" s="14">
        <v>21.155399999999997</v>
      </c>
      <c r="I245" s="21"/>
      <c r="J245" s="14">
        <f t="shared" si="18"/>
        <v>0</v>
      </c>
      <c r="M245" s="30" t="str">
        <f t="shared" si="19"/>
        <v>-</v>
      </c>
      <c r="N245" s="30" t="str">
        <f t="shared" si="20"/>
        <v>-</v>
      </c>
      <c r="O245" s="31" t="str">
        <f t="shared" si="21"/>
        <v>-</v>
      </c>
      <c r="P245" s="32" t="str">
        <f t="shared" si="22"/>
        <v>-</v>
      </c>
      <c r="Q245" s="27"/>
      <c r="R245" s="32" t="str">
        <f t="shared" si="23"/>
        <v>-</v>
      </c>
    </row>
    <row r="246" spans="1:18" s="13" customFormat="1" ht="11.25" hidden="1" customHeight="1">
      <c r="A246" s="18">
        <v>103536</v>
      </c>
      <c r="B246" s="19" t="s">
        <v>265</v>
      </c>
      <c r="C246" s="20">
        <v>658010124591</v>
      </c>
      <c r="D246" s="20"/>
      <c r="E246" s="20"/>
      <c r="F246" s="26">
        <v>0.71</v>
      </c>
      <c r="G246" s="20"/>
      <c r="H246" s="14">
        <v>35.519399999999997</v>
      </c>
      <c r="I246" s="21"/>
      <c r="J246" s="14">
        <f t="shared" si="18"/>
        <v>0</v>
      </c>
      <c r="M246" s="30" t="str">
        <f t="shared" si="19"/>
        <v>-</v>
      </c>
      <c r="N246" s="30" t="str">
        <f t="shared" si="20"/>
        <v>-</v>
      </c>
      <c r="O246" s="31" t="str">
        <f t="shared" si="21"/>
        <v>-</v>
      </c>
      <c r="P246" s="32" t="str">
        <f t="shared" si="22"/>
        <v>-</v>
      </c>
      <c r="Q246" s="27"/>
      <c r="R246" s="32" t="str">
        <f t="shared" si="23"/>
        <v>-</v>
      </c>
    </row>
    <row r="247" spans="1:18" s="13" customFormat="1" ht="11.25" customHeight="1">
      <c r="A247" s="18">
        <v>103535</v>
      </c>
      <c r="B247" s="19" t="s">
        <v>266</v>
      </c>
      <c r="C247" s="20">
        <v>658010124584</v>
      </c>
      <c r="D247" s="20"/>
      <c r="E247" s="20"/>
      <c r="F247" s="26">
        <v>0</v>
      </c>
      <c r="G247" s="20"/>
      <c r="H247" s="14">
        <v>24.935399999999998</v>
      </c>
      <c r="I247" s="21"/>
      <c r="J247" s="14">
        <f t="shared" si="18"/>
        <v>0</v>
      </c>
      <c r="M247" s="30" t="str">
        <f t="shared" si="19"/>
        <v>-</v>
      </c>
      <c r="N247" s="30" t="str">
        <f t="shared" si="20"/>
        <v>-</v>
      </c>
      <c r="O247" s="31" t="str">
        <f t="shared" si="21"/>
        <v>-</v>
      </c>
      <c r="P247" s="32" t="str">
        <f t="shared" si="22"/>
        <v>-</v>
      </c>
      <c r="Q247" s="27"/>
      <c r="R247" s="32" t="str">
        <f t="shared" si="23"/>
        <v>-</v>
      </c>
    </row>
    <row r="248" spans="1:18" s="13" customFormat="1" ht="11.25" hidden="1" customHeight="1">
      <c r="A248" s="18" t="s">
        <v>188</v>
      </c>
      <c r="B248" s="19" t="s">
        <v>267</v>
      </c>
      <c r="C248" s="20">
        <v>658010124720</v>
      </c>
      <c r="D248" s="20"/>
      <c r="E248" s="20"/>
      <c r="F248" s="26">
        <v>0</v>
      </c>
      <c r="G248" s="20"/>
      <c r="H248" s="14" t="s">
        <v>478</v>
      </c>
      <c r="I248" s="17"/>
      <c r="J248" s="14">
        <v>0</v>
      </c>
      <c r="M248" s="30" t="str">
        <f t="shared" si="19"/>
        <v>-</v>
      </c>
      <c r="N248" s="30" t="str">
        <f t="shared" si="20"/>
        <v>-</v>
      </c>
      <c r="O248" s="31" t="str">
        <f t="shared" si="21"/>
        <v>-</v>
      </c>
      <c r="P248" s="32" t="str">
        <f t="shared" si="22"/>
        <v>-</v>
      </c>
      <c r="Q248" s="27"/>
      <c r="R248" s="32" t="str">
        <f t="shared" si="23"/>
        <v>-</v>
      </c>
    </row>
    <row r="249" spans="1:18" s="13" customFormat="1" ht="11.25" hidden="1" customHeight="1">
      <c r="A249" s="18">
        <v>103537</v>
      </c>
      <c r="B249" s="19" t="s">
        <v>268</v>
      </c>
      <c r="C249" s="20">
        <v>658010124607</v>
      </c>
      <c r="D249" s="20"/>
      <c r="E249" s="20"/>
      <c r="F249" s="26">
        <v>0.28999999999999998</v>
      </c>
      <c r="G249" s="20"/>
      <c r="H249" s="14">
        <v>27.959399999999999</v>
      </c>
      <c r="I249" s="21"/>
      <c r="J249" s="14">
        <f t="shared" si="18"/>
        <v>0</v>
      </c>
      <c r="M249" s="30" t="str">
        <f t="shared" si="19"/>
        <v>-</v>
      </c>
      <c r="N249" s="30" t="str">
        <f t="shared" si="20"/>
        <v>-</v>
      </c>
      <c r="O249" s="31" t="str">
        <f t="shared" si="21"/>
        <v>-</v>
      </c>
      <c r="P249" s="32" t="str">
        <f t="shared" si="22"/>
        <v>-</v>
      </c>
      <c r="Q249" s="27"/>
      <c r="R249" s="32" t="str">
        <f t="shared" si="23"/>
        <v>-</v>
      </c>
    </row>
    <row r="250" spans="1:18" s="13" customFormat="1" ht="11.25" customHeight="1">
      <c r="A250" s="18">
        <v>103782</v>
      </c>
      <c r="B250" s="19" t="s">
        <v>269</v>
      </c>
      <c r="C250" s="20">
        <v>658010127103</v>
      </c>
      <c r="D250" s="20"/>
      <c r="E250" s="20"/>
      <c r="F250" s="26">
        <v>0</v>
      </c>
      <c r="G250" s="20"/>
      <c r="H250" s="14">
        <v>33.263999999999996</v>
      </c>
      <c r="I250" s="21"/>
      <c r="J250" s="14">
        <f t="shared" si="18"/>
        <v>0</v>
      </c>
      <c r="M250" s="30" t="str">
        <f t="shared" si="19"/>
        <v>-</v>
      </c>
      <c r="N250" s="30" t="str">
        <f t="shared" si="20"/>
        <v>-</v>
      </c>
      <c r="O250" s="31" t="str">
        <f t="shared" si="21"/>
        <v>-</v>
      </c>
      <c r="P250" s="32" t="str">
        <f t="shared" si="22"/>
        <v>-</v>
      </c>
      <c r="Q250" s="27"/>
      <c r="R250" s="32" t="str">
        <f t="shared" si="23"/>
        <v>-</v>
      </c>
    </row>
    <row r="251" spans="1:18" s="13" customFormat="1" ht="11.25" customHeight="1">
      <c r="A251" s="18">
        <v>103780</v>
      </c>
      <c r="B251" s="19" t="s">
        <v>270</v>
      </c>
      <c r="C251" s="20">
        <v>658010127080</v>
      </c>
      <c r="D251" s="20"/>
      <c r="E251" s="20"/>
      <c r="F251" s="26">
        <v>0</v>
      </c>
      <c r="G251" s="20"/>
      <c r="H251" s="14">
        <v>33.263999999999996</v>
      </c>
      <c r="I251" s="21"/>
      <c r="J251" s="14">
        <f t="shared" si="18"/>
        <v>0</v>
      </c>
      <c r="M251" s="30" t="str">
        <f t="shared" si="19"/>
        <v>-</v>
      </c>
      <c r="N251" s="30" t="str">
        <f t="shared" si="20"/>
        <v>-</v>
      </c>
      <c r="O251" s="31" t="str">
        <f t="shared" si="21"/>
        <v>-</v>
      </c>
      <c r="P251" s="32" t="str">
        <f t="shared" si="22"/>
        <v>-</v>
      </c>
      <c r="Q251" s="27"/>
      <c r="R251" s="32" t="str">
        <f t="shared" si="23"/>
        <v>-</v>
      </c>
    </row>
    <row r="252" spans="1:18" s="13" customFormat="1" ht="11.25" hidden="1" customHeight="1">
      <c r="A252" s="18">
        <v>103785</v>
      </c>
      <c r="B252" s="19" t="s">
        <v>271</v>
      </c>
      <c r="C252" s="20">
        <v>658010127134</v>
      </c>
      <c r="D252" s="20"/>
      <c r="E252" s="20"/>
      <c r="F252" s="26">
        <v>0.42</v>
      </c>
      <c r="G252" s="20"/>
      <c r="H252" s="14">
        <v>31.751999999999999</v>
      </c>
      <c r="I252" s="21"/>
      <c r="J252" s="14">
        <f t="shared" si="18"/>
        <v>0</v>
      </c>
      <c r="M252" s="30" t="str">
        <f t="shared" si="19"/>
        <v>-</v>
      </c>
      <c r="N252" s="30" t="str">
        <f t="shared" si="20"/>
        <v>-</v>
      </c>
      <c r="O252" s="31" t="str">
        <f t="shared" si="21"/>
        <v>-</v>
      </c>
      <c r="P252" s="32" t="str">
        <f t="shared" si="22"/>
        <v>-</v>
      </c>
      <c r="Q252" s="27"/>
      <c r="R252" s="32" t="str">
        <f t="shared" si="23"/>
        <v>-</v>
      </c>
    </row>
    <row r="253" spans="1:18" s="13" customFormat="1" ht="11.25" customHeight="1">
      <c r="A253" s="18">
        <v>103784</v>
      </c>
      <c r="B253" s="19" t="s">
        <v>272</v>
      </c>
      <c r="C253" s="20">
        <v>658010127127</v>
      </c>
      <c r="D253" s="20"/>
      <c r="E253" s="20"/>
      <c r="F253" s="26">
        <v>0</v>
      </c>
      <c r="G253" s="20"/>
      <c r="H253" s="14">
        <v>31.751999999999999</v>
      </c>
      <c r="I253" s="21"/>
      <c r="J253" s="14">
        <f t="shared" si="18"/>
        <v>0</v>
      </c>
      <c r="M253" s="30" t="str">
        <f t="shared" si="19"/>
        <v>-</v>
      </c>
      <c r="N253" s="30" t="str">
        <f t="shared" si="20"/>
        <v>-</v>
      </c>
      <c r="O253" s="31" t="str">
        <f t="shared" si="21"/>
        <v>-</v>
      </c>
      <c r="P253" s="32" t="str">
        <f t="shared" si="22"/>
        <v>-</v>
      </c>
      <c r="Q253" s="27"/>
      <c r="R253" s="32" t="str">
        <f t="shared" si="23"/>
        <v>-</v>
      </c>
    </row>
    <row r="254" spans="1:18" s="13" customFormat="1" ht="11.25" hidden="1" customHeight="1">
      <c r="A254" s="18">
        <v>103783</v>
      </c>
      <c r="B254" s="19" t="s">
        <v>273</v>
      </c>
      <c r="C254" s="20">
        <v>658010127110</v>
      </c>
      <c r="D254" s="20"/>
      <c r="E254" s="20"/>
      <c r="F254" s="26">
        <v>0.34</v>
      </c>
      <c r="G254" s="20"/>
      <c r="H254" s="14">
        <v>31.751999999999999</v>
      </c>
      <c r="I254" s="21"/>
      <c r="J254" s="14">
        <f t="shared" si="18"/>
        <v>0</v>
      </c>
      <c r="M254" s="30" t="str">
        <f t="shared" si="19"/>
        <v>-</v>
      </c>
      <c r="N254" s="30" t="str">
        <f t="shared" si="20"/>
        <v>-</v>
      </c>
      <c r="O254" s="31" t="str">
        <f t="shared" si="21"/>
        <v>-</v>
      </c>
      <c r="P254" s="32" t="str">
        <f t="shared" si="22"/>
        <v>-</v>
      </c>
      <c r="Q254" s="27"/>
      <c r="R254" s="32" t="str">
        <f t="shared" si="23"/>
        <v>-</v>
      </c>
    </row>
    <row r="255" spans="1:18" s="13" customFormat="1" ht="11.25" hidden="1" customHeight="1">
      <c r="A255" s="18">
        <v>103789</v>
      </c>
      <c r="B255" s="19" t="s">
        <v>274</v>
      </c>
      <c r="C255" s="20">
        <v>658010127172</v>
      </c>
      <c r="D255" s="20"/>
      <c r="E255" s="20"/>
      <c r="F255" s="26">
        <v>0.35</v>
      </c>
      <c r="G255" s="20"/>
      <c r="H255" s="14">
        <v>36.287999999999997</v>
      </c>
      <c r="I255" s="21"/>
      <c r="J255" s="14">
        <f t="shared" si="18"/>
        <v>0</v>
      </c>
      <c r="M255" s="30" t="str">
        <f t="shared" si="19"/>
        <v>-</v>
      </c>
      <c r="N255" s="30" t="str">
        <f t="shared" si="20"/>
        <v>-</v>
      </c>
      <c r="O255" s="31" t="str">
        <f t="shared" si="21"/>
        <v>-</v>
      </c>
      <c r="P255" s="32" t="str">
        <f t="shared" si="22"/>
        <v>-</v>
      </c>
      <c r="Q255" s="27"/>
      <c r="R255" s="32" t="str">
        <f t="shared" si="23"/>
        <v>-</v>
      </c>
    </row>
    <row r="256" spans="1:18" s="13" customFormat="1" ht="11.25" customHeight="1">
      <c r="A256" s="18">
        <v>103788</v>
      </c>
      <c r="B256" s="19" t="s">
        <v>275</v>
      </c>
      <c r="C256" s="20">
        <v>658010127165</v>
      </c>
      <c r="D256" s="20"/>
      <c r="E256" s="20"/>
      <c r="F256" s="26">
        <v>0</v>
      </c>
      <c r="G256" s="20"/>
      <c r="H256" s="14">
        <v>36.287999999999997</v>
      </c>
      <c r="I256" s="21"/>
      <c r="J256" s="14">
        <f t="shared" si="18"/>
        <v>0</v>
      </c>
      <c r="M256" s="30" t="str">
        <f t="shared" si="19"/>
        <v>-</v>
      </c>
      <c r="N256" s="30" t="str">
        <f t="shared" si="20"/>
        <v>-</v>
      </c>
      <c r="O256" s="31" t="str">
        <f t="shared" si="21"/>
        <v>-</v>
      </c>
      <c r="P256" s="32" t="str">
        <f t="shared" si="22"/>
        <v>-</v>
      </c>
      <c r="Q256" s="27"/>
      <c r="R256" s="32" t="str">
        <f t="shared" si="23"/>
        <v>-</v>
      </c>
    </row>
    <row r="257" spans="1:18" s="13" customFormat="1" ht="11.25" customHeight="1">
      <c r="A257" s="18">
        <v>103787</v>
      </c>
      <c r="B257" s="19" t="s">
        <v>276</v>
      </c>
      <c r="C257" s="20">
        <v>658010127158</v>
      </c>
      <c r="D257" s="20"/>
      <c r="E257" s="20"/>
      <c r="F257" s="26">
        <v>0</v>
      </c>
      <c r="G257" s="20"/>
      <c r="H257" s="14">
        <v>36.287999999999997</v>
      </c>
      <c r="I257" s="21"/>
      <c r="J257" s="14">
        <f t="shared" si="18"/>
        <v>0</v>
      </c>
      <c r="M257" s="30" t="str">
        <f t="shared" si="19"/>
        <v>-</v>
      </c>
      <c r="N257" s="30" t="str">
        <f t="shared" si="20"/>
        <v>-</v>
      </c>
      <c r="O257" s="31" t="str">
        <f t="shared" si="21"/>
        <v>-</v>
      </c>
      <c r="P257" s="32" t="str">
        <f t="shared" si="22"/>
        <v>-</v>
      </c>
      <c r="Q257" s="27"/>
      <c r="R257" s="32" t="str">
        <f t="shared" si="23"/>
        <v>-</v>
      </c>
    </row>
    <row r="258" spans="1:18" s="13" customFormat="1" ht="11.25" hidden="1" customHeight="1">
      <c r="A258" s="18">
        <v>104146</v>
      </c>
      <c r="B258" s="19" t="s">
        <v>277</v>
      </c>
      <c r="C258" s="20">
        <v>658010130745</v>
      </c>
      <c r="D258" s="20"/>
      <c r="E258" s="20"/>
      <c r="F258" s="26">
        <v>0.34</v>
      </c>
      <c r="G258" s="20"/>
      <c r="H258" s="14">
        <v>24.179400000000001</v>
      </c>
      <c r="I258" s="21"/>
      <c r="J258" s="14">
        <f t="shared" si="18"/>
        <v>0</v>
      </c>
      <c r="M258" s="30" t="str">
        <f t="shared" si="19"/>
        <v>-</v>
      </c>
      <c r="N258" s="30" t="str">
        <f t="shared" si="20"/>
        <v>-</v>
      </c>
      <c r="O258" s="31" t="str">
        <f t="shared" si="21"/>
        <v>-</v>
      </c>
      <c r="P258" s="32" t="str">
        <f t="shared" si="22"/>
        <v>-</v>
      </c>
      <c r="Q258" s="27"/>
      <c r="R258" s="32" t="str">
        <f t="shared" si="23"/>
        <v>-</v>
      </c>
    </row>
    <row r="259" spans="1:18" s="13" customFormat="1" ht="11.25" hidden="1" customHeight="1">
      <c r="A259" s="18">
        <v>104147</v>
      </c>
      <c r="B259" s="19" t="s">
        <v>278</v>
      </c>
      <c r="C259" s="20">
        <v>658010130752</v>
      </c>
      <c r="D259" s="20"/>
      <c r="E259" s="20"/>
      <c r="F259" s="26">
        <v>0.35</v>
      </c>
      <c r="G259" s="20"/>
      <c r="H259" s="14">
        <v>24.179400000000001</v>
      </c>
      <c r="I259" s="21"/>
      <c r="J259" s="14">
        <f t="shared" ref="J259:J322" si="24">I259*H259</f>
        <v>0</v>
      </c>
      <c r="M259" s="30" t="str">
        <f t="shared" si="19"/>
        <v>-</v>
      </c>
      <c r="N259" s="30" t="str">
        <f t="shared" si="20"/>
        <v>-</v>
      </c>
      <c r="O259" s="31" t="str">
        <f t="shared" si="21"/>
        <v>-</v>
      </c>
      <c r="P259" s="32" t="str">
        <f t="shared" si="22"/>
        <v>-</v>
      </c>
      <c r="Q259" s="27"/>
      <c r="R259" s="32" t="str">
        <f t="shared" si="23"/>
        <v>-</v>
      </c>
    </row>
    <row r="260" spans="1:18" s="13" customFormat="1" ht="11.25" hidden="1" customHeight="1">
      <c r="A260" s="18">
        <v>103878</v>
      </c>
      <c r="B260" s="19" t="s">
        <v>279</v>
      </c>
      <c r="C260" s="20">
        <v>658010128063</v>
      </c>
      <c r="D260" s="20"/>
      <c r="E260" s="20"/>
      <c r="F260" s="26">
        <v>0.27</v>
      </c>
      <c r="G260" s="20"/>
      <c r="H260" s="14">
        <v>19.6434</v>
      </c>
      <c r="I260" s="21"/>
      <c r="J260" s="14">
        <f t="shared" si="24"/>
        <v>0</v>
      </c>
      <c r="M260" s="30" t="str">
        <f t="shared" ref="M260:M323" si="25">IFERROR(IF($M$2*F260=0, "-", $M$2*F260), "-")</f>
        <v>-</v>
      </c>
      <c r="N260" s="30" t="str">
        <f t="shared" ref="N260:N323" si="26">IF(I260&gt;0,H260+F260*I260/$O$2*$P$2/I260,"-")</f>
        <v>-</v>
      </c>
      <c r="O260" s="31" t="str">
        <f t="shared" ref="O260:O323" si="27">IF(I260&gt;0,I260*F260*1.113, "-")</f>
        <v>-</v>
      </c>
      <c r="P260" s="32" t="str">
        <f t="shared" ref="P260:P323" si="28">IFERROR(IF($M$2&gt;0, $M$2*O260, "-"), "-")</f>
        <v>-</v>
      </c>
      <c r="Q260" s="27"/>
      <c r="R260" s="32" t="str">
        <f t="shared" ref="R260:R323" si="29">IFERROR(IF(P260+J260=0, "-", IF(P260&gt;0, P260+J260, "-")), "-")</f>
        <v>-</v>
      </c>
    </row>
    <row r="261" spans="1:18" s="13" customFormat="1" ht="11.25" customHeight="1">
      <c r="A261" s="18">
        <v>103933</v>
      </c>
      <c r="B261" s="19" t="s">
        <v>280</v>
      </c>
      <c r="C261" s="20">
        <v>658010128612</v>
      </c>
      <c r="D261" s="20"/>
      <c r="E261" s="20"/>
      <c r="F261" s="26">
        <v>0</v>
      </c>
      <c r="G261" s="20"/>
      <c r="H261" s="14">
        <v>24.179400000000001</v>
      </c>
      <c r="I261" s="21"/>
      <c r="J261" s="14">
        <f t="shared" si="24"/>
        <v>0</v>
      </c>
      <c r="M261" s="30" t="str">
        <f t="shared" si="25"/>
        <v>-</v>
      </c>
      <c r="N261" s="30" t="str">
        <f t="shared" si="26"/>
        <v>-</v>
      </c>
      <c r="O261" s="31" t="str">
        <f t="shared" si="27"/>
        <v>-</v>
      </c>
      <c r="P261" s="32" t="str">
        <f t="shared" si="28"/>
        <v>-</v>
      </c>
      <c r="Q261" s="27"/>
      <c r="R261" s="32" t="str">
        <f t="shared" si="29"/>
        <v>-</v>
      </c>
    </row>
    <row r="262" spans="1:18" s="13" customFormat="1" ht="11.25" hidden="1" customHeight="1">
      <c r="A262" s="18">
        <v>103932</v>
      </c>
      <c r="B262" s="19" t="s">
        <v>281</v>
      </c>
      <c r="C262" s="20">
        <v>658010128605</v>
      </c>
      <c r="D262" s="20"/>
      <c r="E262" s="20"/>
      <c r="F262" s="26">
        <v>0.26</v>
      </c>
      <c r="G262" s="20"/>
      <c r="H262" s="14">
        <v>19.6434</v>
      </c>
      <c r="I262" s="21"/>
      <c r="J262" s="14">
        <f t="shared" si="24"/>
        <v>0</v>
      </c>
      <c r="M262" s="30" t="str">
        <f t="shared" si="25"/>
        <v>-</v>
      </c>
      <c r="N262" s="30" t="str">
        <f t="shared" si="26"/>
        <v>-</v>
      </c>
      <c r="O262" s="31" t="str">
        <f t="shared" si="27"/>
        <v>-</v>
      </c>
      <c r="P262" s="32" t="str">
        <f t="shared" si="28"/>
        <v>-</v>
      </c>
      <c r="Q262" s="27"/>
      <c r="R262" s="32" t="str">
        <f t="shared" si="29"/>
        <v>-</v>
      </c>
    </row>
    <row r="263" spans="1:18" s="13" customFormat="1" ht="11.25" customHeight="1">
      <c r="A263" s="18">
        <v>103934</v>
      </c>
      <c r="B263" s="19" t="s">
        <v>282</v>
      </c>
      <c r="C263" s="20">
        <v>658010128629</v>
      </c>
      <c r="D263" s="20"/>
      <c r="E263" s="20"/>
      <c r="F263" s="26">
        <v>0</v>
      </c>
      <c r="G263" s="20"/>
      <c r="H263" s="14">
        <v>19.6434</v>
      </c>
      <c r="I263" s="21"/>
      <c r="J263" s="14">
        <f t="shared" si="24"/>
        <v>0</v>
      </c>
      <c r="M263" s="30" t="str">
        <f t="shared" si="25"/>
        <v>-</v>
      </c>
      <c r="N263" s="30" t="str">
        <f t="shared" si="26"/>
        <v>-</v>
      </c>
      <c r="O263" s="31" t="str">
        <f t="shared" si="27"/>
        <v>-</v>
      </c>
      <c r="P263" s="32" t="str">
        <f t="shared" si="28"/>
        <v>-</v>
      </c>
      <c r="Q263" s="27"/>
      <c r="R263" s="32" t="str">
        <f t="shared" si="29"/>
        <v>-</v>
      </c>
    </row>
    <row r="264" spans="1:18" s="13" customFormat="1" ht="11.25" hidden="1" customHeight="1">
      <c r="A264" s="18">
        <v>103079</v>
      </c>
      <c r="B264" s="19" t="s">
        <v>283</v>
      </c>
      <c r="C264" s="20">
        <v>658010121866</v>
      </c>
      <c r="D264" s="20"/>
      <c r="E264" s="20"/>
      <c r="F264" s="26">
        <v>0.44</v>
      </c>
      <c r="G264" s="20"/>
      <c r="H264" s="14">
        <v>37.031399999999998</v>
      </c>
      <c r="I264" s="21"/>
      <c r="J264" s="14">
        <f t="shared" si="24"/>
        <v>0</v>
      </c>
      <c r="M264" s="30" t="str">
        <f t="shared" si="25"/>
        <v>-</v>
      </c>
      <c r="N264" s="30" t="str">
        <f t="shared" si="26"/>
        <v>-</v>
      </c>
      <c r="O264" s="31" t="str">
        <f t="shared" si="27"/>
        <v>-</v>
      </c>
      <c r="P264" s="32" t="str">
        <f t="shared" si="28"/>
        <v>-</v>
      </c>
      <c r="Q264" s="27"/>
      <c r="R264" s="32" t="str">
        <f t="shared" si="29"/>
        <v>-</v>
      </c>
    </row>
    <row r="265" spans="1:18" s="13" customFormat="1" ht="11.25" hidden="1" customHeight="1">
      <c r="A265" s="18">
        <v>103080</v>
      </c>
      <c r="B265" s="19" t="s">
        <v>284</v>
      </c>
      <c r="C265" s="20">
        <v>658010121873</v>
      </c>
      <c r="D265" s="20"/>
      <c r="E265" s="20"/>
      <c r="F265" s="26">
        <v>0.26</v>
      </c>
      <c r="G265" s="20"/>
      <c r="H265" s="14">
        <v>21.155399999999997</v>
      </c>
      <c r="I265" s="21"/>
      <c r="J265" s="14">
        <f t="shared" si="24"/>
        <v>0</v>
      </c>
      <c r="M265" s="30" t="str">
        <f t="shared" si="25"/>
        <v>-</v>
      </c>
      <c r="N265" s="30" t="str">
        <f t="shared" si="26"/>
        <v>-</v>
      </c>
      <c r="O265" s="31" t="str">
        <f t="shared" si="27"/>
        <v>-</v>
      </c>
      <c r="P265" s="32" t="str">
        <f t="shared" si="28"/>
        <v>-</v>
      </c>
      <c r="Q265" s="27"/>
      <c r="R265" s="32" t="str">
        <f t="shared" si="29"/>
        <v>-</v>
      </c>
    </row>
    <row r="266" spans="1:18" s="13" customFormat="1" ht="11.25" hidden="1" customHeight="1">
      <c r="A266" s="18">
        <v>103263</v>
      </c>
      <c r="B266" s="19" t="s">
        <v>285</v>
      </c>
      <c r="C266" s="20">
        <v>658010123082</v>
      </c>
      <c r="D266" s="20"/>
      <c r="E266" s="20"/>
      <c r="F266" s="26">
        <v>0.16</v>
      </c>
      <c r="G266" s="20"/>
      <c r="H266" s="14">
        <v>16.619399999999999</v>
      </c>
      <c r="I266" s="21"/>
      <c r="J266" s="14">
        <f t="shared" si="24"/>
        <v>0</v>
      </c>
      <c r="M266" s="30" t="str">
        <f t="shared" si="25"/>
        <v>-</v>
      </c>
      <c r="N266" s="30" t="str">
        <f t="shared" si="26"/>
        <v>-</v>
      </c>
      <c r="O266" s="31" t="str">
        <f t="shared" si="27"/>
        <v>-</v>
      </c>
      <c r="P266" s="32" t="str">
        <f t="shared" si="28"/>
        <v>-</v>
      </c>
      <c r="Q266" s="27"/>
      <c r="R266" s="32" t="str">
        <f t="shared" si="29"/>
        <v>-</v>
      </c>
    </row>
    <row r="267" spans="1:18" s="13" customFormat="1" ht="11.25" hidden="1" customHeight="1">
      <c r="A267" s="18">
        <v>103070</v>
      </c>
      <c r="B267" s="19" t="s">
        <v>286</v>
      </c>
      <c r="C267" s="20">
        <v>658010121774</v>
      </c>
      <c r="D267" s="20"/>
      <c r="E267" s="20"/>
      <c r="F267" s="26">
        <v>0.33</v>
      </c>
      <c r="G267" s="20"/>
      <c r="H267" s="14">
        <v>28.715399999999995</v>
      </c>
      <c r="I267" s="21"/>
      <c r="J267" s="14">
        <f t="shared" si="24"/>
        <v>0</v>
      </c>
      <c r="M267" s="30" t="str">
        <f t="shared" si="25"/>
        <v>-</v>
      </c>
      <c r="N267" s="30" t="str">
        <f t="shared" si="26"/>
        <v>-</v>
      </c>
      <c r="O267" s="31" t="str">
        <f t="shared" si="27"/>
        <v>-</v>
      </c>
      <c r="P267" s="32" t="str">
        <f t="shared" si="28"/>
        <v>-</v>
      </c>
      <c r="Q267" s="27"/>
      <c r="R267" s="32" t="str">
        <f t="shared" si="29"/>
        <v>-</v>
      </c>
    </row>
    <row r="268" spans="1:18" s="13" customFormat="1" ht="11.25" hidden="1" customHeight="1">
      <c r="A268" s="18">
        <v>103270</v>
      </c>
      <c r="B268" s="19" t="s">
        <v>287</v>
      </c>
      <c r="C268" s="20">
        <v>658010123198</v>
      </c>
      <c r="D268" s="20"/>
      <c r="E268" s="20"/>
      <c r="F268" s="26">
        <v>0.28999999999999998</v>
      </c>
      <c r="G268" s="20"/>
      <c r="H268" s="14">
        <v>27.203399999999998</v>
      </c>
      <c r="I268" s="21"/>
      <c r="J268" s="14">
        <f t="shared" si="24"/>
        <v>0</v>
      </c>
      <c r="M268" s="30" t="str">
        <f t="shared" si="25"/>
        <v>-</v>
      </c>
      <c r="N268" s="30" t="str">
        <f t="shared" si="26"/>
        <v>-</v>
      </c>
      <c r="O268" s="31" t="str">
        <f t="shared" si="27"/>
        <v>-</v>
      </c>
      <c r="P268" s="32" t="str">
        <f t="shared" si="28"/>
        <v>-</v>
      </c>
      <c r="Q268" s="27"/>
      <c r="R268" s="32" t="str">
        <f t="shared" si="29"/>
        <v>-</v>
      </c>
    </row>
    <row r="269" spans="1:18" s="13" customFormat="1" ht="11.25" customHeight="1">
      <c r="A269" s="18">
        <v>103892</v>
      </c>
      <c r="B269" s="19" t="s">
        <v>288</v>
      </c>
      <c r="C269" s="20">
        <v>658010128209</v>
      </c>
      <c r="D269" s="20"/>
      <c r="E269" s="20"/>
      <c r="F269" s="26">
        <v>0</v>
      </c>
      <c r="G269" s="20"/>
      <c r="H269" s="14">
        <v>24.192</v>
      </c>
      <c r="I269" s="21"/>
      <c r="J269" s="14">
        <f t="shared" si="24"/>
        <v>0</v>
      </c>
      <c r="M269" s="30" t="str">
        <f t="shared" si="25"/>
        <v>-</v>
      </c>
      <c r="N269" s="30" t="str">
        <f t="shared" si="26"/>
        <v>-</v>
      </c>
      <c r="O269" s="31" t="str">
        <f t="shared" si="27"/>
        <v>-</v>
      </c>
      <c r="P269" s="32" t="str">
        <f t="shared" si="28"/>
        <v>-</v>
      </c>
      <c r="Q269" s="27"/>
      <c r="R269" s="32" t="str">
        <f t="shared" si="29"/>
        <v>-</v>
      </c>
    </row>
    <row r="270" spans="1:18" s="13" customFormat="1" ht="11.25" hidden="1" customHeight="1">
      <c r="A270" s="18">
        <v>103893</v>
      </c>
      <c r="B270" s="19" t="s">
        <v>289</v>
      </c>
      <c r="C270" s="20">
        <v>658010128216</v>
      </c>
      <c r="D270" s="20"/>
      <c r="E270" s="20"/>
      <c r="F270" s="26">
        <v>0.18</v>
      </c>
      <c r="G270" s="20"/>
      <c r="H270" s="14">
        <v>15.875999999999999</v>
      </c>
      <c r="I270" s="21"/>
      <c r="J270" s="14">
        <f t="shared" si="24"/>
        <v>0</v>
      </c>
      <c r="M270" s="30" t="str">
        <f t="shared" si="25"/>
        <v>-</v>
      </c>
      <c r="N270" s="30" t="str">
        <f t="shared" si="26"/>
        <v>-</v>
      </c>
      <c r="O270" s="31" t="str">
        <f t="shared" si="27"/>
        <v>-</v>
      </c>
      <c r="P270" s="32" t="str">
        <f t="shared" si="28"/>
        <v>-</v>
      </c>
      <c r="Q270" s="27"/>
      <c r="R270" s="32" t="str">
        <f t="shared" si="29"/>
        <v>-</v>
      </c>
    </row>
    <row r="271" spans="1:18" s="13" customFormat="1" ht="11.25" hidden="1" customHeight="1">
      <c r="A271" s="18">
        <v>103886</v>
      </c>
      <c r="B271" s="19" t="s">
        <v>290</v>
      </c>
      <c r="C271" s="20">
        <v>658010128148</v>
      </c>
      <c r="D271" s="20"/>
      <c r="E271" s="20"/>
      <c r="F271" s="26">
        <v>0.25</v>
      </c>
      <c r="G271" s="20"/>
      <c r="H271" s="14">
        <v>24.192</v>
      </c>
      <c r="I271" s="21"/>
      <c r="J271" s="14">
        <f t="shared" si="24"/>
        <v>0</v>
      </c>
      <c r="M271" s="30" t="str">
        <f t="shared" si="25"/>
        <v>-</v>
      </c>
      <c r="N271" s="30" t="str">
        <f t="shared" si="26"/>
        <v>-</v>
      </c>
      <c r="O271" s="31" t="str">
        <f t="shared" si="27"/>
        <v>-</v>
      </c>
      <c r="P271" s="32" t="str">
        <f t="shared" si="28"/>
        <v>-</v>
      </c>
      <c r="Q271" s="27"/>
      <c r="R271" s="32" t="str">
        <f t="shared" si="29"/>
        <v>-</v>
      </c>
    </row>
    <row r="272" spans="1:18" s="13" customFormat="1" ht="11.25" hidden="1" customHeight="1">
      <c r="A272" s="18">
        <v>103888</v>
      </c>
      <c r="B272" s="19" t="s">
        <v>291</v>
      </c>
      <c r="C272" s="20">
        <v>658010128162</v>
      </c>
      <c r="D272" s="20"/>
      <c r="E272" s="20"/>
      <c r="F272" s="26">
        <v>0.2</v>
      </c>
      <c r="G272" s="20"/>
      <c r="H272" s="14">
        <v>15.875999999999999</v>
      </c>
      <c r="I272" s="21"/>
      <c r="J272" s="14">
        <f t="shared" si="24"/>
        <v>0</v>
      </c>
      <c r="M272" s="30" t="str">
        <f t="shared" si="25"/>
        <v>-</v>
      </c>
      <c r="N272" s="30" t="str">
        <f t="shared" si="26"/>
        <v>-</v>
      </c>
      <c r="O272" s="31" t="str">
        <f t="shared" si="27"/>
        <v>-</v>
      </c>
      <c r="P272" s="32" t="str">
        <f t="shared" si="28"/>
        <v>-</v>
      </c>
      <c r="Q272" s="27"/>
      <c r="R272" s="32" t="str">
        <f t="shared" si="29"/>
        <v>-</v>
      </c>
    </row>
    <row r="273" spans="1:18" s="13" customFormat="1" ht="11.25" customHeight="1">
      <c r="A273" s="18">
        <v>103269</v>
      </c>
      <c r="B273" s="19" t="s">
        <v>292</v>
      </c>
      <c r="C273" s="20">
        <v>658010123181</v>
      </c>
      <c r="D273" s="20"/>
      <c r="E273" s="20"/>
      <c r="F273" s="26">
        <v>0</v>
      </c>
      <c r="G273" s="20"/>
      <c r="H273" s="14">
        <v>14.3514</v>
      </c>
      <c r="I273" s="21"/>
      <c r="J273" s="14">
        <f t="shared" si="24"/>
        <v>0</v>
      </c>
      <c r="M273" s="30" t="str">
        <f t="shared" si="25"/>
        <v>-</v>
      </c>
      <c r="N273" s="30" t="str">
        <f t="shared" si="26"/>
        <v>-</v>
      </c>
      <c r="O273" s="31" t="str">
        <f t="shared" si="27"/>
        <v>-</v>
      </c>
      <c r="P273" s="32" t="str">
        <f t="shared" si="28"/>
        <v>-</v>
      </c>
      <c r="Q273" s="27"/>
      <c r="R273" s="32" t="str">
        <f t="shared" si="29"/>
        <v>-</v>
      </c>
    </row>
    <row r="274" spans="1:18" s="13" customFormat="1" ht="11.25" hidden="1" customHeight="1">
      <c r="A274" s="18">
        <v>103271</v>
      </c>
      <c r="B274" s="19" t="s">
        <v>293</v>
      </c>
      <c r="C274" s="20">
        <v>658010123204</v>
      </c>
      <c r="D274" s="20"/>
      <c r="E274" s="20"/>
      <c r="F274" s="26">
        <v>0.08</v>
      </c>
      <c r="G274" s="20"/>
      <c r="H274" s="14">
        <v>12.839399999999998</v>
      </c>
      <c r="I274" s="21"/>
      <c r="J274" s="14">
        <f t="shared" si="24"/>
        <v>0</v>
      </c>
      <c r="M274" s="30" t="str">
        <f t="shared" si="25"/>
        <v>-</v>
      </c>
      <c r="N274" s="30" t="str">
        <f t="shared" si="26"/>
        <v>-</v>
      </c>
      <c r="O274" s="31" t="str">
        <f t="shared" si="27"/>
        <v>-</v>
      </c>
      <c r="P274" s="32" t="str">
        <f t="shared" si="28"/>
        <v>-</v>
      </c>
      <c r="Q274" s="27"/>
      <c r="R274" s="32" t="str">
        <f t="shared" si="29"/>
        <v>-</v>
      </c>
    </row>
    <row r="275" spans="1:18" s="13" customFormat="1" ht="11.25" customHeight="1">
      <c r="A275" s="18">
        <v>103272</v>
      </c>
      <c r="B275" s="19" t="s">
        <v>294</v>
      </c>
      <c r="C275" s="20">
        <v>658010123211</v>
      </c>
      <c r="D275" s="20"/>
      <c r="E275" s="20"/>
      <c r="F275" s="26">
        <v>0</v>
      </c>
      <c r="G275" s="20"/>
      <c r="H275" s="14">
        <v>24.935399999999998</v>
      </c>
      <c r="I275" s="21"/>
      <c r="J275" s="14">
        <f t="shared" si="24"/>
        <v>0</v>
      </c>
      <c r="M275" s="30" t="str">
        <f t="shared" si="25"/>
        <v>-</v>
      </c>
      <c r="N275" s="30" t="str">
        <f t="shared" si="26"/>
        <v>-</v>
      </c>
      <c r="O275" s="31" t="str">
        <f t="shared" si="27"/>
        <v>-</v>
      </c>
      <c r="P275" s="32" t="str">
        <f t="shared" si="28"/>
        <v>-</v>
      </c>
      <c r="Q275" s="27"/>
      <c r="R275" s="32" t="str">
        <f t="shared" si="29"/>
        <v>-</v>
      </c>
    </row>
    <row r="276" spans="1:18" s="13" customFormat="1" ht="11.25" hidden="1" customHeight="1">
      <c r="A276" s="18">
        <v>103264</v>
      </c>
      <c r="B276" s="19" t="s">
        <v>295</v>
      </c>
      <c r="C276" s="20">
        <v>658010123099</v>
      </c>
      <c r="D276" s="20"/>
      <c r="E276" s="20"/>
      <c r="F276" s="26">
        <v>0.28000000000000003</v>
      </c>
      <c r="G276" s="20"/>
      <c r="H276" s="14">
        <v>15.1074</v>
      </c>
      <c r="I276" s="21"/>
      <c r="J276" s="14">
        <f t="shared" si="24"/>
        <v>0</v>
      </c>
      <c r="M276" s="30" t="str">
        <f t="shared" si="25"/>
        <v>-</v>
      </c>
      <c r="N276" s="30" t="str">
        <f t="shared" si="26"/>
        <v>-</v>
      </c>
      <c r="O276" s="31" t="str">
        <f t="shared" si="27"/>
        <v>-</v>
      </c>
      <c r="P276" s="32" t="str">
        <f t="shared" si="28"/>
        <v>-</v>
      </c>
      <c r="Q276" s="27"/>
      <c r="R276" s="32" t="str">
        <f t="shared" si="29"/>
        <v>-</v>
      </c>
    </row>
    <row r="277" spans="1:18" s="13" customFormat="1" ht="11.25" hidden="1" customHeight="1">
      <c r="A277" s="18">
        <v>103082</v>
      </c>
      <c r="B277" s="19" t="s">
        <v>296</v>
      </c>
      <c r="C277" s="20">
        <v>658010121897</v>
      </c>
      <c r="D277" s="20"/>
      <c r="E277" s="20"/>
      <c r="F277" s="26">
        <v>0.18</v>
      </c>
      <c r="G277" s="20"/>
      <c r="H277" s="14">
        <v>24.935399999999998</v>
      </c>
      <c r="I277" s="21"/>
      <c r="J277" s="14">
        <f t="shared" si="24"/>
        <v>0</v>
      </c>
      <c r="M277" s="30" t="str">
        <f t="shared" si="25"/>
        <v>-</v>
      </c>
      <c r="N277" s="30" t="str">
        <f t="shared" si="26"/>
        <v>-</v>
      </c>
      <c r="O277" s="31" t="str">
        <f t="shared" si="27"/>
        <v>-</v>
      </c>
      <c r="P277" s="32" t="str">
        <f t="shared" si="28"/>
        <v>-</v>
      </c>
      <c r="Q277" s="27"/>
      <c r="R277" s="32" t="str">
        <f t="shared" si="29"/>
        <v>-</v>
      </c>
    </row>
    <row r="278" spans="1:18" s="13" customFormat="1" ht="11.25" hidden="1" customHeight="1">
      <c r="A278" s="18">
        <v>103083</v>
      </c>
      <c r="B278" s="19" t="s">
        <v>297</v>
      </c>
      <c r="C278" s="20">
        <v>658010121903</v>
      </c>
      <c r="D278" s="20"/>
      <c r="E278" s="20"/>
      <c r="F278" s="26">
        <v>0.27</v>
      </c>
      <c r="G278" s="20"/>
      <c r="H278" s="14">
        <v>24.935399999999998</v>
      </c>
      <c r="I278" s="21"/>
      <c r="J278" s="14">
        <f t="shared" si="24"/>
        <v>0</v>
      </c>
      <c r="M278" s="30" t="str">
        <f t="shared" si="25"/>
        <v>-</v>
      </c>
      <c r="N278" s="30" t="str">
        <f t="shared" si="26"/>
        <v>-</v>
      </c>
      <c r="O278" s="31" t="str">
        <f t="shared" si="27"/>
        <v>-</v>
      </c>
      <c r="P278" s="32" t="str">
        <f t="shared" si="28"/>
        <v>-</v>
      </c>
      <c r="Q278" s="27"/>
      <c r="R278" s="32" t="str">
        <f t="shared" si="29"/>
        <v>-</v>
      </c>
    </row>
    <row r="279" spans="1:18" s="13" customFormat="1" ht="11.25" hidden="1" customHeight="1">
      <c r="A279" s="18">
        <v>103239</v>
      </c>
      <c r="B279" s="19" t="s">
        <v>298</v>
      </c>
      <c r="C279" s="20">
        <v>658010122894</v>
      </c>
      <c r="D279" s="20"/>
      <c r="E279" s="20"/>
      <c r="F279" s="26">
        <v>0.45</v>
      </c>
      <c r="G279" s="20"/>
      <c r="H279" s="14">
        <v>40.811399999999999</v>
      </c>
      <c r="I279" s="21"/>
      <c r="J279" s="14">
        <f t="shared" si="24"/>
        <v>0</v>
      </c>
      <c r="M279" s="30" t="str">
        <f t="shared" si="25"/>
        <v>-</v>
      </c>
      <c r="N279" s="30" t="str">
        <f t="shared" si="26"/>
        <v>-</v>
      </c>
      <c r="O279" s="31" t="str">
        <f t="shared" si="27"/>
        <v>-</v>
      </c>
      <c r="P279" s="32" t="str">
        <f t="shared" si="28"/>
        <v>-</v>
      </c>
      <c r="Q279" s="27"/>
      <c r="R279" s="32" t="str">
        <f t="shared" si="29"/>
        <v>-</v>
      </c>
    </row>
    <row r="280" spans="1:18" s="13" customFormat="1" ht="11.25" hidden="1" customHeight="1">
      <c r="A280" s="18">
        <v>103071</v>
      </c>
      <c r="B280" s="19" t="s">
        <v>299</v>
      </c>
      <c r="C280" s="20">
        <v>658010121781</v>
      </c>
      <c r="D280" s="20"/>
      <c r="E280" s="20"/>
      <c r="F280" s="26">
        <v>0.34</v>
      </c>
      <c r="G280" s="20"/>
      <c r="H280" s="14">
        <v>28.715399999999995</v>
      </c>
      <c r="I280" s="21"/>
      <c r="J280" s="14">
        <f t="shared" si="24"/>
        <v>0</v>
      </c>
      <c r="M280" s="30" t="str">
        <f t="shared" si="25"/>
        <v>-</v>
      </c>
      <c r="N280" s="30" t="str">
        <f t="shared" si="26"/>
        <v>-</v>
      </c>
      <c r="O280" s="31" t="str">
        <f t="shared" si="27"/>
        <v>-</v>
      </c>
      <c r="P280" s="32" t="str">
        <f t="shared" si="28"/>
        <v>-</v>
      </c>
      <c r="Q280" s="27"/>
      <c r="R280" s="32" t="str">
        <f t="shared" si="29"/>
        <v>-</v>
      </c>
    </row>
    <row r="281" spans="1:18" s="13" customFormat="1" ht="11.25" hidden="1" customHeight="1">
      <c r="A281" s="18">
        <v>103084</v>
      </c>
      <c r="B281" s="19" t="s">
        <v>300</v>
      </c>
      <c r="C281" s="20">
        <v>658010121910</v>
      </c>
      <c r="D281" s="20"/>
      <c r="E281" s="20"/>
      <c r="F281" s="26">
        <v>0.18</v>
      </c>
      <c r="G281" s="20"/>
      <c r="H281" s="14">
        <v>24.935399999999998</v>
      </c>
      <c r="I281" s="21"/>
      <c r="J281" s="14">
        <f t="shared" si="24"/>
        <v>0</v>
      </c>
      <c r="M281" s="30" t="str">
        <f t="shared" si="25"/>
        <v>-</v>
      </c>
      <c r="N281" s="30" t="str">
        <f t="shared" si="26"/>
        <v>-</v>
      </c>
      <c r="O281" s="31" t="str">
        <f t="shared" si="27"/>
        <v>-</v>
      </c>
      <c r="P281" s="32" t="str">
        <f t="shared" si="28"/>
        <v>-</v>
      </c>
      <c r="Q281" s="27"/>
      <c r="R281" s="32" t="str">
        <f t="shared" si="29"/>
        <v>-</v>
      </c>
    </row>
    <row r="282" spans="1:18" s="13" customFormat="1" ht="11.25" hidden="1" customHeight="1">
      <c r="A282" s="18">
        <v>103262</v>
      </c>
      <c r="B282" s="19" t="s">
        <v>301</v>
      </c>
      <c r="C282" s="20">
        <v>658010123075</v>
      </c>
      <c r="D282" s="20"/>
      <c r="E282" s="20"/>
      <c r="F282" s="26">
        <v>0.19</v>
      </c>
      <c r="G282" s="20"/>
      <c r="H282" s="14">
        <v>24.935399999999998</v>
      </c>
      <c r="I282" s="21"/>
      <c r="J282" s="14">
        <f t="shared" si="24"/>
        <v>0</v>
      </c>
      <c r="M282" s="30" t="str">
        <f t="shared" si="25"/>
        <v>-</v>
      </c>
      <c r="N282" s="30" t="str">
        <f t="shared" si="26"/>
        <v>-</v>
      </c>
      <c r="O282" s="31" t="str">
        <f t="shared" si="27"/>
        <v>-</v>
      </c>
      <c r="P282" s="32" t="str">
        <f t="shared" si="28"/>
        <v>-</v>
      </c>
      <c r="Q282" s="27"/>
      <c r="R282" s="32" t="str">
        <f t="shared" si="29"/>
        <v>-</v>
      </c>
    </row>
    <row r="283" spans="1:18" s="13" customFormat="1" ht="11.25" customHeight="1">
      <c r="A283" s="18">
        <v>103086</v>
      </c>
      <c r="B283" s="19" t="s">
        <v>302</v>
      </c>
      <c r="C283" s="20">
        <v>658010121934</v>
      </c>
      <c r="D283" s="20"/>
      <c r="E283" s="20"/>
      <c r="F283" s="26">
        <v>0</v>
      </c>
      <c r="G283" s="20"/>
      <c r="H283" s="14">
        <v>24.935399999999998</v>
      </c>
      <c r="I283" s="21"/>
      <c r="J283" s="14">
        <f t="shared" si="24"/>
        <v>0</v>
      </c>
      <c r="M283" s="30" t="str">
        <f t="shared" si="25"/>
        <v>-</v>
      </c>
      <c r="N283" s="30" t="str">
        <f t="shared" si="26"/>
        <v>-</v>
      </c>
      <c r="O283" s="31" t="str">
        <f t="shared" si="27"/>
        <v>-</v>
      </c>
      <c r="P283" s="32" t="str">
        <f t="shared" si="28"/>
        <v>-</v>
      </c>
      <c r="Q283" s="27"/>
      <c r="R283" s="32" t="str">
        <f t="shared" si="29"/>
        <v>-</v>
      </c>
    </row>
    <row r="284" spans="1:18" s="13" customFormat="1" ht="11.25" customHeight="1">
      <c r="A284" s="18">
        <v>103353</v>
      </c>
      <c r="B284" s="19" t="s">
        <v>303</v>
      </c>
      <c r="C284" s="20">
        <v>658010123372</v>
      </c>
      <c r="D284" s="20"/>
      <c r="E284" s="20"/>
      <c r="F284" s="26">
        <v>0</v>
      </c>
      <c r="G284" s="20"/>
      <c r="H284" s="14">
        <v>26.46</v>
      </c>
      <c r="I284" s="21"/>
      <c r="J284" s="14">
        <f t="shared" si="24"/>
        <v>0</v>
      </c>
      <c r="M284" s="30" t="str">
        <f t="shared" si="25"/>
        <v>-</v>
      </c>
      <c r="N284" s="30" t="str">
        <f t="shared" si="26"/>
        <v>-</v>
      </c>
      <c r="O284" s="31" t="str">
        <f t="shared" si="27"/>
        <v>-</v>
      </c>
      <c r="P284" s="32" t="str">
        <f t="shared" si="28"/>
        <v>-</v>
      </c>
      <c r="Q284" s="27"/>
      <c r="R284" s="32" t="str">
        <f t="shared" si="29"/>
        <v>-</v>
      </c>
    </row>
    <row r="285" spans="1:18" s="13" customFormat="1" ht="11.25" hidden="1" customHeight="1">
      <c r="A285" s="18">
        <v>104123</v>
      </c>
      <c r="B285" s="19" t="s">
        <v>304</v>
      </c>
      <c r="C285" s="20">
        <v>658010130516</v>
      </c>
      <c r="D285" s="20"/>
      <c r="E285" s="20"/>
      <c r="F285" s="26">
        <v>7.0000000000000007E-2</v>
      </c>
      <c r="G285" s="20"/>
      <c r="H285" s="14">
        <v>19.6434</v>
      </c>
      <c r="I285" s="21"/>
      <c r="J285" s="14">
        <f t="shared" si="24"/>
        <v>0</v>
      </c>
      <c r="M285" s="30" t="str">
        <f t="shared" si="25"/>
        <v>-</v>
      </c>
      <c r="N285" s="30" t="str">
        <f t="shared" si="26"/>
        <v>-</v>
      </c>
      <c r="O285" s="31" t="str">
        <f t="shared" si="27"/>
        <v>-</v>
      </c>
      <c r="P285" s="32" t="str">
        <f t="shared" si="28"/>
        <v>-</v>
      </c>
      <c r="Q285" s="27"/>
      <c r="R285" s="32" t="str">
        <f t="shared" si="29"/>
        <v>-</v>
      </c>
    </row>
    <row r="286" spans="1:18" s="13" customFormat="1" ht="11.25" hidden="1" customHeight="1">
      <c r="A286" s="18">
        <v>104124</v>
      </c>
      <c r="B286" s="19" t="s">
        <v>305</v>
      </c>
      <c r="C286" s="20">
        <v>658010130523</v>
      </c>
      <c r="D286" s="20"/>
      <c r="E286" s="20"/>
      <c r="F286" s="26">
        <v>0.1</v>
      </c>
      <c r="G286" s="20"/>
      <c r="H286" s="14">
        <v>24.179400000000001</v>
      </c>
      <c r="I286" s="21"/>
      <c r="J286" s="14">
        <f t="shared" si="24"/>
        <v>0</v>
      </c>
      <c r="M286" s="30" t="str">
        <f t="shared" si="25"/>
        <v>-</v>
      </c>
      <c r="N286" s="30" t="str">
        <f t="shared" si="26"/>
        <v>-</v>
      </c>
      <c r="O286" s="31" t="str">
        <f t="shared" si="27"/>
        <v>-</v>
      </c>
      <c r="P286" s="32" t="str">
        <f t="shared" si="28"/>
        <v>-</v>
      </c>
      <c r="Q286" s="27"/>
      <c r="R286" s="32" t="str">
        <f t="shared" si="29"/>
        <v>-</v>
      </c>
    </row>
    <row r="287" spans="1:18" s="13" customFormat="1" ht="11.25" hidden="1" customHeight="1">
      <c r="A287" s="18">
        <v>104126</v>
      </c>
      <c r="B287" s="19" t="s">
        <v>306</v>
      </c>
      <c r="C287" s="20">
        <v>658010130547</v>
      </c>
      <c r="D287" s="20"/>
      <c r="E287" s="20"/>
      <c r="F287" s="26">
        <v>0.08</v>
      </c>
      <c r="G287" s="20"/>
      <c r="H287" s="14">
        <v>19.6434</v>
      </c>
      <c r="I287" s="21"/>
      <c r="J287" s="14">
        <f t="shared" si="24"/>
        <v>0</v>
      </c>
      <c r="M287" s="30" t="str">
        <f t="shared" si="25"/>
        <v>-</v>
      </c>
      <c r="N287" s="30" t="str">
        <f t="shared" si="26"/>
        <v>-</v>
      </c>
      <c r="O287" s="31" t="str">
        <f t="shared" si="27"/>
        <v>-</v>
      </c>
      <c r="P287" s="32" t="str">
        <f t="shared" si="28"/>
        <v>-</v>
      </c>
      <c r="Q287" s="27"/>
      <c r="R287" s="32" t="str">
        <f t="shared" si="29"/>
        <v>-</v>
      </c>
    </row>
    <row r="288" spans="1:18" s="13" customFormat="1" ht="11.25" hidden="1" customHeight="1">
      <c r="A288" s="18">
        <v>104125</v>
      </c>
      <c r="B288" s="19" t="s">
        <v>307</v>
      </c>
      <c r="C288" s="20">
        <v>658010130530</v>
      </c>
      <c r="D288" s="20"/>
      <c r="E288" s="20"/>
      <c r="F288" s="26">
        <v>0.09</v>
      </c>
      <c r="G288" s="20"/>
      <c r="H288" s="14">
        <v>14.3514</v>
      </c>
      <c r="I288" s="21"/>
      <c r="J288" s="14">
        <f t="shared" si="24"/>
        <v>0</v>
      </c>
      <c r="M288" s="30" t="str">
        <f t="shared" si="25"/>
        <v>-</v>
      </c>
      <c r="N288" s="30" t="str">
        <f t="shared" si="26"/>
        <v>-</v>
      </c>
      <c r="O288" s="31" t="str">
        <f t="shared" si="27"/>
        <v>-</v>
      </c>
      <c r="P288" s="32" t="str">
        <f t="shared" si="28"/>
        <v>-</v>
      </c>
      <c r="Q288" s="27"/>
      <c r="R288" s="32" t="str">
        <f t="shared" si="29"/>
        <v>-</v>
      </c>
    </row>
    <row r="289" spans="1:18" s="13" customFormat="1" ht="11.25" hidden="1" customHeight="1">
      <c r="A289" s="18">
        <v>102297</v>
      </c>
      <c r="B289" s="19" t="s">
        <v>308</v>
      </c>
      <c r="C289" s="20">
        <v>658010117739</v>
      </c>
      <c r="D289" s="20"/>
      <c r="E289" s="20"/>
      <c r="F289" s="26">
        <v>0.35</v>
      </c>
      <c r="G289" s="20"/>
      <c r="H289" s="14">
        <v>43.079399999999993</v>
      </c>
      <c r="I289" s="21"/>
      <c r="J289" s="14">
        <f t="shared" si="24"/>
        <v>0</v>
      </c>
      <c r="M289" s="30" t="str">
        <f t="shared" si="25"/>
        <v>-</v>
      </c>
      <c r="N289" s="30" t="str">
        <f t="shared" si="26"/>
        <v>-</v>
      </c>
      <c r="O289" s="31" t="str">
        <f t="shared" si="27"/>
        <v>-</v>
      </c>
      <c r="P289" s="32" t="str">
        <f t="shared" si="28"/>
        <v>-</v>
      </c>
      <c r="Q289" s="27"/>
      <c r="R289" s="32" t="str">
        <f t="shared" si="29"/>
        <v>-</v>
      </c>
    </row>
    <row r="290" spans="1:18" s="13" customFormat="1" ht="11.25" hidden="1" customHeight="1">
      <c r="A290" s="18">
        <v>102298</v>
      </c>
      <c r="B290" s="19" t="s">
        <v>309</v>
      </c>
      <c r="C290" s="20">
        <v>658010117746</v>
      </c>
      <c r="D290" s="20"/>
      <c r="E290" s="20"/>
      <c r="F290" s="26">
        <v>0.5</v>
      </c>
      <c r="G290" s="20"/>
      <c r="H290" s="14">
        <v>69.539400000000001</v>
      </c>
      <c r="I290" s="21"/>
      <c r="J290" s="14">
        <f t="shared" si="24"/>
        <v>0</v>
      </c>
      <c r="M290" s="30" t="str">
        <f t="shared" si="25"/>
        <v>-</v>
      </c>
      <c r="N290" s="30" t="str">
        <f t="shared" si="26"/>
        <v>-</v>
      </c>
      <c r="O290" s="31" t="str">
        <f t="shared" si="27"/>
        <v>-</v>
      </c>
      <c r="P290" s="32" t="str">
        <f t="shared" si="28"/>
        <v>-</v>
      </c>
      <c r="Q290" s="27"/>
      <c r="R290" s="32" t="str">
        <f t="shared" si="29"/>
        <v>-</v>
      </c>
    </row>
    <row r="291" spans="1:18" s="13" customFormat="1" ht="11.25" hidden="1" customHeight="1">
      <c r="A291" s="18">
        <v>102301</v>
      </c>
      <c r="B291" s="19" t="s">
        <v>310</v>
      </c>
      <c r="C291" s="20">
        <v>658010117777</v>
      </c>
      <c r="D291" s="20"/>
      <c r="E291" s="20"/>
      <c r="F291" s="26">
        <v>0.34</v>
      </c>
      <c r="G291" s="20"/>
      <c r="H291" s="14">
        <v>43.079399999999993</v>
      </c>
      <c r="I291" s="21"/>
      <c r="J291" s="14">
        <f t="shared" si="24"/>
        <v>0</v>
      </c>
      <c r="M291" s="30" t="str">
        <f t="shared" si="25"/>
        <v>-</v>
      </c>
      <c r="N291" s="30" t="str">
        <f t="shared" si="26"/>
        <v>-</v>
      </c>
      <c r="O291" s="31" t="str">
        <f t="shared" si="27"/>
        <v>-</v>
      </c>
      <c r="P291" s="32" t="str">
        <f t="shared" si="28"/>
        <v>-</v>
      </c>
      <c r="Q291" s="27"/>
      <c r="R291" s="32" t="str">
        <f t="shared" si="29"/>
        <v>-</v>
      </c>
    </row>
    <row r="292" spans="1:18" s="13" customFormat="1" ht="11.25" hidden="1" customHeight="1">
      <c r="A292" s="18">
        <v>102302</v>
      </c>
      <c r="B292" s="19" t="s">
        <v>311</v>
      </c>
      <c r="C292" s="20">
        <v>658010117784</v>
      </c>
      <c r="D292" s="20"/>
      <c r="E292" s="20"/>
      <c r="F292" s="26">
        <v>0.48</v>
      </c>
      <c r="G292" s="20"/>
      <c r="H292" s="14">
        <v>69.539400000000001</v>
      </c>
      <c r="I292" s="21"/>
      <c r="J292" s="14">
        <f t="shared" si="24"/>
        <v>0</v>
      </c>
      <c r="M292" s="30" t="str">
        <f t="shared" si="25"/>
        <v>-</v>
      </c>
      <c r="N292" s="30" t="str">
        <f t="shared" si="26"/>
        <v>-</v>
      </c>
      <c r="O292" s="31" t="str">
        <f t="shared" si="27"/>
        <v>-</v>
      </c>
      <c r="P292" s="32" t="str">
        <f t="shared" si="28"/>
        <v>-</v>
      </c>
      <c r="Q292" s="27"/>
      <c r="R292" s="32" t="str">
        <f t="shared" si="29"/>
        <v>-</v>
      </c>
    </row>
    <row r="293" spans="1:18" s="13" customFormat="1" ht="11.25" customHeight="1">
      <c r="A293" s="18">
        <v>102288</v>
      </c>
      <c r="B293" s="19" t="s">
        <v>312</v>
      </c>
      <c r="C293" s="20">
        <v>658010117647</v>
      </c>
      <c r="D293" s="20"/>
      <c r="E293" s="20"/>
      <c r="F293" s="26">
        <v>0</v>
      </c>
      <c r="G293" s="20"/>
      <c r="H293" s="14">
        <v>43.079399999999993</v>
      </c>
      <c r="I293" s="21"/>
      <c r="J293" s="14">
        <f t="shared" si="24"/>
        <v>0</v>
      </c>
      <c r="M293" s="30" t="str">
        <f t="shared" si="25"/>
        <v>-</v>
      </c>
      <c r="N293" s="30" t="str">
        <f t="shared" si="26"/>
        <v>-</v>
      </c>
      <c r="O293" s="31" t="str">
        <f t="shared" si="27"/>
        <v>-</v>
      </c>
      <c r="P293" s="32" t="str">
        <f t="shared" si="28"/>
        <v>-</v>
      </c>
      <c r="Q293" s="27"/>
      <c r="R293" s="32" t="str">
        <f t="shared" si="29"/>
        <v>-</v>
      </c>
    </row>
    <row r="294" spans="1:18" s="13" customFormat="1" ht="11.25" hidden="1" customHeight="1">
      <c r="A294" s="18">
        <v>102289</v>
      </c>
      <c r="B294" s="19" t="s">
        <v>313</v>
      </c>
      <c r="C294" s="20">
        <v>658010117654</v>
      </c>
      <c r="D294" s="20"/>
      <c r="E294" s="20"/>
      <c r="F294" s="26">
        <v>0.49</v>
      </c>
      <c r="G294" s="20"/>
      <c r="H294" s="14">
        <v>69.539400000000001</v>
      </c>
      <c r="I294" s="21"/>
      <c r="J294" s="14">
        <f t="shared" si="24"/>
        <v>0</v>
      </c>
      <c r="M294" s="30" t="str">
        <f t="shared" si="25"/>
        <v>-</v>
      </c>
      <c r="N294" s="30" t="str">
        <f t="shared" si="26"/>
        <v>-</v>
      </c>
      <c r="O294" s="31" t="str">
        <f t="shared" si="27"/>
        <v>-</v>
      </c>
      <c r="P294" s="32" t="str">
        <f t="shared" si="28"/>
        <v>-</v>
      </c>
      <c r="Q294" s="27"/>
      <c r="R294" s="32" t="str">
        <f t="shared" si="29"/>
        <v>-</v>
      </c>
    </row>
    <row r="295" spans="1:18" s="13" customFormat="1" ht="11.25" customHeight="1">
      <c r="A295" s="18">
        <v>102292</v>
      </c>
      <c r="B295" s="19" t="s">
        <v>314</v>
      </c>
      <c r="C295" s="20">
        <v>658010117685</v>
      </c>
      <c r="D295" s="20"/>
      <c r="E295" s="20"/>
      <c r="F295" s="26">
        <v>0</v>
      </c>
      <c r="G295" s="20"/>
      <c r="H295" s="14">
        <v>43.079399999999993</v>
      </c>
      <c r="I295" s="21"/>
      <c r="J295" s="14">
        <f t="shared" si="24"/>
        <v>0</v>
      </c>
      <c r="M295" s="30" t="str">
        <f t="shared" si="25"/>
        <v>-</v>
      </c>
      <c r="N295" s="30" t="str">
        <f t="shared" si="26"/>
        <v>-</v>
      </c>
      <c r="O295" s="31" t="str">
        <f t="shared" si="27"/>
        <v>-</v>
      </c>
      <c r="P295" s="32" t="str">
        <f t="shared" si="28"/>
        <v>-</v>
      </c>
      <c r="Q295" s="27"/>
      <c r="R295" s="32" t="str">
        <f t="shared" si="29"/>
        <v>-</v>
      </c>
    </row>
    <row r="296" spans="1:18" s="13" customFormat="1" ht="11.25" hidden="1" customHeight="1">
      <c r="A296" s="18">
        <v>102293</v>
      </c>
      <c r="B296" s="19" t="s">
        <v>315</v>
      </c>
      <c r="C296" s="20">
        <v>658010117692</v>
      </c>
      <c r="D296" s="20"/>
      <c r="E296" s="20"/>
      <c r="F296" s="26">
        <v>0.49</v>
      </c>
      <c r="G296" s="20"/>
      <c r="H296" s="14">
        <v>69.539400000000001</v>
      </c>
      <c r="I296" s="21"/>
      <c r="J296" s="14">
        <f t="shared" si="24"/>
        <v>0</v>
      </c>
      <c r="M296" s="30" t="str">
        <f t="shared" si="25"/>
        <v>-</v>
      </c>
      <c r="N296" s="30" t="str">
        <f t="shared" si="26"/>
        <v>-</v>
      </c>
      <c r="O296" s="31" t="str">
        <f t="shared" si="27"/>
        <v>-</v>
      </c>
      <c r="P296" s="32" t="str">
        <f t="shared" si="28"/>
        <v>-</v>
      </c>
      <c r="Q296" s="27"/>
      <c r="R296" s="32" t="str">
        <f t="shared" si="29"/>
        <v>-</v>
      </c>
    </row>
    <row r="297" spans="1:18" s="13" customFormat="1" ht="11.25" hidden="1" customHeight="1">
      <c r="A297" s="18">
        <v>102299</v>
      </c>
      <c r="B297" s="19" t="s">
        <v>316</v>
      </c>
      <c r="C297" s="20">
        <v>658010117753</v>
      </c>
      <c r="D297" s="20"/>
      <c r="E297" s="20"/>
      <c r="F297" s="26">
        <v>0.21</v>
      </c>
      <c r="G297" s="20"/>
      <c r="H297" s="14">
        <v>25.691400000000002</v>
      </c>
      <c r="I297" s="21"/>
      <c r="J297" s="14">
        <f t="shared" si="24"/>
        <v>0</v>
      </c>
      <c r="M297" s="30" t="str">
        <f t="shared" si="25"/>
        <v>-</v>
      </c>
      <c r="N297" s="30" t="str">
        <f t="shared" si="26"/>
        <v>-</v>
      </c>
      <c r="O297" s="31" t="str">
        <f t="shared" si="27"/>
        <v>-</v>
      </c>
      <c r="P297" s="32" t="str">
        <f t="shared" si="28"/>
        <v>-</v>
      </c>
      <c r="Q297" s="27"/>
      <c r="R297" s="32" t="str">
        <f t="shared" si="29"/>
        <v>-</v>
      </c>
    </row>
    <row r="298" spans="1:18" s="13" customFormat="1" ht="11.25" hidden="1" customHeight="1">
      <c r="A298" s="18">
        <v>102300</v>
      </c>
      <c r="B298" s="19" t="s">
        <v>317</v>
      </c>
      <c r="C298" s="20">
        <v>658010117760</v>
      </c>
      <c r="D298" s="20"/>
      <c r="E298" s="20"/>
      <c r="F298" s="26">
        <v>0.35</v>
      </c>
      <c r="G298" s="20"/>
      <c r="H298" s="14">
        <v>43.079399999999993</v>
      </c>
      <c r="I298" s="21"/>
      <c r="J298" s="14">
        <f t="shared" si="24"/>
        <v>0</v>
      </c>
      <c r="M298" s="30" t="str">
        <f t="shared" si="25"/>
        <v>-</v>
      </c>
      <c r="N298" s="30" t="str">
        <f t="shared" si="26"/>
        <v>-</v>
      </c>
      <c r="O298" s="31" t="str">
        <f t="shared" si="27"/>
        <v>-</v>
      </c>
      <c r="P298" s="32" t="str">
        <f t="shared" si="28"/>
        <v>-</v>
      </c>
      <c r="Q298" s="27"/>
      <c r="R298" s="32" t="str">
        <f t="shared" si="29"/>
        <v>-</v>
      </c>
    </row>
    <row r="299" spans="1:18" s="13" customFormat="1" ht="11.25" hidden="1" customHeight="1">
      <c r="A299" s="18">
        <v>102290</v>
      </c>
      <c r="B299" s="19" t="s">
        <v>318</v>
      </c>
      <c r="C299" s="20">
        <v>658010117661</v>
      </c>
      <c r="D299" s="20"/>
      <c r="E299" s="20"/>
      <c r="F299" s="26">
        <v>0.2</v>
      </c>
      <c r="G299" s="20"/>
      <c r="H299" s="14">
        <v>25.691400000000002</v>
      </c>
      <c r="I299" s="21"/>
      <c r="J299" s="14">
        <f t="shared" si="24"/>
        <v>0</v>
      </c>
      <c r="M299" s="30" t="str">
        <f t="shared" si="25"/>
        <v>-</v>
      </c>
      <c r="N299" s="30" t="str">
        <f t="shared" si="26"/>
        <v>-</v>
      </c>
      <c r="O299" s="31" t="str">
        <f t="shared" si="27"/>
        <v>-</v>
      </c>
      <c r="P299" s="32" t="str">
        <f t="shared" si="28"/>
        <v>-</v>
      </c>
      <c r="Q299" s="27"/>
      <c r="R299" s="32" t="str">
        <f t="shared" si="29"/>
        <v>-</v>
      </c>
    </row>
    <row r="300" spans="1:18" s="13" customFormat="1" ht="11.25" hidden="1" customHeight="1">
      <c r="A300" s="18">
        <v>102291</v>
      </c>
      <c r="B300" s="19" t="s">
        <v>319</v>
      </c>
      <c r="C300" s="20">
        <v>658010117678</v>
      </c>
      <c r="D300" s="20"/>
      <c r="E300" s="20"/>
      <c r="F300" s="26">
        <v>0.34</v>
      </c>
      <c r="G300" s="20"/>
      <c r="H300" s="14">
        <v>43.079399999999993</v>
      </c>
      <c r="I300" s="21"/>
      <c r="J300" s="14">
        <f t="shared" si="24"/>
        <v>0</v>
      </c>
      <c r="M300" s="30" t="str">
        <f t="shared" si="25"/>
        <v>-</v>
      </c>
      <c r="N300" s="30" t="str">
        <f t="shared" si="26"/>
        <v>-</v>
      </c>
      <c r="O300" s="31" t="str">
        <f t="shared" si="27"/>
        <v>-</v>
      </c>
      <c r="P300" s="32" t="str">
        <f t="shared" si="28"/>
        <v>-</v>
      </c>
      <c r="Q300" s="27"/>
      <c r="R300" s="32" t="str">
        <f t="shared" si="29"/>
        <v>-</v>
      </c>
    </row>
    <row r="301" spans="1:18" s="13" customFormat="1" ht="11.25" hidden="1" customHeight="1">
      <c r="A301" s="18">
        <v>102294</v>
      </c>
      <c r="B301" s="19" t="s">
        <v>320</v>
      </c>
      <c r="C301" s="20">
        <v>658010117708</v>
      </c>
      <c r="D301" s="20"/>
      <c r="E301" s="20"/>
      <c r="F301" s="26">
        <v>0.37</v>
      </c>
      <c r="G301" s="20"/>
      <c r="H301" s="14">
        <v>38.543399999999998</v>
      </c>
      <c r="I301" s="21"/>
      <c r="J301" s="14">
        <f t="shared" si="24"/>
        <v>0</v>
      </c>
      <c r="M301" s="30" t="str">
        <f t="shared" si="25"/>
        <v>-</v>
      </c>
      <c r="N301" s="30" t="str">
        <f t="shared" si="26"/>
        <v>-</v>
      </c>
      <c r="O301" s="31" t="str">
        <f t="shared" si="27"/>
        <v>-</v>
      </c>
      <c r="P301" s="32" t="str">
        <f t="shared" si="28"/>
        <v>-</v>
      </c>
      <c r="Q301" s="27"/>
      <c r="R301" s="32" t="str">
        <f t="shared" si="29"/>
        <v>-</v>
      </c>
    </row>
    <row r="302" spans="1:18" s="13" customFormat="1" ht="11.25" hidden="1" customHeight="1">
      <c r="A302" s="18">
        <v>102295</v>
      </c>
      <c r="B302" s="19" t="s">
        <v>321</v>
      </c>
      <c r="C302" s="20">
        <v>658010117715</v>
      </c>
      <c r="D302" s="20"/>
      <c r="E302" s="20"/>
      <c r="F302" s="26">
        <v>0.56999999999999995</v>
      </c>
      <c r="G302" s="20"/>
      <c r="H302" s="14">
        <v>69.539400000000001</v>
      </c>
      <c r="I302" s="21"/>
      <c r="J302" s="14">
        <f t="shared" si="24"/>
        <v>0</v>
      </c>
      <c r="M302" s="30" t="str">
        <f t="shared" si="25"/>
        <v>-</v>
      </c>
      <c r="N302" s="30" t="str">
        <f t="shared" si="26"/>
        <v>-</v>
      </c>
      <c r="O302" s="31" t="str">
        <f t="shared" si="27"/>
        <v>-</v>
      </c>
      <c r="P302" s="32" t="str">
        <f t="shared" si="28"/>
        <v>-</v>
      </c>
      <c r="Q302" s="27"/>
      <c r="R302" s="32" t="str">
        <f t="shared" si="29"/>
        <v>-</v>
      </c>
    </row>
    <row r="303" spans="1:18" s="13" customFormat="1" ht="11.25" hidden="1" customHeight="1">
      <c r="A303" s="18">
        <v>102284</v>
      </c>
      <c r="B303" s="19" t="s">
        <v>322</v>
      </c>
      <c r="C303" s="20">
        <v>658010117609</v>
      </c>
      <c r="D303" s="20"/>
      <c r="E303" s="20"/>
      <c r="F303" s="26">
        <v>0.36</v>
      </c>
      <c r="G303" s="20"/>
      <c r="H303" s="14">
        <v>31.739400000000003</v>
      </c>
      <c r="I303" s="21"/>
      <c r="J303" s="14">
        <f t="shared" si="24"/>
        <v>0</v>
      </c>
      <c r="M303" s="30" t="str">
        <f t="shared" si="25"/>
        <v>-</v>
      </c>
      <c r="N303" s="30" t="str">
        <f t="shared" si="26"/>
        <v>-</v>
      </c>
      <c r="O303" s="31" t="str">
        <f t="shared" si="27"/>
        <v>-</v>
      </c>
      <c r="P303" s="32" t="str">
        <f t="shared" si="28"/>
        <v>-</v>
      </c>
      <c r="Q303" s="27"/>
      <c r="R303" s="32" t="str">
        <f t="shared" si="29"/>
        <v>-</v>
      </c>
    </row>
    <row r="304" spans="1:18" s="13" customFormat="1" ht="11.25" hidden="1" customHeight="1">
      <c r="A304" s="18">
        <v>102285</v>
      </c>
      <c r="B304" s="19" t="s">
        <v>323</v>
      </c>
      <c r="C304" s="20">
        <v>658010117616</v>
      </c>
      <c r="D304" s="20"/>
      <c r="E304" s="20"/>
      <c r="F304" s="26">
        <v>0.56999999999999995</v>
      </c>
      <c r="G304" s="20"/>
      <c r="H304" s="14">
        <v>54.419400000000003</v>
      </c>
      <c r="I304" s="21"/>
      <c r="J304" s="14">
        <f t="shared" si="24"/>
        <v>0</v>
      </c>
      <c r="M304" s="30" t="str">
        <f t="shared" si="25"/>
        <v>-</v>
      </c>
      <c r="N304" s="30" t="str">
        <f t="shared" si="26"/>
        <v>-</v>
      </c>
      <c r="O304" s="31" t="str">
        <f t="shared" si="27"/>
        <v>-</v>
      </c>
      <c r="P304" s="32" t="str">
        <f t="shared" si="28"/>
        <v>-</v>
      </c>
      <c r="Q304" s="27"/>
      <c r="R304" s="32" t="str">
        <f t="shared" si="29"/>
        <v>-</v>
      </c>
    </row>
    <row r="305" spans="1:18" s="13" customFormat="1" ht="11.25" hidden="1" customHeight="1">
      <c r="A305" s="18">
        <v>102303</v>
      </c>
      <c r="B305" s="19" t="s">
        <v>324</v>
      </c>
      <c r="C305" s="20">
        <v>658010117791</v>
      </c>
      <c r="D305" s="20"/>
      <c r="E305" s="20"/>
      <c r="F305" s="26">
        <v>0.09</v>
      </c>
      <c r="G305" s="20"/>
      <c r="H305" s="14">
        <v>15.1074</v>
      </c>
      <c r="I305" s="21"/>
      <c r="J305" s="14">
        <f t="shared" si="24"/>
        <v>0</v>
      </c>
      <c r="M305" s="30" t="str">
        <f t="shared" si="25"/>
        <v>-</v>
      </c>
      <c r="N305" s="30" t="str">
        <f t="shared" si="26"/>
        <v>-</v>
      </c>
      <c r="O305" s="31" t="str">
        <f t="shared" si="27"/>
        <v>-</v>
      </c>
      <c r="P305" s="32" t="str">
        <f t="shared" si="28"/>
        <v>-</v>
      </c>
      <c r="Q305" s="27"/>
      <c r="R305" s="32" t="str">
        <f t="shared" si="29"/>
        <v>-</v>
      </c>
    </row>
    <row r="306" spans="1:18" s="13" customFormat="1" ht="11.25" hidden="1" customHeight="1">
      <c r="A306" s="18">
        <v>102305</v>
      </c>
      <c r="B306" s="19" t="s">
        <v>325</v>
      </c>
      <c r="C306" s="20">
        <v>658010117814</v>
      </c>
      <c r="D306" s="20"/>
      <c r="E306" s="20"/>
      <c r="F306" s="26">
        <v>0.08</v>
      </c>
      <c r="G306" s="20"/>
      <c r="H306" s="14">
        <v>18.8874</v>
      </c>
      <c r="I306" s="21"/>
      <c r="J306" s="14">
        <f t="shared" si="24"/>
        <v>0</v>
      </c>
      <c r="M306" s="30" t="str">
        <f t="shared" si="25"/>
        <v>-</v>
      </c>
      <c r="N306" s="30" t="str">
        <f t="shared" si="26"/>
        <v>-</v>
      </c>
      <c r="O306" s="31" t="str">
        <f t="shared" si="27"/>
        <v>-</v>
      </c>
      <c r="P306" s="32" t="str">
        <f t="shared" si="28"/>
        <v>-</v>
      </c>
      <c r="Q306" s="27"/>
      <c r="R306" s="32" t="str">
        <f t="shared" si="29"/>
        <v>-</v>
      </c>
    </row>
    <row r="307" spans="1:18" s="13" customFormat="1" ht="11.25" customHeight="1">
      <c r="A307" s="18">
        <v>102493</v>
      </c>
      <c r="B307" s="19" t="s">
        <v>326</v>
      </c>
      <c r="C307" s="20">
        <v>658010118507</v>
      </c>
      <c r="D307" s="20"/>
      <c r="E307" s="20"/>
      <c r="F307" s="26">
        <v>0</v>
      </c>
      <c r="G307" s="20"/>
      <c r="H307" s="14">
        <v>25.691400000000002</v>
      </c>
      <c r="I307" s="21"/>
      <c r="J307" s="14">
        <f t="shared" si="24"/>
        <v>0</v>
      </c>
      <c r="M307" s="30" t="str">
        <f t="shared" si="25"/>
        <v>-</v>
      </c>
      <c r="N307" s="30" t="str">
        <f t="shared" si="26"/>
        <v>-</v>
      </c>
      <c r="O307" s="31" t="str">
        <f t="shared" si="27"/>
        <v>-</v>
      </c>
      <c r="P307" s="32" t="str">
        <f t="shared" si="28"/>
        <v>-</v>
      </c>
      <c r="Q307" s="27"/>
      <c r="R307" s="32" t="str">
        <f t="shared" si="29"/>
        <v>-</v>
      </c>
    </row>
    <row r="308" spans="1:18" s="13" customFormat="1" ht="11.25" hidden="1" customHeight="1">
      <c r="A308" s="18">
        <v>102499</v>
      </c>
      <c r="B308" s="19" t="s">
        <v>327</v>
      </c>
      <c r="C308" s="20">
        <v>658010118569</v>
      </c>
      <c r="D308" s="20"/>
      <c r="E308" s="20"/>
      <c r="F308" s="26">
        <v>0.21</v>
      </c>
      <c r="G308" s="20"/>
      <c r="H308" s="14">
        <v>34.763399999999997</v>
      </c>
      <c r="I308" s="21"/>
      <c r="J308" s="14">
        <f t="shared" si="24"/>
        <v>0</v>
      </c>
      <c r="M308" s="30" t="str">
        <f t="shared" si="25"/>
        <v>-</v>
      </c>
      <c r="N308" s="30" t="str">
        <f t="shared" si="26"/>
        <v>-</v>
      </c>
      <c r="O308" s="31" t="str">
        <f t="shared" si="27"/>
        <v>-</v>
      </c>
      <c r="P308" s="32" t="str">
        <f t="shared" si="28"/>
        <v>-</v>
      </c>
      <c r="Q308" s="27"/>
      <c r="R308" s="32" t="str">
        <f t="shared" si="29"/>
        <v>-</v>
      </c>
    </row>
    <row r="309" spans="1:18" s="13" customFormat="1" ht="11.25" hidden="1" customHeight="1">
      <c r="A309" s="18">
        <v>102500</v>
      </c>
      <c r="B309" s="19" t="s">
        <v>328</v>
      </c>
      <c r="C309" s="20">
        <v>658010118576</v>
      </c>
      <c r="D309" s="20"/>
      <c r="E309" s="20"/>
      <c r="F309" s="26">
        <v>0.41</v>
      </c>
      <c r="G309" s="20"/>
      <c r="H309" s="14">
        <v>87.683400000000006</v>
      </c>
      <c r="I309" s="21"/>
      <c r="J309" s="14">
        <f t="shared" si="24"/>
        <v>0</v>
      </c>
      <c r="M309" s="30" t="str">
        <f t="shared" si="25"/>
        <v>-</v>
      </c>
      <c r="N309" s="30" t="str">
        <f t="shared" si="26"/>
        <v>-</v>
      </c>
      <c r="O309" s="31" t="str">
        <f t="shared" si="27"/>
        <v>-</v>
      </c>
      <c r="P309" s="32" t="str">
        <f t="shared" si="28"/>
        <v>-</v>
      </c>
      <c r="Q309" s="27"/>
      <c r="R309" s="32" t="str">
        <f t="shared" si="29"/>
        <v>-</v>
      </c>
    </row>
    <row r="310" spans="1:18" s="13" customFormat="1" ht="11.25" hidden="1" customHeight="1">
      <c r="A310" s="18">
        <v>102501</v>
      </c>
      <c r="B310" s="19" t="s">
        <v>329</v>
      </c>
      <c r="C310" s="20">
        <v>658010118583</v>
      </c>
      <c r="D310" s="20"/>
      <c r="E310" s="20"/>
      <c r="F310" s="26">
        <v>0.48</v>
      </c>
      <c r="G310" s="20"/>
      <c r="H310" s="14">
        <v>25.691400000000002</v>
      </c>
      <c r="I310" s="21"/>
      <c r="J310" s="14">
        <f t="shared" si="24"/>
        <v>0</v>
      </c>
      <c r="M310" s="30" t="str">
        <f t="shared" si="25"/>
        <v>-</v>
      </c>
      <c r="N310" s="30" t="str">
        <f t="shared" si="26"/>
        <v>-</v>
      </c>
      <c r="O310" s="31" t="str">
        <f t="shared" si="27"/>
        <v>-</v>
      </c>
      <c r="P310" s="32" t="str">
        <f t="shared" si="28"/>
        <v>-</v>
      </c>
      <c r="Q310" s="27"/>
      <c r="R310" s="32" t="str">
        <f t="shared" si="29"/>
        <v>-</v>
      </c>
    </row>
    <row r="311" spans="1:18" s="13" customFormat="1" ht="11.25" hidden="1" customHeight="1">
      <c r="A311" s="18">
        <v>102502</v>
      </c>
      <c r="B311" s="19" t="s">
        <v>330</v>
      </c>
      <c r="C311" s="20">
        <v>658010118590</v>
      </c>
      <c r="D311" s="20"/>
      <c r="E311" s="20"/>
      <c r="F311" s="26">
        <v>0.1</v>
      </c>
      <c r="G311" s="20"/>
      <c r="H311" s="14">
        <v>11.327400000000001</v>
      </c>
      <c r="I311" s="21"/>
      <c r="J311" s="14">
        <f t="shared" si="24"/>
        <v>0</v>
      </c>
      <c r="M311" s="30" t="str">
        <f t="shared" si="25"/>
        <v>-</v>
      </c>
      <c r="N311" s="30" t="str">
        <f t="shared" si="26"/>
        <v>-</v>
      </c>
      <c r="O311" s="31" t="str">
        <f t="shared" si="27"/>
        <v>-</v>
      </c>
      <c r="P311" s="32" t="str">
        <f t="shared" si="28"/>
        <v>-</v>
      </c>
      <c r="Q311" s="27"/>
      <c r="R311" s="32" t="str">
        <f t="shared" si="29"/>
        <v>-</v>
      </c>
    </row>
    <row r="312" spans="1:18" s="13" customFormat="1" ht="11.25" hidden="1" customHeight="1">
      <c r="A312" s="18">
        <v>102503</v>
      </c>
      <c r="B312" s="19" t="s">
        <v>331</v>
      </c>
      <c r="C312" s="20">
        <v>658010118606</v>
      </c>
      <c r="D312" s="20"/>
      <c r="E312" s="20"/>
      <c r="F312" s="26">
        <v>0.1</v>
      </c>
      <c r="G312" s="20"/>
      <c r="H312" s="14">
        <v>11.327400000000001</v>
      </c>
      <c r="I312" s="21"/>
      <c r="J312" s="14">
        <f t="shared" si="24"/>
        <v>0</v>
      </c>
      <c r="M312" s="30" t="str">
        <f t="shared" si="25"/>
        <v>-</v>
      </c>
      <c r="N312" s="30" t="str">
        <f t="shared" si="26"/>
        <v>-</v>
      </c>
      <c r="O312" s="31" t="str">
        <f t="shared" si="27"/>
        <v>-</v>
      </c>
      <c r="P312" s="32" t="str">
        <f t="shared" si="28"/>
        <v>-</v>
      </c>
      <c r="Q312" s="27"/>
      <c r="R312" s="32" t="str">
        <f t="shared" si="29"/>
        <v>-</v>
      </c>
    </row>
    <row r="313" spans="1:18" s="13" customFormat="1" ht="11.25" hidden="1" customHeight="1">
      <c r="A313" s="18">
        <v>102504</v>
      </c>
      <c r="B313" s="19" t="s">
        <v>332</v>
      </c>
      <c r="C313" s="20">
        <v>658010118613</v>
      </c>
      <c r="D313" s="20"/>
      <c r="E313" s="20"/>
      <c r="F313" s="26">
        <v>0.2</v>
      </c>
      <c r="G313" s="20"/>
      <c r="H313" s="14">
        <v>15.1074</v>
      </c>
      <c r="I313" s="21"/>
      <c r="J313" s="14">
        <f t="shared" si="24"/>
        <v>0</v>
      </c>
      <c r="M313" s="30" t="str">
        <f t="shared" si="25"/>
        <v>-</v>
      </c>
      <c r="N313" s="30" t="str">
        <f t="shared" si="26"/>
        <v>-</v>
      </c>
      <c r="O313" s="31" t="str">
        <f t="shared" si="27"/>
        <v>-</v>
      </c>
      <c r="P313" s="32" t="str">
        <f t="shared" si="28"/>
        <v>-</v>
      </c>
      <c r="Q313" s="27"/>
      <c r="R313" s="32" t="str">
        <f t="shared" si="29"/>
        <v>-</v>
      </c>
    </row>
    <row r="314" spans="1:18" s="13" customFormat="1" ht="11.25" hidden="1" customHeight="1">
      <c r="A314" s="18">
        <v>102807</v>
      </c>
      <c r="B314" s="19" t="s">
        <v>333</v>
      </c>
      <c r="C314" s="20">
        <v>658010120135</v>
      </c>
      <c r="D314" s="20"/>
      <c r="E314" s="20"/>
      <c r="F314" s="26">
        <v>0.23</v>
      </c>
      <c r="G314" s="20"/>
      <c r="H314" s="14">
        <v>27.959399999999999</v>
      </c>
      <c r="I314" s="21"/>
      <c r="J314" s="14">
        <f t="shared" si="24"/>
        <v>0</v>
      </c>
      <c r="M314" s="30" t="str">
        <f t="shared" si="25"/>
        <v>-</v>
      </c>
      <c r="N314" s="30" t="str">
        <f t="shared" si="26"/>
        <v>-</v>
      </c>
      <c r="O314" s="31" t="str">
        <f t="shared" si="27"/>
        <v>-</v>
      </c>
      <c r="P314" s="32" t="str">
        <f t="shared" si="28"/>
        <v>-</v>
      </c>
      <c r="Q314" s="27"/>
      <c r="R314" s="32" t="str">
        <f t="shared" si="29"/>
        <v>-</v>
      </c>
    </row>
    <row r="315" spans="1:18" s="13" customFormat="1" ht="11.25" hidden="1" customHeight="1">
      <c r="A315" s="18">
        <v>102830</v>
      </c>
      <c r="B315" s="19" t="s">
        <v>334</v>
      </c>
      <c r="C315" s="20">
        <v>658010120272</v>
      </c>
      <c r="D315" s="20"/>
      <c r="E315" s="20"/>
      <c r="F315" s="26">
        <v>0.34</v>
      </c>
      <c r="G315" s="20"/>
      <c r="H315" s="14">
        <v>28.715399999999995</v>
      </c>
      <c r="I315" s="21"/>
      <c r="J315" s="14">
        <f t="shared" si="24"/>
        <v>0</v>
      </c>
      <c r="M315" s="30" t="str">
        <f t="shared" si="25"/>
        <v>-</v>
      </c>
      <c r="N315" s="30" t="str">
        <f t="shared" si="26"/>
        <v>-</v>
      </c>
      <c r="O315" s="31" t="str">
        <f t="shared" si="27"/>
        <v>-</v>
      </c>
      <c r="P315" s="32" t="str">
        <f t="shared" si="28"/>
        <v>-</v>
      </c>
      <c r="Q315" s="27"/>
      <c r="R315" s="32" t="str">
        <f t="shared" si="29"/>
        <v>-</v>
      </c>
    </row>
    <row r="316" spans="1:18" s="13" customFormat="1" ht="11.25" hidden="1" customHeight="1">
      <c r="A316" s="18">
        <v>102932</v>
      </c>
      <c r="B316" s="19" t="s">
        <v>335</v>
      </c>
      <c r="C316" s="20">
        <v>658010120753</v>
      </c>
      <c r="D316" s="20"/>
      <c r="E316" s="20"/>
      <c r="F316" s="26">
        <v>0.35</v>
      </c>
      <c r="G316" s="20"/>
      <c r="H316" s="14">
        <v>28.715399999999995</v>
      </c>
      <c r="I316" s="21"/>
      <c r="J316" s="14">
        <f t="shared" si="24"/>
        <v>0</v>
      </c>
      <c r="M316" s="30" t="str">
        <f t="shared" si="25"/>
        <v>-</v>
      </c>
      <c r="N316" s="30" t="str">
        <f t="shared" si="26"/>
        <v>-</v>
      </c>
      <c r="O316" s="31" t="str">
        <f t="shared" si="27"/>
        <v>-</v>
      </c>
      <c r="P316" s="32" t="str">
        <f t="shared" si="28"/>
        <v>-</v>
      </c>
      <c r="Q316" s="27"/>
      <c r="R316" s="32" t="str">
        <f t="shared" si="29"/>
        <v>-</v>
      </c>
    </row>
    <row r="317" spans="1:18" s="13" customFormat="1" ht="11.25" hidden="1" customHeight="1">
      <c r="A317" s="18">
        <v>102835</v>
      </c>
      <c r="B317" s="19" t="s">
        <v>336</v>
      </c>
      <c r="C317" s="20">
        <v>658010120326</v>
      </c>
      <c r="D317" s="20"/>
      <c r="E317" s="20"/>
      <c r="F317" s="26">
        <v>0.34</v>
      </c>
      <c r="G317" s="20"/>
      <c r="H317" s="14">
        <v>28.715399999999995</v>
      </c>
      <c r="I317" s="21"/>
      <c r="J317" s="14">
        <f t="shared" si="24"/>
        <v>0</v>
      </c>
      <c r="M317" s="30" t="str">
        <f t="shared" si="25"/>
        <v>-</v>
      </c>
      <c r="N317" s="30" t="str">
        <f t="shared" si="26"/>
        <v>-</v>
      </c>
      <c r="O317" s="31" t="str">
        <f t="shared" si="27"/>
        <v>-</v>
      </c>
      <c r="P317" s="32" t="str">
        <f t="shared" si="28"/>
        <v>-</v>
      </c>
      <c r="Q317" s="27"/>
      <c r="R317" s="32" t="str">
        <f t="shared" si="29"/>
        <v>-</v>
      </c>
    </row>
    <row r="318" spans="1:18" s="13" customFormat="1" ht="11.25" hidden="1" customHeight="1">
      <c r="A318" s="18">
        <v>102834</v>
      </c>
      <c r="B318" s="19" t="s">
        <v>337</v>
      </c>
      <c r="C318" s="20">
        <v>658010120319</v>
      </c>
      <c r="D318" s="20"/>
      <c r="E318" s="20"/>
      <c r="F318" s="26">
        <v>0.34</v>
      </c>
      <c r="G318" s="20"/>
      <c r="H318" s="14">
        <v>28.715399999999995</v>
      </c>
      <c r="I318" s="21"/>
      <c r="J318" s="14">
        <f t="shared" si="24"/>
        <v>0</v>
      </c>
      <c r="M318" s="30" t="str">
        <f t="shared" si="25"/>
        <v>-</v>
      </c>
      <c r="N318" s="30" t="str">
        <f t="shared" si="26"/>
        <v>-</v>
      </c>
      <c r="O318" s="31" t="str">
        <f t="shared" si="27"/>
        <v>-</v>
      </c>
      <c r="P318" s="32" t="str">
        <f t="shared" si="28"/>
        <v>-</v>
      </c>
      <c r="Q318" s="27"/>
      <c r="R318" s="32" t="str">
        <f t="shared" si="29"/>
        <v>-</v>
      </c>
    </row>
    <row r="319" spans="1:18" s="13" customFormat="1" ht="11.25" hidden="1" customHeight="1">
      <c r="A319" s="18">
        <v>102833</v>
      </c>
      <c r="B319" s="19" t="s">
        <v>338</v>
      </c>
      <c r="C319" s="20">
        <v>658010120302</v>
      </c>
      <c r="D319" s="20"/>
      <c r="E319" s="20"/>
      <c r="F319" s="26">
        <v>0.35</v>
      </c>
      <c r="G319" s="20"/>
      <c r="H319" s="14">
        <v>28.715399999999995</v>
      </c>
      <c r="I319" s="21"/>
      <c r="J319" s="14">
        <f t="shared" si="24"/>
        <v>0</v>
      </c>
      <c r="M319" s="30" t="str">
        <f t="shared" si="25"/>
        <v>-</v>
      </c>
      <c r="N319" s="30" t="str">
        <f t="shared" si="26"/>
        <v>-</v>
      </c>
      <c r="O319" s="31" t="str">
        <f t="shared" si="27"/>
        <v>-</v>
      </c>
      <c r="P319" s="32" t="str">
        <f t="shared" si="28"/>
        <v>-</v>
      </c>
      <c r="Q319" s="27"/>
      <c r="R319" s="32" t="str">
        <f t="shared" si="29"/>
        <v>-</v>
      </c>
    </row>
    <row r="320" spans="1:18" s="13" customFormat="1" ht="11.25" hidden="1" customHeight="1">
      <c r="A320" s="18">
        <v>102832</v>
      </c>
      <c r="B320" s="19" t="s">
        <v>339</v>
      </c>
      <c r="C320" s="20">
        <v>658010120296</v>
      </c>
      <c r="D320" s="20"/>
      <c r="E320" s="20"/>
      <c r="F320" s="26">
        <v>0.34</v>
      </c>
      <c r="G320" s="20"/>
      <c r="H320" s="14">
        <v>28.715399999999995</v>
      </c>
      <c r="I320" s="21"/>
      <c r="J320" s="14">
        <f t="shared" si="24"/>
        <v>0</v>
      </c>
      <c r="M320" s="30" t="str">
        <f t="shared" si="25"/>
        <v>-</v>
      </c>
      <c r="N320" s="30" t="str">
        <f t="shared" si="26"/>
        <v>-</v>
      </c>
      <c r="O320" s="31" t="str">
        <f t="shared" si="27"/>
        <v>-</v>
      </c>
      <c r="P320" s="32" t="str">
        <f t="shared" si="28"/>
        <v>-</v>
      </c>
      <c r="Q320" s="27"/>
      <c r="R320" s="32" t="str">
        <f t="shared" si="29"/>
        <v>-</v>
      </c>
    </row>
    <row r="321" spans="1:18" s="13" customFormat="1" ht="11.25" hidden="1" customHeight="1">
      <c r="A321" s="18">
        <v>102831</v>
      </c>
      <c r="B321" s="19" t="s">
        <v>340</v>
      </c>
      <c r="C321" s="20">
        <v>658010120289</v>
      </c>
      <c r="D321" s="20"/>
      <c r="E321" s="20"/>
      <c r="F321" s="26">
        <v>0.34</v>
      </c>
      <c r="G321" s="20"/>
      <c r="H321" s="14">
        <v>28.715399999999995</v>
      </c>
      <c r="I321" s="21"/>
      <c r="J321" s="14">
        <f t="shared" si="24"/>
        <v>0</v>
      </c>
      <c r="M321" s="30" t="str">
        <f t="shared" si="25"/>
        <v>-</v>
      </c>
      <c r="N321" s="30" t="str">
        <f t="shared" si="26"/>
        <v>-</v>
      </c>
      <c r="O321" s="31" t="str">
        <f t="shared" si="27"/>
        <v>-</v>
      </c>
      <c r="P321" s="32" t="str">
        <f t="shared" si="28"/>
        <v>-</v>
      </c>
      <c r="Q321" s="27"/>
      <c r="R321" s="32" t="str">
        <f t="shared" si="29"/>
        <v>-</v>
      </c>
    </row>
    <row r="322" spans="1:18" s="13" customFormat="1" ht="11.25" hidden="1" customHeight="1">
      <c r="A322" s="18">
        <v>104392</v>
      </c>
      <c r="B322" s="19" t="s">
        <v>341</v>
      </c>
      <c r="C322" s="20">
        <v>658010133265</v>
      </c>
      <c r="D322" s="20"/>
      <c r="E322" s="20"/>
      <c r="F322" s="26">
        <v>0.18</v>
      </c>
      <c r="G322" s="20"/>
      <c r="H322" s="14">
        <v>18.8874</v>
      </c>
      <c r="I322" s="21"/>
      <c r="J322" s="14">
        <f t="shared" si="24"/>
        <v>0</v>
      </c>
      <c r="M322" s="30" t="str">
        <f t="shared" si="25"/>
        <v>-</v>
      </c>
      <c r="N322" s="30" t="str">
        <f t="shared" si="26"/>
        <v>-</v>
      </c>
      <c r="O322" s="31" t="str">
        <f t="shared" si="27"/>
        <v>-</v>
      </c>
      <c r="P322" s="32" t="str">
        <f t="shared" si="28"/>
        <v>-</v>
      </c>
      <c r="Q322" s="27"/>
      <c r="R322" s="32" t="str">
        <f t="shared" si="29"/>
        <v>-</v>
      </c>
    </row>
    <row r="323" spans="1:18" s="13" customFormat="1" ht="11.25" customHeight="1">
      <c r="A323" s="18">
        <v>104393</v>
      </c>
      <c r="B323" s="19" t="s">
        <v>342</v>
      </c>
      <c r="C323" s="20">
        <v>658010133272</v>
      </c>
      <c r="D323" s="20"/>
      <c r="E323" s="20"/>
      <c r="F323" s="26">
        <v>0</v>
      </c>
      <c r="G323" s="20"/>
      <c r="H323" s="14">
        <v>20.3994</v>
      </c>
      <c r="I323" s="21"/>
      <c r="J323" s="14">
        <f t="shared" ref="J323:J386" si="30">I323*H323</f>
        <v>0</v>
      </c>
      <c r="M323" s="30" t="str">
        <f t="shared" si="25"/>
        <v>-</v>
      </c>
      <c r="N323" s="30" t="str">
        <f t="shared" si="26"/>
        <v>-</v>
      </c>
      <c r="O323" s="31" t="str">
        <f t="shared" si="27"/>
        <v>-</v>
      </c>
      <c r="P323" s="32" t="str">
        <f t="shared" si="28"/>
        <v>-</v>
      </c>
      <c r="Q323" s="27"/>
      <c r="R323" s="32" t="str">
        <f t="shared" si="29"/>
        <v>-</v>
      </c>
    </row>
    <row r="324" spans="1:18" s="13" customFormat="1" ht="11.25" hidden="1" customHeight="1">
      <c r="A324" s="18">
        <v>104395</v>
      </c>
      <c r="B324" s="19" t="s">
        <v>343</v>
      </c>
      <c r="C324" s="20">
        <v>658010133296</v>
      </c>
      <c r="D324" s="20"/>
      <c r="E324" s="20"/>
      <c r="F324" s="26">
        <v>0.27</v>
      </c>
      <c r="G324" s="20"/>
      <c r="H324" s="14">
        <v>18.131399999999999</v>
      </c>
      <c r="I324" s="21"/>
      <c r="J324" s="14">
        <f t="shared" si="30"/>
        <v>0</v>
      </c>
      <c r="M324" s="30" t="str">
        <f t="shared" ref="M324:M387" si="31">IFERROR(IF($M$2*F324=0, "-", $M$2*F324), "-")</f>
        <v>-</v>
      </c>
      <c r="N324" s="30" t="str">
        <f t="shared" ref="N324:N387" si="32">IF(I324&gt;0,H324+F324*I324/$O$2*$P$2/I324,"-")</f>
        <v>-</v>
      </c>
      <c r="O324" s="31" t="str">
        <f t="shared" ref="O324:O387" si="33">IF(I324&gt;0,I324*F324*1.113, "-")</f>
        <v>-</v>
      </c>
      <c r="P324" s="32" t="str">
        <f t="shared" ref="P324:P387" si="34">IFERROR(IF($M$2&gt;0, $M$2*O324, "-"), "-")</f>
        <v>-</v>
      </c>
      <c r="Q324" s="27"/>
      <c r="R324" s="32" t="str">
        <f t="shared" ref="R324:R387" si="35">IFERROR(IF(P324+J324=0, "-", IF(P324&gt;0, P324+J324, "-")), "-")</f>
        <v>-</v>
      </c>
    </row>
    <row r="325" spans="1:18" s="13" customFormat="1" ht="11.25" hidden="1" customHeight="1">
      <c r="A325" s="18">
        <v>104396</v>
      </c>
      <c r="B325" s="19" t="s">
        <v>344</v>
      </c>
      <c r="C325" s="20">
        <v>658010133302</v>
      </c>
      <c r="D325" s="20"/>
      <c r="E325" s="20"/>
      <c r="F325" s="26">
        <v>0.25</v>
      </c>
      <c r="G325" s="20"/>
      <c r="H325" s="14">
        <v>18.131399999999999</v>
      </c>
      <c r="I325" s="21"/>
      <c r="J325" s="14">
        <f t="shared" si="30"/>
        <v>0</v>
      </c>
      <c r="M325" s="30" t="str">
        <f t="shared" si="31"/>
        <v>-</v>
      </c>
      <c r="N325" s="30" t="str">
        <f t="shared" si="32"/>
        <v>-</v>
      </c>
      <c r="O325" s="31" t="str">
        <f t="shared" si="33"/>
        <v>-</v>
      </c>
      <c r="P325" s="32" t="str">
        <f t="shared" si="34"/>
        <v>-</v>
      </c>
      <c r="Q325" s="27"/>
      <c r="R325" s="32" t="str">
        <f t="shared" si="35"/>
        <v>-</v>
      </c>
    </row>
    <row r="326" spans="1:18" s="13" customFormat="1" ht="11.25" hidden="1" customHeight="1">
      <c r="A326" s="18">
        <v>104398</v>
      </c>
      <c r="B326" s="19" t="s">
        <v>345</v>
      </c>
      <c r="C326" s="20">
        <v>658010133326</v>
      </c>
      <c r="D326" s="20"/>
      <c r="E326" s="20"/>
      <c r="F326" s="26">
        <v>0.32</v>
      </c>
      <c r="G326" s="20"/>
      <c r="H326" s="14">
        <v>18.8874</v>
      </c>
      <c r="I326" s="21"/>
      <c r="J326" s="14">
        <f t="shared" si="30"/>
        <v>0</v>
      </c>
      <c r="M326" s="30" t="str">
        <f t="shared" si="31"/>
        <v>-</v>
      </c>
      <c r="N326" s="30" t="str">
        <f t="shared" si="32"/>
        <v>-</v>
      </c>
      <c r="O326" s="31" t="str">
        <f t="shared" si="33"/>
        <v>-</v>
      </c>
      <c r="P326" s="32" t="str">
        <f t="shared" si="34"/>
        <v>-</v>
      </c>
      <c r="Q326" s="27"/>
      <c r="R326" s="32" t="str">
        <f t="shared" si="35"/>
        <v>-</v>
      </c>
    </row>
    <row r="327" spans="1:18" s="13" customFormat="1" ht="11.25" hidden="1" customHeight="1">
      <c r="A327" s="18">
        <v>104399</v>
      </c>
      <c r="B327" s="19" t="s">
        <v>346</v>
      </c>
      <c r="C327" s="20">
        <v>658010133333</v>
      </c>
      <c r="D327" s="20"/>
      <c r="E327" s="20"/>
      <c r="F327" s="26">
        <v>0.31</v>
      </c>
      <c r="G327" s="20"/>
      <c r="H327" s="14">
        <v>20.3994</v>
      </c>
      <c r="I327" s="21"/>
      <c r="J327" s="14">
        <f t="shared" si="30"/>
        <v>0</v>
      </c>
      <c r="M327" s="30" t="str">
        <f t="shared" si="31"/>
        <v>-</v>
      </c>
      <c r="N327" s="30" t="str">
        <f t="shared" si="32"/>
        <v>-</v>
      </c>
      <c r="O327" s="31" t="str">
        <f t="shared" si="33"/>
        <v>-</v>
      </c>
      <c r="P327" s="32" t="str">
        <f t="shared" si="34"/>
        <v>-</v>
      </c>
      <c r="Q327" s="27"/>
      <c r="R327" s="32" t="str">
        <f t="shared" si="35"/>
        <v>-</v>
      </c>
    </row>
    <row r="328" spans="1:18" s="13" customFormat="1" ht="11.25" hidden="1" customHeight="1">
      <c r="A328" s="18">
        <v>104400</v>
      </c>
      <c r="B328" s="19" t="s">
        <v>347</v>
      </c>
      <c r="C328" s="20">
        <v>658010133340</v>
      </c>
      <c r="D328" s="20"/>
      <c r="E328" s="20"/>
      <c r="F328" s="26">
        <v>0.34</v>
      </c>
      <c r="G328" s="20"/>
      <c r="H328" s="14">
        <v>20.3994</v>
      </c>
      <c r="I328" s="21"/>
      <c r="J328" s="14">
        <f t="shared" si="30"/>
        <v>0</v>
      </c>
      <c r="M328" s="30" t="str">
        <f t="shared" si="31"/>
        <v>-</v>
      </c>
      <c r="N328" s="30" t="str">
        <f t="shared" si="32"/>
        <v>-</v>
      </c>
      <c r="O328" s="31" t="str">
        <f t="shared" si="33"/>
        <v>-</v>
      </c>
      <c r="P328" s="32" t="str">
        <f t="shared" si="34"/>
        <v>-</v>
      </c>
      <c r="Q328" s="27"/>
      <c r="R328" s="32" t="str">
        <f t="shared" si="35"/>
        <v>-</v>
      </c>
    </row>
    <row r="329" spans="1:18" s="13" customFormat="1" ht="11.25" hidden="1" customHeight="1">
      <c r="A329" s="18">
        <v>101471</v>
      </c>
      <c r="B329" s="19" t="s">
        <v>348</v>
      </c>
      <c r="C329" s="20">
        <v>658010113663</v>
      </c>
      <c r="D329" s="20"/>
      <c r="E329" s="20"/>
      <c r="F329" s="26">
        <v>0.32</v>
      </c>
      <c r="G329" s="20"/>
      <c r="H329" s="14">
        <v>37.031399999999998</v>
      </c>
      <c r="I329" s="21"/>
      <c r="J329" s="14">
        <f t="shared" si="30"/>
        <v>0</v>
      </c>
      <c r="M329" s="30" t="str">
        <f t="shared" si="31"/>
        <v>-</v>
      </c>
      <c r="N329" s="30" t="str">
        <f t="shared" si="32"/>
        <v>-</v>
      </c>
      <c r="O329" s="31" t="str">
        <f t="shared" si="33"/>
        <v>-</v>
      </c>
      <c r="P329" s="32" t="str">
        <f t="shared" si="34"/>
        <v>-</v>
      </c>
      <c r="Q329" s="27"/>
      <c r="R329" s="32" t="str">
        <f t="shared" si="35"/>
        <v>-</v>
      </c>
    </row>
    <row r="330" spans="1:18" s="13" customFormat="1" ht="11.25" hidden="1" customHeight="1">
      <c r="A330" s="18">
        <v>101614</v>
      </c>
      <c r="B330" s="19" t="s">
        <v>349</v>
      </c>
      <c r="C330" s="20">
        <v>658010114172</v>
      </c>
      <c r="D330" s="20"/>
      <c r="E330" s="20"/>
      <c r="F330" s="26">
        <v>0.51</v>
      </c>
      <c r="G330" s="20"/>
      <c r="H330" s="14">
        <v>65.759399999999985</v>
      </c>
      <c r="I330" s="21"/>
      <c r="J330" s="14">
        <f t="shared" si="30"/>
        <v>0</v>
      </c>
      <c r="M330" s="30" t="str">
        <f t="shared" si="31"/>
        <v>-</v>
      </c>
      <c r="N330" s="30" t="str">
        <f t="shared" si="32"/>
        <v>-</v>
      </c>
      <c r="O330" s="31" t="str">
        <f t="shared" si="33"/>
        <v>-</v>
      </c>
      <c r="P330" s="32" t="str">
        <f t="shared" si="34"/>
        <v>-</v>
      </c>
      <c r="Q330" s="27"/>
      <c r="R330" s="32" t="str">
        <f t="shared" si="35"/>
        <v>-</v>
      </c>
    </row>
    <row r="331" spans="1:18" s="13" customFormat="1" ht="11.25" hidden="1" customHeight="1">
      <c r="A331" s="18">
        <v>101472</v>
      </c>
      <c r="B331" s="19" t="s">
        <v>350</v>
      </c>
      <c r="C331" s="20">
        <v>658010113670</v>
      </c>
      <c r="D331" s="20"/>
      <c r="E331" s="20"/>
      <c r="F331" s="26">
        <v>0.34</v>
      </c>
      <c r="G331" s="20"/>
      <c r="H331" s="14">
        <v>37.031399999999998</v>
      </c>
      <c r="I331" s="21"/>
      <c r="J331" s="14">
        <f t="shared" si="30"/>
        <v>0</v>
      </c>
      <c r="M331" s="30" t="str">
        <f t="shared" si="31"/>
        <v>-</v>
      </c>
      <c r="N331" s="30" t="str">
        <f t="shared" si="32"/>
        <v>-</v>
      </c>
      <c r="O331" s="31" t="str">
        <f t="shared" si="33"/>
        <v>-</v>
      </c>
      <c r="P331" s="32" t="str">
        <f t="shared" si="34"/>
        <v>-</v>
      </c>
      <c r="Q331" s="27"/>
      <c r="R331" s="32" t="str">
        <f t="shared" si="35"/>
        <v>-</v>
      </c>
    </row>
    <row r="332" spans="1:18" s="13" customFormat="1" ht="11.25" hidden="1" customHeight="1">
      <c r="A332" s="18">
        <v>101615</v>
      </c>
      <c r="B332" s="19" t="s">
        <v>351</v>
      </c>
      <c r="C332" s="20">
        <v>658010114189</v>
      </c>
      <c r="D332" s="20"/>
      <c r="E332" s="20"/>
      <c r="F332" s="26">
        <v>0.48</v>
      </c>
      <c r="G332" s="20"/>
      <c r="H332" s="14">
        <v>65.759399999999985</v>
      </c>
      <c r="I332" s="21"/>
      <c r="J332" s="14">
        <f t="shared" si="30"/>
        <v>0</v>
      </c>
      <c r="M332" s="30" t="str">
        <f t="shared" si="31"/>
        <v>-</v>
      </c>
      <c r="N332" s="30" t="str">
        <f t="shared" si="32"/>
        <v>-</v>
      </c>
      <c r="O332" s="31" t="str">
        <f t="shared" si="33"/>
        <v>-</v>
      </c>
      <c r="P332" s="32" t="str">
        <f t="shared" si="34"/>
        <v>-</v>
      </c>
      <c r="Q332" s="27"/>
      <c r="R332" s="32" t="str">
        <f t="shared" si="35"/>
        <v>-</v>
      </c>
    </row>
    <row r="333" spans="1:18" s="13" customFormat="1" ht="11.25" hidden="1" customHeight="1">
      <c r="A333" s="18">
        <v>101473</v>
      </c>
      <c r="B333" s="19" t="s">
        <v>352</v>
      </c>
      <c r="C333" s="20">
        <v>658010113687</v>
      </c>
      <c r="D333" s="20"/>
      <c r="E333" s="20"/>
      <c r="F333" s="26">
        <v>0.34</v>
      </c>
      <c r="G333" s="20"/>
      <c r="H333" s="14">
        <v>37.031399999999998</v>
      </c>
      <c r="I333" s="21"/>
      <c r="J333" s="14">
        <f t="shared" si="30"/>
        <v>0</v>
      </c>
      <c r="M333" s="30" t="str">
        <f t="shared" si="31"/>
        <v>-</v>
      </c>
      <c r="N333" s="30" t="str">
        <f t="shared" si="32"/>
        <v>-</v>
      </c>
      <c r="O333" s="31" t="str">
        <f t="shared" si="33"/>
        <v>-</v>
      </c>
      <c r="P333" s="32" t="str">
        <f t="shared" si="34"/>
        <v>-</v>
      </c>
      <c r="Q333" s="27"/>
      <c r="R333" s="32" t="str">
        <f t="shared" si="35"/>
        <v>-</v>
      </c>
    </row>
    <row r="334" spans="1:18" s="13" customFormat="1" ht="11.25" hidden="1" customHeight="1">
      <c r="A334" s="18">
        <v>101616</v>
      </c>
      <c r="B334" s="19" t="s">
        <v>353</v>
      </c>
      <c r="C334" s="20">
        <v>658010114196</v>
      </c>
      <c r="D334" s="20"/>
      <c r="E334" s="20"/>
      <c r="F334" s="26">
        <v>0.51</v>
      </c>
      <c r="G334" s="20"/>
      <c r="H334" s="14">
        <v>65.759399999999985</v>
      </c>
      <c r="I334" s="21"/>
      <c r="J334" s="14">
        <f t="shared" si="30"/>
        <v>0</v>
      </c>
      <c r="M334" s="30" t="str">
        <f t="shared" si="31"/>
        <v>-</v>
      </c>
      <c r="N334" s="30" t="str">
        <f t="shared" si="32"/>
        <v>-</v>
      </c>
      <c r="O334" s="31" t="str">
        <f t="shared" si="33"/>
        <v>-</v>
      </c>
      <c r="P334" s="32" t="str">
        <f t="shared" si="34"/>
        <v>-</v>
      </c>
      <c r="Q334" s="27"/>
      <c r="R334" s="32" t="str">
        <f t="shared" si="35"/>
        <v>-</v>
      </c>
    </row>
    <row r="335" spans="1:18" s="13" customFormat="1" ht="11.25" hidden="1" customHeight="1">
      <c r="A335" s="18">
        <v>101474</v>
      </c>
      <c r="B335" s="19" t="s">
        <v>354</v>
      </c>
      <c r="C335" s="20">
        <v>658010113694</v>
      </c>
      <c r="D335" s="20"/>
      <c r="E335" s="20"/>
      <c r="F335" s="26">
        <v>0.32</v>
      </c>
      <c r="G335" s="20"/>
      <c r="H335" s="14">
        <v>37.031399999999998</v>
      </c>
      <c r="I335" s="21"/>
      <c r="J335" s="14">
        <f t="shared" si="30"/>
        <v>0</v>
      </c>
      <c r="M335" s="30" t="str">
        <f t="shared" si="31"/>
        <v>-</v>
      </c>
      <c r="N335" s="30" t="str">
        <f t="shared" si="32"/>
        <v>-</v>
      </c>
      <c r="O335" s="31" t="str">
        <f t="shared" si="33"/>
        <v>-</v>
      </c>
      <c r="P335" s="32" t="str">
        <f t="shared" si="34"/>
        <v>-</v>
      </c>
      <c r="Q335" s="27"/>
      <c r="R335" s="32" t="str">
        <f t="shared" si="35"/>
        <v>-</v>
      </c>
    </row>
    <row r="336" spans="1:18" s="13" customFormat="1" ht="11.25" hidden="1" customHeight="1">
      <c r="A336" s="18">
        <v>101617</v>
      </c>
      <c r="B336" s="19" t="s">
        <v>355</v>
      </c>
      <c r="C336" s="20">
        <v>658010114202</v>
      </c>
      <c r="D336" s="20"/>
      <c r="E336" s="20"/>
      <c r="F336" s="26">
        <v>0.52</v>
      </c>
      <c r="G336" s="20"/>
      <c r="H336" s="14">
        <v>65.759399999999985</v>
      </c>
      <c r="I336" s="21"/>
      <c r="J336" s="14">
        <f t="shared" si="30"/>
        <v>0</v>
      </c>
      <c r="M336" s="30" t="str">
        <f t="shared" si="31"/>
        <v>-</v>
      </c>
      <c r="N336" s="30" t="str">
        <f t="shared" si="32"/>
        <v>-</v>
      </c>
      <c r="O336" s="31" t="str">
        <f t="shared" si="33"/>
        <v>-</v>
      </c>
      <c r="P336" s="32" t="str">
        <f t="shared" si="34"/>
        <v>-</v>
      </c>
      <c r="Q336" s="27"/>
      <c r="R336" s="32" t="str">
        <f t="shared" si="35"/>
        <v>-</v>
      </c>
    </row>
    <row r="337" spans="1:18" s="13" customFormat="1" ht="11.25" hidden="1" customHeight="1">
      <c r="A337" s="18">
        <v>101475</v>
      </c>
      <c r="B337" s="19" t="s">
        <v>356</v>
      </c>
      <c r="C337" s="20">
        <v>658010113700</v>
      </c>
      <c r="D337" s="20"/>
      <c r="E337" s="20"/>
      <c r="F337" s="26">
        <v>0.34</v>
      </c>
      <c r="G337" s="20"/>
      <c r="H337" s="14">
        <v>37.031399999999998</v>
      </c>
      <c r="I337" s="21"/>
      <c r="J337" s="14">
        <f t="shared" si="30"/>
        <v>0</v>
      </c>
      <c r="M337" s="30" t="str">
        <f t="shared" si="31"/>
        <v>-</v>
      </c>
      <c r="N337" s="30" t="str">
        <f t="shared" si="32"/>
        <v>-</v>
      </c>
      <c r="O337" s="31" t="str">
        <f t="shared" si="33"/>
        <v>-</v>
      </c>
      <c r="P337" s="32" t="str">
        <f t="shared" si="34"/>
        <v>-</v>
      </c>
      <c r="Q337" s="27"/>
      <c r="R337" s="32" t="str">
        <f t="shared" si="35"/>
        <v>-</v>
      </c>
    </row>
    <row r="338" spans="1:18" s="13" customFormat="1" ht="11.25" customHeight="1">
      <c r="A338" s="18">
        <v>101476</v>
      </c>
      <c r="B338" s="19" t="s">
        <v>357</v>
      </c>
      <c r="C338" s="20">
        <v>658010113717</v>
      </c>
      <c r="D338" s="20"/>
      <c r="E338" s="20"/>
      <c r="F338" s="26">
        <v>0</v>
      </c>
      <c r="G338" s="20"/>
      <c r="H338" s="14">
        <v>40.811399999999999</v>
      </c>
      <c r="I338" s="21"/>
      <c r="J338" s="14">
        <f t="shared" si="30"/>
        <v>0</v>
      </c>
      <c r="M338" s="30" t="str">
        <f t="shared" si="31"/>
        <v>-</v>
      </c>
      <c r="N338" s="30" t="str">
        <f t="shared" si="32"/>
        <v>-</v>
      </c>
      <c r="O338" s="31" t="str">
        <f t="shared" si="33"/>
        <v>-</v>
      </c>
      <c r="P338" s="32" t="str">
        <f t="shared" si="34"/>
        <v>-</v>
      </c>
      <c r="Q338" s="27"/>
      <c r="R338" s="32" t="str">
        <f t="shared" si="35"/>
        <v>-</v>
      </c>
    </row>
    <row r="339" spans="1:18" s="13" customFormat="1" ht="11.25" hidden="1" customHeight="1">
      <c r="A339" s="18">
        <v>101618</v>
      </c>
      <c r="B339" s="19" t="s">
        <v>358</v>
      </c>
      <c r="C339" s="20">
        <v>658010114219</v>
      </c>
      <c r="D339" s="20"/>
      <c r="E339" s="20"/>
      <c r="F339" s="26">
        <v>0.52</v>
      </c>
      <c r="G339" s="20"/>
      <c r="H339" s="14">
        <v>70.295399999999987</v>
      </c>
      <c r="I339" s="21"/>
      <c r="J339" s="14">
        <f t="shared" si="30"/>
        <v>0</v>
      </c>
      <c r="M339" s="30" t="str">
        <f t="shared" si="31"/>
        <v>-</v>
      </c>
      <c r="N339" s="30" t="str">
        <f t="shared" si="32"/>
        <v>-</v>
      </c>
      <c r="O339" s="31" t="str">
        <f t="shared" si="33"/>
        <v>-</v>
      </c>
      <c r="P339" s="32" t="str">
        <f t="shared" si="34"/>
        <v>-</v>
      </c>
      <c r="Q339" s="27"/>
      <c r="R339" s="32" t="str">
        <f t="shared" si="35"/>
        <v>-</v>
      </c>
    </row>
    <row r="340" spans="1:18" s="13" customFormat="1" ht="11.25" customHeight="1">
      <c r="A340" s="18">
        <v>101699</v>
      </c>
      <c r="B340" s="19" t="s">
        <v>359</v>
      </c>
      <c r="C340" s="20">
        <v>658010114325</v>
      </c>
      <c r="D340" s="20"/>
      <c r="E340" s="20"/>
      <c r="F340" s="26">
        <v>0</v>
      </c>
      <c r="G340" s="20"/>
      <c r="H340" s="14">
        <v>43.079399999999993</v>
      </c>
      <c r="I340" s="21"/>
      <c r="J340" s="14">
        <f t="shared" si="30"/>
        <v>0</v>
      </c>
      <c r="M340" s="30" t="str">
        <f t="shared" si="31"/>
        <v>-</v>
      </c>
      <c r="N340" s="30" t="str">
        <f t="shared" si="32"/>
        <v>-</v>
      </c>
      <c r="O340" s="31" t="str">
        <f t="shared" si="33"/>
        <v>-</v>
      </c>
      <c r="P340" s="32" t="str">
        <f t="shared" si="34"/>
        <v>-</v>
      </c>
      <c r="Q340" s="27"/>
      <c r="R340" s="32" t="str">
        <f t="shared" si="35"/>
        <v>-</v>
      </c>
    </row>
    <row r="341" spans="1:18" s="13" customFormat="1" ht="11.25" customHeight="1">
      <c r="A341" s="18">
        <v>101836</v>
      </c>
      <c r="B341" s="19" t="s">
        <v>360</v>
      </c>
      <c r="C341" s="20">
        <v>658010115964</v>
      </c>
      <c r="D341" s="20"/>
      <c r="E341" s="20"/>
      <c r="F341" s="26">
        <v>0</v>
      </c>
      <c r="G341" s="20"/>
      <c r="H341" s="14">
        <v>43.079399999999993</v>
      </c>
      <c r="I341" s="21"/>
      <c r="J341" s="14">
        <f t="shared" si="30"/>
        <v>0</v>
      </c>
      <c r="M341" s="30" t="str">
        <f t="shared" si="31"/>
        <v>-</v>
      </c>
      <c r="N341" s="30" t="str">
        <f t="shared" si="32"/>
        <v>-</v>
      </c>
      <c r="O341" s="31" t="str">
        <f t="shared" si="33"/>
        <v>-</v>
      </c>
      <c r="P341" s="32" t="str">
        <f t="shared" si="34"/>
        <v>-</v>
      </c>
      <c r="Q341" s="27"/>
      <c r="R341" s="32" t="str">
        <f t="shared" si="35"/>
        <v>-</v>
      </c>
    </row>
    <row r="342" spans="1:18" s="13" customFormat="1" ht="11.25" hidden="1" customHeight="1">
      <c r="A342" s="18">
        <v>101707</v>
      </c>
      <c r="B342" s="19" t="s">
        <v>361</v>
      </c>
      <c r="C342" s="20">
        <v>658010114394</v>
      </c>
      <c r="D342" s="20"/>
      <c r="E342" s="20"/>
      <c r="F342" s="26">
        <v>0.1</v>
      </c>
      <c r="G342" s="20"/>
      <c r="H342" s="14">
        <v>15.1074</v>
      </c>
      <c r="I342" s="21"/>
      <c r="J342" s="14">
        <f t="shared" si="30"/>
        <v>0</v>
      </c>
      <c r="M342" s="30" t="str">
        <f t="shared" si="31"/>
        <v>-</v>
      </c>
      <c r="N342" s="30" t="str">
        <f t="shared" si="32"/>
        <v>-</v>
      </c>
      <c r="O342" s="31" t="str">
        <f t="shared" si="33"/>
        <v>-</v>
      </c>
      <c r="P342" s="32" t="str">
        <f t="shared" si="34"/>
        <v>-</v>
      </c>
      <c r="Q342" s="27"/>
      <c r="R342" s="32" t="str">
        <f t="shared" si="35"/>
        <v>-</v>
      </c>
    </row>
    <row r="343" spans="1:18" s="13" customFormat="1" ht="11.25" hidden="1" customHeight="1">
      <c r="A343" s="18">
        <v>101708</v>
      </c>
      <c r="B343" s="19" t="s">
        <v>362</v>
      </c>
      <c r="C343" s="20">
        <v>658010114400</v>
      </c>
      <c r="D343" s="20"/>
      <c r="E343" s="20"/>
      <c r="F343" s="26">
        <v>0.19</v>
      </c>
      <c r="G343" s="20"/>
      <c r="H343" s="14">
        <v>24.935399999999998</v>
      </c>
      <c r="I343" s="21"/>
      <c r="J343" s="14">
        <f t="shared" si="30"/>
        <v>0</v>
      </c>
      <c r="M343" s="30" t="str">
        <f t="shared" si="31"/>
        <v>-</v>
      </c>
      <c r="N343" s="30" t="str">
        <f t="shared" si="32"/>
        <v>-</v>
      </c>
      <c r="O343" s="31" t="str">
        <f t="shared" si="33"/>
        <v>-</v>
      </c>
      <c r="P343" s="32" t="str">
        <f t="shared" si="34"/>
        <v>-</v>
      </c>
      <c r="Q343" s="27"/>
      <c r="R343" s="32" t="str">
        <f t="shared" si="35"/>
        <v>-</v>
      </c>
    </row>
    <row r="344" spans="1:18" s="13" customFormat="1" ht="11.25" customHeight="1">
      <c r="A344" s="18">
        <v>101810</v>
      </c>
      <c r="B344" s="19" t="s">
        <v>363</v>
      </c>
      <c r="C344" s="20">
        <v>658010115896</v>
      </c>
      <c r="D344" s="20"/>
      <c r="E344" s="20"/>
      <c r="F344" s="26">
        <v>0</v>
      </c>
      <c r="G344" s="20"/>
      <c r="H344" s="14">
        <v>18.8874</v>
      </c>
      <c r="I344" s="21"/>
      <c r="J344" s="14">
        <f t="shared" si="30"/>
        <v>0</v>
      </c>
      <c r="M344" s="30" t="str">
        <f t="shared" si="31"/>
        <v>-</v>
      </c>
      <c r="N344" s="30" t="str">
        <f t="shared" si="32"/>
        <v>-</v>
      </c>
      <c r="O344" s="31" t="str">
        <f t="shared" si="33"/>
        <v>-</v>
      </c>
      <c r="P344" s="32" t="str">
        <f t="shared" si="34"/>
        <v>-</v>
      </c>
      <c r="Q344" s="27"/>
      <c r="R344" s="32" t="str">
        <f t="shared" si="35"/>
        <v>-</v>
      </c>
    </row>
    <row r="345" spans="1:18" s="13" customFormat="1" ht="11.25" hidden="1" customHeight="1">
      <c r="A345" s="18">
        <v>101697</v>
      </c>
      <c r="B345" s="19" t="s">
        <v>364</v>
      </c>
      <c r="C345" s="20">
        <v>658010113922</v>
      </c>
      <c r="D345" s="20"/>
      <c r="E345" s="20"/>
      <c r="F345" s="26">
        <v>0.31</v>
      </c>
      <c r="G345" s="20"/>
      <c r="H345" s="14">
        <v>37.031399999999998</v>
      </c>
      <c r="I345" s="21"/>
      <c r="J345" s="14">
        <f t="shared" si="30"/>
        <v>0</v>
      </c>
      <c r="M345" s="30" t="str">
        <f t="shared" si="31"/>
        <v>-</v>
      </c>
      <c r="N345" s="30" t="str">
        <f t="shared" si="32"/>
        <v>-</v>
      </c>
      <c r="O345" s="31" t="str">
        <f t="shared" si="33"/>
        <v>-</v>
      </c>
      <c r="P345" s="32" t="str">
        <f t="shared" si="34"/>
        <v>-</v>
      </c>
      <c r="Q345" s="27"/>
      <c r="R345" s="32" t="str">
        <f t="shared" si="35"/>
        <v>-</v>
      </c>
    </row>
    <row r="346" spans="1:18" s="13" customFormat="1" ht="11.25" hidden="1" customHeight="1">
      <c r="A346" s="18">
        <v>101811</v>
      </c>
      <c r="B346" s="19" t="s">
        <v>365</v>
      </c>
      <c r="C346" s="20">
        <v>658010115902</v>
      </c>
      <c r="D346" s="20"/>
      <c r="E346" s="20"/>
      <c r="F346" s="26">
        <v>0.47</v>
      </c>
      <c r="G346" s="20"/>
      <c r="H346" s="14">
        <v>54.419400000000003</v>
      </c>
      <c r="I346" s="21"/>
      <c r="J346" s="14">
        <f t="shared" si="30"/>
        <v>0</v>
      </c>
      <c r="M346" s="30" t="str">
        <f t="shared" si="31"/>
        <v>-</v>
      </c>
      <c r="N346" s="30" t="str">
        <f t="shared" si="32"/>
        <v>-</v>
      </c>
      <c r="O346" s="31" t="str">
        <f t="shared" si="33"/>
        <v>-</v>
      </c>
      <c r="P346" s="32" t="str">
        <f t="shared" si="34"/>
        <v>-</v>
      </c>
      <c r="Q346" s="27"/>
      <c r="R346" s="32" t="str">
        <f t="shared" si="35"/>
        <v>-</v>
      </c>
    </row>
    <row r="347" spans="1:18" s="13" customFormat="1" ht="11.25" hidden="1" customHeight="1">
      <c r="A347" s="18">
        <v>101740</v>
      </c>
      <c r="B347" s="19" t="s">
        <v>366</v>
      </c>
      <c r="C347" s="20">
        <v>658010114493</v>
      </c>
      <c r="D347" s="20"/>
      <c r="E347" s="20"/>
      <c r="F347" s="26">
        <v>0.17</v>
      </c>
      <c r="G347" s="20"/>
      <c r="H347" s="14">
        <v>23.423400000000001</v>
      </c>
      <c r="I347" s="21"/>
      <c r="J347" s="14">
        <f t="shared" si="30"/>
        <v>0</v>
      </c>
      <c r="M347" s="30" t="str">
        <f t="shared" si="31"/>
        <v>-</v>
      </c>
      <c r="N347" s="30" t="str">
        <f t="shared" si="32"/>
        <v>-</v>
      </c>
      <c r="O347" s="31" t="str">
        <f t="shared" si="33"/>
        <v>-</v>
      </c>
      <c r="P347" s="32" t="str">
        <f t="shared" si="34"/>
        <v>-</v>
      </c>
      <c r="Q347" s="27"/>
      <c r="R347" s="32" t="str">
        <f t="shared" si="35"/>
        <v>-</v>
      </c>
    </row>
    <row r="348" spans="1:18" s="13" customFormat="1" ht="11.25" hidden="1" customHeight="1">
      <c r="A348" s="18">
        <v>101655</v>
      </c>
      <c r="B348" s="19" t="s">
        <v>367</v>
      </c>
      <c r="C348" s="20">
        <v>658010114028</v>
      </c>
      <c r="D348" s="20"/>
      <c r="E348" s="20"/>
      <c r="F348" s="26">
        <v>0.31</v>
      </c>
      <c r="G348" s="20"/>
      <c r="H348" s="14">
        <v>32.495399999999997</v>
      </c>
      <c r="I348" s="21"/>
      <c r="J348" s="14">
        <f t="shared" si="30"/>
        <v>0</v>
      </c>
      <c r="M348" s="30" t="str">
        <f t="shared" si="31"/>
        <v>-</v>
      </c>
      <c r="N348" s="30" t="str">
        <f t="shared" si="32"/>
        <v>-</v>
      </c>
      <c r="O348" s="31" t="str">
        <f t="shared" si="33"/>
        <v>-</v>
      </c>
      <c r="P348" s="32" t="str">
        <f t="shared" si="34"/>
        <v>-</v>
      </c>
      <c r="Q348" s="27"/>
      <c r="R348" s="32" t="str">
        <f t="shared" si="35"/>
        <v>-</v>
      </c>
    </row>
    <row r="349" spans="1:18" s="13" customFormat="1" ht="11.25" customHeight="1">
      <c r="A349" s="18">
        <v>101741</v>
      </c>
      <c r="B349" s="19" t="s">
        <v>368</v>
      </c>
      <c r="C349" s="20">
        <v>658010115506</v>
      </c>
      <c r="D349" s="20"/>
      <c r="E349" s="20"/>
      <c r="F349" s="26">
        <v>0</v>
      </c>
      <c r="G349" s="20"/>
      <c r="H349" s="14">
        <v>23.423400000000001</v>
      </c>
      <c r="I349" s="21"/>
      <c r="J349" s="14">
        <f t="shared" si="30"/>
        <v>0</v>
      </c>
      <c r="M349" s="30" t="str">
        <f t="shared" si="31"/>
        <v>-</v>
      </c>
      <c r="N349" s="30" t="str">
        <f t="shared" si="32"/>
        <v>-</v>
      </c>
      <c r="O349" s="31" t="str">
        <f t="shared" si="33"/>
        <v>-</v>
      </c>
      <c r="P349" s="32" t="str">
        <f t="shared" si="34"/>
        <v>-</v>
      </c>
      <c r="Q349" s="27"/>
      <c r="R349" s="32" t="str">
        <f t="shared" si="35"/>
        <v>-</v>
      </c>
    </row>
    <row r="350" spans="1:18" s="13" customFormat="1" ht="11.25" hidden="1" customHeight="1">
      <c r="A350" s="18">
        <v>101656</v>
      </c>
      <c r="B350" s="19" t="s">
        <v>369</v>
      </c>
      <c r="C350" s="20">
        <v>658010114035</v>
      </c>
      <c r="D350" s="20"/>
      <c r="E350" s="20"/>
      <c r="F350" s="26">
        <v>0.3</v>
      </c>
      <c r="G350" s="20"/>
      <c r="H350" s="14">
        <v>32.495399999999997</v>
      </c>
      <c r="I350" s="21"/>
      <c r="J350" s="14">
        <f t="shared" si="30"/>
        <v>0</v>
      </c>
      <c r="M350" s="30" t="str">
        <f t="shared" si="31"/>
        <v>-</v>
      </c>
      <c r="N350" s="30" t="str">
        <f t="shared" si="32"/>
        <v>-</v>
      </c>
      <c r="O350" s="31" t="str">
        <f t="shared" si="33"/>
        <v>-</v>
      </c>
      <c r="P350" s="32" t="str">
        <f t="shared" si="34"/>
        <v>-</v>
      </c>
      <c r="Q350" s="27"/>
      <c r="R350" s="32" t="str">
        <f t="shared" si="35"/>
        <v>-</v>
      </c>
    </row>
    <row r="351" spans="1:18" s="13" customFormat="1" ht="11.25" hidden="1" customHeight="1">
      <c r="A351" s="18">
        <v>101657</v>
      </c>
      <c r="B351" s="19" t="s">
        <v>370</v>
      </c>
      <c r="C351" s="20">
        <v>658010114011</v>
      </c>
      <c r="D351" s="20"/>
      <c r="E351" s="20"/>
      <c r="F351" s="26">
        <v>0.52</v>
      </c>
      <c r="G351" s="20"/>
      <c r="H351" s="14">
        <v>51.395399999999995</v>
      </c>
      <c r="I351" s="21"/>
      <c r="J351" s="14">
        <f t="shared" si="30"/>
        <v>0</v>
      </c>
      <c r="M351" s="30" t="str">
        <f t="shared" si="31"/>
        <v>-</v>
      </c>
      <c r="N351" s="30" t="str">
        <f t="shared" si="32"/>
        <v>-</v>
      </c>
      <c r="O351" s="31" t="str">
        <f t="shared" si="33"/>
        <v>-</v>
      </c>
      <c r="P351" s="32" t="str">
        <f t="shared" si="34"/>
        <v>-</v>
      </c>
      <c r="Q351" s="27"/>
      <c r="R351" s="32" t="str">
        <f t="shared" si="35"/>
        <v>-</v>
      </c>
    </row>
    <row r="352" spans="1:18" s="13" customFormat="1" ht="11.25" hidden="1" customHeight="1">
      <c r="A352" s="18">
        <v>101506</v>
      </c>
      <c r="B352" s="19" t="s">
        <v>371</v>
      </c>
      <c r="C352" s="20">
        <v>658010113793</v>
      </c>
      <c r="D352" s="20"/>
      <c r="E352" s="20"/>
      <c r="F352" s="26">
        <v>0.16</v>
      </c>
      <c r="G352" s="20"/>
      <c r="H352" s="14">
        <v>14.3514</v>
      </c>
      <c r="I352" s="21"/>
      <c r="J352" s="14">
        <f t="shared" si="30"/>
        <v>0</v>
      </c>
      <c r="M352" s="30" t="str">
        <f t="shared" si="31"/>
        <v>-</v>
      </c>
      <c r="N352" s="30" t="str">
        <f t="shared" si="32"/>
        <v>-</v>
      </c>
      <c r="O352" s="31" t="str">
        <f t="shared" si="33"/>
        <v>-</v>
      </c>
      <c r="P352" s="32" t="str">
        <f t="shared" si="34"/>
        <v>-</v>
      </c>
      <c r="Q352" s="27"/>
      <c r="R352" s="32" t="str">
        <f t="shared" si="35"/>
        <v>-</v>
      </c>
    </row>
    <row r="353" spans="1:18" s="13" customFormat="1" ht="11.25" hidden="1" customHeight="1">
      <c r="A353" s="18">
        <v>101507</v>
      </c>
      <c r="B353" s="19" t="s">
        <v>372</v>
      </c>
      <c r="C353" s="20">
        <v>658010113809</v>
      </c>
      <c r="D353" s="20"/>
      <c r="E353" s="20"/>
      <c r="F353" s="26">
        <v>0.19</v>
      </c>
      <c r="G353" s="20"/>
      <c r="H353" s="14">
        <v>18.131399999999999</v>
      </c>
      <c r="I353" s="21"/>
      <c r="J353" s="14">
        <f t="shared" si="30"/>
        <v>0</v>
      </c>
      <c r="M353" s="30" t="str">
        <f t="shared" si="31"/>
        <v>-</v>
      </c>
      <c r="N353" s="30" t="str">
        <f t="shared" si="32"/>
        <v>-</v>
      </c>
      <c r="O353" s="31" t="str">
        <f t="shared" si="33"/>
        <v>-</v>
      </c>
      <c r="P353" s="32" t="str">
        <f t="shared" si="34"/>
        <v>-</v>
      </c>
      <c r="Q353" s="27"/>
      <c r="R353" s="32" t="str">
        <f t="shared" si="35"/>
        <v>-</v>
      </c>
    </row>
    <row r="354" spans="1:18" s="13" customFormat="1" ht="11.25" hidden="1" customHeight="1">
      <c r="A354" s="18">
        <v>102005</v>
      </c>
      <c r="B354" s="19" t="s">
        <v>373</v>
      </c>
      <c r="C354" s="20">
        <v>658010116503</v>
      </c>
      <c r="D354" s="20"/>
      <c r="E354" s="20"/>
      <c r="F354" s="26">
        <v>0.31</v>
      </c>
      <c r="G354" s="20"/>
      <c r="H354" s="14">
        <v>30.9834</v>
      </c>
      <c r="I354" s="21"/>
      <c r="J354" s="14">
        <f t="shared" si="30"/>
        <v>0</v>
      </c>
      <c r="M354" s="30" t="str">
        <f t="shared" si="31"/>
        <v>-</v>
      </c>
      <c r="N354" s="30" t="str">
        <f t="shared" si="32"/>
        <v>-</v>
      </c>
      <c r="O354" s="31" t="str">
        <f t="shared" si="33"/>
        <v>-</v>
      </c>
      <c r="P354" s="32" t="str">
        <f t="shared" si="34"/>
        <v>-</v>
      </c>
      <c r="Q354" s="27"/>
      <c r="R354" s="32" t="str">
        <f t="shared" si="35"/>
        <v>-</v>
      </c>
    </row>
    <row r="355" spans="1:18" s="13" customFormat="1" ht="11.25" hidden="1" customHeight="1">
      <c r="A355" s="18">
        <v>101508</v>
      </c>
      <c r="B355" s="19" t="s">
        <v>374</v>
      </c>
      <c r="C355" s="20">
        <v>658010113816</v>
      </c>
      <c r="D355" s="20"/>
      <c r="E355" s="20"/>
      <c r="F355" s="26">
        <v>0.2</v>
      </c>
      <c r="G355" s="20"/>
      <c r="H355" s="14">
        <v>16.619399999999999</v>
      </c>
      <c r="I355" s="21"/>
      <c r="J355" s="14">
        <f t="shared" si="30"/>
        <v>0</v>
      </c>
      <c r="M355" s="30" t="str">
        <f t="shared" si="31"/>
        <v>-</v>
      </c>
      <c r="N355" s="30" t="str">
        <f t="shared" si="32"/>
        <v>-</v>
      </c>
      <c r="O355" s="31" t="str">
        <f t="shared" si="33"/>
        <v>-</v>
      </c>
      <c r="P355" s="32" t="str">
        <f t="shared" si="34"/>
        <v>-</v>
      </c>
      <c r="Q355" s="27"/>
      <c r="R355" s="32" t="str">
        <f t="shared" si="35"/>
        <v>-</v>
      </c>
    </row>
    <row r="356" spans="1:18" s="13" customFormat="1" ht="11.25" hidden="1" customHeight="1">
      <c r="A356" s="18">
        <v>102010</v>
      </c>
      <c r="B356" s="19" t="s">
        <v>375</v>
      </c>
      <c r="C356" s="20">
        <v>658010116558</v>
      </c>
      <c r="D356" s="20"/>
      <c r="E356" s="20"/>
      <c r="F356" s="26">
        <v>0.34</v>
      </c>
      <c r="G356" s="20"/>
      <c r="H356" s="14">
        <v>28.715399999999995</v>
      </c>
      <c r="I356" s="21"/>
      <c r="J356" s="14">
        <f t="shared" si="30"/>
        <v>0</v>
      </c>
      <c r="M356" s="30" t="str">
        <f t="shared" si="31"/>
        <v>-</v>
      </c>
      <c r="N356" s="30" t="str">
        <f t="shared" si="32"/>
        <v>-</v>
      </c>
      <c r="O356" s="31" t="str">
        <f t="shared" si="33"/>
        <v>-</v>
      </c>
      <c r="P356" s="32" t="str">
        <f t="shared" si="34"/>
        <v>-</v>
      </c>
      <c r="Q356" s="27"/>
      <c r="R356" s="32" t="str">
        <f t="shared" si="35"/>
        <v>-</v>
      </c>
    </row>
    <row r="357" spans="1:18" s="13" customFormat="1" ht="11.25" hidden="1" customHeight="1">
      <c r="A357" s="18">
        <v>101658</v>
      </c>
      <c r="B357" s="19" t="s">
        <v>376</v>
      </c>
      <c r="C357" s="20">
        <v>658010113915</v>
      </c>
      <c r="D357" s="20"/>
      <c r="E357" s="20"/>
      <c r="F357" s="26">
        <v>0.25</v>
      </c>
      <c r="G357" s="20"/>
      <c r="H357" s="14">
        <v>24.179400000000001</v>
      </c>
      <c r="I357" s="21"/>
      <c r="J357" s="14">
        <f t="shared" si="30"/>
        <v>0</v>
      </c>
      <c r="M357" s="30" t="str">
        <f t="shared" si="31"/>
        <v>-</v>
      </c>
      <c r="N357" s="30" t="str">
        <f t="shared" si="32"/>
        <v>-</v>
      </c>
      <c r="O357" s="31" t="str">
        <f t="shared" si="33"/>
        <v>-</v>
      </c>
      <c r="P357" s="32" t="str">
        <f t="shared" si="34"/>
        <v>-</v>
      </c>
      <c r="Q357" s="27"/>
      <c r="R357" s="32" t="str">
        <f t="shared" si="35"/>
        <v>-</v>
      </c>
    </row>
    <row r="358" spans="1:18" s="13" customFormat="1" ht="11.25" hidden="1" customHeight="1">
      <c r="A358" s="18">
        <v>101659</v>
      </c>
      <c r="B358" s="19" t="s">
        <v>377</v>
      </c>
      <c r="C358" s="20">
        <v>658010113908</v>
      </c>
      <c r="D358" s="20"/>
      <c r="E358" s="20"/>
      <c r="F358" s="26">
        <v>0.39</v>
      </c>
      <c r="G358" s="20"/>
      <c r="H358" s="14">
        <v>42.323400000000007</v>
      </c>
      <c r="I358" s="21"/>
      <c r="J358" s="14">
        <f t="shared" si="30"/>
        <v>0</v>
      </c>
      <c r="M358" s="30" t="str">
        <f t="shared" si="31"/>
        <v>-</v>
      </c>
      <c r="N358" s="30" t="str">
        <f t="shared" si="32"/>
        <v>-</v>
      </c>
      <c r="O358" s="31" t="str">
        <f t="shared" si="33"/>
        <v>-</v>
      </c>
      <c r="P358" s="32" t="str">
        <f t="shared" si="34"/>
        <v>-</v>
      </c>
      <c r="Q358" s="27"/>
      <c r="R358" s="32" t="str">
        <f t="shared" si="35"/>
        <v>-</v>
      </c>
    </row>
    <row r="359" spans="1:18" s="13" customFormat="1" ht="11.25" hidden="1" customHeight="1">
      <c r="A359" s="18">
        <v>101605</v>
      </c>
      <c r="B359" s="19" t="s">
        <v>378</v>
      </c>
      <c r="C359" s="20">
        <v>658010114134</v>
      </c>
      <c r="D359" s="20"/>
      <c r="E359" s="20"/>
      <c r="F359" s="26">
        <v>0.18</v>
      </c>
      <c r="G359" s="20"/>
      <c r="H359" s="14">
        <v>18.131399999999999</v>
      </c>
      <c r="I359" s="21"/>
      <c r="J359" s="14">
        <f t="shared" si="30"/>
        <v>0</v>
      </c>
      <c r="M359" s="30" t="str">
        <f t="shared" si="31"/>
        <v>-</v>
      </c>
      <c r="N359" s="30" t="str">
        <f t="shared" si="32"/>
        <v>-</v>
      </c>
      <c r="O359" s="31" t="str">
        <f t="shared" si="33"/>
        <v>-</v>
      </c>
      <c r="P359" s="32" t="str">
        <f t="shared" si="34"/>
        <v>-</v>
      </c>
      <c r="Q359" s="27"/>
      <c r="R359" s="32" t="str">
        <f t="shared" si="35"/>
        <v>-</v>
      </c>
    </row>
    <row r="360" spans="1:18" s="13" customFormat="1" ht="11.25" hidden="1" customHeight="1">
      <c r="A360" s="18">
        <v>102011</v>
      </c>
      <c r="B360" s="19" t="s">
        <v>379</v>
      </c>
      <c r="C360" s="20">
        <v>658010116565</v>
      </c>
      <c r="D360" s="20"/>
      <c r="E360" s="20"/>
      <c r="F360" s="26">
        <v>0.32</v>
      </c>
      <c r="G360" s="20"/>
      <c r="H360" s="14">
        <v>30.9834</v>
      </c>
      <c r="I360" s="21"/>
      <c r="J360" s="14">
        <f t="shared" si="30"/>
        <v>0</v>
      </c>
      <c r="M360" s="30" t="str">
        <f t="shared" si="31"/>
        <v>-</v>
      </c>
      <c r="N360" s="30" t="str">
        <f t="shared" si="32"/>
        <v>-</v>
      </c>
      <c r="O360" s="31" t="str">
        <f t="shared" si="33"/>
        <v>-</v>
      </c>
      <c r="P360" s="32" t="str">
        <f t="shared" si="34"/>
        <v>-</v>
      </c>
      <c r="Q360" s="27"/>
      <c r="R360" s="32" t="str">
        <f t="shared" si="35"/>
        <v>-</v>
      </c>
    </row>
    <row r="361" spans="1:18" s="13" customFormat="1" ht="11.25" hidden="1" customHeight="1">
      <c r="A361" s="18">
        <v>101806</v>
      </c>
      <c r="B361" s="19" t="s">
        <v>380</v>
      </c>
      <c r="C361" s="20">
        <v>658010115865</v>
      </c>
      <c r="D361" s="20"/>
      <c r="E361" s="20"/>
      <c r="F361" s="26">
        <v>0.18</v>
      </c>
      <c r="G361" s="20"/>
      <c r="H361" s="14">
        <v>22.667399999999997</v>
      </c>
      <c r="I361" s="21"/>
      <c r="J361" s="14">
        <f t="shared" si="30"/>
        <v>0</v>
      </c>
      <c r="M361" s="30" t="str">
        <f t="shared" si="31"/>
        <v>-</v>
      </c>
      <c r="N361" s="30" t="str">
        <f t="shared" si="32"/>
        <v>-</v>
      </c>
      <c r="O361" s="31" t="str">
        <f t="shared" si="33"/>
        <v>-</v>
      </c>
      <c r="P361" s="32" t="str">
        <f t="shared" si="34"/>
        <v>-</v>
      </c>
      <c r="Q361" s="27"/>
      <c r="R361" s="32" t="str">
        <f t="shared" si="35"/>
        <v>-</v>
      </c>
    </row>
    <row r="362" spans="1:18" s="13" customFormat="1" ht="11.25" hidden="1" customHeight="1">
      <c r="A362" s="18">
        <v>101504</v>
      </c>
      <c r="B362" s="19" t="s">
        <v>381</v>
      </c>
      <c r="C362" s="20">
        <v>658010113779</v>
      </c>
      <c r="D362" s="20"/>
      <c r="E362" s="20"/>
      <c r="F362" s="26">
        <v>0.2</v>
      </c>
      <c r="G362" s="20"/>
      <c r="H362" s="14">
        <v>23.423400000000001</v>
      </c>
      <c r="I362" s="21"/>
      <c r="J362" s="14">
        <f t="shared" si="30"/>
        <v>0</v>
      </c>
      <c r="M362" s="30" t="str">
        <f t="shared" si="31"/>
        <v>-</v>
      </c>
      <c r="N362" s="30" t="str">
        <f t="shared" si="32"/>
        <v>-</v>
      </c>
      <c r="O362" s="31" t="str">
        <f t="shared" si="33"/>
        <v>-</v>
      </c>
      <c r="P362" s="32" t="str">
        <f t="shared" si="34"/>
        <v>-</v>
      </c>
      <c r="Q362" s="27"/>
      <c r="R362" s="32" t="str">
        <f t="shared" si="35"/>
        <v>-</v>
      </c>
    </row>
    <row r="363" spans="1:18" s="13" customFormat="1" ht="11.25" hidden="1" customHeight="1">
      <c r="A363" s="18">
        <v>102009</v>
      </c>
      <c r="B363" s="19" t="s">
        <v>382</v>
      </c>
      <c r="C363" s="20">
        <v>658010116541</v>
      </c>
      <c r="D363" s="20"/>
      <c r="E363" s="20"/>
      <c r="F363" s="26">
        <v>0.2</v>
      </c>
      <c r="G363" s="20"/>
      <c r="H363" s="14">
        <v>14.3514</v>
      </c>
      <c r="I363" s="21"/>
      <c r="J363" s="14">
        <f t="shared" si="30"/>
        <v>0</v>
      </c>
      <c r="M363" s="30" t="str">
        <f t="shared" si="31"/>
        <v>-</v>
      </c>
      <c r="N363" s="30" t="str">
        <f t="shared" si="32"/>
        <v>-</v>
      </c>
      <c r="O363" s="31" t="str">
        <f t="shared" si="33"/>
        <v>-</v>
      </c>
      <c r="P363" s="32" t="str">
        <f t="shared" si="34"/>
        <v>-</v>
      </c>
      <c r="Q363" s="27"/>
      <c r="R363" s="32" t="str">
        <f t="shared" si="35"/>
        <v>-</v>
      </c>
    </row>
    <row r="364" spans="1:18" s="13" customFormat="1" ht="11.25" hidden="1" customHeight="1">
      <c r="A364" s="18">
        <v>101503</v>
      </c>
      <c r="B364" s="19" t="s">
        <v>383</v>
      </c>
      <c r="C364" s="20">
        <v>658010113762</v>
      </c>
      <c r="D364" s="20"/>
      <c r="E364" s="20"/>
      <c r="F364" s="26">
        <v>0.18</v>
      </c>
      <c r="G364" s="20"/>
      <c r="H364" s="14">
        <v>14.3514</v>
      </c>
      <c r="I364" s="21"/>
      <c r="J364" s="14">
        <f t="shared" si="30"/>
        <v>0</v>
      </c>
      <c r="M364" s="30" t="str">
        <f t="shared" si="31"/>
        <v>-</v>
      </c>
      <c r="N364" s="30" t="str">
        <f t="shared" si="32"/>
        <v>-</v>
      </c>
      <c r="O364" s="31" t="str">
        <f t="shared" si="33"/>
        <v>-</v>
      </c>
      <c r="P364" s="32" t="str">
        <f t="shared" si="34"/>
        <v>-</v>
      </c>
      <c r="Q364" s="27"/>
      <c r="R364" s="32" t="str">
        <f t="shared" si="35"/>
        <v>-</v>
      </c>
    </row>
    <row r="365" spans="1:18" s="13" customFormat="1" ht="11.25" hidden="1" customHeight="1">
      <c r="A365" s="18">
        <v>102006</v>
      </c>
      <c r="B365" s="19" t="s">
        <v>384</v>
      </c>
      <c r="C365" s="20">
        <v>658010116510</v>
      </c>
      <c r="D365" s="20"/>
      <c r="E365" s="20"/>
      <c r="F365" s="26">
        <v>0.2</v>
      </c>
      <c r="G365" s="20"/>
      <c r="H365" s="14">
        <v>25.691400000000002</v>
      </c>
      <c r="I365" s="21"/>
      <c r="J365" s="14">
        <f t="shared" si="30"/>
        <v>0</v>
      </c>
      <c r="M365" s="30" t="str">
        <f t="shared" si="31"/>
        <v>-</v>
      </c>
      <c r="N365" s="30" t="str">
        <f t="shared" si="32"/>
        <v>-</v>
      </c>
      <c r="O365" s="31" t="str">
        <f t="shared" si="33"/>
        <v>-</v>
      </c>
      <c r="P365" s="32" t="str">
        <f t="shared" si="34"/>
        <v>-</v>
      </c>
      <c r="Q365" s="27"/>
      <c r="R365" s="32" t="str">
        <f t="shared" si="35"/>
        <v>-</v>
      </c>
    </row>
    <row r="366" spans="1:18" s="13" customFormat="1" ht="11.25" customHeight="1">
      <c r="A366" s="18">
        <v>101534</v>
      </c>
      <c r="B366" s="19" t="s">
        <v>385</v>
      </c>
      <c r="C366" s="20">
        <v>658010113939</v>
      </c>
      <c r="D366" s="20"/>
      <c r="E366" s="20"/>
      <c r="F366" s="26">
        <v>0</v>
      </c>
      <c r="G366" s="20"/>
      <c r="H366" s="14">
        <v>27.959399999999999</v>
      </c>
      <c r="I366" s="21"/>
      <c r="J366" s="14">
        <f t="shared" si="30"/>
        <v>0</v>
      </c>
      <c r="M366" s="30" t="str">
        <f t="shared" si="31"/>
        <v>-</v>
      </c>
      <c r="N366" s="30" t="str">
        <f t="shared" si="32"/>
        <v>-</v>
      </c>
      <c r="O366" s="31" t="str">
        <f t="shared" si="33"/>
        <v>-</v>
      </c>
      <c r="P366" s="32" t="str">
        <f t="shared" si="34"/>
        <v>-</v>
      </c>
      <c r="Q366" s="27"/>
      <c r="R366" s="32" t="str">
        <f t="shared" si="35"/>
        <v>-</v>
      </c>
    </row>
    <row r="367" spans="1:18" s="13" customFormat="1" ht="11.25" hidden="1" customHeight="1">
      <c r="A367" s="18">
        <v>102007</v>
      </c>
      <c r="B367" s="19" t="s">
        <v>386</v>
      </c>
      <c r="C367" s="20">
        <v>658010116527</v>
      </c>
      <c r="D367" s="20"/>
      <c r="E367" s="20"/>
      <c r="F367" s="26">
        <v>0.19</v>
      </c>
      <c r="G367" s="20"/>
      <c r="H367" s="14">
        <v>12.083399999999999</v>
      </c>
      <c r="I367" s="21"/>
      <c r="J367" s="14">
        <f t="shared" si="30"/>
        <v>0</v>
      </c>
      <c r="M367" s="30" t="str">
        <f t="shared" si="31"/>
        <v>-</v>
      </c>
      <c r="N367" s="30" t="str">
        <f t="shared" si="32"/>
        <v>-</v>
      </c>
      <c r="O367" s="31" t="str">
        <f t="shared" si="33"/>
        <v>-</v>
      </c>
      <c r="P367" s="32" t="str">
        <f t="shared" si="34"/>
        <v>-</v>
      </c>
      <c r="Q367" s="27"/>
      <c r="R367" s="32" t="str">
        <f t="shared" si="35"/>
        <v>-</v>
      </c>
    </row>
    <row r="368" spans="1:18" s="13" customFormat="1" ht="11.25" hidden="1" customHeight="1">
      <c r="A368" s="18">
        <v>101813</v>
      </c>
      <c r="B368" s="19" t="s">
        <v>387</v>
      </c>
      <c r="C368" s="20">
        <v>658010115926</v>
      </c>
      <c r="D368" s="20"/>
      <c r="E368" s="20"/>
      <c r="F368" s="26">
        <v>0.21</v>
      </c>
      <c r="G368" s="20"/>
      <c r="H368" s="14">
        <v>45.347400000000007</v>
      </c>
      <c r="I368" s="21"/>
      <c r="J368" s="14">
        <f t="shared" si="30"/>
        <v>0</v>
      </c>
      <c r="M368" s="30" t="str">
        <f t="shared" si="31"/>
        <v>-</v>
      </c>
      <c r="N368" s="30" t="str">
        <f t="shared" si="32"/>
        <v>-</v>
      </c>
      <c r="O368" s="31" t="str">
        <f t="shared" si="33"/>
        <v>-</v>
      </c>
      <c r="P368" s="32" t="str">
        <f t="shared" si="34"/>
        <v>-</v>
      </c>
      <c r="Q368" s="27"/>
      <c r="R368" s="32" t="str">
        <f t="shared" si="35"/>
        <v>-</v>
      </c>
    </row>
    <row r="369" spans="1:18" s="13" customFormat="1" ht="11.25" hidden="1" customHeight="1">
      <c r="A369" s="18">
        <v>101812</v>
      </c>
      <c r="B369" s="19" t="s">
        <v>388</v>
      </c>
      <c r="C369" s="20">
        <v>658010115919</v>
      </c>
      <c r="D369" s="20"/>
      <c r="E369" s="20"/>
      <c r="F369" s="26">
        <v>0.2</v>
      </c>
      <c r="G369" s="20"/>
      <c r="H369" s="14">
        <v>45.347400000000007</v>
      </c>
      <c r="I369" s="21"/>
      <c r="J369" s="14">
        <f t="shared" si="30"/>
        <v>0</v>
      </c>
      <c r="M369" s="30" t="str">
        <f t="shared" si="31"/>
        <v>-</v>
      </c>
      <c r="N369" s="30" t="str">
        <f t="shared" si="32"/>
        <v>-</v>
      </c>
      <c r="O369" s="31" t="str">
        <f t="shared" si="33"/>
        <v>-</v>
      </c>
      <c r="P369" s="32" t="str">
        <f t="shared" si="34"/>
        <v>-</v>
      </c>
      <c r="Q369" s="27"/>
      <c r="R369" s="32" t="str">
        <f t="shared" si="35"/>
        <v>-</v>
      </c>
    </row>
    <row r="370" spans="1:18" s="13" customFormat="1" ht="11.25" customHeight="1">
      <c r="A370" s="18">
        <v>101287</v>
      </c>
      <c r="B370" s="19" t="s">
        <v>389</v>
      </c>
      <c r="C370" s="20">
        <v>658010113335</v>
      </c>
      <c r="D370" s="20"/>
      <c r="E370" s="20"/>
      <c r="F370" s="26">
        <v>0</v>
      </c>
      <c r="G370" s="20"/>
      <c r="H370" s="14">
        <v>47.615400000000001</v>
      </c>
      <c r="I370" s="21"/>
      <c r="J370" s="14">
        <f t="shared" si="30"/>
        <v>0</v>
      </c>
      <c r="M370" s="30" t="str">
        <f t="shared" si="31"/>
        <v>-</v>
      </c>
      <c r="N370" s="30" t="str">
        <f t="shared" si="32"/>
        <v>-</v>
      </c>
      <c r="O370" s="31" t="str">
        <f t="shared" si="33"/>
        <v>-</v>
      </c>
      <c r="P370" s="32" t="str">
        <f t="shared" si="34"/>
        <v>-</v>
      </c>
      <c r="Q370" s="27"/>
      <c r="R370" s="32" t="str">
        <f t="shared" si="35"/>
        <v>-</v>
      </c>
    </row>
    <row r="371" spans="1:18" s="13" customFormat="1" ht="11.25" hidden="1" customHeight="1">
      <c r="A371" s="18">
        <v>101501</v>
      </c>
      <c r="B371" s="19" t="s">
        <v>390</v>
      </c>
      <c r="C371" s="20">
        <v>658010113755</v>
      </c>
      <c r="D371" s="20"/>
      <c r="E371" s="20"/>
      <c r="F371" s="26">
        <v>0.11</v>
      </c>
      <c r="G371" s="20"/>
      <c r="H371" s="14">
        <v>74.831400000000002</v>
      </c>
      <c r="I371" s="21"/>
      <c r="J371" s="14">
        <f t="shared" si="30"/>
        <v>0</v>
      </c>
      <c r="M371" s="30" t="str">
        <f t="shared" si="31"/>
        <v>-</v>
      </c>
      <c r="N371" s="30" t="str">
        <f t="shared" si="32"/>
        <v>-</v>
      </c>
      <c r="O371" s="31" t="str">
        <f t="shared" si="33"/>
        <v>-</v>
      </c>
      <c r="P371" s="32" t="str">
        <f t="shared" si="34"/>
        <v>-</v>
      </c>
      <c r="Q371" s="27"/>
      <c r="R371" s="32" t="str">
        <f t="shared" si="35"/>
        <v>-</v>
      </c>
    </row>
    <row r="372" spans="1:18" s="13" customFormat="1" ht="11.25" hidden="1" customHeight="1">
      <c r="A372" s="18">
        <v>101628</v>
      </c>
      <c r="B372" s="19" t="s">
        <v>391</v>
      </c>
      <c r="C372" s="20">
        <v>310539029305</v>
      </c>
      <c r="D372" s="20"/>
      <c r="E372" s="20"/>
      <c r="F372" s="26">
        <v>0.09</v>
      </c>
      <c r="G372" s="20"/>
      <c r="H372" s="14">
        <v>34.007399999999997</v>
      </c>
      <c r="I372" s="21"/>
      <c r="J372" s="14">
        <f t="shared" si="30"/>
        <v>0</v>
      </c>
      <c r="M372" s="30" t="str">
        <f t="shared" si="31"/>
        <v>-</v>
      </c>
      <c r="N372" s="30" t="str">
        <f t="shared" si="32"/>
        <v>-</v>
      </c>
      <c r="O372" s="31" t="str">
        <f t="shared" si="33"/>
        <v>-</v>
      </c>
      <c r="P372" s="32" t="str">
        <f t="shared" si="34"/>
        <v>-</v>
      </c>
      <c r="Q372" s="27"/>
      <c r="R372" s="32" t="str">
        <f t="shared" si="35"/>
        <v>-</v>
      </c>
    </row>
    <row r="373" spans="1:18" s="13" customFormat="1" ht="11.25" customHeight="1">
      <c r="A373" s="18">
        <v>101627</v>
      </c>
      <c r="B373" s="19" t="s">
        <v>392</v>
      </c>
      <c r="C373" s="20">
        <v>310539029299</v>
      </c>
      <c r="D373" s="20"/>
      <c r="E373" s="20"/>
      <c r="F373" s="26">
        <v>0</v>
      </c>
      <c r="G373" s="20"/>
      <c r="H373" s="14">
        <v>57.443400000000004</v>
      </c>
      <c r="I373" s="21"/>
      <c r="J373" s="14">
        <f t="shared" si="30"/>
        <v>0</v>
      </c>
      <c r="M373" s="30" t="str">
        <f t="shared" si="31"/>
        <v>-</v>
      </c>
      <c r="N373" s="30" t="str">
        <f t="shared" si="32"/>
        <v>-</v>
      </c>
      <c r="O373" s="31" t="str">
        <f t="shared" si="33"/>
        <v>-</v>
      </c>
      <c r="P373" s="32" t="str">
        <f t="shared" si="34"/>
        <v>-</v>
      </c>
      <c r="Q373" s="27"/>
      <c r="R373" s="32" t="str">
        <f t="shared" si="35"/>
        <v>-</v>
      </c>
    </row>
    <row r="374" spans="1:18" s="13" customFormat="1" ht="11.25" customHeight="1">
      <c r="A374" s="18">
        <v>101626</v>
      </c>
      <c r="B374" s="19" t="s">
        <v>393</v>
      </c>
      <c r="C374" s="20">
        <v>310539029343</v>
      </c>
      <c r="D374" s="20"/>
      <c r="E374" s="20"/>
      <c r="F374" s="26">
        <v>0</v>
      </c>
      <c r="G374" s="20"/>
      <c r="H374" s="14">
        <v>110.3634</v>
      </c>
      <c r="I374" s="21"/>
      <c r="J374" s="14">
        <f t="shared" si="30"/>
        <v>0</v>
      </c>
      <c r="M374" s="30" t="str">
        <f t="shared" si="31"/>
        <v>-</v>
      </c>
      <c r="N374" s="30" t="str">
        <f t="shared" si="32"/>
        <v>-</v>
      </c>
      <c r="O374" s="31" t="str">
        <f t="shared" si="33"/>
        <v>-</v>
      </c>
      <c r="P374" s="32" t="str">
        <f t="shared" si="34"/>
        <v>-</v>
      </c>
      <c r="Q374" s="27"/>
      <c r="R374" s="32" t="str">
        <f t="shared" si="35"/>
        <v>-</v>
      </c>
    </row>
    <row r="375" spans="1:18" s="13" customFormat="1" ht="11.25" customHeight="1">
      <c r="A375" s="18">
        <v>101625</v>
      </c>
      <c r="B375" s="19" t="s">
        <v>394</v>
      </c>
      <c r="C375" s="20">
        <v>310539029282</v>
      </c>
      <c r="D375" s="20"/>
      <c r="E375" s="20"/>
      <c r="F375" s="26">
        <v>0</v>
      </c>
      <c r="G375" s="20"/>
      <c r="H375" s="14">
        <v>182.18339999999998</v>
      </c>
      <c r="I375" s="21"/>
      <c r="J375" s="14">
        <f t="shared" si="30"/>
        <v>0</v>
      </c>
      <c r="M375" s="30" t="str">
        <f t="shared" si="31"/>
        <v>-</v>
      </c>
      <c r="N375" s="30" t="str">
        <f t="shared" si="32"/>
        <v>-</v>
      </c>
      <c r="O375" s="31" t="str">
        <f t="shared" si="33"/>
        <v>-</v>
      </c>
      <c r="P375" s="32" t="str">
        <f t="shared" si="34"/>
        <v>-</v>
      </c>
      <c r="Q375" s="27"/>
      <c r="R375" s="32" t="str">
        <f t="shared" si="35"/>
        <v>-</v>
      </c>
    </row>
    <row r="376" spans="1:18" s="13" customFormat="1" ht="11.25" customHeight="1">
      <c r="A376" s="18">
        <v>101565</v>
      </c>
      <c r="B376" s="19" t="s">
        <v>395</v>
      </c>
      <c r="C376" s="20">
        <v>658010114042</v>
      </c>
      <c r="D376" s="20"/>
      <c r="E376" s="20"/>
      <c r="F376" s="26">
        <v>0</v>
      </c>
      <c r="G376" s="20"/>
      <c r="H376" s="14">
        <v>27.959399999999999</v>
      </c>
      <c r="I376" s="21"/>
      <c r="J376" s="14">
        <f t="shared" si="30"/>
        <v>0</v>
      </c>
      <c r="M376" s="30" t="str">
        <f t="shared" si="31"/>
        <v>-</v>
      </c>
      <c r="N376" s="30" t="str">
        <f t="shared" si="32"/>
        <v>-</v>
      </c>
      <c r="O376" s="31" t="str">
        <f t="shared" si="33"/>
        <v>-</v>
      </c>
      <c r="P376" s="32" t="str">
        <f t="shared" si="34"/>
        <v>-</v>
      </c>
      <c r="Q376" s="27"/>
      <c r="R376" s="32" t="str">
        <f t="shared" si="35"/>
        <v>-</v>
      </c>
    </row>
    <row r="377" spans="1:18" s="13" customFormat="1" ht="11.25" hidden="1" customHeight="1">
      <c r="A377" s="18">
        <v>100004</v>
      </c>
      <c r="B377" s="19" t="s">
        <v>396</v>
      </c>
      <c r="C377" s="20">
        <v>658010111362</v>
      </c>
      <c r="D377" s="20"/>
      <c r="E377" s="20"/>
      <c r="F377" s="26">
        <v>0.39</v>
      </c>
      <c r="G377" s="20"/>
      <c r="H377" s="14">
        <v>15.863399999999999</v>
      </c>
      <c r="I377" s="21"/>
      <c r="J377" s="14">
        <f t="shared" si="30"/>
        <v>0</v>
      </c>
      <c r="M377" s="30" t="str">
        <f t="shared" si="31"/>
        <v>-</v>
      </c>
      <c r="N377" s="30" t="str">
        <f t="shared" si="32"/>
        <v>-</v>
      </c>
      <c r="O377" s="31" t="str">
        <f t="shared" si="33"/>
        <v>-</v>
      </c>
      <c r="P377" s="32" t="str">
        <f t="shared" si="34"/>
        <v>-</v>
      </c>
      <c r="Q377" s="27"/>
      <c r="R377" s="32" t="str">
        <f t="shared" si="35"/>
        <v>-</v>
      </c>
    </row>
    <row r="378" spans="1:18" s="13" customFormat="1" ht="11.25" customHeight="1">
      <c r="A378" s="18">
        <v>101100</v>
      </c>
      <c r="B378" s="19" t="s">
        <v>397</v>
      </c>
      <c r="C378" s="20">
        <v>658010112383</v>
      </c>
      <c r="D378" s="20"/>
      <c r="E378" s="20"/>
      <c r="F378" s="26">
        <v>0</v>
      </c>
      <c r="G378" s="20"/>
      <c r="H378" s="14">
        <v>32.495399999999997</v>
      </c>
      <c r="I378" s="21"/>
      <c r="J378" s="14">
        <f t="shared" si="30"/>
        <v>0</v>
      </c>
      <c r="M378" s="30" t="str">
        <f t="shared" si="31"/>
        <v>-</v>
      </c>
      <c r="N378" s="30" t="str">
        <f t="shared" si="32"/>
        <v>-</v>
      </c>
      <c r="O378" s="31" t="str">
        <f t="shared" si="33"/>
        <v>-</v>
      </c>
      <c r="P378" s="32" t="str">
        <f t="shared" si="34"/>
        <v>-</v>
      </c>
      <c r="Q378" s="27"/>
      <c r="R378" s="32" t="str">
        <f t="shared" si="35"/>
        <v>-</v>
      </c>
    </row>
    <row r="379" spans="1:18" s="13" customFormat="1" ht="11.25" customHeight="1">
      <c r="A379" s="18">
        <v>101124</v>
      </c>
      <c r="B379" s="19" t="s">
        <v>398</v>
      </c>
      <c r="C379" s="20">
        <v>658010112543</v>
      </c>
      <c r="D379" s="20"/>
      <c r="E379" s="20"/>
      <c r="F379" s="26">
        <v>0</v>
      </c>
      <c r="G379" s="20"/>
      <c r="H379" s="14">
        <v>47.615400000000001</v>
      </c>
      <c r="I379" s="21"/>
      <c r="J379" s="14">
        <f t="shared" si="30"/>
        <v>0</v>
      </c>
      <c r="M379" s="30" t="str">
        <f t="shared" si="31"/>
        <v>-</v>
      </c>
      <c r="N379" s="30" t="str">
        <f t="shared" si="32"/>
        <v>-</v>
      </c>
      <c r="O379" s="31" t="str">
        <f t="shared" si="33"/>
        <v>-</v>
      </c>
      <c r="P379" s="32" t="str">
        <f t="shared" si="34"/>
        <v>-</v>
      </c>
      <c r="Q379" s="27"/>
      <c r="R379" s="32" t="str">
        <f t="shared" si="35"/>
        <v>-</v>
      </c>
    </row>
    <row r="380" spans="1:18" s="13" customFormat="1" ht="11.25" customHeight="1">
      <c r="A380" s="18">
        <v>100064</v>
      </c>
      <c r="B380" s="19" t="s">
        <v>399</v>
      </c>
      <c r="C380" s="20">
        <v>658010111225</v>
      </c>
      <c r="D380" s="20"/>
      <c r="E380" s="20"/>
      <c r="F380" s="26">
        <v>0</v>
      </c>
      <c r="G380" s="20"/>
      <c r="H380" s="14">
        <v>38.543399999999998</v>
      </c>
      <c r="I380" s="21"/>
      <c r="J380" s="14">
        <f t="shared" si="30"/>
        <v>0</v>
      </c>
      <c r="M380" s="30" t="str">
        <f t="shared" si="31"/>
        <v>-</v>
      </c>
      <c r="N380" s="30" t="str">
        <f t="shared" si="32"/>
        <v>-</v>
      </c>
      <c r="O380" s="31" t="str">
        <f t="shared" si="33"/>
        <v>-</v>
      </c>
      <c r="P380" s="32" t="str">
        <f t="shared" si="34"/>
        <v>-</v>
      </c>
      <c r="Q380" s="27"/>
      <c r="R380" s="32" t="str">
        <f t="shared" si="35"/>
        <v>-</v>
      </c>
    </row>
    <row r="381" spans="1:18" s="13" customFormat="1" ht="11.25" customHeight="1">
      <c r="A381" s="18">
        <v>100063</v>
      </c>
      <c r="B381" s="19" t="s">
        <v>400</v>
      </c>
      <c r="C381" s="20">
        <v>658010111553</v>
      </c>
      <c r="D381" s="20"/>
      <c r="E381" s="20"/>
      <c r="F381" s="26">
        <v>0</v>
      </c>
      <c r="G381" s="20"/>
      <c r="H381" s="14">
        <v>64.247399999999999</v>
      </c>
      <c r="I381" s="21"/>
      <c r="J381" s="14">
        <f t="shared" si="30"/>
        <v>0</v>
      </c>
      <c r="M381" s="30" t="str">
        <f t="shared" si="31"/>
        <v>-</v>
      </c>
      <c r="N381" s="30" t="str">
        <f t="shared" si="32"/>
        <v>-</v>
      </c>
      <c r="O381" s="31" t="str">
        <f t="shared" si="33"/>
        <v>-</v>
      </c>
      <c r="P381" s="32" t="str">
        <f t="shared" si="34"/>
        <v>-</v>
      </c>
      <c r="Q381" s="27"/>
      <c r="R381" s="32" t="str">
        <f t="shared" si="35"/>
        <v>-</v>
      </c>
    </row>
    <row r="382" spans="1:18" s="13" customFormat="1" ht="11.25" customHeight="1">
      <c r="A382" s="18">
        <v>101125</v>
      </c>
      <c r="B382" s="19" t="s">
        <v>401</v>
      </c>
      <c r="C382" s="20">
        <v>658010112550</v>
      </c>
      <c r="D382" s="20"/>
      <c r="E382" s="20"/>
      <c r="F382" s="26">
        <v>0</v>
      </c>
      <c r="G382" s="20"/>
      <c r="H382" s="14">
        <v>58.19939999999999</v>
      </c>
      <c r="I382" s="21"/>
      <c r="J382" s="14">
        <f t="shared" si="30"/>
        <v>0</v>
      </c>
      <c r="M382" s="30" t="str">
        <f t="shared" si="31"/>
        <v>-</v>
      </c>
      <c r="N382" s="30" t="str">
        <f t="shared" si="32"/>
        <v>-</v>
      </c>
      <c r="O382" s="31" t="str">
        <f t="shared" si="33"/>
        <v>-</v>
      </c>
      <c r="P382" s="32" t="str">
        <f t="shared" si="34"/>
        <v>-</v>
      </c>
      <c r="Q382" s="27"/>
      <c r="R382" s="32" t="str">
        <f t="shared" si="35"/>
        <v>-</v>
      </c>
    </row>
    <row r="383" spans="1:18" s="13" customFormat="1" ht="11.25" customHeight="1">
      <c r="A383" s="18">
        <v>101701</v>
      </c>
      <c r="B383" s="19" t="s">
        <v>402</v>
      </c>
      <c r="C383" s="20">
        <v>658010114349</v>
      </c>
      <c r="D383" s="20"/>
      <c r="E383" s="20"/>
      <c r="F383" s="26">
        <v>0</v>
      </c>
      <c r="G383" s="20"/>
      <c r="H383" s="14">
        <v>40.811399999999999</v>
      </c>
      <c r="I383" s="21"/>
      <c r="J383" s="14">
        <f t="shared" si="30"/>
        <v>0</v>
      </c>
      <c r="M383" s="30" t="str">
        <f t="shared" si="31"/>
        <v>-</v>
      </c>
      <c r="N383" s="30" t="str">
        <f t="shared" si="32"/>
        <v>-</v>
      </c>
      <c r="O383" s="31" t="str">
        <f t="shared" si="33"/>
        <v>-</v>
      </c>
      <c r="P383" s="32" t="str">
        <f t="shared" si="34"/>
        <v>-</v>
      </c>
      <c r="Q383" s="27"/>
      <c r="R383" s="32" t="str">
        <f t="shared" si="35"/>
        <v>-</v>
      </c>
    </row>
    <row r="384" spans="1:18" s="13" customFormat="1" ht="11.25" customHeight="1">
      <c r="A384" s="18">
        <v>101700</v>
      </c>
      <c r="B384" s="19" t="s">
        <v>403</v>
      </c>
      <c r="C384" s="20">
        <v>658010114332</v>
      </c>
      <c r="D384" s="20"/>
      <c r="E384" s="20"/>
      <c r="F384" s="26">
        <v>0</v>
      </c>
      <c r="G384" s="20"/>
      <c r="H384" s="14">
        <v>40.055399999999999</v>
      </c>
      <c r="I384" s="21"/>
      <c r="J384" s="14">
        <f t="shared" si="30"/>
        <v>0</v>
      </c>
      <c r="M384" s="30" t="str">
        <f t="shared" si="31"/>
        <v>-</v>
      </c>
      <c r="N384" s="30" t="str">
        <f t="shared" si="32"/>
        <v>-</v>
      </c>
      <c r="O384" s="31" t="str">
        <f t="shared" si="33"/>
        <v>-</v>
      </c>
      <c r="P384" s="32" t="str">
        <f t="shared" si="34"/>
        <v>-</v>
      </c>
      <c r="Q384" s="27"/>
      <c r="R384" s="32" t="str">
        <f t="shared" si="35"/>
        <v>-</v>
      </c>
    </row>
    <row r="385" spans="1:18" s="13" customFormat="1" ht="11.25" customHeight="1">
      <c r="A385" s="18">
        <v>101702</v>
      </c>
      <c r="B385" s="19" t="s">
        <v>404</v>
      </c>
      <c r="C385" s="20">
        <v>658010114356</v>
      </c>
      <c r="D385" s="20"/>
      <c r="E385" s="20"/>
      <c r="F385" s="26">
        <v>0</v>
      </c>
      <c r="G385" s="20"/>
      <c r="H385" s="14">
        <v>13.5954</v>
      </c>
      <c r="I385" s="21"/>
      <c r="J385" s="14">
        <f t="shared" si="30"/>
        <v>0</v>
      </c>
      <c r="M385" s="30" t="str">
        <f t="shared" si="31"/>
        <v>-</v>
      </c>
      <c r="N385" s="30" t="str">
        <f t="shared" si="32"/>
        <v>-</v>
      </c>
      <c r="O385" s="31" t="str">
        <f t="shared" si="33"/>
        <v>-</v>
      </c>
      <c r="P385" s="32" t="str">
        <f t="shared" si="34"/>
        <v>-</v>
      </c>
      <c r="Q385" s="27"/>
      <c r="R385" s="32" t="str">
        <f t="shared" si="35"/>
        <v>-</v>
      </c>
    </row>
    <row r="386" spans="1:18" s="13" customFormat="1" ht="11.25" customHeight="1">
      <c r="A386" s="18">
        <v>101805</v>
      </c>
      <c r="B386" s="19" t="s">
        <v>405</v>
      </c>
      <c r="C386" s="20">
        <v>658010115858</v>
      </c>
      <c r="D386" s="20"/>
      <c r="E386" s="20"/>
      <c r="F386" s="26">
        <v>0</v>
      </c>
      <c r="G386" s="20"/>
      <c r="H386" s="14">
        <v>21.155399999999997</v>
      </c>
      <c r="I386" s="21"/>
      <c r="J386" s="14">
        <f t="shared" si="30"/>
        <v>0</v>
      </c>
      <c r="M386" s="30" t="str">
        <f t="shared" si="31"/>
        <v>-</v>
      </c>
      <c r="N386" s="30" t="str">
        <f t="shared" si="32"/>
        <v>-</v>
      </c>
      <c r="O386" s="31" t="str">
        <f t="shared" si="33"/>
        <v>-</v>
      </c>
      <c r="P386" s="32" t="str">
        <f t="shared" si="34"/>
        <v>-</v>
      </c>
      <c r="Q386" s="27"/>
      <c r="R386" s="32" t="str">
        <f t="shared" si="35"/>
        <v>-</v>
      </c>
    </row>
    <row r="387" spans="1:18" s="13" customFormat="1" ht="11.25" hidden="1" customHeight="1">
      <c r="A387" s="18">
        <v>101109</v>
      </c>
      <c r="B387" s="19" t="s">
        <v>406</v>
      </c>
      <c r="C387" s="20">
        <v>658010111485</v>
      </c>
      <c r="D387" s="20"/>
      <c r="E387" s="20"/>
      <c r="F387" s="26">
        <v>0.14000000000000001</v>
      </c>
      <c r="G387" s="20"/>
      <c r="H387" s="14">
        <v>18.131399999999999</v>
      </c>
      <c r="I387" s="21"/>
      <c r="J387" s="14">
        <f t="shared" ref="J387:J450" si="36">I387*H387</f>
        <v>0</v>
      </c>
      <c r="M387" s="30" t="str">
        <f t="shared" si="31"/>
        <v>-</v>
      </c>
      <c r="N387" s="30" t="str">
        <f t="shared" si="32"/>
        <v>-</v>
      </c>
      <c r="O387" s="31" t="str">
        <f t="shared" si="33"/>
        <v>-</v>
      </c>
      <c r="P387" s="32" t="str">
        <f t="shared" si="34"/>
        <v>-</v>
      </c>
      <c r="Q387" s="27"/>
      <c r="R387" s="32" t="str">
        <f t="shared" si="35"/>
        <v>-</v>
      </c>
    </row>
    <row r="388" spans="1:18" s="13" customFormat="1" ht="11.25" hidden="1" customHeight="1">
      <c r="A388" s="18">
        <v>101156</v>
      </c>
      <c r="B388" s="19" t="s">
        <v>407</v>
      </c>
      <c r="C388" s="20">
        <v>658010112635</v>
      </c>
      <c r="D388" s="20"/>
      <c r="E388" s="20"/>
      <c r="F388" s="26">
        <v>0.2</v>
      </c>
      <c r="G388" s="20"/>
      <c r="H388" s="14">
        <v>23.423400000000001</v>
      </c>
      <c r="I388" s="21"/>
      <c r="J388" s="14">
        <f t="shared" si="36"/>
        <v>0</v>
      </c>
      <c r="M388" s="30" t="str">
        <f t="shared" ref="M388:M451" si="37">IFERROR(IF($M$2*F388=0, "-", $M$2*F388), "-")</f>
        <v>-</v>
      </c>
      <c r="N388" s="30" t="str">
        <f t="shared" ref="N388:N451" si="38">IF(I388&gt;0,H388+F388*I388/$O$2*$P$2/I388,"-")</f>
        <v>-</v>
      </c>
      <c r="O388" s="31" t="str">
        <f t="shared" ref="O388:O451" si="39">IF(I388&gt;0,I388*F388*1.113, "-")</f>
        <v>-</v>
      </c>
      <c r="P388" s="32" t="str">
        <f t="shared" ref="P388:P451" si="40">IFERROR(IF($M$2&gt;0, $M$2*O388, "-"), "-")</f>
        <v>-</v>
      </c>
      <c r="Q388" s="27"/>
      <c r="R388" s="32" t="str">
        <f t="shared" ref="R388:R451" si="41">IFERROR(IF(P388+J388=0, "-", IF(P388&gt;0, P388+J388, "-")), "-")</f>
        <v>-</v>
      </c>
    </row>
    <row r="389" spans="1:18" s="13" customFormat="1" ht="11.25" hidden="1" customHeight="1">
      <c r="A389" s="18">
        <v>103354</v>
      </c>
      <c r="B389" s="19" t="s">
        <v>408</v>
      </c>
      <c r="C389" s="20">
        <v>658010123518</v>
      </c>
      <c r="D389" s="20"/>
      <c r="E389" s="20"/>
      <c r="F389" s="26">
        <v>0</v>
      </c>
      <c r="G389" s="20"/>
      <c r="H389" s="14" t="s">
        <v>478</v>
      </c>
      <c r="I389" s="17"/>
      <c r="J389" s="14">
        <v>0</v>
      </c>
      <c r="M389" s="30" t="str">
        <f t="shared" si="37"/>
        <v>-</v>
      </c>
      <c r="N389" s="30" t="str">
        <f t="shared" si="38"/>
        <v>-</v>
      </c>
      <c r="O389" s="31" t="str">
        <f t="shared" si="39"/>
        <v>-</v>
      </c>
      <c r="P389" s="32" t="str">
        <f t="shared" si="40"/>
        <v>-</v>
      </c>
      <c r="Q389" s="27"/>
      <c r="R389" s="32" t="str">
        <f t="shared" si="41"/>
        <v>-</v>
      </c>
    </row>
    <row r="390" spans="1:18" s="13" customFormat="1" ht="11.25" hidden="1" customHeight="1">
      <c r="A390" s="18">
        <v>103355</v>
      </c>
      <c r="B390" s="19" t="s">
        <v>409</v>
      </c>
      <c r="C390" s="20">
        <v>658010123525</v>
      </c>
      <c r="D390" s="20"/>
      <c r="E390" s="20"/>
      <c r="F390" s="26">
        <v>0</v>
      </c>
      <c r="G390" s="20"/>
      <c r="H390" s="14" t="s">
        <v>478</v>
      </c>
      <c r="I390" s="17"/>
      <c r="J390" s="14">
        <v>0</v>
      </c>
      <c r="M390" s="30" t="str">
        <f t="shared" si="37"/>
        <v>-</v>
      </c>
      <c r="N390" s="30" t="str">
        <f t="shared" si="38"/>
        <v>-</v>
      </c>
      <c r="O390" s="31" t="str">
        <f t="shared" si="39"/>
        <v>-</v>
      </c>
      <c r="P390" s="32" t="str">
        <f t="shared" si="40"/>
        <v>-</v>
      </c>
      <c r="Q390" s="27"/>
      <c r="R390" s="32" t="str">
        <f t="shared" si="41"/>
        <v>-</v>
      </c>
    </row>
    <row r="391" spans="1:18" s="13" customFormat="1" ht="11.25" hidden="1" customHeight="1">
      <c r="A391" s="18">
        <v>103356</v>
      </c>
      <c r="B391" s="19" t="s">
        <v>410</v>
      </c>
      <c r="C391" s="20">
        <v>658010123532</v>
      </c>
      <c r="D391" s="20"/>
      <c r="E391" s="20"/>
      <c r="F391" s="26">
        <v>0</v>
      </c>
      <c r="G391" s="20"/>
      <c r="H391" s="14" t="s">
        <v>478</v>
      </c>
      <c r="I391" s="17"/>
      <c r="J391" s="14">
        <v>0</v>
      </c>
      <c r="M391" s="30" t="str">
        <f t="shared" si="37"/>
        <v>-</v>
      </c>
      <c r="N391" s="30" t="str">
        <f t="shared" si="38"/>
        <v>-</v>
      </c>
      <c r="O391" s="31" t="str">
        <f t="shared" si="39"/>
        <v>-</v>
      </c>
      <c r="P391" s="32" t="str">
        <f t="shared" si="40"/>
        <v>-</v>
      </c>
      <c r="Q391" s="27"/>
      <c r="R391" s="32" t="str">
        <f t="shared" si="41"/>
        <v>-</v>
      </c>
    </row>
    <row r="392" spans="1:18" s="13" customFormat="1" ht="11.25" hidden="1" customHeight="1">
      <c r="A392" s="18">
        <v>103357</v>
      </c>
      <c r="B392" s="19" t="s">
        <v>411</v>
      </c>
      <c r="C392" s="20">
        <v>658010123549</v>
      </c>
      <c r="D392" s="20"/>
      <c r="E392" s="20"/>
      <c r="F392" s="26">
        <v>0</v>
      </c>
      <c r="G392" s="20"/>
      <c r="H392" s="14" t="s">
        <v>478</v>
      </c>
      <c r="I392" s="17"/>
      <c r="J392" s="14">
        <v>0</v>
      </c>
      <c r="M392" s="30" t="str">
        <f t="shared" si="37"/>
        <v>-</v>
      </c>
      <c r="N392" s="30" t="str">
        <f t="shared" si="38"/>
        <v>-</v>
      </c>
      <c r="O392" s="31" t="str">
        <f t="shared" si="39"/>
        <v>-</v>
      </c>
      <c r="P392" s="32" t="str">
        <f t="shared" si="40"/>
        <v>-</v>
      </c>
      <c r="Q392" s="27"/>
      <c r="R392" s="32" t="str">
        <f t="shared" si="41"/>
        <v>-</v>
      </c>
    </row>
    <row r="393" spans="1:18" s="13" customFormat="1" ht="11.25" hidden="1" customHeight="1">
      <c r="A393" s="18">
        <v>103358</v>
      </c>
      <c r="B393" s="19" t="s">
        <v>412</v>
      </c>
      <c r="C393" s="20">
        <v>658010123556</v>
      </c>
      <c r="D393" s="20"/>
      <c r="E393" s="20"/>
      <c r="F393" s="26">
        <v>0</v>
      </c>
      <c r="G393" s="20"/>
      <c r="H393" s="14" t="s">
        <v>478</v>
      </c>
      <c r="I393" s="17"/>
      <c r="J393" s="14">
        <v>0</v>
      </c>
      <c r="M393" s="30" t="str">
        <f t="shared" si="37"/>
        <v>-</v>
      </c>
      <c r="N393" s="30" t="str">
        <f t="shared" si="38"/>
        <v>-</v>
      </c>
      <c r="O393" s="31" t="str">
        <f t="shared" si="39"/>
        <v>-</v>
      </c>
      <c r="P393" s="32" t="str">
        <f t="shared" si="40"/>
        <v>-</v>
      </c>
      <c r="Q393" s="27"/>
      <c r="R393" s="32" t="str">
        <f t="shared" si="41"/>
        <v>-</v>
      </c>
    </row>
    <row r="394" spans="1:18" s="13" customFormat="1" ht="11.25" hidden="1" customHeight="1">
      <c r="A394" s="18">
        <v>103359</v>
      </c>
      <c r="B394" s="19" t="s">
        <v>413</v>
      </c>
      <c r="C394" s="20">
        <v>658010123563</v>
      </c>
      <c r="D394" s="20"/>
      <c r="E394" s="20"/>
      <c r="F394" s="26">
        <v>0</v>
      </c>
      <c r="G394" s="20"/>
      <c r="H394" s="14" t="s">
        <v>478</v>
      </c>
      <c r="I394" s="17"/>
      <c r="J394" s="14">
        <v>0</v>
      </c>
      <c r="M394" s="30" t="str">
        <f t="shared" si="37"/>
        <v>-</v>
      </c>
      <c r="N394" s="30" t="str">
        <f t="shared" si="38"/>
        <v>-</v>
      </c>
      <c r="O394" s="31" t="str">
        <f t="shared" si="39"/>
        <v>-</v>
      </c>
      <c r="P394" s="32" t="str">
        <f t="shared" si="40"/>
        <v>-</v>
      </c>
      <c r="Q394" s="27"/>
      <c r="R394" s="32" t="str">
        <f t="shared" si="41"/>
        <v>-</v>
      </c>
    </row>
    <row r="395" spans="1:18" s="13" customFormat="1" ht="11.25" hidden="1" customHeight="1">
      <c r="A395" s="18">
        <v>103360</v>
      </c>
      <c r="B395" s="19" t="s">
        <v>414</v>
      </c>
      <c r="C395" s="20">
        <v>658010123570</v>
      </c>
      <c r="D395" s="20"/>
      <c r="E395" s="20"/>
      <c r="F395" s="26">
        <v>0</v>
      </c>
      <c r="G395" s="20"/>
      <c r="H395" s="14" t="s">
        <v>478</v>
      </c>
      <c r="I395" s="17"/>
      <c r="J395" s="14">
        <v>0</v>
      </c>
      <c r="M395" s="30" t="str">
        <f t="shared" si="37"/>
        <v>-</v>
      </c>
      <c r="N395" s="30" t="str">
        <f t="shared" si="38"/>
        <v>-</v>
      </c>
      <c r="O395" s="31" t="str">
        <f t="shared" si="39"/>
        <v>-</v>
      </c>
      <c r="P395" s="32" t="str">
        <f t="shared" si="40"/>
        <v>-</v>
      </c>
      <c r="Q395" s="27"/>
      <c r="R395" s="32" t="str">
        <f t="shared" si="41"/>
        <v>-</v>
      </c>
    </row>
    <row r="396" spans="1:18" s="13" customFormat="1" ht="11.25" hidden="1" customHeight="1">
      <c r="A396" s="18">
        <v>103361</v>
      </c>
      <c r="B396" s="19" t="s">
        <v>415</v>
      </c>
      <c r="C396" s="20">
        <v>658010123587</v>
      </c>
      <c r="D396" s="20"/>
      <c r="E396" s="20"/>
      <c r="F396" s="26">
        <v>0</v>
      </c>
      <c r="G396" s="20"/>
      <c r="H396" s="14" t="s">
        <v>478</v>
      </c>
      <c r="I396" s="17"/>
      <c r="J396" s="14">
        <v>0</v>
      </c>
      <c r="M396" s="30" t="str">
        <f t="shared" si="37"/>
        <v>-</v>
      </c>
      <c r="N396" s="30" t="str">
        <f t="shared" si="38"/>
        <v>-</v>
      </c>
      <c r="O396" s="31" t="str">
        <f t="shared" si="39"/>
        <v>-</v>
      </c>
      <c r="P396" s="32" t="str">
        <f t="shared" si="40"/>
        <v>-</v>
      </c>
      <c r="Q396" s="27"/>
      <c r="R396" s="32" t="str">
        <f t="shared" si="41"/>
        <v>-</v>
      </c>
    </row>
    <row r="397" spans="1:18" s="13" customFormat="1" ht="11.25" hidden="1" customHeight="1">
      <c r="A397" s="18">
        <v>103362</v>
      </c>
      <c r="B397" s="19" t="s">
        <v>416</v>
      </c>
      <c r="C397" s="20">
        <v>658010123594</v>
      </c>
      <c r="D397" s="20"/>
      <c r="E397" s="20"/>
      <c r="F397" s="26">
        <v>0</v>
      </c>
      <c r="G397" s="20"/>
      <c r="H397" s="14" t="s">
        <v>478</v>
      </c>
      <c r="I397" s="17"/>
      <c r="J397" s="14">
        <v>0</v>
      </c>
      <c r="M397" s="30" t="str">
        <f t="shared" si="37"/>
        <v>-</v>
      </c>
      <c r="N397" s="30" t="str">
        <f t="shared" si="38"/>
        <v>-</v>
      </c>
      <c r="O397" s="31" t="str">
        <f t="shared" si="39"/>
        <v>-</v>
      </c>
      <c r="P397" s="32" t="str">
        <f t="shared" si="40"/>
        <v>-</v>
      </c>
      <c r="Q397" s="27"/>
      <c r="R397" s="32" t="str">
        <f t="shared" si="41"/>
        <v>-</v>
      </c>
    </row>
    <row r="398" spans="1:18" s="13" customFormat="1" ht="11.25" hidden="1" customHeight="1">
      <c r="A398" s="18">
        <v>103363</v>
      </c>
      <c r="B398" s="19" t="s">
        <v>417</v>
      </c>
      <c r="C398" s="20">
        <v>658010123600</v>
      </c>
      <c r="D398" s="20"/>
      <c r="E398" s="20"/>
      <c r="F398" s="26">
        <v>0</v>
      </c>
      <c r="G398" s="20"/>
      <c r="H398" s="14" t="s">
        <v>478</v>
      </c>
      <c r="I398" s="17"/>
      <c r="J398" s="14">
        <v>0</v>
      </c>
      <c r="M398" s="30" t="str">
        <f t="shared" si="37"/>
        <v>-</v>
      </c>
      <c r="N398" s="30" t="str">
        <f t="shared" si="38"/>
        <v>-</v>
      </c>
      <c r="O398" s="31" t="str">
        <f t="shared" si="39"/>
        <v>-</v>
      </c>
      <c r="P398" s="32" t="str">
        <f t="shared" si="40"/>
        <v>-</v>
      </c>
      <c r="Q398" s="27"/>
      <c r="R398" s="32" t="str">
        <f t="shared" si="41"/>
        <v>-</v>
      </c>
    </row>
    <row r="399" spans="1:18" s="13" customFormat="1" ht="11.25" hidden="1" customHeight="1">
      <c r="A399" s="18">
        <v>103639</v>
      </c>
      <c r="B399" s="19" t="s">
        <v>418</v>
      </c>
      <c r="C399" s="20">
        <v>658010125673</v>
      </c>
      <c r="D399" s="20"/>
      <c r="E399" s="20"/>
      <c r="F399" s="26">
        <v>0</v>
      </c>
      <c r="G399" s="20"/>
      <c r="H399" s="14" t="s">
        <v>478</v>
      </c>
      <c r="I399" s="17"/>
      <c r="J399" s="14">
        <v>0</v>
      </c>
      <c r="M399" s="30" t="str">
        <f t="shared" si="37"/>
        <v>-</v>
      </c>
      <c r="N399" s="30" t="str">
        <f t="shared" si="38"/>
        <v>-</v>
      </c>
      <c r="O399" s="31" t="str">
        <f t="shared" si="39"/>
        <v>-</v>
      </c>
      <c r="P399" s="32" t="str">
        <f t="shared" si="40"/>
        <v>-</v>
      </c>
      <c r="Q399" s="27"/>
      <c r="R399" s="32" t="str">
        <f t="shared" si="41"/>
        <v>-</v>
      </c>
    </row>
    <row r="400" spans="1:18" s="13" customFormat="1" ht="11.25" hidden="1" customHeight="1">
      <c r="A400" s="18">
        <v>103641</v>
      </c>
      <c r="B400" s="19" t="s">
        <v>419</v>
      </c>
      <c r="C400" s="20">
        <v>658010125697</v>
      </c>
      <c r="D400" s="20"/>
      <c r="E400" s="20"/>
      <c r="F400" s="26">
        <v>0</v>
      </c>
      <c r="G400" s="20"/>
      <c r="H400" s="14" t="s">
        <v>478</v>
      </c>
      <c r="I400" s="17"/>
      <c r="J400" s="14">
        <v>0</v>
      </c>
      <c r="M400" s="30" t="str">
        <f t="shared" si="37"/>
        <v>-</v>
      </c>
      <c r="N400" s="30" t="str">
        <f t="shared" si="38"/>
        <v>-</v>
      </c>
      <c r="O400" s="31" t="str">
        <f t="shared" si="39"/>
        <v>-</v>
      </c>
      <c r="P400" s="32" t="str">
        <f t="shared" si="40"/>
        <v>-</v>
      </c>
      <c r="Q400" s="27"/>
      <c r="R400" s="32" t="str">
        <f t="shared" si="41"/>
        <v>-</v>
      </c>
    </row>
    <row r="401" spans="1:18" s="13" customFormat="1" ht="11.25" hidden="1" customHeight="1">
      <c r="A401" s="18">
        <v>103634</v>
      </c>
      <c r="B401" s="19" t="s">
        <v>420</v>
      </c>
      <c r="C401" s="20">
        <v>658010125628</v>
      </c>
      <c r="D401" s="20"/>
      <c r="E401" s="20"/>
      <c r="F401" s="26">
        <v>0</v>
      </c>
      <c r="G401" s="20"/>
      <c r="H401" s="14" t="s">
        <v>478</v>
      </c>
      <c r="I401" s="17"/>
      <c r="J401" s="14">
        <v>0</v>
      </c>
      <c r="M401" s="30" t="str">
        <f t="shared" si="37"/>
        <v>-</v>
      </c>
      <c r="N401" s="30" t="str">
        <f t="shared" si="38"/>
        <v>-</v>
      </c>
      <c r="O401" s="31" t="str">
        <f t="shared" si="39"/>
        <v>-</v>
      </c>
      <c r="P401" s="32" t="str">
        <f t="shared" si="40"/>
        <v>-</v>
      </c>
      <c r="Q401" s="27"/>
      <c r="R401" s="32" t="str">
        <f t="shared" si="41"/>
        <v>-</v>
      </c>
    </row>
    <row r="402" spans="1:18" s="13" customFormat="1" ht="11.25" hidden="1" customHeight="1">
      <c r="A402" s="18">
        <v>103636</v>
      </c>
      <c r="B402" s="19" t="s">
        <v>421</v>
      </c>
      <c r="C402" s="20">
        <v>658010125642</v>
      </c>
      <c r="D402" s="20"/>
      <c r="E402" s="20"/>
      <c r="F402" s="26">
        <v>0</v>
      </c>
      <c r="G402" s="20"/>
      <c r="H402" s="14" t="s">
        <v>478</v>
      </c>
      <c r="I402" s="17"/>
      <c r="J402" s="14">
        <v>0</v>
      </c>
      <c r="M402" s="30" t="str">
        <f t="shared" si="37"/>
        <v>-</v>
      </c>
      <c r="N402" s="30" t="str">
        <f t="shared" si="38"/>
        <v>-</v>
      </c>
      <c r="O402" s="31" t="str">
        <f t="shared" si="39"/>
        <v>-</v>
      </c>
      <c r="P402" s="32" t="str">
        <f t="shared" si="40"/>
        <v>-</v>
      </c>
      <c r="Q402" s="27"/>
      <c r="R402" s="32" t="str">
        <f t="shared" si="41"/>
        <v>-</v>
      </c>
    </row>
    <row r="403" spans="1:18" s="13" customFormat="1" ht="11.25" hidden="1" customHeight="1">
      <c r="A403" s="18">
        <v>103246</v>
      </c>
      <c r="B403" s="19" t="s">
        <v>422</v>
      </c>
      <c r="C403" s="20">
        <v>658010122924</v>
      </c>
      <c r="D403" s="20"/>
      <c r="E403" s="20"/>
      <c r="F403" s="26">
        <v>0.05</v>
      </c>
      <c r="G403" s="20"/>
      <c r="H403" s="14">
        <v>13.5954</v>
      </c>
      <c r="I403" s="21"/>
      <c r="J403" s="14">
        <f t="shared" si="36"/>
        <v>0</v>
      </c>
      <c r="M403" s="30" t="str">
        <f t="shared" si="37"/>
        <v>-</v>
      </c>
      <c r="N403" s="30" t="str">
        <f t="shared" si="38"/>
        <v>-</v>
      </c>
      <c r="O403" s="31" t="str">
        <f t="shared" si="39"/>
        <v>-</v>
      </c>
      <c r="P403" s="32" t="str">
        <f t="shared" si="40"/>
        <v>-</v>
      </c>
      <c r="Q403" s="27"/>
      <c r="R403" s="32" t="str">
        <f t="shared" si="41"/>
        <v>-</v>
      </c>
    </row>
    <row r="404" spans="1:18" s="13" customFormat="1" ht="11.25" customHeight="1">
      <c r="A404" s="18">
        <v>103245</v>
      </c>
      <c r="B404" s="19" t="s">
        <v>423</v>
      </c>
      <c r="C404" s="20">
        <v>658010122917</v>
      </c>
      <c r="D404" s="20"/>
      <c r="E404" s="20"/>
      <c r="F404" s="26">
        <v>0</v>
      </c>
      <c r="G404" s="20"/>
      <c r="H404" s="14">
        <v>21.9114</v>
      </c>
      <c r="I404" s="21"/>
      <c r="J404" s="14">
        <f t="shared" si="36"/>
        <v>0</v>
      </c>
      <c r="M404" s="30" t="str">
        <f t="shared" si="37"/>
        <v>-</v>
      </c>
      <c r="N404" s="30" t="str">
        <f t="shared" si="38"/>
        <v>-</v>
      </c>
      <c r="O404" s="31" t="str">
        <f t="shared" si="39"/>
        <v>-</v>
      </c>
      <c r="P404" s="32" t="str">
        <f t="shared" si="40"/>
        <v>-</v>
      </c>
      <c r="Q404" s="27"/>
      <c r="R404" s="32" t="str">
        <f t="shared" si="41"/>
        <v>-</v>
      </c>
    </row>
    <row r="405" spans="1:18" s="13" customFormat="1" ht="11.25" customHeight="1">
      <c r="A405" s="18">
        <v>103248</v>
      </c>
      <c r="B405" s="19" t="s">
        <v>424</v>
      </c>
      <c r="C405" s="20">
        <v>658010122948</v>
      </c>
      <c r="D405" s="20"/>
      <c r="E405" s="20"/>
      <c r="F405" s="26">
        <v>0</v>
      </c>
      <c r="G405" s="20"/>
      <c r="H405" s="14">
        <v>11.327400000000001</v>
      </c>
      <c r="I405" s="21"/>
      <c r="J405" s="14">
        <f t="shared" si="36"/>
        <v>0</v>
      </c>
      <c r="M405" s="30" t="str">
        <f t="shared" si="37"/>
        <v>-</v>
      </c>
      <c r="N405" s="30" t="str">
        <f t="shared" si="38"/>
        <v>-</v>
      </c>
      <c r="O405" s="31" t="str">
        <f t="shared" si="39"/>
        <v>-</v>
      </c>
      <c r="P405" s="32" t="str">
        <f t="shared" si="40"/>
        <v>-</v>
      </c>
      <c r="Q405" s="27"/>
      <c r="R405" s="32" t="str">
        <f t="shared" si="41"/>
        <v>-</v>
      </c>
    </row>
    <row r="406" spans="1:18" s="13" customFormat="1" ht="11.25" customHeight="1">
      <c r="A406" s="18">
        <v>103247</v>
      </c>
      <c r="B406" s="19" t="s">
        <v>425</v>
      </c>
      <c r="C406" s="20">
        <v>658010122931</v>
      </c>
      <c r="D406" s="20"/>
      <c r="E406" s="20"/>
      <c r="F406" s="26">
        <v>0</v>
      </c>
      <c r="G406" s="20"/>
      <c r="H406" s="14">
        <v>14.3514</v>
      </c>
      <c r="I406" s="21"/>
      <c r="J406" s="14">
        <f t="shared" si="36"/>
        <v>0</v>
      </c>
      <c r="M406" s="30" t="str">
        <f t="shared" si="37"/>
        <v>-</v>
      </c>
      <c r="N406" s="30" t="str">
        <f t="shared" si="38"/>
        <v>-</v>
      </c>
      <c r="O406" s="31" t="str">
        <f t="shared" si="39"/>
        <v>-</v>
      </c>
      <c r="P406" s="32" t="str">
        <f t="shared" si="40"/>
        <v>-</v>
      </c>
      <c r="Q406" s="27"/>
      <c r="R406" s="32" t="str">
        <f t="shared" si="41"/>
        <v>-</v>
      </c>
    </row>
    <row r="407" spans="1:18" s="13" customFormat="1" ht="11.25" customHeight="1">
      <c r="A407" s="18">
        <v>103250</v>
      </c>
      <c r="B407" s="19" t="s">
        <v>426</v>
      </c>
      <c r="C407" s="20">
        <v>658010122962</v>
      </c>
      <c r="D407" s="20"/>
      <c r="E407" s="20"/>
      <c r="F407" s="26">
        <v>0</v>
      </c>
      <c r="G407" s="20"/>
      <c r="H407" s="14">
        <v>11.327400000000001</v>
      </c>
      <c r="I407" s="21"/>
      <c r="J407" s="14">
        <f t="shared" si="36"/>
        <v>0</v>
      </c>
      <c r="M407" s="30" t="str">
        <f t="shared" si="37"/>
        <v>-</v>
      </c>
      <c r="N407" s="30" t="str">
        <f t="shared" si="38"/>
        <v>-</v>
      </c>
      <c r="O407" s="31" t="str">
        <f t="shared" si="39"/>
        <v>-</v>
      </c>
      <c r="P407" s="32" t="str">
        <f t="shared" si="40"/>
        <v>-</v>
      </c>
      <c r="Q407" s="27"/>
      <c r="R407" s="32" t="str">
        <f t="shared" si="41"/>
        <v>-</v>
      </c>
    </row>
    <row r="408" spans="1:18" s="13" customFormat="1" ht="11.25" customHeight="1">
      <c r="A408" s="18">
        <v>103251</v>
      </c>
      <c r="B408" s="19" t="s">
        <v>427</v>
      </c>
      <c r="C408" s="20">
        <v>658010122979</v>
      </c>
      <c r="D408" s="20"/>
      <c r="E408" s="20"/>
      <c r="F408" s="26">
        <v>0</v>
      </c>
      <c r="G408" s="20"/>
      <c r="H408" s="14">
        <v>32.495399999999997</v>
      </c>
      <c r="I408" s="21"/>
      <c r="J408" s="14">
        <f t="shared" si="36"/>
        <v>0</v>
      </c>
      <c r="M408" s="30" t="str">
        <f t="shared" si="37"/>
        <v>-</v>
      </c>
      <c r="N408" s="30" t="str">
        <f t="shared" si="38"/>
        <v>-</v>
      </c>
      <c r="O408" s="31" t="str">
        <f t="shared" si="39"/>
        <v>-</v>
      </c>
      <c r="P408" s="32" t="str">
        <f t="shared" si="40"/>
        <v>-</v>
      </c>
      <c r="Q408" s="27"/>
      <c r="R408" s="32" t="str">
        <f t="shared" si="41"/>
        <v>-</v>
      </c>
    </row>
    <row r="409" spans="1:18" s="13" customFormat="1" ht="11.25" customHeight="1">
      <c r="A409" s="18">
        <v>103252</v>
      </c>
      <c r="B409" s="19" t="s">
        <v>428</v>
      </c>
      <c r="C409" s="20">
        <v>658010122986</v>
      </c>
      <c r="D409" s="20"/>
      <c r="E409" s="20"/>
      <c r="F409" s="26">
        <v>0</v>
      </c>
      <c r="G409" s="20"/>
      <c r="H409" s="14">
        <v>8.3033999999999999</v>
      </c>
      <c r="I409" s="21"/>
      <c r="J409" s="14">
        <f t="shared" si="36"/>
        <v>0</v>
      </c>
      <c r="M409" s="30" t="str">
        <f t="shared" si="37"/>
        <v>-</v>
      </c>
      <c r="N409" s="30" t="str">
        <f t="shared" si="38"/>
        <v>-</v>
      </c>
      <c r="O409" s="31" t="str">
        <f t="shared" si="39"/>
        <v>-</v>
      </c>
      <c r="P409" s="32" t="str">
        <f t="shared" si="40"/>
        <v>-</v>
      </c>
      <c r="Q409" s="27"/>
      <c r="R409" s="32" t="str">
        <f t="shared" si="41"/>
        <v>-</v>
      </c>
    </row>
    <row r="410" spans="1:18" s="13" customFormat="1" ht="11.25" customHeight="1">
      <c r="A410" s="18">
        <v>103253</v>
      </c>
      <c r="B410" s="19" t="s">
        <v>429</v>
      </c>
      <c r="C410" s="20">
        <v>658010122993</v>
      </c>
      <c r="D410" s="20"/>
      <c r="E410" s="20"/>
      <c r="F410" s="26">
        <v>0</v>
      </c>
      <c r="G410" s="20"/>
      <c r="H410" s="14">
        <v>11.327400000000001</v>
      </c>
      <c r="I410" s="21"/>
      <c r="J410" s="14">
        <f t="shared" si="36"/>
        <v>0</v>
      </c>
      <c r="M410" s="30" t="str">
        <f t="shared" si="37"/>
        <v>-</v>
      </c>
      <c r="N410" s="30" t="str">
        <f t="shared" si="38"/>
        <v>-</v>
      </c>
      <c r="O410" s="31" t="str">
        <f t="shared" si="39"/>
        <v>-</v>
      </c>
      <c r="P410" s="32" t="str">
        <f t="shared" si="40"/>
        <v>-</v>
      </c>
      <c r="Q410" s="27"/>
      <c r="R410" s="32" t="str">
        <f t="shared" si="41"/>
        <v>-</v>
      </c>
    </row>
    <row r="411" spans="1:18" s="13" customFormat="1" ht="11.25" customHeight="1">
      <c r="A411" s="18">
        <v>103254</v>
      </c>
      <c r="B411" s="19" t="s">
        <v>430</v>
      </c>
      <c r="C411" s="20">
        <v>658010123006</v>
      </c>
      <c r="D411" s="20"/>
      <c r="E411" s="20"/>
      <c r="F411" s="26">
        <v>0</v>
      </c>
      <c r="G411" s="20"/>
      <c r="H411" s="14">
        <v>10.571400000000001</v>
      </c>
      <c r="I411" s="21"/>
      <c r="J411" s="14">
        <f t="shared" si="36"/>
        <v>0</v>
      </c>
      <c r="M411" s="30" t="str">
        <f t="shared" si="37"/>
        <v>-</v>
      </c>
      <c r="N411" s="30" t="str">
        <f t="shared" si="38"/>
        <v>-</v>
      </c>
      <c r="O411" s="31" t="str">
        <f t="shared" si="39"/>
        <v>-</v>
      </c>
      <c r="P411" s="32" t="str">
        <f t="shared" si="40"/>
        <v>-</v>
      </c>
      <c r="Q411" s="27"/>
      <c r="R411" s="32" t="str">
        <f t="shared" si="41"/>
        <v>-</v>
      </c>
    </row>
    <row r="412" spans="1:18" s="13" customFormat="1" ht="11.25" customHeight="1">
      <c r="A412" s="18">
        <v>103255</v>
      </c>
      <c r="B412" s="19" t="s">
        <v>431</v>
      </c>
      <c r="C412" s="20">
        <v>658010123013</v>
      </c>
      <c r="D412" s="20"/>
      <c r="E412" s="20"/>
      <c r="F412" s="26">
        <v>0</v>
      </c>
      <c r="G412" s="20"/>
      <c r="H412" s="14">
        <v>17.375399999999999</v>
      </c>
      <c r="I412" s="21"/>
      <c r="J412" s="14">
        <f t="shared" si="36"/>
        <v>0</v>
      </c>
      <c r="M412" s="30" t="str">
        <f t="shared" si="37"/>
        <v>-</v>
      </c>
      <c r="N412" s="30" t="str">
        <f t="shared" si="38"/>
        <v>-</v>
      </c>
      <c r="O412" s="31" t="str">
        <f t="shared" si="39"/>
        <v>-</v>
      </c>
      <c r="P412" s="32" t="str">
        <f t="shared" si="40"/>
        <v>-</v>
      </c>
      <c r="Q412" s="27"/>
      <c r="R412" s="32" t="str">
        <f t="shared" si="41"/>
        <v>-</v>
      </c>
    </row>
    <row r="413" spans="1:18" s="13" customFormat="1" ht="11.25" customHeight="1">
      <c r="A413" s="18">
        <v>103256</v>
      </c>
      <c r="B413" s="19" t="s">
        <v>432</v>
      </c>
      <c r="C413" s="20">
        <v>658010123020</v>
      </c>
      <c r="D413" s="20"/>
      <c r="E413" s="20"/>
      <c r="F413" s="26">
        <v>0</v>
      </c>
      <c r="G413" s="20"/>
      <c r="H413" s="14">
        <v>9.0594000000000001</v>
      </c>
      <c r="I413" s="21"/>
      <c r="J413" s="14">
        <f t="shared" si="36"/>
        <v>0</v>
      </c>
      <c r="M413" s="30" t="str">
        <f t="shared" si="37"/>
        <v>-</v>
      </c>
      <c r="N413" s="30" t="str">
        <f t="shared" si="38"/>
        <v>-</v>
      </c>
      <c r="O413" s="31" t="str">
        <f t="shared" si="39"/>
        <v>-</v>
      </c>
      <c r="P413" s="32" t="str">
        <f t="shared" si="40"/>
        <v>-</v>
      </c>
      <c r="Q413" s="27"/>
      <c r="R413" s="32" t="str">
        <f t="shared" si="41"/>
        <v>-</v>
      </c>
    </row>
    <row r="414" spans="1:18" s="13" customFormat="1" ht="11.25" customHeight="1">
      <c r="A414" s="18">
        <v>103257</v>
      </c>
      <c r="B414" s="19" t="s">
        <v>433</v>
      </c>
      <c r="C414" s="20">
        <v>658010123037</v>
      </c>
      <c r="D414" s="20"/>
      <c r="E414" s="20"/>
      <c r="F414" s="26">
        <v>0</v>
      </c>
      <c r="G414" s="20"/>
      <c r="H414" s="14">
        <v>7.5473999999999997</v>
      </c>
      <c r="I414" s="21"/>
      <c r="J414" s="14">
        <f t="shared" si="36"/>
        <v>0</v>
      </c>
      <c r="M414" s="30" t="str">
        <f t="shared" si="37"/>
        <v>-</v>
      </c>
      <c r="N414" s="30" t="str">
        <f t="shared" si="38"/>
        <v>-</v>
      </c>
      <c r="O414" s="31" t="str">
        <f t="shared" si="39"/>
        <v>-</v>
      </c>
      <c r="P414" s="32" t="str">
        <f t="shared" si="40"/>
        <v>-</v>
      </c>
      <c r="Q414" s="27"/>
      <c r="R414" s="32" t="str">
        <f t="shared" si="41"/>
        <v>-</v>
      </c>
    </row>
    <row r="415" spans="1:18" s="13" customFormat="1" ht="11.25" customHeight="1">
      <c r="A415" s="18">
        <v>103351</v>
      </c>
      <c r="B415" s="19" t="s">
        <v>434</v>
      </c>
      <c r="C415" s="20">
        <v>658010123365</v>
      </c>
      <c r="D415" s="20"/>
      <c r="E415" s="20"/>
      <c r="F415" s="26">
        <v>0</v>
      </c>
      <c r="G415" s="20"/>
      <c r="H415" s="14">
        <v>40.811399999999999</v>
      </c>
      <c r="I415" s="21"/>
      <c r="J415" s="14">
        <f t="shared" si="36"/>
        <v>0</v>
      </c>
      <c r="M415" s="30" t="str">
        <f t="shared" si="37"/>
        <v>-</v>
      </c>
      <c r="N415" s="30" t="str">
        <f t="shared" si="38"/>
        <v>-</v>
      </c>
      <c r="O415" s="31" t="str">
        <f t="shared" si="39"/>
        <v>-</v>
      </c>
      <c r="P415" s="32" t="str">
        <f t="shared" si="40"/>
        <v>-</v>
      </c>
      <c r="Q415" s="27"/>
      <c r="R415" s="32" t="str">
        <f t="shared" si="41"/>
        <v>-</v>
      </c>
    </row>
    <row r="416" spans="1:18" s="13" customFormat="1" ht="11.25" customHeight="1">
      <c r="A416" s="18">
        <v>103640</v>
      </c>
      <c r="B416" s="19" t="s">
        <v>435</v>
      </c>
      <c r="C416" s="20">
        <v>658010125680</v>
      </c>
      <c r="D416" s="20"/>
      <c r="E416" s="20"/>
      <c r="F416" s="26">
        <v>0</v>
      </c>
      <c r="G416" s="20"/>
      <c r="H416" s="14">
        <v>14.363999999999999</v>
      </c>
      <c r="I416" s="21"/>
      <c r="J416" s="14">
        <f t="shared" si="36"/>
        <v>0</v>
      </c>
      <c r="M416" s="30" t="str">
        <f t="shared" si="37"/>
        <v>-</v>
      </c>
      <c r="N416" s="30" t="str">
        <f t="shared" si="38"/>
        <v>-</v>
      </c>
      <c r="O416" s="31" t="str">
        <f t="shared" si="39"/>
        <v>-</v>
      </c>
      <c r="P416" s="32" t="str">
        <f t="shared" si="40"/>
        <v>-</v>
      </c>
      <c r="Q416" s="27"/>
      <c r="R416" s="32" t="str">
        <f t="shared" si="41"/>
        <v>-</v>
      </c>
    </row>
    <row r="417" spans="1:18" s="13" customFormat="1" ht="11.25" customHeight="1">
      <c r="A417" s="18">
        <v>103633</v>
      </c>
      <c r="B417" s="19" t="s">
        <v>436</v>
      </c>
      <c r="C417" s="20">
        <v>658010125611</v>
      </c>
      <c r="D417" s="20"/>
      <c r="E417" s="20"/>
      <c r="F417" s="26">
        <v>0</v>
      </c>
      <c r="G417" s="20"/>
      <c r="H417" s="14">
        <v>30.24</v>
      </c>
      <c r="I417" s="21"/>
      <c r="J417" s="14">
        <f t="shared" si="36"/>
        <v>0</v>
      </c>
      <c r="M417" s="30" t="str">
        <f t="shared" si="37"/>
        <v>-</v>
      </c>
      <c r="N417" s="30" t="str">
        <f t="shared" si="38"/>
        <v>-</v>
      </c>
      <c r="O417" s="31" t="str">
        <f t="shared" si="39"/>
        <v>-</v>
      </c>
      <c r="P417" s="32" t="str">
        <f t="shared" si="40"/>
        <v>-</v>
      </c>
      <c r="Q417" s="27"/>
      <c r="R417" s="32" t="str">
        <f t="shared" si="41"/>
        <v>-</v>
      </c>
    </row>
    <row r="418" spans="1:18" s="13" customFormat="1" ht="11.25" customHeight="1">
      <c r="A418" s="18">
        <v>103635</v>
      </c>
      <c r="B418" s="19" t="s">
        <v>437</v>
      </c>
      <c r="C418" s="20">
        <v>658010125635</v>
      </c>
      <c r="D418" s="20"/>
      <c r="E418" s="20"/>
      <c r="F418" s="26">
        <v>0</v>
      </c>
      <c r="G418" s="20"/>
      <c r="H418" s="14">
        <v>13.608000000000001</v>
      </c>
      <c r="I418" s="21"/>
      <c r="J418" s="14">
        <f t="shared" si="36"/>
        <v>0</v>
      </c>
      <c r="M418" s="30" t="str">
        <f t="shared" si="37"/>
        <v>-</v>
      </c>
      <c r="N418" s="30" t="str">
        <f t="shared" si="38"/>
        <v>-</v>
      </c>
      <c r="O418" s="31" t="str">
        <f t="shared" si="39"/>
        <v>-</v>
      </c>
      <c r="P418" s="32" t="str">
        <f t="shared" si="40"/>
        <v>-</v>
      </c>
      <c r="Q418" s="27"/>
      <c r="R418" s="32" t="str">
        <f t="shared" si="41"/>
        <v>-</v>
      </c>
    </row>
    <row r="419" spans="1:18" s="13" customFormat="1" ht="11.25" customHeight="1">
      <c r="A419" s="18">
        <v>103637</v>
      </c>
      <c r="B419" s="19" t="s">
        <v>438</v>
      </c>
      <c r="C419" s="20">
        <v>658010125659</v>
      </c>
      <c r="D419" s="20"/>
      <c r="E419" s="20"/>
      <c r="F419" s="26">
        <v>0</v>
      </c>
      <c r="G419" s="20"/>
      <c r="H419" s="14">
        <v>36.287999999999997</v>
      </c>
      <c r="I419" s="21"/>
      <c r="J419" s="14">
        <f t="shared" si="36"/>
        <v>0</v>
      </c>
      <c r="M419" s="30" t="str">
        <f t="shared" si="37"/>
        <v>-</v>
      </c>
      <c r="N419" s="30" t="str">
        <f t="shared" si="38"/>
        <v>-</v>
      </c>
      <c r="O419" s="31" t="str">
        <f t="shared" si="39"/>
        <v>-</v>
      </c>
      <c r="P419" s="32" t="str">
        <f t="shared" si="40"/>
        <v>-</v>
      </c>
      <c r="Q419" s="27"/>
      <c r="R419" s="32" t="str">
        <f t="shared" si="41"/>
        <v>-</v>
      </c>
    </row>
    <row r="420" spans="1:18" s="13" customFormat="1" ht="11.25" customHeight="1">
      <c r="A420" s="18">
        <v>103638</v>
      </c>
      <c r="B420" s="19" t="s">
        <v>439</v>
      </c>
      <c r="C420" s="20">
        <v>658010125666</v>
      </c>
      <c r="D420" s="20"/>
      <c r="E420" s="20"/>
      <c r="F420" s="26">
        <v>0</v>
      </c>
      <c r="G420" s="20"/>
      <c r="H420" s="14">
        <v>18.143999999999998</v>
      </c>
      <c r="I420" s="21"/>
      <c r="J420" s="14">
        <f t="shared" si="36"/>
        <v>0</v>
      </c>
      <c r="M420" s="30" t="str">
        <f t="shared" si="37"/>
        <v>-</v>
      </c>
      <c r="N420" s="30" t="str">
        <f t="shared" si="38"/>
        <v>-</v>
      </c>
      <c r="O420" s="31" t="str">
        <f t="shared" si="39"/>
        <v>-</v>
      </c>
      <c r="P420" s="32" t="str">
        <f t="shared" si="40"/>
        <v>-</v>
      </c>
      <c r="Q420" s="27"/>
      <c r="R420" s="32" t="str">
        <f t="shared" si="41"/>
        <v>-</v>
      </c>
    </row>
    <row r="421" spans="1:18" s="13" customFormat="1" ht="11.25" customHeight="1">
      <c r="A421" s="18" t="s">
        <v>440</v>
      </c>
      <c r="B421" s="19" t="s">
        <v>441</v>
      </c>
      <c r="C421" s="20">
        <v>5425018610037</v>
      </c>
      <c r="D421" s="20"/>
      <c r="E421" s="20"/>
      <c r="F421" s="26">
        <v>0</v>
      </c>
      <c r="G421" s="20"/>
      <c r="H421" s="14">
        <v>51.395399999999995</v>
      </c>
      <c r="I421" s="21"/>
      <c r="J421" s="14">
        <f t="shared" si="36"/>
        <v>0</v>
      </c>
      <c r="M421" s="30" t="str">
        <f t="shared" si="37"/>
        <v>-</v>
      </c>
      <c r="N421" s="30" t="str">
        <f t="shared" si="38"/>
        <v>-</v>
      </c>
      <c r="O421" s="31" t="str">
        <f t="shared" si="39"/>
        <v>-</v>
      </c>
      <c r="P421" s="32" t="str">
        <f t="shared" si="40"/>
        <v>-</v>
      </c>
      <c r="Q421" s="27"/>
      <c r="R421" s="32" t="str">
        <f t="shared" si="41"/>
        <v>-</v>
      </c>
    </row>
    <row r="422" spans="1:18" s="13" customFormat="1" ht="11.25" customHeight="1">
      <c r="A422" s="18">
        <v>100008</v>
      </c>
      <c r="B422" s="19" t="s">
        <v>442</v>
      </c>
      <c r="C422" s="20">
        <v>658010111249</v>
      </c>
      <c r="D422" s="20"/>
      <c r="E422" s="20"/>
      <c r="F422" s="26">
        <v>0</v>
      </c>
      <c r="G422" s="20"/>
      <c r="H422" s="14">
        <v>43.079399999999993</v>
      </c>
      <c r="I422" s="21"/>
      <c r="J422" s="14">
        <f t="shared" si="36"/>
        <v>0</v>
      </c>
      <c r="M422" s="30" t="str">
        <f t="shared" si="37"/>
        <v>-</v>
      </c>
      <c r="N422" s="30" t="str">
        <f t="shared" si="38"/>
        <v>-</v>
      </c>
      <c r="O422" s="31" t="str">
        <f t="shared" si="39"/>
        <v>-</v>
      </c>
      <c r="P422" s="32" t="str">
        <f t="shared" si="40"/>
        <v>-</v>
      </c>
      <c r="Q422" s="27"/>
      <c r="R422" s="32" t="str">
        <f t="shared" si="41"/>
        <v>-</v>
      </c>
    </row>
    <row r="423" spans="1:18" s="13" customFormat="1" ht="11.25" customHeight="1">
      <c r="A423" s="18">
        <v>100009</v>
      </c>
      <c r="B423" s="19" t="s">
        <v>443</v>
      </c>
      <c r="C423" s="20">
        <v>658010111171</v>
      </c>
      <c r="D423" s="20"/>
      <c r="E423" s="20"/>
      <c r="F423" s="26">
        <v>0</v>
      </c>
      <c r="G423" s="20"/>
      <c r="H423" s="14">
        <v>57.443400000000004</v>
      </c>
      <c r="I423" s="21"/>
      <c r="J423" s="14">
        <f t="shared" si="36"/>
        <v>0</v>
      </c>
      <c r="M423" s="30" t="str">
        <f t="shared" si="37"/>
        <v>-</v>
      </c>
      <c r="N423" s="30" t="str">
        <f t="shared" si="38"/>
        <v>-</v>
      </c>
      <c r="O423" s="31" t="str">
        <f t="shared" si="39"/>
        <v>-</v>
      </c>
      <c r="P423" s="32" t="str">
        <f t="shared" si="40"/>
        <v>-</v>
      </c>
      <c r="Q423" s="27"/>
      <c r="R423" s="32" t="str">
        <f t="shared" si="41"/>
        <v>-</v>
      </c>
    </row>
    <row r="424" spans="1:18" s="13" customFormat="1" ht="11.25" customHeight="1">
      <c r="A424" s="18">
        <v>102053</v>
      </c>
      <c r="B424" s="19" t="s">
        <v>444</v>
      </c>
      <c r="C424" s="20">
        <v>658010116671</v>
      </c>
      <c r="D424" s="20"/>
      <c r="E424" s="20"/>
      <c r="F424" s="26">
        <v>0</v>
      </c>
      <c r="G424" s="20"/>
      <c r="H424" s="14">
        <v>33.251399999999997</v>
      </c>
      <c r="I424" s="21"/>
      <c r="J424" s="14">
        <f t="shared" si="36"/>
        <v>0</v>
      </c>
      <c r="M424" s="30" t="str">
        <f t="shared" si="37"/>
        <v>-</v>
      </c>
      <c r="N424" s="30" t="str">
        <f t="shared" si="38"/>
        <v>-</v>
      </c>
      <c r="O424" s="31" t="str">
        <f t="shared" si="39"/>
        <v>-</v>
      </c>
      <c r="P424" s="32" t="str">
        <f t="shared" si="40"/>
        <v>-</v>
      </c>
      <c r="Q424" s="27"/>
      <c r="R424" s="32" t="str">
        <f t="shared" si="41"/>
        <v>-</v>
      </c>
    </row>
    <row r="425" spans="1:18" s="13" customFormat="1" ht="11.25" customHeight="1">
      <c r="A425" s="18">
        <v>102063</v>
      </c>
      <c r="B425" s="19" t="s">
        <v>445</v>
      </c>
      <c r="C425" s="20">
        <v>658010116688</v>
      </c>
      <c r="D425" s="20"/>
      <c r="E425" s="20"/>
      <c r="F425" s="26">
        <v>0</v>
      </c>
      <c r="G425" s="20"/>
      <c r="H425" s="14">
        <v>45.347400000000007</v>
      </c>
      <c r="I425" s="21"/>
      <c r="J425" s="14">
        <f t="shared" si="36"/>
        <v>0</v>
      </c>
      <c r="M425" s="30" t="str">
        <f t="shared" si="37"/>
        <v>-</v>
      </c>
      <c r="N425" s="30" t="str">
        <f t="shared" si="38"/>
        <v>-</v>
      </c>
      <c r="O425" s="31" t="str">
        <f t="shared" si="39"/>
        <v>-</v>
      </c>
      <c r="P425" s="32" t="str">
        <f t="shared" si="40"/>
        <v>-</v>
      </c>
      <c r="Q425" s="27"/>
      <c r="R425" s="32" t="str">
        <f t="shared" si="41"/>
        <v>-</v>
      </c>
    </row>
    <row r="426" spans="1:18" s="13" customFormat="1" ht="11.25" customHeight="1">
      <c r="A426" s="18">
        <v>102098</v>
      </c>
      <c r="B426" s="19" t="s">
        <v>446</v>
      </c>
      <c r="C426" s="20">
        <v>658010116800</v>
      </c>
      <c r="D426" s="20"/>
      <c r="E426" s="20"/>
      <c r="F426" s="26">
        <v>0</v>
      </c>
      <c r="G426" s="20"/>
      <c r="H426" s="14">
        <v>9.6893999999999991</v>
      </c>
      <c r="I426" s="21"/>
      <c r="J426" s="14">
        <f t="shared" si="36"/>
        <v>0</v>
      </c>
      <c r="M426" s="30" t="str">
        <f t="shared" si="37"/>
        <v>-</v>
      </c>
      <c r="N426" s="30" t="str">
        <f t="shared" si="38"/>
        <v>-</v>
      </c>
      <c r="O426" s="31" t="str">
        <f t="shared" si="39"/>
        <v>-</v>
      </c>
      <c r="P426" s="32" t="str">
        <f t="shared" si="40"/>
        <v>-</v>
      </c>
      <c r="Q426" s="27"/>
      <c r="R426" s="32" t="str">
        <f t="shared" si="41"/>
        <v>-</v>
      </c>
    </row>
    <row r="427" spans="1:18" s="13" customFormat="1" ht="11.25" customHeight="1">
      <c r="A427" s="18">
        <v>103011</v>
      </c>
      <c r="B427" s="19" t="s">
        <v>447</v>
      </c>
      <c r="C427" s="20">
        <v>658010121255</v>
      </c>
      <c r="D427" s="20"/>
      <c r="E427" s="20"/>
      <c r="F427" s="26">
        <v>0</v>
      </c>
      <c r="G427" s="20"/>
      <c r="H427" s="14">
        <v>32.495399999999997</v>
      </c>
      <c r="I427" s="21"/>
      <c r="J427" s="14">
        <f t="shared" si="36"/>
        <v>0</v>
      </c>
      <c r="M427" s="30" t="str">
        <f t="shared" si="37"/>
        <v>-</v>
      </c>
      <c r="N427" s="30" t="str">
        <f t="shared" si="38"/>
        <v>-</v>
      </c>
      <c r="O427" s="31" t="str">
        <f t="shared" si="39"/>
        <v>-</v>
      </c>
      <c r="P427" s="32" t="str">
        <f t="shared" si="40"/>
        <v>-</v>
      </c>
      <c r="Q427" s="27"/>
      <c r="R427" s="32" t="str">
        <f t="shared" si="41"/>
        <v>-</v>
      </c>
    </row>
    <row r="428" spans="1:18" s="13" customFormat="1" ht="11.25" customHeight="1">
      <c r="A428" s="18">
        <v>103081</v>
      </c>
      <c r="B428" s="19" t="s">
        <v>448</v>
      </c>
      <c r="C428" s="20">
        <v>658010121880</v>
      </c>
      <c r="D428" s="20"/>
      <c r="E428" s="20"/>
      <c r="F428" s="26">
        <v>0</v>
      </c>
      <c r="G428" s="20"/>
      <c r="H428" s="14">
        <v>40.811399999999999</v>
      </c>
      <c r="I428" s="21"/>
      <c r="J428" s="14">
        <f t="shared" si="36"/>
        <v>0</v>
      </c>
      <c r="M428" s="30" t="str">
        <f t="shared" si="37"/>
        <v>-</v>
      </c>
      <c r="N428" s="30" t="str">
        <f t="shared" si="38"/>
        <v>-</v>
      </c>
      <c r="O428" s="31" t="str">
        <f t="shared" si="39"/>
        <v>-</v>
      </c>
      <c r="P428" s="32" t="str">
        <f t="shared" si="40"/>
        <v>-</v>
      </c>
      <c r="Q428" s="27"/>
      <c r="R428" s="32" t="str">
        <f t="shared" si="41"/>
        <v>-</v>
      </c>
    </row>
    <row r="429" spans="1:18" s="13" customFormat="1" ht="11.25" customHeight="1">
      <c r="A429" s="18">
        <v>103654</v>
      </c>
      <c r="B429" s="19" t="s">
        <v>449</v>
      </c>
      <c r="C429" s="20">
        <v>658010125826</v>
      </c>
      <c r="D429" s="20"/>
      <c r="E429" s="20"/>
      <c r="F429" s="26">
        <v>0</v>
      </c>
      <c r="G429" s="20"/>
      <c r="H429" s="14">
        <v>21.167999999999999</v>
      </c>
      <c r="I429" s="21"/>
      <c r="J429" s="14">
        <f t="shared" si="36"/>
        <v>0</v>
      </c>
      <c r="M429" s="30" t="str">
        <f t="shared" si="37"/>
        <v>-</v>
      </c>
      <c r="N429" s="30" t="str">
        <f t="shared" si="38"/>
        <v>-</v>
      </c>
      <c r="O429" s="31" t="str">
        <f t="shared" si="39"/>
        <v>-</v>
      </c>
      <c r="P429" s="32" t="str">
        <f t="shared" si="40"/>
        <v>-</v>
      </c>
      <c r="Q429" s="27"/>
      <c r="R429" s="32" t="str">
        <f t="shared" si="41"/>
        <v>-</v>
      </c>
    </row>
    <row r="430" spans="1:18" s="13" customFormat="1" ht="11.25" customHeight="1">
      <c r="A430" s="18">
        <v>104023</v>
      </c>
      <c r="B430" s="19" t="s">
        <v>450</v>
      </c>
      <c r="C430" s="20">
        <v>658010129510</v>
      </c>
      <c r="D430" s="20"/>
      <c r="E430" s="20"/>
      <c r="F430" s="26">
        <v>0</v>
      </c>
      <c r="G430" s="20"/>
      <c r="H430" s="14">
        <v>31.739400000000003</v>
      </c>
      <c r="I430" s="21"/>
      <c r="J430" s="14">
        <f t="shared" si="36"/>
        <v>0</v>
      </c>
      <c r="M430" s="30" t="str">
        <f t="shared" si="37"/>
        <v>-</v>
      </c>
      <c r="N430" s="30" t="str">
        <f t="shared" si="38"/>
        <v>-</v>
      </c>
      <c r="O430" s="31" t="str">
        <f t="shared" si="39"/>
        <v>-</v>
      </c>
      <c r="P430" s="32" t="str">
        <f t="shared" si="40"/>
        <v>-</v>
      </c>
      <c r="Q430" s="27"/>
      <c r="R430" s="32" t="str">
        <f t="shared" si="41"/>
        <v>-</v>
      </c>
    </row>
    <row r="431" spans="1:18" s="13" customFormat="1" ht="11.25" customHeight="1">
      <c r="A431" s="18">
        <v>104025</v>
      </c>
      <c r="B431" s="19" t="s">
        <v>451</v>
      </c>
      <c r="C431" s="20">
        <v>658010129534</v>
      </c>
      <c r="D431" s="20"/>
      <c r="E431" s="20"/>
      <c r="F431" s="26">
        <v>0</v>
      </c>
      <c r="G431" s="20"/>
      <c r="H431" s="14">
        <v>31.739400000000003</v>
      </c>
      <c r="I431" s="21"/>
      <c r="J431" s="14">
        <f t="shared" si="36"/>
        <v>0</v>
      </c>
      <c r="M431" s="30" t="str">
        <f t="shared" si="37"/>
        <v>-</v>
      </c>
      <c r="N431" s="30" t="str">
        <f t="shared" si="38"/>
        <v>-</v>
      </c>
      <c r="O431" s="31" t="str">
        <f t="shared" si="39"/>
        <v>-</v>
      </c>
      <c r="P431" s="32" t="str">
        <f t="shared" si="40"/>
        <v>-</v>
      </c>
      <c r="Q431" s="27"/>
      <c r="R431" s="32" t="str">
        <f t="shared" si="41"/>
        <v>-</v>
      </c>
    </row>
    <row r="432" spans="1:18" s="13" customFormat="1" ht="11.25" customHeight="1">
      <c r="A432" s="18">
        <v>104026</v>
      </c>
      <c r="B432" s="19" t="s">
        <v>452</v>
      </c>
      <c r="C432" s="20">
        <v>658010129541</v>
      </c>
      <c r="D432" s="20"/>
      <c r="E432" s="20"/>
      <c r="F432" s="26">
        <v>0</v>
      </c>
      <c r="G432" s="20"/>
      <c r="H432" s="14">
        <v>31.739400000000003</v>
      </c>
      <c r="I432" s="21"/>
      <c r="J432" s="14">
        <f t="shared" si="36"/>
        <v>0</v>
      </c>
      <c r="M432" s="30" t="str">
        <f t="shared" si="37"/>
        <v>-</v>
      </c>
      <c r="N432" s="30" t="str">
        <f t="shared" si="38"/>
        <v>-</v>
      </c>
      <c r="O432" s="31" t="str">
        <f t="shared" si="39"/>
        <v>-</v>
      </c>
      <c r="P432" s="32" t="str">
        <f t="shared" si="40"/>
        <v>-</v>
      </c>
      <c r="Q432" s="27"/>
      <c r="R432" s="32" t="str">
        <f t="shared" si="41"/>
        <v>-</v>
      </c>
    </row>
    <row r="433" spans="1:18" s="13" customFormat="1" ht="11.25" customHeight="1">
      <c r="A433" s="18">
        <v>104027</v>
      </c>
      <c r="B433" s="19" t="s">
        <v>453</v>
      </c>
      <c r="C433" s="20">
        <v>658010129558</v>
      </c>
      <c r="D433" s="20"/>
      <c r="E433" s="20"/>
      <c r="F433" s="26">
        <v>0</v>
      </c>
      <c r="G433" s="20"/>
      <c r="H433" s="14">
        <v>31.739400000000003</v>
      </c>
      <c r="I433" s="21"/>
      <c r="J433" s="14">
        <f t="shared" si="36"/>
        <v>0</v>
      </c>
      <c r="M433" s="30" t="str">
        <f t="shared" si="37"/>
        <v>-</v>
      </c>
      <c r="N433" s="30" t="str">
        <f t="shared" si="38"/>
        <v>-</v>
      </c>
      <c r="O433" s="31" t="str">
        <f t="shared" si="39"/>
        <v>-</v>
      </c>
      <c r="P433" s="32" t="str">
        <f t="shared" si="40"/>
        <v>-</v>
      </c>
      <c r="Q433" s="27"/>
      <c r="R433" s="32" t="str">
        <f t="shared" si="41"/>
        <v>-</v>
      </c>
    </row>
    <row r="434" spans="1:18" s="13" customFormat="1" ht="11.25" customHeight="1">
      <c r="A434" s="18">
        <v>104028</v>
      </c>
      <c r="B434" s="19" t="s">
        <v>454</v>
      </c>
      <c r="C434" s="20">
        <v>658010129565</v>
      </c>
      <c r="D434" s="20"/>
      <c r="E434" s="20"/>
      <c r="F434" s="26">
        <v>0</v>
      </c>
      <c r="G434" s="20"/>
      <c r="H434" s="14">
        <v>31.739400000000003</v>
      </c>
      <c r="I434" s="21"/>
      <c r="J434" s="14">
        <f t="shared" si="36"/>
        <v>0</v>
      </c>
      <c r="M434" s="30" t="str">
        <f t="shared" si="37"/>
        <v>-</v>
      </c>
      <c r="N434" s="30" t="str">
        <f t="shared" si="38"/>
        <v>-</v>
      </c>
      <c r="O434" s="31" t="str">
        <f t="shared" si="39"/>
        <v>-</v>
      </c>
      <c r="P434" s="32" t="str">
        <f t="shared" si="40"/>
        <v>-</v>
      </c>
      <c r="Q434" s="27"/>
      <c r="R434" s="32" t="str">
        <f t="shared" si="41"/>
        <v>-</v>
      </c>
    </row>
    <row r="435" spans="1:18" s="13" customFormat="1" ht="11.25" customHeight="1">
      <c r="A435" s="18">
        <v>104030</v>
      </c>
      <c r="B435" s="19" t="s">
        <v>455</v>
      </c>
      <c r="C435" s="20">
        <v>658010129589</v>
      </c>
      <c r="D435" s="20"/>
      <c r="E435" s="20"/>
      <c r="F435" s="26">
        <v>0</v>
      </c>
      <c r="G435" s="20"/>
      <c r="H435" s="14">
        <v>31.739400000000003</v>
      </c>
      <c r="I435" s="21"/>
      <c r="J435" s="14">
        <f t="shared" si="36"/>
        <v>0</v>
      </c>
      <c r="M435" s="30" t="str">
        <f t="shared" si="37"/>
        <v>-</v>
      </c>
      <c r="N435" s="30" t="str">
        <f t="shared" si="38"/>
        <v>-</v>
      </c>
      <c r="O435" s="31" t="str">
        <f t="shared" si="39"/>
        <v>-</v>
      </c>
      <c r="P435" s="32" t="str">
        <f t="shared" si="40"/>
        <v>-</v>
      </c>
      <c r="Q435" s="27"/>
      <c r="R435" s="32" t="str">
        <f t="shared" si="41"/>
        <v>-</v>
      </c>
    </row>
    <row r="436" spans="1:18" s="13" customFormat="1" ht="11.25" customHeight="1">
      <c r="A436" s="18">
        <v>101755</v>
      </c>
      <c r="B436" s="19" t="s">
        <v>456</v>
      </c>
      <c r="C436" s="20">
        <v>658010115568</v>
      </c>
      <c r="D436" s="20"/>
      <c r="E436" s="20"/>
      <c r="F436" s="26">
        <v>0</v>
      </c>
      <c r="G436" s="20"/>
      <c r="H436" s="14">
        <v>38.543399999999998</v>
      </c>
      <c r="I436" s="21"/>
      <c r="J436" s="14">
        <f t="shared" si="36"/>
        <v>0</v>
      </c>
      <c r="M436" s="30" t="str">
        <f t="shared" si="37"/>
        <v>-</v>
      </c>
      <c r="N436" s="30" t="str">
        <f t="shared" si="38"/>
        <v>-</v>
      </c>
      <c r="O436" s="31" t="str">
        <f t="shared" si="39"/>
        <v>-</v>
      </c>
      <c r="P436" s="32" t="str">
        <f t="shared" si="40"/>
        <v>-</v>
      </c>
      <c r="Q436" s="27"/>
      <c r="R436" s="32" t="str">
        <f t="shared" si="41"/>
        <v>-</v>
      </c>
    </row>
    <row r="437" spans="1:18" s="13" customFormat="1" ht="11.25" hidden="1" customHeight="1">
      <c r="A437" s="18" t="s">
        <v>188</v>
      </c>
      <c r="B437" s="19" t="s">
        <v>457</v>
      </c>
      <c r="C437" s="20">
        <v>658010115575</v>
      </c>
      <c r="D437" s="20"/>
      <c r="E437" s="20"/>
      <c r="F437" s="26">
        <v>0</v>
      </c>
      <c r="G437" s="20"/>
      <c r="H437" s="14" t="s">
        <v>478</v>
      </c>
      <c r="I437" s="17"/>
      <c r="J437" s="14">
        <v>0</v>
      </c>
      <c r="M437" s="30" t="str">
        <f t="shared" si="37"/>
        <v>-</v>
      </c>
      <c r="N437" s="30" t="str">
        <f t="shared" si="38"/>
        <v>-</v>
      </c>
      <c r="O437" s="31" t="str">
        <f t="shared" si="39"/>
        <v>-</v>
      </c>
      <c r="P437" s="32" t="str">
        <f t="shared" si="40"/>
        <v>-</v>
      </c>
      <c r="Q437" s="27"/>
      <c r="R437" s="32" t="str">
        <f t="shared" si="41"/>
        <v>-</v>
      </c>
    </row>
    <row r="438" spans="1:18" s="13" customFormat="1" ht="11.25" customHeight="1">
      <c r="A438" s="18">
        <v>102640</v>
      </c>
      <c r="B438" s="19" t="s">
        <v>458</v>
      </c>
      <c r="C438" s="20">
        <v>658010119146</v>
      </c>
      <c r="D438" s="20"/>
      <c r="E438" s="20"/>
      <c r="F438" s="26">
        <v>0</v>
      </c>
      <c r="G438" s="20"/>
      <c r="H438" s="14">
        <v>33.566400000000002</v>
      </c>
      <c r="I438" s="21"/>
      <c r="J438" s="14">
        <f t="shared" si="36"/>
        <v>0</v>
      </c>
      <c r="M438" s="30" t="str">
        <f t="shared" si="37"/>
        <v>-</v>
      </c>
      <c r="N438" s="30" t="str">
        <f t="shared" si="38"/>
        <v>-</v>
      </c>
      <c r="O438" s="31" t="str">
        <f t="shared" si="39"/>
        <v>-</v>
      </c>
      <c r="P438" s="32" t="str">
        <f t="shared" si="40"/>
        <v>-</v>
      </c>
      <c r="Q438" s="27"/>
      <c r="R438" s="32" t="str">
        <f t="shared" si="41"/>
        <v>-</v>
      </c>
    </row>
    <row r="439" spans="1:18" s="13" customFormat="1" ht="11.25" hidden="1" customHeight="1">
      <c r="A439" s="18" t="s">
        <v>188</v>
      </c>
      <c r="B439" s="19" t="s">
        <v>459</v>
      </c>
      <c r="C439" s="20">
        <v>658010119269</v>
      </c>
      <c r="D439" s="20"/>
      <c r="E439" s="20"/>
      <c r="F439" s="26">
        <v>0</v>
      </c>
      <c r="G439" s="20"/>
      <c r="H439" s="14" t="s">
        <v>478</v>
      </c>
      <c r="I439" s="17"/>
      <c r="J439" s="14">
        <v>0</v>
      </c>
      <c r="M439" s="30" t="str">
        <f t="shared" si="37"/>
        <v>-</v>
      </c>
      <c r="N439" s="30" t="str">
        <f t="shared" si="38"/>
        <v>-</v>
      </c>
      <c r="O439" s="31" t="str">
        <f t="shared" si="39"/>
        <v>-</v>
      </c>
      <c r="P439" s="32" t="str">
        <f t="shared" si="40"/>
        <v>-</v>
      </c>
      <c r="Q439" s="27"/>
      <c r="R439" s="32" t="str">
        <f t="shared" si="41"/>
        <v>-</v>
      </c>
    </row>
    <row r="440" spans="1:18" s="13" customFormat="1" ht="11.25" customHeight="1">
      <c r="A440" s="18">
        <v>103109</v>
      </c>
      <c r="B440" s="19" t="s">
        <v>460</v>
      </c>
      <c r="C440" s="20">
        <v>658010122078</v>
      </c>
      <c r="D440" s="20"/>
      <c r="E440" s="20"/>
      <c r="F440" s="26">
        <v>0</v>
      </c>
      <c r="G440" s="20"/>
      <c r="H440" s="14">
        <v>32.747399999999999</v>
      </c>
      <c r="I440" s="21"/>
      <c r="J440" s="14">
        <f t="shared" si="36"/>
        <v>0</v>
      </c>
      <c r="M440" s="30" t="str">
        <f t="shared" si="37"/>
        <v>-</v>
      </c>
      <c r="N440" s="30" t="str">
        <f t="shared" si="38"/>
        <v>-</v>
      </c>
      <c r="O440" s="31" t="str">
        <f t="shared" si="39"/>
        <v>-</v>
      </c>
      <c r="P440" s="32" t="str">
        <f t="shared" si="40"/>
        <v>-</v>
      </c>
      <c r="Q440" s="27"/>
      <c r="R440" s="32" t="str">
        <f t="shared" si="41"/>
        <v>-</v>
      </c>
    </row>
    <row r="441" spans="1:18" s="13" customFormat="1" ht="11.25" hidden="1" customHeight="1">
      <c r="A441" s="18" t="s">
        <v>188</v>
      </c>
      <c r="B441" s="19" t="s">
        <v>461</v>
      </c>
      <c r="C441" s="20">
        <v>658010122085</v>
      </c>
      <c r="D441" s="20"/>
      <c r="E441" s="20"/>
      <c r="F441" s="26">
        <v>0</v>
      </c>
      <c r="G441" s="20"/>
      <c r="H441" s="14" t="s">
        <v>478</v>
      </c>
      <c r="I441" s="17"/>
      <c r="J441" s="14">
        <v>0</v>
      </c>
      <c r="M441" s="30" t="str">
        <f t="shared" si="37"/>
        <v>-</v>
      </c>
      <c r="N441" s="30" t="str">
        <f t="shared" si="38"/>
        <v>-</v>
      </c>
      <c r="O441" s="31" t="str">
        <f t="shared" si="39"/>
        <v>-</v>
      </c>
      <c r="P441" s="32" t="str">
        <f t="shared" si="40"/>
        <v>-</v>
      </c>
      <c r="Q441" s="27"/>
      <c r="R441" s="32" t="str">
        <f t="shared" si="41"/>
        <v>-</v>
      </c>
    </row>
    <row r="442" spans="1:18" s="13" customFormat="1" ht="11.25" customHeight="1">
      <c r="A442" s="18">
        <v>103108</v>
      </c>
      <c r="B442" s="19" t="s">
        <v>462</v>
      </c>
      <c r="C442" s="20">
        <v>658010122054</v>
      </c>
      <c r="D442" s="20"/>
      <c r="E442" s="20"/>
      <c r="F442" s="26">
        <v>0</v>
      </c>
      <c r="G442" s="20"/>
      <c r="H442" s="14">
        <v>33.566400000000002</v>
      </c>
      <c r="I442" s="21"/>
      <c r="J442" s="14">
        <f t="shared" si="36"/>
        <v>0</v>
      </c>
      <c r="M442" s="30" t="str">
        <f t="shared" si="37"/>
        <v>-</v>
      </c>
      <c r="N442" s="30" t="str">
        <f t="shared" si="38"/>
        <v>-</v>
      </c>
      <c r="O442" s="31" t="str">
        <f t="shared" si="39"/>
        <v>-</v>
      </c>
      <c r="P442" s="32" t="str">
        <f t="shared" si="40"/>
        <v>-</v>
      </c>
      <c r="Q442" s="27"/>
      <c r="R442" s="32" t="str">
        <f t="shared" si="41"/>
        <v>-</v>
      </c>
    </row>
    <row r="443" spans="1:18" s="13" customFormat="1" ht="11.25" hidden="1" customHeight="1">
      <c r="A443" s="18" t="s">
        <v>188</v>
      </c>
      <c r="B443" s="19" t="s">
        <v>463</v>
      </c>
      <c r="C443" s="20">
        <v>658010122061</v>
      </c>
      <c r="D443" s="20"/>
      <c r="E443" s="20"/>
      <c r="F443" s="26">
        <v>0</v>
      </c>
      <c r="G443" s="20"/>
      <c r="H443" s="14" t="s">
        <v>478</v>
      </c>
      <c r="I443" s="17"/>
      <c r="J443" s="14">
        <v>0</v>
      </c>
      <c r="M443" s="30" t="str">
        <f t="shared" si="37"/>
        <v>-</v>
      </c>
      <c r="N443" s="30" t="str">
        <f t="shared" si="38"/>
        <v>-</v>
      </c>
      <c r="O443" s="31" t="str">
        <f t="shared" si="39"/>
        <v>-</v>
      </c>
      <c r="P443" s="32" t="str">
        <f t="shared" si="40"/>
        <v>-</v>
      </c>
      <c r="Q443" s="27"/>
      <c r="R443" s="32" t="str">
        <f t="shared" si="41"/>
        <v>-</v>
      </c>
    </row>
    <row r="444" spans="1:18" s="13" customFormat="1" ht="11.25" customHeight="1">
      <c r="A444" s="18">
        <v>103107</v>
      </c>
      <c r="B444" s="19" t="s">
        <v>464</v>
      </c>
      <c r="C444" s="20">
        <v>658010122030</v>
      </c>
      <c r="D444" s="20"/>
      <c r="E444" s="20"/>
      <c r="F444" s="26">
        <v>0</v>
      </c>
      <c r="G444" s="20"/>
      <c r="H444" s="14">
        <v>32.747399999999999</v>
      </c>
      <c r="I444" s="21"/>
      <c r="J444" s="14">
        <f t="shared" si="36"/>
        <v>0</v>
      </c>
      <c r="M444" s="30" t="str">
        <f t="shared" si="37"/>
        <v>-</v>
      </c>
      <c r="N444" s="30" t="str">
        <f t="shared" si="38"/>
        <v>-</v>
      </c>
      <c r="O444" s="31" t="str">
        <f t="shared" si="39"/>
        <v>-</v>
      </c>
      <c r="P444" s="32" t="str">
        <f t="shared" si="40"/>
        <v>-</v>
      </c>
      <c r="Q444" s="27"/>
      <c r="R444" s="32" t="str">
        <f t="shared" si="41"/>
        <v>-</v>
      </c>
    </row>
    <row r="445" spans="1:18" s="13" customFormat="1" ht="11.25" hidden="1" customHeight="1">
      <c r="A445" s="18" t="s">
        <v>188</v>
      </c>
      <c r="B445" s="19" t="s">
        <v>465</v>
      </c>
      <c r="C445" s="20">
        <v>658010122047</v>
      </c>
      <c r="D445" s="20"/>
      <c r="E445" s="20"/>
      <c r="F445" s="26">
        <v>0</v>
      </c>
      <c r="G445" s="20"/>
      <c r="H445" s="14" t="s">
        <v>478</v>
      </c>
      <c r="I445" s="17"/>
      <c r="J445" s="14">
        <v>0</v>
      </c>
      <c r="M445" s="30" t="str">
        <f t="shared" si="37"/>
        <v>-</v>
      </c>
      <c r="N445" s="30" t="str">
        <f t="shared" si="38"/>
        <v>-</v>
      </c>
      <c r="O445" s="31" t="str">
        <f t="shared" si="39"/>
        <v>-</v>
      </c>
      <c r="P445" s="32" t="str">
        <f t="shared" si="40"/>
        <v>-</v>
      </c>
      <c r="Q445" s="27"/>
      <c r="R445" s="32" t="str">
        <f t="shared" si="41"/>
        <v>-</v>
      </c>
    </row>
    <row r="446" spans="1:18" s="13" customFormat="1" ht="11.25" customHeight="1">
      <c r="A446" s="18">
        <v>102643</v>
      </c>
      <c r="B446" s="19" t="s">
        <v>466</v>
      </c>
      <c r="C446" s="20">
        <v>658010119177</v>
      </c>
      <c r="D446" s="20"/>
      <c r="E446" s="20"/>
      <c r="F446" s="26">
        <v>0</v>
      </c>
      <c r="G446" s="20"/>
      <c r="H446" s="14">
        <v>33.566400000000002</v>
      </c>
      <c r="I446" s="21"/>
      <c r="J446" s="14">
        <f t="shared" si="36"/>
        <v>0</v>
      </c>
      <c r="M446" s="30" t="str">
        <f t="shared" si="37"/>
        <v>-</v>
      </c>
      <c r="N446" s="30" t="str">
        <f t="shared" si="38"/>
        <v>-</v>
      </c>
      <c r="O446" s="31" t="str">
        <f t="shared" si="39"/>
        <v>-</v>
      </c>
      <c r="P446" s="32" t="str">
        <f t="shared" si="40"/>
        <v>-</v>
      </c>
      <c r="Q446" s="27"/>
      <c r="R446" s="32" t="str">
        <f t="shared" si="41"/>
        <v>-</v>
      </c>
    </row>
    <row r="447" spans="1:18" s="13" customFormat="1" ht="11.25" hidden="1" customHeight="1">
      <c r="A447" s="18" t="s">
        <v>188</v>
      </c>
      <c r="B447" s="19" t="s">
        <v>467</v>
      </c>
      <c r="C447" s="20">
        <v>658010119290</v>
      </c>
      <c r="D447" s="20"/>
      <c r="E447" s="20"/>
      <c r="F447" s="26">
        <v>0</v>
      </c>
      <c r="G447" s="20"/>
      <c r="H447" s="14" t="s">
        <v>478</v>
      </c>
      <c r="I447" s="17"/>
      <c r="J447" s="14">
        <v>0</v>
      </c>
      <c r="M447" s="30" t="str">
        <f t="shared" si="37"/>
        <v>-</v>
      </c>
      <c r="N447" s="30" t="str">
        <f t="shared" si="38"/>
        <v>-</v>
      </c>
      <c r="O447" s="31" t="str">
        <f t="shared" si="39"/>
        <v>-</v>
      </c>
      <c r="P447" s="32" t="str">
        <f t="shared" si="40"/>
        <v>-</v>
      </c>
      <c r="Q447" s="27"/>
      <c r="R447" s="32" t="str">
        <f t="shared" si="41"/>
        <v>-</v>
      </c>
    </row>
    <row r="448" spans="1:18" s="13" customFormat="1" ht="11.25" customHeight="1">
      <c r="A448" s="18">
        <v>103110</v>
      </c>
      <c r="B448" s="19" t="s">
        <v>468</v>
      </c>
      <c r="C448" s="20">
        <v>658010122092</v>
      </c>
      <c r="D448" s="20"/>
      <c r="E448" s="20"/>
      <c r="F448" s="26">
        <v>0</v>
      </c>
      <c r="G448" s="20"/>
      <c r="H448" s="14">
        <v>33.566400000000002</v>
      </c>
      <c r="I448" s="21"/>
      <c r="J448" s="14">
        <f t="shared" si="36"/>
        <v>0</v>
      </c>
      <c r="M448" s="30" t="str">
        <f t="shared" si="37"/>
        <v>-</v>
      </c>
      <c r="N448" s="30" t="str">
        <f t="shared" si="38"/>
        <v>-</v>
      </c>
      <c r="O448" s="31" t="str">
        <f t="shared" si="39"/>
        <v>-</v>
      </c>
      <c r="P448" s="32" t="str">
        <f t="shared" si="40"/>
        <v>-</v>
      </c>
      <c r="Q448" s="27"/>
      <c r="R448" s="32" t="str">
        <f t="shared" si="41"/>
        <v>-</v>
      </c>
    </row>
    <row r="449" spans="1:18" s="13" customFormat="1" ht="11.25" hidden="1" customHeight="1">
      <c r="A449" s="18" t="s">
        <v>188</v>
      </c>
      <c r="B449" s="19" t="s">
        <v>469</v>
      </c>
      <c r="C449" s="20">
        <v>658010122108</v>
      </c>
      <c r="D449" s="20"/>
      <c r="E449" s="20"/>
      <c r="F449" s="26">
        <v>0</v>
      </c>
      <c r="G449" s="20"/>
      <c r="H449" s="14" t="s">
        <v>478</v>
      </c>
      <c r="I449" s="17"/>
      <c r="J449" s="14">
        <v>0</v>
      </c>
      <c r="M449" s="30" t="str">
        <f t="shared" si="37"/>
        <v>-</v>
      </c>
      <c r="N449" s="30" t="str">
        <f t="shared" si="38"/>
        <v>-</v>
      </c>
      <c r="O449" s="31" t="str">
        <f t="shared" si="39"/>
        <v>-</v>
      </c>
      <c r="P449" s="32" t="str">
        <f t="shared" si="40"/>
        <v>-</v>
      </c>
      <c r="Q449" s="27"/>
      <c r="R449" s="32" t="str">
        <f t="shared" si="41"/>
        <v>-</v>
      </c>
    </row>
    <row r="450" spans="1:18" s="13" customFormat="1" ht="11.25" customHeight="1">
      <c r="A450" s="18">
        <v>102633</v>
      </c>
      <c r="B450" s="19" t="s">
        <v>470</v>
      </c>
      <c r="C450" s="20">
        <v>658010119078</v>
      </c>
      <c r="D450" s="20"/>
      <c r="E450" s="20"/>
      <c r="F450" s="26">
        <v>0</v>
      </c>
      <c r="G450" s="20"/>
      <c r="H450" s="14">
        <v>34.385399999999997</v>
      </c>
      <c r="I450" s="21"/>
      <c r="J450" s="14">
        <f t="shared" si="36"/>
        <v>0</v>
      </c>
      <c r="M450" s="30" t="str">
        <f t="shared" si="37"/>
        <v>-</v>
      </c>
      <c r="N450" s="30" t="str">
        <f t="shared" si="38"/>
        <v>-</v>
      </c>
      <c r="O450" s="31" t="str">
        <f t="shared" si="39"/>
        <v>-</v>
      </c>
      <c r="P450" s="32" t="str">
        <f t="shared" si="40"/>
        <v>-</v>
      </c>
      <c r="Q450" s="27"/>
      <c r="R450" s="32" t="str">
        <f t="shared" si="41"/>
        <v>-</v>
      </c>
    </row>
    <row r="451" spans="1:18" s="13" customFormat="1" ht="11.25" hidden="1" customHeight="1">
      <c r="A451" s="18" t="s">
        <v>188</v>
      </c>
      <c r="B451" s="19" t="s">
        <v>471</v>
      </c>
      <c r="C451" s="20">
        <v>658010119191</v>
      </c>
      <c r="D451" s="20"/>
      <c r="E451" s="20"/>
      <c r="F451" s="26">
        <v>0</v>
      </c>
      <c r="G451" s="20"/>
      <c r="H451" s="14" t="s">
        <v>478</v>
      </c>
      <c r="I451" s="17"/>
      <c r="J451" s="14">
        <v>0</v>
      </c>
      <c r="M451" s="30" t="str">
        <f t="shared" si="37"/>
        <v>-</v>
      </c>
      <c r="N451" s="30" t="str">
        <f t="shared" si="38"/>
        <v>-</v>
      </c>
      <c r="O451" s="31" t="str">
        <f t="shared" si="39"/>
        <v>-</v>
      </c>
      <c r="P451" s="32" t="str">
        <f t="shared" si="40"/>
        <v>-</v>
      </c>
      <c r="Q451" s="27"/>
      <c r="R451" s="32" t="str">
        <f t="shared" si="41"/>
        <v>-</v>
      </c>
    </row>
    <row r="452" spans="1:18" s="13" customFormat="1" ht="11.25" customHeight="1">
      <c r="A452" s="18">
        <v>102634</v>
      </c>
      <c r="B452" s="19" t="s">
        <v>472</v>
      </c>
      <c r="C452" s="20">
        <v>658010119085</v>
      </c>
      <c r="D452" s="20"/>
      <c r="E452" s="20"/>
      <c r="F452" s="26">
        <v>0</v>
      </c>
      <c r="G452" s="20"/>
      <c r="H452" s="14">
        <v>36.023400000000002</v>
      </c>
      <c r="I452" s="21"/>
      <c r="J452" s="14">
        <f t="shared" ref="J452:J456" si="42">I452*H452</f>
        <v>0</v>
      </c>
      <c r="M452" s="30" t="str">
        <f t="shared" ref="M452:M515" si="43">IFERROR(IF($M$2*F452=0, "-", $M$2*F452), "-")</f>
        <v>-</v>
      </c>
      <c r="N452" s="30" t="str">
        <f t="shared" ref="N452:N515" si="44">IF(I452&gt;0,H452+F452*I452/$O$2*$P$2/I452,"-")</f>
        <v>-</v>
      </c>
      <c r="O452" s="31" t="str">
        <f t="shared" ref="O452:O515" si="45">IF(I452&gt;0,I452*F452*1.113, "-")</f>
        <v>-</v>
      </c>
      <c r="P452" s="32" t="str">
        <f t="shared" ref="P452:P515" si="46">IFERROR(IF($M$2&gt;0, $M$2*O452, "-"), "-")</f>
        <v>-</v>
      </c>
      <c r="Q452" s="27"/>
      <c r="R452" s="32" t="str">
        <f t="shared" ref="R452:R515" si="47">IFERROR(IF(P452+J452=0, "-", IF(P452&gt;0, P452+J452, "-")), "-")</f>
        <v>-</v>
      </c>
    </row>
    <row r="453" spans="1:18" s="13" customFormat="1" ht="11.25" hidden="1" customHeight="1">
      <c r="A453" s="18" t="s">
        <v>188</v>
      </c>
      <c r="B453" s="19" t="s">
        <v>473</v>
      </c>
      <c r="C453" s="20">
        <v>658010119207</v>
      </c>
      <c r="D453" s="20"/>
      <c r="E453" s="20"/>
      <c r="F453" s="26">
        <v>0</v>
      </c>
      <c r="G453" s="20"/>
      <c r="H453" s="14" t="s">
        <v>478</v>
      </c>
      <c r="I453" s="17"/>
      <c r="J453" s="14">
        <v>0</v>
      </c>
      <c r="M453" s="30" t="str">
        <f t="shared" si="43"/>
        <v>-</v>
      </c>
      <c r="N453" s="30" t="str">
        <f t="shared" si="44"/>
        <v>-</v>
      </c>
      <c r="O453" s="31" t="str">
        <f t="shared" si="45"/>
        <v>-</v>
      </c>
      <c r="P453" s="32" t="str">
        <f t="shared" si="46"/>
        <v>-</v>
      </c>
      <c r="Q453" s="27"/>
      <c r="R453" s="32" t="str">
        <f t="shared" si="47"/>
        <v>-</v>
      </c>
    </row>
    <row r="454" spans="1:18" s="13" customFormat="1" ht="11.25" customHeight="1">
      <c r="A454" s="18">
        <v>102635</v>
      </c>
      <c r="B454" s="19" t="s">
        <v>474</v>
      </c>
      <c r="C454" s="20">
        <v>658010119092</v>
      </c>
      <c r="D454" s="20"/>
      <c r="E454" s="20"/>
      <c r="F454" s="26">
        <v>0</v>
      </c>
      <c r="G454" s="20"/>
      <c r="H454" s="14">
        <v>34.385399999999997</v>
      </c>
      <c r="I454" s="21"/>
      <c r="J454" s="14">
        <f t="shared" si="42"/>
        <v>0</v>
      </c>
      <c r="M454" s="30" t="str">
        <f t="shared" si="43"/>
        <v>-</v>
      </c>
      <c r="N454" s="30" t="str">
        <f t="shared" si="44"/>
        <v>-</v>
      </c>
      <c r="O454" s="31" t="str">
        <f t="shared" si="45"/>
        <v>-</v>
      </c>
      <c r="P454" s="32" t="str">
        <f t="shared" si="46"/>
        <v>-</v>
      </c>
      <c r="Q454" s="27"/>
      <c r="R454" s="32" t="str">
        <f t="shared" si="47"/>
        <v>-</v>
      </c>
    </row>
    <row r="455" spans="1:18" s="13" customFormat="1" ht="11.25" hidden="1" customHeight="1">
      <c r="A455" s="18" t="s">
        <v>188</v>
      </c>
      <c r="B455" s="19" t="s">
        <v>475</v>
      </c>
      <c r="C455" s="20">
        <v>658010119214</v>
      </c>
      <c r="D455" s="20"/>
      <c r="E455" s="20"/>
      <c r="F455" s="26">
        <v>0</v>
      </c>
      <c r="G455" s="20"/>
      <c r="H455" s="14" t="s">
        <v>478</v>
      </c>
      <c r="I455" s="17"/>
      <c r="J455" s="14">
        <v>0</v>
      </c>
      <c r="M455" s="30" t="str">
        <f t="shared" si="43"/>
        <v>-</v>
      </c>
      <c r="N455" s="30" t="str">
        <f t="shared" si="44"/>
        <v>-</v>
      </c>
      <c r="O455" s="31" t="str">
        <f t="shared" si="45"/>
        <v>-</v>
      </c>
      <c r="P455" s="32" t="str">
        <f t="shared" si="46"/>
        <v>-</v>
      </c>
      <c r="Q455" s="27"/>
      <c r="R455" s="32" t="str">
        <f t="shared" si="47"/>
        <v>-</v>
      </c>
    </row>
    <row r="456" spans="1:18" s="13" customFormat="1" ht="11.25" customHeight="1">
      <c r="A456" s="18">
        <v>102888</v>
      </c>
      <c r="B456" s="19" t="s">
        <v>476</v>
      </c>
      <c r="C456" s="20">
        <v>658010120647</v>
      </c>
      <c r="D456" s="20"/>
      <c r="E456" s="20"/>
      <c r="F456" s="26">
        <v>0</v>
      </c>
      <c r="G456" s="20"/>
      <c r="H456" s="14">
        <v>34.007399999999997</v>
      </c>
      <c r="I456" s="21"/>
      <c r="J456" s="14">
        <f t="shared" si="42"/>
        <v>0</v>
      </c>
      <c r="M456" s="30" t="str">
        <f t="shared" si="43"/>
        <v>-</v>
      </c>
      <c r="N456" s="30" t="str">
        <f t="shared" si="44"/>
        <v>-</v>
      </c>
      <c r="O456" s="31" t="str">
        <f t="shared" si="45"/>
        <v>-</v>
      </c>
      <c r="P456" s="32" t="str">
        <f t="shared" si="46"/>
        <v>-</v>
      </c>
      <c r="Q456" s="27"/>
      <c r="R456" s="32" t="str">
        <f t="shared" si="47"/>
        <v>-</v>
      </c>
    </row>
    <row r="457" spans="1:18" s="13" customFormat="1" ht="11.25" hidden="1" customHeight="1">
      <c r="A457" s="18" t="s">
        <v>188</v>
      </c>
      <c r="B457" s="19" t="s">
        <v>477</v>
      </c>
      <c r="C457" s="20">
        <v>658010120616</v>
      </c>
      <c r="D457" s="20"/>
      <c r="E457" s="20"/>
      <c r="F457" s="26">
        <v>0</v>
      </c>
      <c r="G457" s="20"/>
      <c r="H457" s="14" t="s">
        <v>478</v>
      </c>
      <c r="I457" s="17"/>
      <c r="J457" s="14">
        <v>0</v>
      </c>
      <c r="M457" s="30" t="str">
        <f t="shared" si="43"/>
        <v>-</v>
      </c>
      <c r="N457" s="30" t="str">
        <f t="shared" si="44"/>
        <v>-</v>
      </c>
      <c r="O457" s="31" t="str">
        <f t="shared" si="45"/>
        <v>-</v>
      </c>
      <c r="P457" s="32" t="str">
        <f t="shared" si="46"/>
        <v>-</v>
      </c>
      <c r="Q457" s="27"/>
      <c r="R457" s="32" t="str">
        <f t="shared" si="47"/>
        <v>-</v>
      </c>
    </row>
    <row r="458" spans="1:18" ht="14.4">
      <c r="M458" s="30"/>
      <c r="N458" s="30"/>
      <c r="O458" s="31"/>
      <c r="P458" s="32"/>
      <c r="R458" s="32"/>
    </row>
    <row r="459" spans="1:18" ht="15" thickBot="1">
      <c r="M459" s="30"/>
      <c r="N459" s="30"/>
      <c r="O459" s="31"/>
      <c r="P459" s="32"/>
      <c r="R459" s="32"/>
    </row>
    <row r="460" spans="1:18" ht="27.6" customHeight="1" thickBot="1">
      <c r="B460" s="1"/>
      <c r="M460" s="30"/>
      <c r="N460" s="30"/>
      <c r="O460" s="31"/>
      <c r="P460" s="32"/>
      <c r="R460" s="32"/>
    </row>
    <row r="461" spans="1:18" ht="14.4">
      <c r="B461" s="2" t="s">
        <v>10</v>
      </c>
      <c r="M461" s="30"/>
      <c r="N461" s="30"/>
      <c r="O461" s="31"/>
      <c r="P461" s="32"/>
      <c r="R461" s="32"/>
    </row>
    <row r="462" spans="1:18" ht="14.4">
      <c r="B462" s="3" t="s">
        <v>11</v>
      </c>
      <c r="M462" s="30"/>
      <c r="N462" s="30"/>
      <c r="O462" s="31"/>
      <c r="P462" s="32"/>
      <c r="R462" s="32"/>
    </row>
    <row r="463" spans="1:18" ht="15" thickBot="1">
      <c r="B463" s="4" t="s">
        <v>3</v>
      </c>
      <c r="M463" s="30"/>
      <c r="N463" s="30"/>
      <c r="O463" s="31"/>
      <c r="P463" s="32"/>
      <c r="R463" s="32"/>
    </row>
    <row r="464" spans="1:18" ht="15" thickBot="1">
      <c r="B464" s="4" t="s">
        <v>4</v>
      </c>
      <c r="M464" s="30"/>
      <c r="N464" s="30"/>
      <c r="O464" s="31"/>
      <c r="P464" s="32"/>
      <c r="R464" s="32"/>
    </row>
    <row r="465" spans="2:18" ht="15" thickBot="1">
      <c r="B465" s="4" t="s">
        <v>5</v>
      </c>
      <c r="M465" s="30"/>
      <c r="N465" s="30"/>
      <c r="O465" s="31"/>
      <c r="P465" s="32"/>
      <c r="R465" s="32"/>
    </row>
    <row r="466" spans="2:18" ht="14.4">
      <c r="M466" s="30"/>
      <c r="N466" s="30"/>
      <c r="O466" s="31"/>
      <c r="P466" s="32"/>
      <c r="R466" s="32"/>
    </row>
    <row r="467" spans="2:18" ht="14.4">
      <c r="M467" s="30"/>
      <c r="N467" s="30"/>
      <c r="O467" s="31"/>
      <c r="P467" s="32"/>
      <c r="R467" s="32"/>
    </row>
    <row r="468" spans="2:18" ht="14.4">
      <c r="M468" s="30"/>
      <c r="N468" s="30"/>
      <c r="O468" s="31"/>
      <c r="P468" s="32"/>
      <c r="R468" s="32"/>
    </row>
    <row r="469" spans="2:18" ht="14.4">
      <c r="M469" s="30"/>
      <c r="N469" s="30"/>
      <c r="O469" s="31"/>
      <c r="P469" s="32"/>
      <c r="R469" s="32"/>
    </row>
    <row r="470" spans="2:18" ht="14.4">
      <c r="M470" s="30"/>
      <c r="N470" s="30"/>
      <c r="O470" s="31"/>
      <c r="P470" s="32"/>
      <c r="R470" s="32"/>
    </row>
    <row r="471" spans="2:18" ht="14.4">
      <c r="M471" s="30"/>
      <c r="N471" s="30"/>
      <c r="O471" s="31"/>
      <c r="P471" s="32"/>
      <c r="R471" s="32"/>
    </row>
    <row r="472" spans="2:18" ht="14.4">
      <c r="M472" s="30"/>
      <c r="N472" s="30"/>
      <c r="O472" s="31"/>
      <c r="P472" s="32"/>
      <c r="R472" s="32"/>
    </row>
    <row r="473" spans="2:18" ht="14.4">
      <c r="M473" s="30"/>
      <c r="N473" s="30"/>
      <c r="O473" s="31"/>
      <c r="P473" s="32"/>
      <c r="R473" s="32"/>
    </row>
    <row r="474" spans="2:18" ht="14.4">
      <c r="M474" s="30"/>
      <c r="N474" s="30"/>
      <c r="O474" s="31"/>
      <c r="P474" s="32"/>
      <c r="R474" s="32"/>
    </row>
    <row r="475" spans="2:18" ht="14.4">
      <c r="M475" s="30"/>
      <c r="N475" s="30"/>
      <c r="O475" s="31"/>
      <c r="P475" s="32"/>
      <c r="R475" s="32"/>
    </row>
    <row r="476" spans="2:18" ht="14.4">
      <c r="M476" s="30"/>
      <c r="N476" s="30"/>
      <c r="O476" s="31"/>
      <c r="P476" s="32"/>
      <c r="R476" s="32"/>
    </row>
    <row r="477" spans="2:18" ht="14.4">
      <c r="M477" s="30"/>
      <c r="N477" s="30"/>
      <c r="O477" s="31"/>
      <c r="P477" s="32"/>
      <c r="R477" s="32"/>
    </row>
    <row r="478" spans="2:18" ht="14.4">
      <c r="M478" s="30"/>
      <c r="N478" s="30"/>
      <c r="O478" s="31"/>
      <c r="P478" s="32"/>
      <c r="R478" s="32"/>
    </row>
    <row r="479" spans="2:18" ht="14.4">
      <c r="M479" s="30"/>
      <c r="N479" s="30"/>
      <c r="O479" s="31"/>
      <c r="P479" s="32"/>
      <c r="R479" s="32"/>
    </row>
    <row r="480" spans="2:18" ht="14.4">
      <c r="M480" s="30"/>
      <c r="N480" s="30"/>
      <c r="O480" s="31"/>
      <c r="P480" s="32"/>
      <c r="R480" s="32"/>
    </row>
    <row r="481" spans="13:18" ht="14.4">
      <c r="M481" s="30"/>
      <c r="N481" s="30"/>
      <c r="O481" s="31"/>
      <c r="P481" s="32"/>
      <c r="R481" s="32"/>
    </row>
    <row r="482" spans="13:18" ht="14.4">
      <c r="M482" s="30"/>
      <c r="N482" s="30"/>
      <c r="O482" s="31"/>
      <c r="P482" s="32"/>
      <c r="R482" s="32"/>
    </row>
    <row r="483" spans="13:18" ht="14.4">
      <c r="M483" s="30"/>
      <c r="N483" s="30"/>
      <c r="O483" s="31"/>
      <c r="P483" s="32"/>
      <c r="R483" s="32"/>
    </row>
    <row r="484" spans="13:18" ht="14.4">
      <c r="M484" s="30"/>
      <c r="N484" s="30"/>
      <c r="O484" s="31"/>
      <c r="P484" s="32"/>
      <c r="R484" s="32"/>
    </row>
    <row r="485" spans="13:18" ht="14.4">
      <c r="M485" s="30"/>
      <c r="N485" s="30"/>
      <c r="O485" s="31"/>
      <c r="P485" s="32"/>
      <c r="R485" s="32"/>
    </row>
    <row r="486" spans="13:18" ht="14.4">
      <c r="M486" s="30"/>
      <c r="N486" s="30"/>
      <c r="O486" s="31"/>
      <c r="P486" s="32"/>
      <c r="R486" s="32"/>
    </row>
    <row r="487" spans="13:18" ht="14.4">
      <c r="M487" s="30"/>
      <c r="N487" s="30"/>
      <c r="O487" s="31"/>
      <c r="P487" s="32"/>
      <c r="R487" s="32"/>
    </row>
    <row r="488" spans="13:18" ht="14.4">
      <c r="M488" s="30"/>
      <c r="N488" s="30"/>
      <c r="O488" s="31"/>
      <c r="P488" s="32"/>
      <c r="R488" s="32"/>
    </row>
    <row r="489" spans="13:18" ht="14.4">
      <c r="M489" s="30"/>
      <c r="N489" s="30"/>
      <c r="O489" s="31"/>
      <c r="P489" s="32"/>
      <c r="R489" s="32"/>
    </row>
    <row r="490" spans="13:18" ht="14.4">
      <c r="M490" s="30"/>
      <c r="N490" s="30"/>
      <c r="O490" s="31"/>
      <c r="P490" s="32"/>
      <c r="R490" s="32"/>
    </row>
    <row r="491" spans="13:18" ht="14.4">
      <c r="M491" s="30"/>
      <c r="N491" s="30"/>
      <c r="O491" s="31"/>
      <c r="P491" s="32"/>
      <c r="R491" s="32"/>
    </row>
    <row r="492" spans="13:18" ht="14.4">
      <c r="M492" s="30"/>
      <c r="N492" s="30"/>
      <c r="O492" s="31"/>
      <c r="P492" s="32"/>
      <c r="R492" s="32"/>
    </row>
    <row r="493" spans="13:18" ht="14.4">
      <c r="M493" s="30"/>
      <c r="N493" s="30"/>
      <c r="O493" s="31"/>
      <c r="P493" s="32"/>
      <c r="R493" s="32"/>
    </row>
    <row r="494" spans="13:18" ht="14.4">
      <c r="M494" s="30"/>
      <c r="N494" s="30"/>
      <c r="O494" s="31"/>
      <c r="P494" s="32"/>
      <c r="R494" s="32"/>
    </row>
    <row r="495" spans="13:18" ht="14.4">
      <c r="M495" s="30"/>
      <c r="N495" s="30"/>
      <c r="O495" s="31"/>
      <c r="P495" s="32"/>
      <c r="R495" s="32"/>
    </row>
    <row r="496" spans="13:18" ht="14.4">
      <c r="M496" s="30"/>
      <c r="N496" s="30"/>
      <c r="O496" s="31"/>
      <c r="P496" s="32"/>
      <c r="R496" s="32"/>
    </row>
    <row r="497" spans="13:18" ht="14.4">
      <c r="M497" s="30"/>
      <c r="N497" s="30"/>
      <c r="O497" s="31"/>
      <c r="P497" s="32"/>
      <c r="R497" s="32"/>
    </row>
    <row r="498" spans="13:18" ht="14.4">
      <c r="M498" s="30"/>
      <c r="N498" s="30"/>
      <c r="O498" s="31"/>
      <c r="P498" s="32"/>
      <c r="R498" s="32"/>
    </row>
    <row r="499" spans="13:18" ht="14.4">
      <c r="M499" s="30"/>
      <c r="N499" s="30"/>
      <c r="O499" s="31"/>
      <c r="P499" s="32"/>
      <c r="R499" s="32"/>
    </row>
    <row r="500" spans="13:18" ht="14.4">
      <c r="M500" s="30"/>
      <c r="N500" s="30"/>
      <c r="O500" s="31"/>
      <c r="P500" s="32"/>
      <c r="R500" s="32"/>
    </row>
    <row r="501" spans="13:18" ht="14.4">
      <c r="M501" s="30"/>
      <c r="N501" s="30"/>
      <c r="O501" s="31"/>
      <c r="P501" s="32"/>
      <c r="R501" s="32"/>
    </row>
    <row r="502" spans="13:18" ht="14.4">
      <c r="M502" s="30"/>
      <c r="N502" s="30"/>
      <c r="O502" s="31"/>
      <c r="P502" s="32"/>
      <c r="R502" s="32"/>
    </row>
    <row r="503" spans="13:18" ht="14.4">
      <c r="M503" s="30"/>
      <c r="N503" s="30"/>
      <c r="O503" s="31"/>
      <c r="P503" s="32"/>
      <c r="R503" s="32"/>
    </row>
    <row r="504" spans="13:18" ht="14.4">
      <c r="M504" s="30"/>
      <c r="N504" s="30"/>
      <c r="O504" s="31"/>
      <c r="P504" s="32"/>
      <c r="R504" s="32"/>
    </row>
    <row r="505" spans="13:18" ht="14.4">
      <c r="M505" s="30"/>
      <c r="N505" s="30"/>
      <c r="O505" s="31"/>
      <c r="P505" s="32"/>
      <c r="R505" s="32"/>
    </row>
    <row r="506" spans="13:18" ht="14.4">
      <c r="M506" s="30"/>
      <c r="N506" s="30"/>
      <c r="O506" s="31"/>
      <c r="P506" s="32"/>
      <c r="R506" s="32"/>
    </row>
    <row r="507" spans="13:18" ht="14.4">
      <c r="M507" s="30"/>
      <c r="N507" s="30"/>
      <c r="O507" s="31"/>
      <c r="P507" s="32"/>
      <c r="R507" s="32"/>
    </row>
    <row r="508" spans="13:18" ht="14.4">
      <c r="M508" s="30"/>
      <c r="N508" s="30"/>
      <c r="O508" s="31"/>
      <c r="P508" s="32"/>
      <c r="R508" s="32"/>
    </row>
    <row r="509" spans="13:18" ht="14.4">
      <c r="M509" s="30"/>
      <c r="N509" s="30"/>
      <c r="O509" s="31"/>
      <c r="P509" s="32"/>
      <c r="R509" s="32"/>
    </row>
    <row r="510" spans="13:18" ht="14.4">
      <c r="M510" s="30"/>
      <c r="N510" s="30"/>
      <c r="O510" s="31"/>
      <c r="P510" s="32"/>
      <c r="R510" s="32"/>
    </row>
    <row r="511" spans="13:18" ht="14.4">
      <c r="M511" s="30"/>
      <c r="N511" s="30"/>
      <c r="O511" s="31"/>
      <c r="P511" s="32"/>
      <c r="R511" s="32"/>
    </row>
    <row r="512" spans="13:18" ht="14.4">
      <c r="M512" s="30"/>
      <c r="N512" s="30"/>
      <c r="O512" s="31"/>
      <c r="P512" s="32"/>
      <c r="R512" s="32"/>
    </row>
    <row r="513" spans="13:18" ht="14.4">
      <c r="M513" s="30"/>
      <c r="N513" s="30"/>
      <c r="O513" s="31"/>
      <c r="P513" s="32"/>
      <c r="R513" s="32"/>
    </row>
    <row r="514" spans="13:18" ht="14.4">
      <c r="M514" s="30"/>
      <c r="N514" s="30"/>
      <c r="O514" s="31"/>
      <c r="P514" s="32"/>
      <c r="R514" s="32"/>
    </row>
    <row r="515" spans="13:18" ht="14.4">
      <c r="M515" s="30"/>
      <c r="N515" s="30"/>
      <c r="O515" s="31"/>
      <c r="P515" s="32"/>
      <c r="R515" s="32"/>
    </row>
    <row r="516" spans="13:18" ht="14.4">
      <c r="M516" s="30"/>
      <c r="N516" s="30"/>
      <c r="O516" s="31"/>
      <c r="P516" s="32"/>
      <c r="R516" s="32"/>
    </row>
    <row r="517" spans="13:18" ht="14.4">
      <c r="M517" s="30"/>
      <c r="N517" s="30"/>
      <c r="O517" s="31"/>
      <c r="P517" s="32"/>
      <c r="R517" s="32"/>
    </row>
    <row r="518" spans="13:18" ht="14.4">
      <c r="M518" s="30"/>
      <c r="N518" s="30"/>
      <c r="O518" s="31"/>
      <c r="P518" s="32"/>
      <c r="R518" s="32"/>
    </row>
    <row r="519" spans="13:18" ht="14.4">
      <c r="M519" s="30"/>
      <c r="N519" s="30"/>
      <c r="O519" s="31"/>
      <c r="P519" s="32"/>
      <c r="R519" s="32"/>
    </row>
    <row r="520" spans="13:18" ht="14.4">
      <c r="M520" s="30"/>
      <c r="N520" s="30"/>
      <c r="O520" s="31"/>
      <c r="P520" s="32"/>
      <c r="R520" s="32"/>
    </row>
    <row r="521" spans="13:18" ht="14.4">
      <c r="M521" s="30"/>
      <c r="N521" s="30"/>
      <c r="O521" s="31"/>
      <c r="P521" s="32"/>
      <c r="R521" s="32"/>
    </row>
    <row r="522" spans="13:18" ht="14.4">
      <c r="M522" s="30"/>
      <c r="N522" s="30"/>
      <c r="O522" s="31"/>
      <c r="P522" s="32"/>
      <c r="R522" s="32"/>
    </row>
    <row r="523" spans="13:18" ht="14.4">
      <c r="M523" s="30"/>
      <c r="N523" s="30"/>
      <c r="O523" s="31"/>
      <c r="P523" s="32"/>
      <c r="R523" s="32"/>
    </row>
    <row r="524" spans="13:18" ht="14.4">
      <c r="M524" s="30"/>
      <c r="N524" s="30"/>
      <c r="O524" s="31"/>
      <c r="P524" s="32"/>
      <c r="R524" s="32"/>
    </row>
    <row r="525" spans="13:18" ht="14.4">
      <c r="M525" s="30"/>
      <c r="N525" s="30"/>
      <c r="O525" s="31"/>
      <c r="P525" s="32"/>
      <c r="R525" s="32"/>
    </row>
    <row r="526" spans="13:18" ht="14.4">
      <c r="M526" s="30"/>
      <c r="N526" s="30"/>
      <c r="O526" s="31"/>
      <c r="P526" s="32"/>
      <c r="R526" s="32"/>
    </row>
    <row r="527" spans="13:18" ht="14.4">
      <c r="M527" s="30"/>
      <c r="N527" s="30"/>
      <c r="O527" s="31"/>
      <c r="P527" s="32"/>
      <c r="R527" s="32"/>
    </row>
    <row r="528" spans="13:18" ht="14.4">
      <c r="M528" s="30"/>
      <c r="N528" s="30"/>
      <c r="O528" s="31"/>
      <c r="P528" s="32"/>
      <c r="R528" s="32"/>
    </row>
    <row r="529" spans="13:18" ht="14.4">
      <c r="M529" s="30"/>
      <c r="N529" s="30"/>
      <c r="O529" s="31"/>
      <c r="P529" s="32"/>
      <c r="R529" s="32"/>
    </row>
    <row r="530" spans="13:18" ht="14.4">
      <c r="M530" s="30"/>
      <c r="N530" s="30"/>
      <c r="O530" s="31"/>
      <c r="P530" s="32"/>
      <c r="R530" s="32"/>
    </row>
    <row r="531" spans="13:18" ht="14.4">
      <c r="M531" s="30"/>
      <c r="N531" s="30"/>
      <c r="O531" s="31"/>
      <c r="P531" s="32"/>
      <c r="R531" s="32"/>
    </row>
    <row r="532" spans="13:18" ht="14.4">
      <c r="M532" s="30"/>
      <c r="N532" s="30"/>
      <c r="O532" s="31"/>
      <c r="P532" s="32"/>
      <c r="R532" s="32"/>
    </row>
    <row r="533" spans="13:18" ht="14.4">
      <c r="M533" s="30"/>
      <c r="N533" s="30"/>
      <c r="O533" s="31"/>
      <c r="P533" s="32"/>
      <c r="R533" s="32"/>
    </row>
    <row r="534" spans="13:18" ht="14.4">
      <c r="M534" s="30"/>
      <c r="N534" s="30"/>
      <c r="O534" s="31"/>
      <c r="P534" s="32"/>
      <c r="R534" s="32"/>
    </row>
    <row r="535" spans="13:18" ht="14.4">
      <c r="M535" s="30"/>
      <c r="N535" s="30"/>
      <c r="O535" s="31"/>
      <c r="P535" s="32"/>
      <c r="R535" s="32"/>
    </row>
    <row r="536" spans="13:18" ht="14.4">
      <c r="M536" s="30"/>
      <c r="N536" s="30"/>
      <c r="O536" s="31"/>
      <c r="P536" s="32"/>
      <c r="R536" s="32"/>
    </row>
    <row r="537" spans="13:18" ht="14.4">
      <c r="M537" s="30"/>
      <c r="N537" s="30"/>
      <c r="O537" s="31"/>
      <c r="P537" s="32"/>
      <c r="R537" s="32"/>
    </row>
    <row r="538" spans="13:18" ht="14.4">
      <c r="M538" s="30"/>
      <c r="N538" s="30"/>
      <c r="O538" s="31"/>
      <c r="P538" s="32"/>
      <c r="R538" s="32"/>
    </row>
    <row r="539" spans="13:18" ht="14.4">
      <c r="M539" s="30"/>
      <c r="N539" s="30"/>
      <c r="O539" s="31"/>
      <c r="P539" s="32"/>
      <c r="R539" s="32"/>
    </row>
    <row r="540" spans="13:18" ht="14.4">
      <c r="M540" s="30"/>
      <c r="N540" s="30"/>
      <c r="O540" s="31"/>
      <c r="P540" s="32"/>
      <c r="R540" s="32"/>
    </row>
    <row r="541" spans="13:18" ht="14.4">
      <c r="M541" s="30"/>
      <c r="N541" s="30"/>
      <c r="O541" s="31"/>
      <c r="P541" s="32"/>
      <c r="R541" s="32"/>
    </row>
    <row r="542" spans="13:18" ht="14.4">
      <c r="M542" s="30"/>
      <c r="N542" s="30"/>
      <c r="O542" s="31"/>
      <c r="P542" s="32"/>
      <c r="R542" s="32"/>
    </row>
    <row r="543" spans="13:18" ht="14.4">
      <c r="M543" s="30"/>
      <c r="N543" s="30"/>
      <c r="O543" s="31"/>
      <c r="P543" s="32"/>
      <c r="R543" s="32"/>
    </row>
    <row r="544" spans="13:18" ht="14.4">
      <c r="M544" s="30"/>
      <c r="N544" s="30"/>
      <c r="O544" s="31"/>
      <c r="P544" s="32"/>
      <c r="R544" s="32"/>
    </row>
    <row r="545" spans="13:18" ht="14.4">
      <c r="M545" s="30"/>
      <c r="N545" s="30"/>
      <c r="O545" s="31"/>
      <c r="P545" s="32"/>
      <c r="R545" s="32"/>
    </row>
    <row r="546" spans="13:18" ht="14.4">
      <c r="M546" s="30"/>
      <c r="N546" s="30"/>
      <c r="O546" s="31"/>
      <c r="P546" s="32"/>
      <c r="R546" s="32"/>
    </row>
    <row r="547" spans="13:18" ht="14.4">
      <c r="M547" s="30"/>
      <c r="N547" s="30"/>
      <c r="O547" s="31"/>
      <c r="P547" s="32"/>
      <c r="R547" s="32"/>
    </row>
    <row r="548" spans="13:18" ht="14.4">
      <c r="M548" s="30"/>
      <c r="N548" s="30"/>
      <c r="O548" s="31"/>
      <c r="P548" s="32"/>
      <c r="R548" s="32"/>
    </row>
    <row r="549" spans="13:18" ht="14.4">
      <c r="M549" s="30"/>
      <c r="N549" s="30"/>
      <c r="O549" s="31"/>
      <c r="P549" s="32"/>
      <c r="R549" s="32"/>
    </row>
    <row r="550" spans="13:18" ht="14.4">
      <c r="M550" s="30"/>
      <c r="N550" s="30"/>
      <c r="O550" s="31"/>
      <c r="P550" s="32"/>
      <c r="R550" s="32"/>
    </row>
    <row r="551" spans="13:18" ht="14.4">
      <c r="M551" s="30"/>
      <c r="N551" s="30"/>
      <c r="O551" s="31"/>
      <c r="P551" s="32"/>
      <c r="R551" s="32"/>
    </row>
    <row r="552" spans="13:18" ht="14.4">
      <c r="M552" s="30"/>
      <c r="N552" s="30"/>
      <c r="O552" s="31"/>
      <c r="P552" s="32"/>
      <c r="R552" s="32"/>
    </row>
    <row r="553" spans="13:18" ht="14.4">
      <c r="M553" s="30"/>
      <c r="N553" s="30"/>
      <c r="O553" s="31"/>
      <c r="P553" s="32"/>
      <c r="R553" s="32"/>
    </row>
    <row r="554" spans="13:18" ht="14.4">
      <c r="M554" s="30"/>
      <c r="N554" s="30"/>
      <c r="O554" s="31"/>
      <c r="P554" s="32"/>
      <c r="R554" s="32"/>
    </row>
    <row r="555" spans="13:18" ht="14.4">
      <c r="M555" s="30"/>
      <c r="N555" s="30"/>
      <c r="O555" s="31"/>
      <c r="P555" s="32"/>
      <c r="R555" s="32"/>
    </row>
    <row r="556" spans="13:18" ht="14.4">
      <c r="M556" s="30"/>
      <c r="N556" s="30"/>
      <c r="O556" s="31"/>
      <c r="P556" s="32"/>
      <c r="R556" s="32"/>
    </row>
    <row r="557" spans="13:18" ht="14.4">
      <c r="M557" s="30"/>
      <c r="N557" s="30"/>
      <c r="O557" s="31"/>
      <c r="P557" s="32"/>
      <c r="R557" s="32"/>
    </row>
    <row r="558" spans="13:18" ht="14.4">
      <c r="M558" s="30"/>
      <c r="N558" s="30"/>
      <c r="O558" s="31"/>
      <c r="P558" s="32"/>
      <c r="R558" s="32"/>
    </row>
    <row r="559" spans="13:18" ht="14.4">
      <c r="M559" s="30"/>
      <c r="N559" s="30"/>
      <c r="O559" s="31"/>
      <c r="P559" s="32"/>
      <c r="R559" s="32"/>
    </row>
    <row r="560" spans="13:18" ht="14.4">
      <c r="M560" s="30"/>
      <c r="N560" s="30"/>
      <c r="O560" s="31"/>
      <c r="P560" s="32"/>
      <c r="R560" s="32"/>
    </row>
    <row r="561" spans="13:18" ht="14.4">
      <c r="M561" s="30"/>
      <c r="N561" s="30"/>
      <c r="O561" s="31"/>
      <c r="P561" s="32"/>
      <c r="R561" s="32"/>
    </row>
    <row r="562" spans="13:18" ht="14.4">
      <c r="M562" s="30"/>
      <c r="N562" s="30"/>
      <c r="O562" s="31"/>
      <c r="P562" s="32"/>
      <c r="R562" s="32"/>
    </row>
    <row r="563" spans="13:18" ht="14.4">
      <c r="M563" s="30"/>
      <c r="N563" s="30"/>
      <c r="O563" s="31"/>
      <c r="P563" s="32"/>
      <c r="R563" s="32"/>
    </row>
    <row r="564" spans="13:18" ht="14.4">
      <c r="M564" s="30"/>
      <c r="N564" s="30"/>
      <c r="O564" s="31"/>
      <c r="P564" s="32"/>
      <c r="R564" s="32"/>
    </row>
    <row r="565" spans="13:18" ht="14.4">
      <c r="M565" s="30"/>
      <c r="N565" s="30"/>
      <c r="O565" s="31"/>
      <c r="P565" s="32"/>
      <c r="R565" s="32"/>
    </row>
    <row r="566" spans="13:18" ht="14.4">
      <c r="M566" s="30"/>
      <c r="N566" s="30"/>
      <c r="O566" s="31"/>
      <c r="P566" s="32"/>
      <c r="R566" s="32"/>
    </row>
    <row r="567" spans="13:18" ht="14.4">
      <c r="M567" s="30"/>
      <c r="N567" s="30"/>
      <c r="O567" s="31"/>
      <c r="P567" s="32"/>
      <c r="R567" s="32"/>
    </row>
    <row r="568" spans="13:18" ht="14.4">
      <c r="M568" s="30"/>
      <c r="N568" s="30"/>
      <c r="O568" s="31"/>
      <c r="P568" s="32"/>
      <c r="R568" s="32"/>
    </row>
    <row r="569" spans="13:18" ht="14.4">
      <c r="M569" s="30"/>
      <c r="N569" s="30"/>
      <c r="O569" s="31"/>
      <c r="P569" s="32"/>
      <c r="R569" s="32"/>
    </row>
    <row r="570" spans="13:18" ht="14.4">
      <c r="M570" s="30"/>
      <c r="N570" s="30"/>
      <c r="O570" s="31"/>
      <c r="P570" s="32"/>
      <c r="R570" s="32"/>
    </row>
    <row r="571" spans="13:18" ht="14.4">
      <c r="M571" s="30"/>
      <c r="N571" s="30"/>
      <c r="O571" s="31"/>
      <c r="P571" s="32"/>
      <c r="R571" s="32"/>
    </row>
    <row r="572" spans="13:18" ht="14.4">
      <c r="M572" s="30"/>
      <c r="N572" s="30"/>
      <c r="O572" s="31"/>
      <c r="P572" s="32"/>
      <c r="R572" s="32"/>
    </row>
    <row r="573" spans="13:18" ht="14.4">
      <c r="M573" s="30"/>
      <c r="N573" s="30"/>
      <c r="O573" s="31"/>
      <c r="P573" s="32"/>
      <c r="R573" s="32"/>
    </row>
    <row r="574" spans="13:18" ht="14.4">
      <c r="M574" s="30"/>
      <c r="N574" s="30"/>
      <c r="O574" s="31"/>
      <c r="P574" s="32"/>
      <c r="R574" s="32"/>
    </row>
    <row r="575" spans="13:18" ht="14.4">
      <c r="M575" s="30"/>
      <c r="N575" s="30"/>
      <c r="O575" s="31"/>
      <c r="P575" s="32"/>
      <c r="R575" s="32"/>
    </row>
    <row r="576" spans="13:18" ht="14.4">
      <c r="M576" s="30"/>
      <c r="N576" s="30"/>
      <c r="O576" s="31"/>
      <c r="P576" s="32"/>
      <c r="R576" s="32"/>
    </row>
    <row r="577" spans="13:18" ht="14.4">
      <c r="M577" s="30"/>
      <c r="N577" s="30"/>
      <c r="O577" s="31"/>
      <c r="P577" s="32"/>
      <c r="R577" s="32"/>
    </row>
    <row r="578" spans="13:18" ht="14.4">
      <c r="M578" s="30"/>
      <c r="N578" s="30"/>
      <c r="O578" s="31"/>
      <c r="P578" s="32"/>
      <c r="R578" s="32"/>
    </row>
    <row r="579" spans="13:18" ht="14.4">
      <c r="M579" s="30"/>
      <c r="N579" s="30"/>
      <c r="O579" s="31"/>
      <c r="P579" s="32"/>
      <c r="R579" s="32"/>
    </row>
    <row r="580" spans="13:18" ht="14.4">
      <c r="M580" s="30"/>
      <c r="N580" s="30"/>
      <c r="O580" s="31"/>
      <c r="P580" s="32"/>
      <c r="R580" s="32"/>
    </row>
    <row r="581" spans="13:18" ht="14.4">
      <c r="M581" s="30"/>
      <c r="N581" s="30"/>
      <c r="O581" s="31"/>
      <c r="P581" s="32"/>
      <c r="R581" s="32"/>
    </row>
    <row r="582" spans="13:18" ht="14.4">
      <c r="M582" s="30"/>
      <c r="N582" s="30"/>
      <c r="O582" s="31"/>
      <c r="P582" s="32"/>
      <c r="R582" s="32"/>
    </row>
    <row r="583" spans="13:18" ht="14.4">
      <c r="M583" s="30"/>
      <c r="N583" s="30"/>
      <c r="O583" s="31"/>
      <c r="P583" s="32"/>
      <c r="R583" s="32"/>
    </row>
    <row r="584" spans="13:18" ht="14.4">
      <c r="M584" s="30"/>
      <c r="N584" s="30"/>
      <c r="O584" s="31"/>
      <c r="P584" s="32"/>
      <c r="R584" s="32"/>
    </row>
    <row r="585" spans="13:18" ht="14.4">
      <c r="M585" s="30"/>
      <c r="N585" s="30"/>
      <c r="O585" s="31"/>
      <c r="P585" s="32"/>
      <c r="R585" s="32"/>
    </row>
    <row r="586" spans="13:18" ht="14.4">
      <c r="M586" s="30"/>
      <c r="N586" s="30"/>
      <c r="O586" s="31"/>
      <c r="P586" s="32"/>
      <c r="R586" s="32"/>
    </row>
    <row r="587" spans="13:18" ht="14.4">
      <c r="M587" s="30"/>
      <c r="N587" s="30"/>
      <c r="O587" s="31"/>
      <c r="P587" s="32"/>
      <c r="R587" s="32"/>
    </row>
    <row r="588" spans="13:18" ht="14.4">
      <c r="M588" s="30"/>
      <c r="N588" s="30"/>
      <c r="O588" s="31"/>
      <c r="P588" s="32"/>
      <c r="R588" s="32"/>
    </row>
    <row r="589" spans="13:18" ht="14.4">
      <c r="M589" s="30"/>
      <c r="N589" s="30"/>
      <c r="O589" s="31"/>
      <c r="P589" s="32"/>
      <c r="R589" s="32"/>
    </row>
    <row r="590" spans="13:18" ht="14.4">
      <c r="M590" s="30"/>
      <c r="N590" s="30"/>
      <c r="O590" s="31"/>
      <c r="P590" s="32"/>
      <c r="R590" s="32"/>
    </row>
    <row r="591" spans="13:18" ht="14.4">
      <c r="M591" s="30"/>
      <c r="N591" s="30"/>
      <c r="O591" s="31"/>
      <c r="P591" s="32"/>
      <c r="R591" s="32"/>
    </row>
    <row r="592" spans="13:18" ht="14.4">
      <c r="M592" s="30"/>
      <c r="N592" s="30"/>
      <c r="O592" s="31"/>
      <c r="P592" s="32"/>
      <c r="R592" s="32"/>
    </row>
    <row r="593" spans="13:18" ht="14.4">
      <c r="M593" s="30"/>
      <c r="N593" s="30"/>
      <c r="O593" s="31"/>
      <c r="P593" s="32"/>
      <c r="R593" s="32"/>
    </row>
    <row r="594" spans="13:18" ht="14.4">
      <c r="M594" s="30"/>
      <c r="N594" s="30"/>
      <c r="O594" s="31"/>
      <c r="P594" s="32"/>
      <c r="R594" s="32"/>
    </row>
    <row r="595" spans="13:18" ht="14.4">
      <c r="M595" s="30"/>
      <c r="N595" s="30"/>
      <c r="O595" s="31"/>
      <c r="P595" s="32"/>
      <c r="R595" s="32"/>
    </row>
    <row r="596" spans="13:18" ht="14.4">
      <c r="M596" s="30"/>
      <c r="N596" s="30"/>
      <c r="O596" s="31"/>
      <c r="P596" s="32"/>
      <c r="R596" s="32"/>
    </row>
    <row r="597" spans="13:18" ht="14.4">
      <c r="M597" s="30"/>
      <c r="N597" s="30"/>
      <c r="O597" s="31"/>
      <c r="P597" s="32"/>
      <c r="R597" s="32"/>
    </row>
    <row r="598" spans="13:18" ht="14.4">
      <c r="M598" s="30"/>
      <c r="N598" s="30"/>
      <c r="O598" s="31"/>
      <c r="P598" s="32"/>
      <c r="R598" s="32"/>
    </row>
    <row r="599" spans="13:18" ht="14.4">
      <c r="M599" s="30"/>
      <c r="N599" s="30"/>
      <c r="O599" s="31"/>
      <c r="P599" s="32"/>
      <c r="R599" s="32"/>
    </row>
    <row r="600" spans="13:18" ht="14.4">
      <c r="M600" s="30"/>
      <c r="N600" s="30"/>
      <c r="O600" s="31"/>
      <c r="P600" s="32"/>
      <c r="R600" s="32"/>
    </row>
    <row r="601" spans="13:18" ht="14.4">
      <c r="M601" s="30"/>
      <c r="N601" s="30"/>
      <c r="O601" s="31"/>
      <c r="P601" s="32"/>
      <c r="R601" s="32"/>
    </row>
    <row r="602" spans="13:18" ht="14.4">
      <c r="M602" s="30"/>
      <c r="N602" s="30"/>
      <c r="O602" s="31"/>
      <c r="P602" s="32"/>
      <c r="R602" s="32"/>
    </row>
    <row r="603" spans="13:18" ht="14.4">
      <c r="M603" s="30"/>
      <c r="N603" s="30"/>
      <c r="O603" s="31"/>
      <c r="P603" s="32"/>
      <c r="R603" s="32"/>
    </row>
    <row r="604" spans="13:18" ht="14.4">
      <c r="M604" s="30"/>
      <c r="N604" s="30"/>
      <c r="O604" s="31"/>
      <c r="P604" s="32"/>
      <c r="R604" s="32"/>
    </row>
    <row r="605" spans="13:18" ht="14.4">
      <c r="M605" s="30"/>
      <c r="N605" s="30"/>
      <c r="O605" s="31"/>
      <c r="P605" s="32"/>
      <c r="R605" s="32"/>
    </row>
    <row r="606" spans="13:18" ht="14.4">
      <c r="M606" s="30"/>
      <c r="N606" s="30"/>
      <c r="O606" s="31"/>
      <c r="P606" s="32"/>
      <c r="R606" s="32"/>
    </row>
    <row r="607" spans="13:18" ht="14.4">
      <c r="M607" s="30"/>
      <c r="N607" s="30"/>
      <c r="O607" s="31"/>
      <c r="P607" s="32"/>
      <c r="R607" s="32"/>
    </row>
    <row r="608" spans="13:18" ht="14.4">
      <c r="M608" s="30"/>
      <c r="N608" s="30"/>
      <c r="O608" s="31"/>
      <c r="P608" s="32"/>
      <c r="R608" s="32"/>
    </row>
    <row r="609" spans="13:18" ht="14.4">
      <c r="M609" s="30"/>
      <c r="N609" s="30"/>
      <c r="O609" s="31"/>
      <c r="P609" s="32"/>
      <c r="R609" s="32"/>
    </row>
    <row r="610" spans="13:18" ht="14.4">
      <c r="M610" s="30"/>
      <c r="N610" s="30"/>
      <c r="O610" s="31"/>
      <c r="P610" s="32"/>
      <c r="R610" s="32"/>
    </row>
    <row r="611" spans="13:18" ht="14.4">
      <c r="M611" s="30"/>
      <c r="N611" s="30"/>
      <c r="O611" s="31"/>
      <c r="P611" s="32"/>
      <c r="R611" s="32"/>
    </row>
    <row r="612" spans="13:18" ht="14.4">
      <c r="M612" s="30"/>
      <c r="N612" s="30"/>
      <c r="O612" s="31"/>
      <c r="P612" s="32"/>
      <c r="R612" s="32"/>
    </row>
    <row r="613" spans="13:18" ht="14.4">
      <c r="M613" s="30"/>
      <c r="N613" s="30"/>
      <c r="O613" s="31"/>
      <c r="P613" s="32"/>
      <c r="R613" s="32"/>
    </row>
    <row r="614" spans="13:18" ht="14.4">
      <c r="M614" s="30"/>
      <c r="N614" s="30"/>
      <c r="O614" s="31"/>
      <c r="P614" s="32"/>
      <c r="R614" s="32"/>
    </row>
    <row r="615" spans="13:18" ht="14.4">
      <c r="M615" s="30"/>
      <c r="N615" s="30"/>
      <c r="O615" s="31"/>
      <c r="P615" s="32"/>
      <c r="R615" s="32"/>
    </row>
    <row r="616" spans="13:18" ht="14.4">
      <c r="M616" s="30"/>
      <c r="N616" s="30"/>
      <c r="O616" s="31"/>
      <c r="P616" s="32"/>
      <c r="R616" s="32"/>
    </row>
    <row r="617" spans="13:18" ht="14.4">
      <c r="M617" s="30"/>
      <c r="N617" s="30"/>
      <c r="O617" s="31"/>
      <c r="P617" s="32"/>
      <c r="R617" s="32"/>
    </row>
    <row r="618" spans="13:18" ht="14.4">
      <c r="M618" s="30"/>
      <c r="N618" s="30"/>
      <c r="O618" s="31"/>
      <c r="P618" s="32"/>
      <c r="R618" s="32"/>
    </row>
    <row r="619" spans="13:18" ht="14.4">
      <c r="M619" s="30"/>
      <c r="N619" s="30"/>
      <c r="O619" s="31"/>
      <c r="P619" s="32"/>
      <c r="R619" s="32"/>
    </row>
    <row r="620" spans="13:18" ht="14.4">
      <c r="M620" s="30"/>
      <c r="N620" s="30"/>
      <c r="O620" s="31"/>
      <c r="P620" s="32"/>
      <c r="R620" s="32"/>
    </row>
    <row r="621" spans="13:18" ht="14.4">
      <c r="M621" s="30"/>
      <c r="N621" s="30"/>
      <c r="O621" s="31"/>
      <c r="P621" s="32"/>
      <c r="R621" s="32"/>
    </row>
    <row r="622" spans="13:18" ht="14.4">
      <c r="M622" s="30"/>
      <c r="N622" s="30"/>
      <c r="O622" s="31"/>
      <c r="P622" s="32"/>
      <c r="R622" s="32"/>
    </row>
    <row r="623" spans="13:18" ht="14.4">
      <c r="M623" s="30"/>
      <c r="N623" s="30"/>
      <c r="O623" s="31"/>
      <c r="P623" s="32"/>
      <c r="R623" s="32"/>
    </row>
    <row r="624" spans="13:18" ht="14.4">
      <c r="M624" s="30"/>
      <c r="N624" s="30"/>
      <c r="O624" s="31"/>
      <c r="P624" s="32"/>
      <c r="R624" s="32"/>
    </row>
    <row r="625" spans="13:18" ht="14.4">
      <c r="M625" s="30"/>
      <c r="N625" s="30"/>
      <c r="O625" s="31"/>
      <c r="P625" s="32"/>
      <c r="R625" s="32"/>
    </row>
    <row r="626" spans="13:18" ht="14.4">
      <c r="M626" s="30"/>
      <c r="N626" s="30"/>
      <c r="O626" s="31"/>
      <c r="P626" s="32"/>
      <c r="R626" s="32"/>
    </row>
    <row r="627" spans="13:18" ht="14.4">
      <c r="M627" s="30"/>
      <c r="N627" s="30"/>
      <c r="O627" s="31"/>
      <c r="P627" s="32"/>
      <c r="R627" s="32"/>
    </row>
    <row r="628" spans="13:18" ht="14.4">
      <c r="M628" s="30"/>
      <c r="N628" s="30"/>
      <c r="O628" s="31"/>
      <c r="P628" s="32"/>
      <c r="R628" s="32"/>
    </row>
    <row r="629" spans="13:18" ht="14.4">
      <c r="M629" s="30"/>
      <c r="N629" s="30"/>
      <c r="O629" s="31"/>
      <c r="P629" s="32"/>
      <c r="R629" s="32"/>
    </row>
    <row r="630" spans="13:18" ht="14.4">
      <c r="M630" s="30"/>
      <c r="N630" s="30"/>
      <c r="O630" s="31"/>
      <c r="P630" s="32"/>
      <c r="R630" s="32"/>
    </row>
    <row r="631" spans="13:18" ht="14.4">
      <c r="M631" s="30"/>
      <c r="N631" s="30"/>
      <c r="O631" s="31"/>
      <c r="P631" s="32"/>
      <c r="R631" s="32"/>
    </row>
    <row r="632" spans="13:18" ht="14.4">
      <c r="M632" s="30"/>
      <c r="N632" s="30"/>
      <c r="O632" s="31"/>
      <c r="P632" s="32"/>
      <c r="R632" s="32"/>
    </row>
    <row r="633" spans="13:18" ht="14.4">
      <c r="M633" s="30"/>
      <c r="N633" s="30"/>
      <c r="O633" s="31"/>
      <c r="P633" s="32"/>
      <c r="R633" s="32"/>
    </row>
    <row r="634" spans="13:18" ht="14.4">
      <c r="M634" s="30"/>
      <c r="N634" s="30"/>
      <c r="O634" s="31"/>
      <c r="P634" s="32"/>
      <c r="R634" s="32"/>
    </row>
    <row r="635" spans="13:18" ht="14.4">
      <c r="M635" s="30"/>
      <c r="N635" s="30"/>
      <c r="O635" s="31"/>
      <c r="P635" s="32"/>
      <c r="R635" s="32"/>
    </row>
    <row r="636" spans="13:18" ht="14.4">
      <c r="M636" s="30"/>
      <c r="N636" s="30"/>
      <c r="O636" s="31"/>
      <c r="P636" s="32"/>
      <c r="R636" s="32"/>
    </row>
    <row r="637" spans="13:18" ht="14.4">
      <c r="M637" s="30"/>
      <c r="N637" s="30"/>
      <c r="O637" s="31"/>
      <c r="P637" s="32"/>
      <c r="R637" s="32"/>
    </row>
    <row r="638" spans="13:18" ht="14.4">
      <c r="M638" s="30"/>
      <c r="N638" s="30"/>
      <c r="O638" s="31"/>
      <c r="P638" s="32"/>
      <c r="R638" s="32"/>
    </row>
    <row r="639" spans="13:18" ht="14.4">
      <c r="M639" s="30"/>
      <c r="N639" s="30"/>
      <c r="O639" s="31"/>
      <c r="P639" s="32"/>
      <c r="R639" s="32"/>
    </row>
    <row r="640" spans="13:18" ht="14.4">
      <c r="M640" s="30"/>
      <c r="N640" s="30"/>
      <c r="O640" s="31"/>
      <c r="P640" s="32"/>
      <c r="R640" s="32"/>
    </row>
    <row r="641" spans="13:18" ht="14.4">
      <c r="M641" s="30"/>
      <c r="N641" s="30"/>
      <c r="O641" s="31"/>
      <c r="P641" s="32"/>
      <c r="R641" s="32"/>
    </row>
    <row r="642" spans="13:18" ht="14.4">
      <c r="M642" s="30"/>
      <c r="N642" s="30"/>
      <c r="O642" s="31"/>
      <c r="P642" s="32"/>
      <c r="R642" s="32"/>
    </row>
    <row r="643" spans="13:18" ht="14.4">
      <c r="M643" s="30"/>
      <c r="N643" s="30"/>
      <c r="O643" s="31"/>
      <c r="P643" s="32"/>
      <c r="R643" s="32"/>
    </row>
    <row r="644" spans="13:18" ht="14.4">
      <c r="M644" s="30"/>
      <c r="N644" s="30"/>
      <c r="O644" s="31"/>
      <c r="P644" s="32"/>
      <c r="R644" s="32"/>
    </row>
    <row r="645" spans="13:18" ht="14.4">
      <c r="M645" s="30"/>
      <c r="N645" s="30"/>
      <c r="O645" s="31"/>
      <c r="P645" s="32"/>
      <c r="R645" s="32"/>
    </row>
    <row r="646" spans="13:18" ht="14.4">
      <c r="M646" s="30"/>
      <c r="N646" s="30"/>
      <c r="O646" s="31"/>
      <c r="P646" s="32"/>
      <c r="R646" s="32"/>
    </row>
    <row r="647" spans="13:18" ht="14.4">
      <c r="M647" s="30"/>
      <c r="N647" s="30"/>
      <c r="O647" s="31"/>
      <c r="P647" s="32"/>
      <c r="R647" s="32"/>
    </row>
    <row r="648" spans="13:18" ht="14.4">
      <c r="M648" s="30"/>
      <c r="N648" s="30"/>
      <c r="O648" s="31"/>
      <c r="P648" s="32"/>
      <c r="R648" s="32"/>
    </row>
    <row r="649" spans="13:18" ht="14.4">
      <c r="M649" s="30"/>
      <c r="N649" s="30"/>
      <c r="O649" s="31"/>
      <c r="P649" s="32"/>
      <c r="R649" s="32"/>
    </row>
    <row r="650" spans="13:18" ht="14.4">
      <c r="M650" s="30"/>
      <c r="N650" s="30"/>
      <c r="O650" s="31"/>
      <c r="P650" s="32"/>
      <c r="R650" s="32"/>
    </row>
    <row r="651" spans="13:18" ht="14.4">
      <c r="M651" s="30"/>
      <c r="N651" s="30"/>
      <c r="O651" s="31"/>
      <c r="P651" s="32"/>
      <c r="R651" s="32"/>
    </row>
    <row r="652" spans="13:18" ht="14.4">
      <c r="M652" s="30"/>
      <c r="N652" s="30"/>
      <c r="O652" s="31"/>
      <c r="P652" s="32"/>
      <c r="R652" s="32"/>
    </row>
    <row r="653" spans="13:18" ht="14.4">
      <c r="M653" s="30"/>
      <c r="N653" s="30"/>
      <c r="O653" s="31"/>
      <c r="P653" s="32"/>
      <c r="R653" s="32"/>
    </row>
    <row r="654" spans="13:18" ht="14.4">
      <c r="M654" s="30"/>
      <c r="N654" s="30"/>
      <c r="O654" s="31"/>
      <c r="P654" s="32"/>
      <c r="R654" s="32"/>
    </row>
    <row r="655" spans="13:18" ht="14.4">
      <c r="M655" s="30"/>
      <c r="N655" s="30"/>
      <c r="O655" s="31"/>
      <c r="P655" s="32"/>
      <c r="R655" s="32"/>
    </row>
    <row r="656" spans="13:18" ht="14.4">
      <c r="M656" s="30"/>
      <c r="N656" s="30"/>
      <c r="O656" s="31"/>
      <c r="P656" s="32"/>
      <c r="R656" s="32"/>
    </row>
    <row r="657" spans="13:18" ht="14.4">
      <c r="M657" s="30"/>
      <c r="N657" s="30"/>
      <c r="O657" s="31"/>
      <c r="P657" s="32"/>
      <c r="R657" s="32"/>
    </row>
    <row r="658" spans="13:18" ht="14.4">
      <c r="M658" s="30"/>
      <c r="N658" s="30"/>
      <c r="O658" s="31"/>
      <c r="P658" s="32"/>
      <c r="R658" s="32"/>
    </row>
    <row r="659" spans="13:18" ht="14.4">
      <c r="M659" s="30"/>
      <c r="N659" s="30"/>
      <c r="O659" s="31"/>
      <c r="P659" s="32"/>
      <c r="R659" s="32"/>
    </row>
    <row r="660" spans="13:18" ht="14.4">
      <c r="M660" s="30"/>
      <c r="N660" s="30"/>
      <c r="O660" s="31"/>
      <c r="P660" s="32"/>
      <c r="R660" s="32"/>
    </row>
    <row r="661" spans="13:18" ht="14.4">
      <c r="M661" s="30"/>
      <c r="N661" s="30"/>
      <c r="O661" s="31"/>
      <c r="P661" s="32"/>
      <c r="R661" s="32"/>
    </row>
    <row r="662" spans="13:18" ht="14.4">
      <c r="M662" s="30"/>
      <c r="N662" s="30"/>
      <c r="O662" s="31"/>
      <c r="P662" s="32"/>
      <c r="R662" s="32"/>
    </row>
    <row r="663" spans="13:18" ht="14.4">
      <c r="M663" s="30"/>
      <c r="N663" s="30"/>
      <c r="O663" s="31"/>
      <c r="P663" s="32"/>
      <c r="R663" s="32"/>
    </row>
    <row r="664" spans="13:18" ht="14.4">
      <c r="M664" s="30"/>
      <c r="N664" s="30"/>
      <c r="O664" s="31"/>
      <c r="P664" s="32"/>
      <c r="R664" s="32"/>
    </row>
    <row r="665" spans="13:18" ht="14.4">
      <c r="M665" s="30"/>
      <c r="N665" s="30"/>
      <c r="O665" s="31"/>
      <c r="P665" s="32"/>
      <c r="R665" s="32"/>
    </row>
    <row r="666" spans="13:18" ht="14.4">
      <c r="M666" s="30"/>
      <c r="N666" s="30"/>
      <c r="O666" s="31"/>
      <c r="P666" s="32"/>
      <c r="R666" s="32"/>
    </row>
    <row r="667" spans="13:18" ht="14.4">
      <c r="M667" s="30"/>
      <c r="N667" s="30"/>
      <c r="O667" s="31"/>
      <c r="P667" s="32"/>
      <c r="R667" s="32"/>
    </row>
    <row r="668" spans="13:18" ht="14.4">
      <c r="M668" s="30"/>
      <c r="N668" s="30"/>
      <c r="O668" s="31"/>
      <c r="P668" s="32"/>
      <c r="R668" s="32"/>
    </row>
    <row r="669" spans="13:18" ht="14.4">
      <c r="M669" s="30"/>
      <c r="N669" s="30"/>
      <c r="O669" s="31"/>
      <c r="P669" s="32"/>
      <c r="R669" s="32"/>
    </row>
    <row r="670" spans="13:18" ht="14.4">
      <c r="M670" s="30"/>
      <c r="N670" s="30"/>
      <c r="O670" s="31"/>
      <c r="P670" s="32"/>
      <c r="R670" s="32"/>
    </row>
    <row r="671" spans="13:18" ht="14.4">
      <c r="M671" s="30"/>
      <c r="N671" s="30"/>
      <c r="O671" s="31"/>
      <c r="P671" s="32"/>
      <c r="R671" s="32"/>
    </row>
    <row r="672" spans="13:18" ht="14.4">
      <c r="M672" s="30"/>
      <c r="N672" s="30"/>
      <c r="O672" s="31"/>
      <c r="P672" s="32"/>
      <c r="R672" s="32"/>
    </row>
    <row r="673" spans="13:18" ht="14.4">
      <c r="M673" s="30"/>
      <c r="N673" s="30"/>
      <c r="O673" s="31"/>
      <c r="P673" s="32"/>
      <c r="R673" s="32"/>
    </row>
    <row r="674" spans="13:18" ht="14.4">
      <c r="M674" s="30"/>
      <c r="N674" s="30"/>
      <c r="O674" s="31"/>
      <c r="P674" s="32"/>
      <c r="R674" s="32"/>
    </row>
    <row r="675" spans="13:18" ht="14.4">
      <c r="M675" s="30"/>
      <c r="N675" s="30"/>
      <c r="O675" s="31"/>
      <c r="P675" s="32"/>
      <c r="R675" s="32"/>
    </row>
    <row r="676" spans="13:18" ht="14.4">
      <c r="M676" s="30"/>
      <c r="N676" s="30"/>
      <c r="O676" s="31"/>
      <c r="P676" s="32"/>
      <c r="R676" s="32"/>
    </row>
    <row r="677" spans="13:18" ht="14.4">
      <c r="M677" s="30"/>
      <c r="N677" s="30"/>
      <c r="O677" s="31"/>
      <c r="P677" s="32"/>
      <c r="R677" s="32"/>
    </row>
    <row r="678" spans="13:18" ht="14.4">
      <c r="M678" s="30"/>
      <c r="N678" s="30"/>
      <c r="O678" s="31"/>
      <c r="P678" s="32"/>
      <c r="R678" s="32"/>
    </row>
    <row r="679" spans="13:18" ht="14.4">
      <c r="M679" s="30"/>
      <c r="N679" s="30"/>
      <c r="O679" s="31"/>
      <c r="P679" s="32"/>
      <c r="R679" s="32"/>
    </row>
    <row r="680" spans="13:18" ht="14.4">
      <c r="M680" s="30"/>
      <c r="N680" s="30"/>
      <c r="O680" s="31"/>
      <c r="P680" s="32"/>
      <c r="R680" s="32"/>
    </row>
    <row r="681" spans="13:18" ht="14.4">
      <c r="M681" s="30"/>
      <c r="N681" s="30"/>
      <c r="O681" s="31"/>
      <c r="P681" s="32"/>
      <c r="R681" s="32"/>
    </row>
    <row r="682" spans="13:18" ht="14.4">
      <c r="M682" s="30"/>
      <c r="N682" s="30"/>
      <c r="O682" s="31"/>
      <c r="P682" s="32"/>
      <c r="R682" s="32"/>
    </row>
    <row r="683" spans="13:18" ht="14.4">
      <c r="M683" s="30"/>
      <c r="N683" s="30"/>
      <c r="O683" s="31"/>
      <c r="P683" s="32"/>
      <c r="R683" s="32"/>
    </row>
    <row r="684" spans="13:18" ht="14.4">
      <c r="M684" s="30"/>
      <c r="N684" s="30"/>
      <c r="O684" s="31"/>
      <c r="P684" s="32"/>
      <c r="R684" s="32"/>
    </row>
    <row r="685" spans="13:18" ht="14.4">
      <c r="M685" s="30"/>
      <c r="N685" s="30"/>
      <c r="O685" s="31"/>
      <c r="P685" s="32"/>
      <c r="R685" s="32"/>
    </row>
    <row r="686" spans="13:18" ht="14.4">
      <c r="M686" s="30"/>
      <c r="N686" s="30"/>
      <c r="O686" s="31"/>
      <c r="P686" s="32"/>
      <c r="R686" s="32"/>
    </row>
    <row r="687" spans="13:18" ht="14.4">
      <c r="M687" s="30"/>
      <c r="N687" s="30"/>
      <c r="O687" s="31"/>
      <c r="P687" s="32"/>
      <c r="R687" s="32"/>
    </row>
    <row r="688" spans="13:18" ht="14.4">
      <c r="M688" s="30"/>
      <c r="N688" s="30"/>
      <c r="O688" s="31"/>
      <c r="P688" s="32"/>
      <c r="R688" s="32"/>
    </row>
    <row r="689" spans="13:18" ht="14.4">
      <c r="M689" s="30"/>
      <c r="N689" s="30"/>
      <c r="O689" s="31"/>
      <c r="P689" s="32"/>
      <c r="R689" s="32"/>
    </row>
    <row r="690" spans="13:18" ht="14.4">
      <c r="M690" s="30"/>
      <c r="N690" s="30"/>
      <c r="O690" s="31"/>
      <c r="P690" s="32"/>
      <c r="R690" s="32"/>
    </row>
    <row r="691" spans="13:18" ht="14.4">
      <c r="M691" s="30"/>
      <c r="N691" s="30"/>
      <c r="O691" s="31"/>
      <c r="P691" s="32"/>
      <c r="R691" s="32"/>
    </row>
    <row r="692" spans="13:18" ht="14.4">
      <c r="M692" s="30"/>
      <c r="N692" s="30"/>
      <c r="O692" s="31"/>
      <c r="P692" s="32"/>
      <c r="R692" s="32"/>
    </row>
    <row r="693" spans="13:18" ht="14.4">
      <c r="M693" s="30"/>
      <c r="N693" s="30"/>
      <c r="O693" s="31"/>
      <c r="P693" s="32"/>
      <c r="R693" s="32"/>
    </row>
    <row r="694" spans="13:18" ht="14.4">
      <c r="M694" s="30"/>
      <c r="N694" s="30"/>
      <c r="O694" s="31"/>
      <c r="P694" s="32"/>
      <c r="R694" s="32"/>
    </row>
    <row r="695" spans="13:18" ht="14.4">
      <c r="M695" s="30"/>
      <c r="N695" s="30"/>
      <c r="O695" s="31"/>
      <c r="P695" s="32"/>
      <c r="R695" s="32"/>
    </row>
    <row r="696" spans="13:18" ht="14.4">
      <c r="M696" s="30"/>
      <c r="N696" s="30"/>
      <c r="O696" s="31"/>
      <c r="P696" s="32"/>
      <c r="R696" s="32"/>
    </row>
    <row r="697" spans="13:18" ht="14.4">
      <c r="M697" s="30"/>
      <c r="N697" s="30"/>
      <c r="O697" s="31"/>
      <c r="P697" s="32"/>
      <c r="R697" s="32"/>
    </row>
    <row r="698" spans="13:18" ht="14.4">
      <c r="M698" s="30"/>
      <c r="N698" s="30"/>
      <c r="O698" s="31"/>
      <c r="P698" s="32"/>
      <c r="R698" s="32"/>
    </row>
    <row r="699" spans="13:18" ht="14.4">
      <c r="M699" s="30"/>
      <c r="N699" s="30"/>
      <c r="O699" s="31"/>
      <c r="P699" s="32"/>
      <c r="R699" s="32"/>
    </row>
    <row r="700" spans="13:18" ht="14.4">
      <c r="M700" s="30"/>
      <c r="N700" s="30"/>
      <c r="O700" s="31"/>
      <c r="P700" s="32"/>
      <c r="R700" s="32"/>
    </row>
    <row r="701" spans="13:18" ht="14.4">
      <c r="M701" s="30"/>
      <c r="N701" s="30"/>
      <c r="O701" s="31"/>
      <c r="P701" s="32"/>
      <c r="R701" s="32"/>
    </row>
    <row r="702" spans="13:18" ht="14.4">
      <c r="M702" s="30"/>
      <c r="N702" s="30"/>
      <c r="O702" s="31"/>
      <c r="P702" s="32"/>
      <c r="R702" s="32"/>
    </row>
    <row r="703" spans="13:18" ht="14.4">
      <c r="M703" s="30"/>
      <c r="N703" s="30"/>
      <c r="O703" s="31"/>
      <c r="P703" s="32"/>
      <c r="R703" s="32"/>
    </row>
    <row r="704" spans="13:18" ht="14.4">
      <c r="M704" s="30"/>
      <c r="N704" s="30"/>
      <c r="O704" s="31"/>
      <c r="P704" s="32"/>
      <c r="R704" s="32"/>
    </row>
    <row r="705" spans="13:18" ht="14.4">
      <c r="M705" s="30"/>
      <c r="N705" s="30"/>
      <c r="O705" s="31"/>
      <c r="P705" s="32"/>
      <c r="R705" s="32"/>
    </row>
    <row r="706" spans="13:18" ht="14.4">
      <c r="M706" s="30"/>
      <c r="N706" s="30"/>
      <c r="O706" s="31"/>
      <c r="P706" s="32"/>
      <c r="R706" s="32"/>
    </row>
    <row r="707" spans="13:18" ht="14.4">
      <c r="M707" s="30"/>
      <c r="N707" s="30"/>
      <c r="O707" s="31"/>
      <c r="P707" s="32"/>
      <c r="R707" s="32"/>
    </row>
    <row r="708" spans="13:18" ht="14.4">
      <c r="M708" s="30"/>
      <c r="N708" s="30"/>
      <c r="O708" s="31"/>
      <c r="P708" s="32"/>
      <c r="R708" s="32"/>
    </row>
    <row r="709" spans="13:18" ht="14.4">
      <c r="M709" s="30"/>
      <c r="N709" s="30"/>
      <c r="O709" s="31"/>
      <c r="P709" s="32"/>
      <c r="R709" s="32"/>
    </row>
    <row r="710" spans="13:18" ht="14.4">
      <c r="M710" s="30"/>
      <c r="N710" s="30"/>
      <c r="O710" s="31"/>
      <c r="P710" s="32"/>
      <c r="R710" s="32"/>
    </row>
    <row r="711" spans="13:18" ht="14.4">
      <c r="M711" s="30"/>
      <c r="N711" s="30"/>
      <c r="O711" s="31"/>
      <c r="P711" s="32"/>
      <c r="R711" s="32"/>
    </row>
    <row r="712" spans="13:18" ht="14.4">
      <c r="M712" s="30"/>
      <c r="N712" s="30"/>
      <c r="O712" s="31"/>
      <c r="P712" s="32"/>
      <c r="R712" s="32"/>
    </row>
    <row r="713" spans="13:18" ht="14.4">
      <c r="M713" s="30"/>
      <c r="N713" s="30"/>
      <c r="O713" s="31"/>
      <c r="P713" s="32"/>
      <c r="R713" s="32"/>
    </row>
    <row r="714" spans="13:18" ht="14.4">
      <c r="M714" s="30"/>
      <c r="N714" s="30"/>
      <c r="O714" s="31"/>
      <c r="P714" s="32"/>
      <c r="R714" s="32"/>
    </row>
    <row r="715" spans="13:18" ht="14.4">
      <c r="M715" s="30"/>
      <c r="N715" s="30"/>
      <c r="O715" s="31"/>
      <c r="P715" s="32"/>
      <c r="R715" s="32"/>
    </row>
    <row r="716" spans="13:18" ht="14.4">
      <c r="M716" s="30"/>
      <c r="N716" s="30"/>
      <c r="O716" s="31"/>
      <c r="P716" s="32"/>
      <c r="R716" s="32"/>
    </row>
    <row r="717" spans="13:18" ht="14.4">
      <c r="M717" s="30"/>
      <c r="N717" s="30"/>
      <c r="O717" s="31"/>
      <c r="P717" s="32"/>
      <c r="R717" s="32"/>
    </row>
    <row r="718" spans="13:18" ht="14.4">
      <c r="M718" s="30"/>
      <c r="N718" s="30"/>
      <c r="O718" s="31"/>
      <c r="P718" s="32"/>
      <c r="R718" s="32"/>
    </row>
    <row r="719" spans="13:18" ht="14.4">
      <c r="M719" s="30"/>
      <c r="N719" s="30"/>
      <c r="O719" s="31"/>
      <c r="P719" s="32"/>
      <c r="R719" s="32"/>
    </row>
    <row r="720" spans="13:18" ht="14.4">
      <c r="M720" s="30"/>
      <c r="N720" s="30"/>
      <c r="O720" s="31"/>
      <c r="P720" s="32"/>
      <c r="R720" s="32"/>
    </row>
    <row r="721" spans="13:18" ht="14.4">
      <c r="M721" s="30"/>
      <c r="N721" s="30"/>
      <c r="O721" s="31"/>
      <c r="P721" s="32"/>
      <c r="R721" s="32"/>
    </row>
    <row r="722" spans="13:18" ht="14.4">
      <c r="M722" s="30"/>
      <c r="N722" s="30"/>
      <c r="O722" s="31"/>
      <c r="P722" s="32"/>
      <c r="R722" s="32"/>
    </row>
    <row r="723" spans="13:18" ht="14.4">
      <c r="M723" s="30"/>
      <c r="N723" s="30"/>
      <c r="O723" s="31"/>
      <c r="P723" s="32"/>
      <c r="R723" s="32"/>
    </row>
    <row r="724" spans="13:18" ht="14.4">
      <c r="M724" s="30"/>
      <c r="N724" s="30"/>
      <c r="O724" s="31"/>
      <c r="P724" s="32"/>
      <c r="R724" s="32"/>
    </row>
    <row r="725" spans="13:18" ht="14.4">
      <c r="M725" s="30"/>
      <c r="N725" s="30"/>
      <c r="O725" s="31"/>
      <c r="P725" s="32"/>
      <c r="R725" s="32"/>
    </row>
    <row r="726" spans="13:18" ht="14.4">
      <c r="M726" s="30"/>
      <c r="N726" s="30"/>
      <c r="O726" s="31"/>
      <c r="P726" s="32"/>
      <c r="R726" s="32"/>
    </row>
    <row r="727" spans="13:18" ht="14.4">
      <c r="M727" s="30"/>
      <c r="N727" s="30"/>
      <c r="O727" s="31"/>
      <c r="P727" s="32"/>
      <c r="R727" s="32"/>
    </row>
    <row r="728" spans="13:18" ht="14.4">
      <c r="M728" s="30"/>
      <c r="N728" s="30"/>
      <c r="O728" s="31"/>
      <c r="P728" s="32"/>
      <c r="R728" s="32"/>
    </row>
  </sheetData>
  <sheetProtection algorithmName="SHA-512" hashValue="7hbD15Ar7CLmD1A3sXriBNQHRdvT8wcuFX9Th25AlgZ/Vr9fDbNdMjqHfXW8lRZ5mIDSUpHJorlc29DOFz6wxA==" saltValue="RLVQkWyfd1YBB6jCtvjoNQ==" spinCount="100000" sheet="1" formatCells="0" formatColumns="0" formatRows="0" insertColumns="0" insertRows="0" insertHyperlinks="0" deleteColumns="0" deleteRows="0" sort="0" autoFilter="0" pivotTables="0"/>
  <autoFilter ref="A2:J457" xr:uid="{00000000-0009-0000-0000-000000000000}">
    <filterColumn colId="5">
      <filters>
        <filter val="0,00"/>
      </filters>
    </filterColumn>
    <filterColumn colId="7">
      <filters>
        <filter val="$10,57"/>
        <filter val="$11,33"/>
        <filter val="$110,36"/>
        <filter val="$12,08"/>
        <filter val="$12,84"/>
        <filter val="$12,85"/>
        <filter val="$13,60"/>
        <filter val="$13,61"/>
        <filter val="$14,10"/>
        <filter val="$14,35"/>
        <filter val="$14,36"/>
        <filter val="$16,62"/>
        <filter val="$17,38"/>
        <filter val="$18,13"/>
        <filter val="$18,14"/>
        <filter val="$18,89"/>
        <filter val="$182,18"/>
        <filter val="$19,64"/>
        <filter val="$20,40"/>
        <filter val="$21,16"/>
        <filter val="$21,17"/>
        <filter val="$21,91"/>
        <filter val="$21,92"/>
        <filter val="$23,41"/>
        <filter val="$23,42"/>
        <filter val="$23,44"/>
        <filter val="$24,18"/>
        <filter val="$24,19"/>
        <filter val="$24,94"/>
        <filter val="$25,69"/>
        <filter val="$26,46"/>
        <filter val="$27,20"/>
        <filter val="$27,22"/>
        <filter val="$27,96"/>
        <filter val="$27,97"/>
        <filter val="$28,72"/>
        <filter val="$29,48"/>
        <filter val="$30,24"/>
        <filter val="$31,74"/>
        <filter val="$31,75"/>
        <filter val="$32,50"/>
        <filter val="$32,51"/>
        <filter val="$32,75"/>
        <filter val="$33,25"/>
        <filter val="$33,26"/>
        <filter val="$33,57"/>
        <filter val="$34,01"/>
        <filter val="$34,39"/>
        <filter val="$36,02"/>
        <filter val="$36,28"/>
        <filter val="$36,29"/>
        <filter val="$37,03"/>
        <filter val="$37,04"/>
        <filter val="$37,79"/>
        <filter val="$38,54"/>
        <filter val="$39,30"/>
        <filter val="$40,06"/>
        <filter val="$40,81"/>
        <filter val="$43,08"/>
        <filter val="$44,59"/>
        <filter val="$45,35"/>
        <filter val="$47,60"/>
        <filter val="$47,62"/>
        <filter val="$49,88"/>
        <filter val="$49,90"/>
        <filter val="$51,40"/>
        <filter val="$57,44"/>
        <filter val="$58,20"/>
        <filter val="$64,25"/>
        <filter val="$67,27"/>
        <filter val="$7,55"/>
        <filter val="$74,83"/>
        <filter val="$74,84"/>
        <filter val="$8,30"/>
        <filter val="$8,81"/>
        <filter val="$9,06"/>
        <filter val="$9,69"/>
      </filters>
    </filterColumn>
  </autoFilter>
  <mergeCells count="2">
    <mergeCell ref="A1:J1"/>
    <mergeCell ref="N1:N2"/>
  </mergeCells>
  <conditionalFormatting sqref="R1">
    <cfRule type="expression" dxfId="0" priority="1">
      <formula>"&gt;0"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(GOL)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2023-01-18T13:47:15Z</dcterms:created>
  <dcterms:modified xsi:type="dcterms:W3CDTF">2025-12-01T05:00:52Z</dcterms:modified>
</cp:coreProperties>
</file>