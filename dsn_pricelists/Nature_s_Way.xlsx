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8_{E3F1D113-08C5-4BC3-A336-1C8D063074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ature's Way)" sheetId="17" r:id="rId1"/>
  </sheets>
  <definedNames>
    <definedName name="_xlnm._FilterDatabase" localSheetId="0" hidden="1">'DSN GROUP (Nature''s Way)'!$A$2:$K$576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6" i="17" l="1"/>
  <c r="J575" i="17"/>
  <c r="J574" i="17"/>
  <c r="J573" i="17"/>
  <c r="J572" i="17"/>
  <c r="J571" i="17"/>
  <c r="J570" i="17"/>
  <c r="J569" i="17"/>
  <c r="J568" i="17"/>
  <c r="J567" i="17"/>
  <c r="J566" i="17"/>
  <c r="J565" i="17"/>
  <c r="J564" i="17"/>
  <c r="J563" i="17"/>
  <c r="J562" i="17"/>
  <c r="J561" i="17"/>
  <c r="J560" i="17"/>
  <c r="J559" i="17"/>
  <c r="J558" i="17"/>
  <c r="J557" i="17"/>
  <c r="J556" i="17"/>
  <c r="J555" i="17"/>
  <c r="J554" i="17"/>
  <c r="J553" i="17"/>
  <c r="J552" i="17"/>
  <c r="M552" i="17"/>
  <c r="O552" i="17"/>
  <c r="P552" i="17"/>
  <c r="M553" i="17"/>
  <c r="N553" i="17" s="1"/>
  <c r="O553" i="17"/>
  <c r="P553" i="17"/>
  <c r="M554" i="17"/>
  <c r="N554" i="17" s="1"/>
  <c r="O554" i="17"/>
  <c r="P554" i="17"/>
  <c r="M555" i="17"/>
  <c r="N555" i="17" s="1"/>
  <c r="O555" i="17"/>
  <c r="P555" i="17"/>
  <c r="M556" i="17"/>
  <c r="N556" i="17"/>
  <c r="O556" i="17"/>
  <c r="P556" i="17"/>
  <c r="M557" i="17"/>
  <c r="N557" i="17"/>
  <c r="O557" i="17"/>
  <c r="P557" i="17"/>
  <c r="M558" i="17"/>
  <c r="N558" i="17" s="1"/>
  <c r="O558" i="17"/>
  <c r="P558" i="17"/>
  <c r="M559" i="17"/>
  <c r="N559" i="17" s="1"/>
  <c r="O559" i="17"/>
  <c r="P559" i="17"/>
  <c r="R559" i="17" s="1"/>
  <c r="M560" i="17"/>
  <c r="N560" i="17" s="1"/>
  <c r="O560" i="17"/>
  <c r="P560" i="17"/>
  <c r="M561" i="17"/>
  <c r="N561" i="17" s="1"/>
  <c r="O561" i="17"/>
  <c r="P561" i="17"/>
  <c r="M562" i="17"/>
  <c r="N562" i="17" s="1"/>
  <c r="O562" i="17"/>
  <c r="P562" i="17"/>
  <c r="M563" i="17"/>
  <c r="N563" i="17" s="1"/>
  <c r="O563" i="17"/>
  <c r="P563" i="17"/>
  <c r="M564" i="17"/>
  <c r="N564" i="17"/>
  <c r="O564" i="17"/>
  <c r="P564" i="17"/>
  <c r="M565" i="17"/>
  <c r="N565" i="17"/>
  <c r="O565" i="17"/>
  <c r="P565" i="17"/>
  <c r="M566" i="17"/>
  <c r="N566" i="17" s="1"/>
  <c r="O566" i="17"/>
  <c r="P566" i="17"/>
  <c r="M567" i="17"/>
  <c r="N567" i="17" s="1"/>
  <c r="O567" i="17"/>
  <c r="P567" i="17"/>
  <c r="M568" i="17"/>
  <c r="N568" i="17" s="1"/>
  <c r="O568" i="17"/>
  <c r="P568" i="17"/>
  <c r="M569" i="17"/>
  <c r="N569" i="17" s="1"/>
  <c r="O569" i="17"/>
  <c r="P569" i="17"/>
  <c r="M570" i="17"/>
  <c r="N570" i="17" s="1"/>
  <c r="O570" i="17"/>
  <c r="P570" i="17"/>
  <c r="M571" i="17"/>
  <c r="N571" i="17" s="1"/>
  <c r="O571" i="17"/>
  <c r="P571" i="17"/>
  <c r="M572" i="17"/>
  <c r="N572" i="17" s="1"/>
  <c r="O572" i="17"/>
  <c r="P572" i="17"/>
  <c r="M573" i="17"/>
  <c r="N573" i="17" s="1"/>
  <c r="O573" i="17"/>
  <c r="P573" i="17"/>
  <c r="M574" i="17"/>
  <c r="N574" i="17"/>
  <c r="O574" i="17"/>
  <c r="P574" i="17"/>
  <c r="M575" i="17"/>
  <c r="N575" i="17" s="1"/>
  <c r="O575" i="17"/>
  <c r="P575" i="17"/>
  <c r="M576" i="17"/>
  <c r="N576" i="17"/>
  <c r="O576" i="17"/>
  <c r="P576" i="17"/>
  <c r="R554" i="17" l="1"/>
  <c r="R568" i="17"/>
  <c r="R564" i="17"/>
  <c r="R571" i="17"/>
  <c r="R558" i="17"/>
  <c r="R565" i="17"/>
  <c r="R569" i="17"/>
  <c r="R557" i="17"/>
  <c r="R573" i="17"/>
  <c r="R560" i="17"/>
  <c r="R562" i="17"/>
  <c r="R563" i="17"/>
  <c r="R553" i="17"/>
  <c r="R566" i="17"/>
  <c r="R570" i="17"/>
  <c r="R555" i="17"/>
  <c r="R556" i="17"/>
  <c r="R572" i="17"/>
  <c r="R574" i="17"/>
  <c r="R575" i="17"/>
  <c r="R576" i="17"/>
  <c r="R567" i="17"/>
  <c r="R552" i="17"/>
  <c r="R561" i="17"/>
  <c r="N552" i="17"/>
  <c r="M13" i="17" l="1"/>
  <c r="N13" i="17" s="1"/>
  <c r="M15" i="17"/>
  <c r="N15" i="17" s="1"/>
  <c r="M16" i="17"/>
  <c r="N16" i="17" s="1"/>
  <c r="M17" i="17"/>
  <c r="N17" i="17" s="1"/>
  <c r="M18" i="17"/>
  <c r="N18" i="17" s="1"/>
  <c r="M19" i="17"/>
  <c r="N19" i="17" s="1"/>
  <c r="M21" i="17"/>
  <c r="N21" i="17" s="1"/>
  <c r="M27" i="17"/>
  <c r="N27" i="17" s="1"/>
  <c r="M28" i="17"/>
  <c r="N28" i="17" s="1"/>
  <c r="M29" i="17"/>
  <c r="N29" i="17" s="1"/>
  <c r="M30" i="17"/>
  <c r="N30" i="17" s="1"/>
  <c r="M31" i="17"/>
  <c r="N31" i="17" s="1"/>
  <c r="M32" i="17"/>
  <c r="N32" i="17" s="1"/>
  <c r="M33" i="17"/>
  <c r="N33" i="17" s="1"/>
  <c r="M34" i="17"/>
  <c r="N34" i="17" s="1"/>
  <c r="M35" i="17"/>
  <c r="N35" i="17" s="1"/>
  <c r="M41" i="17"/>
  <c r="N41" i="17" s="1"/>
  <c r="M43" i="17"/>
  <c r="N43" i="17" s="1"/>
  <c r="M44" i="17"/>
  <c r="N44" i="17" s="1"/>
  <c r="M46" i="17"/>
  <c r="N46" i="17" s="1"/>
  <c r="M47" i="17"/>
  <c r="N47" i="17" s="1"/>
  <c r="M49" i="17"/>
  <c r="N49" i="17" s="1"/>
  <c r="M50" i="17"/>
  <c r="N50" i="17" s="1"/>
  <c r="M51" i="17"/>
  <c r="N51" i="17" s="1"/>
  <c r="M57" i="17"/>
  <c r="N57" i="17" s="1"/>
  <c r="M60" i="17"/>
  <c r="N60" i="17" s="1"/>
  <c r="M61" i="17"/>
  <c r="N61" i="17" s="1"/>
  <c r="M63" i="17"/>
  <c r="N63" i="17" s="1"/>
  <c r="M64" i="17"/>
  <c r="N64" i="17" s="1"/>
  <c r="M66" i="17"/>
  <c r="N66" i="17" s="1"/>
  <c r="M67" i="17"/>
  <c r="N67" i="17" s="1"/>
  <c r="M73" i="17"/>
  <c r="N73" i="17" s="1"/>
  <c r="M74" i="17"/>
  <c r="N74" i="17" s="1"/>
  <c r="M76" i="17"/>
  <c r="N76" i="17" s="1"/>
  <c r="M77" i="17"/>
  <c r="N77" i="17" s="1"/>
  <c r="M79" i="17"/>
  <c r="N79" i="17" s="1"/>
  <c r="M80" i="17"/>
  <c r="N80" i="17" s="1"/>
  <c r="M81" i="17"/>
  <c r="N81" i="17" s="1"/>
  <c r="M82" i="17"/>
  <c r="N82" i="17" s="1"/>
  <c r="M83" i="17"/>
  <c r="N83" i="17" s="1"/>
  <c r="M89" i="17"/>
  <c r="N89" i="17" s="1"/>
  <c r="M91" i="17"/>
  <c r="N91" i="17" s="1"/>
  <c r="M92" i="17"/>
  <c r="N92" i="17" s="1"/>
  <c r="M94" i="17"/>
  <c r="N94" i="17" s="1"/>
  <c r="M95" i="17"/>
  <c r="N95" i="17" s="1"/>
  <c r="M96" i="17"/>
  <c r="N96" i="17" s="1"/>
  <c r="M97" i="17"/>
  <c r="N97" i="17" s="1"/>
  <c r="M98" i="17"/>
  <c r="N98" i="17" s="1"/>
  <c r="M99" i="17"/>
  <c r="N99" i="17" s="1"/>
  <c r="M102" i="17"/>
  <c r="N102" i="17" s="1"/>
  <c r="M105" i="17"/>
  <c r="N105" i="17" s="1"/>
  <c r="M106" i="17"/>
  <c r="N106" i="17" s="1"/>
  <c r="M108" i="17"/>
  <c r="N108" i="17" s="1"/>
  <c r="M109" i="17"/>
  <c r="N109" i="17" s="1"/>
  <c r="M111" i="17"/>
  <c r="N111" i="17" s="1"/>
  <c r="M112" i="17"/>
  <c r="N112" i="17" s="1"/>
  <c r="M114" i="17"/>
  <c r="N114" i="17" s="1"/>
  <c r="M115" i="17"/>
  <c r="N115" i="17" s="1"/>
  <c r="M118" i="17"/>
  <c r="N118" i="17" s="1"/>
  <c r="M121" i="17"/>
  <c r="N121" i="17" s="1"/>
  <c r="M122" i="17"/>
  <c r="N122" i="17" s="1"/>
  <c r="M123" i="17"/>
  <c r="N123" i="17" s="1"/>
  <c r="M125" i="17"/>
  <c r="N125" i="17" s="1"/>
  <c r="M126" i="17"/>
  <c r="N126" i="17" s="1"/>
  <c r="M128" i="17"/>
  <c r="N128" i="17" s="1"/>
  <c r="M129" i="17"/>
  <c r="N129" i="17" s="1"/>
  <c r="M130" i="17"/>
  <c r="N130" i="17" s="1"/>
  <c r="M131" i="17"/>
  <c r="N131" i="17" s="1"/>
  <c r="M134" i="17"/>
  <c r="N134" i="17" s="1"/>
  <c r="M138" i="17"/>
  <c r="N138" i="17" s="1"/>
  <c r="M139" i="17"/>
  <c r="N139" i="17" s="1"/>
  <c r="M140" i="17"/>
  <c r="N140" i="17" s="1"/>
  <c r="M141" i="17"/>
  <c r="N141" i="17" s="1"/>
  <c r="M142" i="17"/>
  <c r="N142" i="17" s="1"/>
  <c r="M143" i="17"/>
  <c r="N143" i="17" s="1"/>
  <c r="M144" i="17"/>
  <c r="N144" i="17" s="1"/>
  <c r="M145" i="17"/>
  <c r="N145" i="17" s="1"/>
  <c r="M146" i="17"/>
  <c r="N146" i="17" s="1"/>
  <c r="M147" i="17"/>
  <c r="N147" i="17" s="1"/>
  <c r="M154" i="17"/>
  <c r="N154" i="17" s="1"/>
  <c r="M156" i="17"/>
  <c r="N156" i="17" s="1"/>
  <c r="M157" i="17"/>
  <c r="N157" i="17" s="1"/>
  <c r="M159" i="17"/>
  <c r="N159" i="17" s="1"/>
  <c r="M160" i="17"/>
  <c r="N160" i="17" s="1"/>
  <c r="M162" i="17"/>
  <c r="N162" i="17" s="1"/>
  <c r="M163" i="17"/>
  <c r="N163" i="17" s="1"/>
  <c r="M166" i="17"/>
  <c r="N166" i="17" s="1"/>
  <c r="M170" i="17"/>
  <c r="N170" i="17" s="1"/>
  <c r="M173" i="17"/>
  <c r="N173" i="17" s="1"/>
  <c r="M174" i="17"/>
  <c r="N174" i="17" s="1"/>
  <c r="M176" i="17"/>
  <c r="N176" i="17" s="1"/>
  <c r="M177" i="17"/>
  <c r="N177" i="17" s="1"/>
  <c r="M179" i="17"/>
  <c r="N179" i="17" s="1"/>
  <c r="M182" i="17"/>
  <c r="N182" i="17" s="1"/>
  <c r="M185" i="17"/>
  <c r="N185" i="17" s="1"/>
  <c r="M187" i="17"/>
  <c r="N187" i="17" s="1"/>
  <c r="M189" i="17"/>
  <c r="N189" i="17" s="1"/>
  <c r="M190" i="17"/>
  <c r="N190" i="17" s="1"/>
  <c r="M191" i="17"/>
  <c r="N191" i="17" s="1"/>
  <c r="M192" i="17"/>
  <c r="N192" i="17" s="1"/>
  <c r="M193" i="17"/>
  <c r="N193" i="17" s="1"/>
  <c r="M194" i="17"/>
  <c r="N194" i="17" s="1"/>
  <c r="M195" i="17"/>
  <c r="N195" i="17" s="1"/>
  <c r="M198" i="17"/>
  <c r="N198" i="17" s="1"/>
  <c r="M202" i="17"/>
  <c r="N202" i="17" s="1"/>
  <c r="M204" i="17"/>
  <c r="N204" i="17" s="1"/>
  <c r="M205" i="17"/>
  <c r="N205" i="17" s="1"/>
  <c r="M207" i="17"/>
  <c r="N207" i="17" s="1"/>
  <c r="M208" i="17"/>
  <c r="N208" i="17" s="1"/>
  <c r="M210" i="17"/>
  <c r="N210" i="17" s="1"/>
  <c r="M211" i="17"/>
  <c r="N211" i="17" s="1"/>
  <c r="M214" i="17"/>
  <c r="N214" i="17" s="1"/>
  <c r="M218" i="17"/>
  <c r="N218" i="17" s="1"/>
  <c r="M221" i="17"/>
  <c r="N221" i="17" s="1"/>
  <c r="M222" i="17"/>
  <c r="N222" i="17" s="1"/>
  <c r="M224" i="17"/>
  <c r="N224" i="17" s="1"/>
  <c r="M225" i="17"/>
  <c r="N225" i="17" s="1"/>
  <c r="M226" i="17"/>
  <c r="N226" i="17" s="1"/>
  <c r="M227" i="17"/>
  <c r="N227" i="17" s="1"/>
  <c r="M230" i="17"/>
  <c r="N230" i="17" s="1"/>
  <c r="M234" i="17"/>
  <c r="N234" i="17" s="1"/>
  <c r="M235" i="17"/>
  <c r="N235" i="17" s="1"/>
  <c r="M237" i="17"/>
  <c r="N237" i="17" s="1"/>
  <c r="M238" i="17"/>
  <c r="N238" i="17" s="1"/>
  <c r="M239" i="17"/>
  <c r="N239" i="17" s="1"/>
  <c r="M240" i="17"/>
  <c r="N240" i="17" s="1"/>
  <c r="M241" i="17"/>
  <c r="N241" i="17" s="1"/>
  <c r="M242" i="17"/>
  <c r="N242" i="17" s="1"/>
  <c r="M243" i="17"/>
  <c r="N243" i="17" s="1"/>
  <c r="M250" i="17"/>
  <c r="N250" i="17" s="1"/>
  <c r="M251" i="17"/>
  <c r="N251" i="17" s="1"/>
  <c r="M252" i="17"/>
  <c r="N252" i="17" s="1"/>
  <c r="M254" i="17"/>
  <c r="N254" i="17" s="1"/>
  <c r="M255" i="17"/>
  <c r="N255" i="17" s="1"/>
  <c r="M256" i="17"/>
  <c r="N256" i="17" s="1"/>
  <c r="M257" i="17"/>
  <c r="N257" i="17" s="1"/>
  <c r="M258" i="17"/>
  <c r="N258" i="17" s="1"/>
  <c r="M265" i="17"/>
  <c r="N265" i="17" s="1"/>
  <c r="M267" i="17"/>
  <c r="N267" i="17" s="1"/>
  <c r="M268" i="17"/>
  <c r="N268" i="17" s="1"/>
  <c r="M270" i="17"/>
  <c r="N270" i="17" s="1"/>
  <c r="M271" i="17"/>
  <c r="N271" i="17" s="1"/>
  <c r="M272" i="17"/>
  <c r="N272" i="17" s="1"/>
  <c r="M273" i="17"/>
  <c r="N273" i="17" s="1"/>
  <c r="M274" i="17"/>
  <c r="N274" i="17" s="1"/>
  <c r="M281" i="17"/>
  <c r="N281" i="17" s="1"/>
  <c r="M282" i="17"/>
  <c r="N282" i="17" s="1"/>
  <c r="M284" i="17"/>
  <c r="N284" i="17" s="1"/>
  <c r="M285" i="17"/>
  <c r="N285" i="17" s="1"/>
  <c r="M287" i="17"/>
  <c r="N287" i="17" s="1"/>
  <c r="M288" i="17"/>
  <c r="N288" i="17" s="1"/>
  <c r="M290" i="17"/>
  <c r="N290" i="17" s="1"/>
  <c r="M297" i="17"/>
  <c r="N297" i="17" s="1"/>
  <c r="M298" i="17"/>
  <c r="N298" i="17" s="1"/>
  <c r="M300" i="17"/>
  <c r="N300" i="17" s="1"/>
  <c r="M301" i="17"/>
  <c r="N301" i="17" s="1"/>
  <c r="M302" i="17"/>
  <c r="N302" i="17" s="1"/>
  <c r="M303" i="17"/>
  <c r="N303" i="17" s="1"/>
  <c r="M304" i="17"/>
  <c r="N304" i="17" s="1"/>
  <c r="M305" i="17"/>
  <c r="N305" i="17" s="1"/>
  <c r="M306" i="17"/>
  <c r="N306" i="17" s="1"/>
  <c r="M309" i="17"/>
  <c r="N309" i="17" s="1"/>
  <c r="M312" i="17"/>
  <c r="N312" i="17" s="1"/>
  <c r="M315" i="17"/>
  <c r="N315" i="17" s="1"/>
  <c r="M317" i="17"/>
  <c r="N317" i="17" s="1"/>
  <c r="M318" i="17"/>
  <c r="N318" i="17" s="1"/>
  <c r="M319" i="17"/>
  <c r="N319" i="17" s="1"/>
  <c r="M320" i="17"/>
  <c r="N320" i="17" s="1"/>
  <c r="M321" i="17"/>
  <c r="N321" i="17" s="1"/>
  <c r="M322" i="17"/>
  <c r="N322" i="17" s="1"/>
  <c r="M325" i="17"/>
  <c r="N325" i="17" s="1"/>
  <c r="M328" i="17"/>
  <c r="N328" i="17" s="1"/>
  <c r="M329" i="17"/>
  <c r="N329" i="17" s="1"/>
  <c r="M331" i="17"/>
  <c r="N331" i="17" s="1"/>
  <c r="M332" i="17"/>
  <c r="N332" i="17" s="1"/>
  <c r="M334" i="17"/>
  <c r="N334" i="17" s="1"/>
  <c r="M335" i="17"/>
  <c r="N335" i="17" s="1"/>
  <c r="M337" i="17"/>
  <c r="N337" i="17" s="1"/>
  <c r="M338" i="17"/>
  <c r="N338" i="17" s="1"/>
  <c r="M341" i="17"/>
  <c r="N341" i="17" s="1"/>
  <c r="M344" i="17"/>
  <c r="N344" i="17" s="1"/>
  <c r="M345" i="17"/>
  <c r="N345" i="17" s="1"/>
  <c r="M346" i="17"/>
  <c r="N346" i="17" s="1"/>
  <c r="M348" i="17"/>
  <c r="N348" i="17" s="1"/>
  <c r="M349" i="17"/>
  <c r="N349" i="17" s="1"/>
  <c r="M351" i="17"/>
  <c r="N351" i="17" s="1"/>
  <c r="M352" i="17"/>
  <c r="N352" i="17" s="1"/>
  <c r="M354" i="17"/>
  <c r="N354" i="17" s="1"/>
  <c r="M357" i="17"/>
  <c r="N357" i="17" s="1"/>
  <c r="M360" i="17"/>
  <c r="N360" i="17" s="1"/>
  <c r="M362" i="17"/>
  <c r="N362" i="17" s="1"/>
  <c r="M363" i="17"/>
  <c r="N363" i="17" s="1"/>
  <c r="M364" i="17"/>
  <c r="N364" i="17" s="1"/>
  <c r="M365" i="17"/>
  <c r="N365" i="17" s="1"/>
  <c r="M366" i="17"/>
  <c r="N366" i="17" s="1"/>
  <c r="M367" i="17"/>
  <c r="N367" i="17" s="1"/>
  <c r="M368" i="17"/>
  <c r="N368" i="17" s="1"/>
  <c r="M369" i="17"/>
  <c r="N369" i="17" s="1"/>
  <c r="M370" i="17"/>
  <c r="N370" i="17" s="1"/>
  <c r="M378" i="17"/>
  <c r="N378" i="17" s="1"/>
  <c r="M379" i="17"/>
  <c r="N379" i="17" s="1"/>
  <c r="M381" i="17"/>
  <c r="N381" i="17" s="1"/>
  <c r="M382" i="17"/>
  <c r="N382" i="17" s="1"/>
  <c r="M384" i="17"/>
  <c r="N384" i="17" s="1"/>
  <c r="M385" i="17"/>
  <c r="N385" i="17" s="1"/>
  <c r="M386" i="17"/>
  <c r="N386" i="17" s="1"/>
  <c r="M389" i="17"/>
  <c r="N389" i="17" s="1"/>
  <c r="M392" i="17"/>
  <c r="N392" i="17" s="1"/>
  <c r="M393" i="17"/>
  <c r="N393" i="17" s="1"/>
  <c r="M395" i="17"/>
  <c r="N395" i="17" s="1"/>
  <c r="M396" i="17"/>
  <c r="N396" i="17" s="1"/>
  <c r="M398" i="17"/>
  <c r="N398" i="17" s="1"/>
  <c r="M399" i="17"/>
  <c r="N399" i="17" s="1"/>
  <c r="M400" i="17"/>
  <c r="N400" i="17" s="1"/>
  <c r="M401" i="17"/>
  <c r="N401" i="17" s="1"/>
  <c r="M402" i="17"/>
  <c r="N402" i="17" s="1"/>
  <c r="M408" i="17"/>
  <c r="N408" i="17" s="1"/>
  <c r="M409" i="17"/>
  <c r="N409" i="17" s="1"/>
  <c r="M410" i="17"/>
  <c r="N410" i="17" s="1"/>
  <c r="M411" i="17"/>
  <c r="N411" i="17" s="1"/>
  <c r="M412" i="17"/>
  <c r="N412" i="17" s="1"/>
  <c r="M413" i="17"/>
  <c r="N413" i="17" s="1"/>
  <c r="M415" i="17"/>
  <c r="N415" i="17" s="1"/>
  <c r="M416" i="17"/>
  <c r="N416" i="17" s="1"/>
  <c r="M418" i="17"/>
  <c r="N418" i="17" s="1"/>
  <c r="M424" i="17"/>
  <c r="N424" i="17" s="1"/>
  <c r="M426" i="17"/>
  <c r="N426" i="17" s="1"/>
  <c r="M427" i="17"/>
  <c r="N427" i="17" s="1"/>
  <c r="M428" i="17"/>
  <c r="N428" i="17" s="1"/>
  <c r="M429" i="17"/>
  <c r="N429" i="17" s="1"/>
  <c r="M430" i="17"/>
  <c r="N430" i="17" s="1"/>
  <c r="M431" i="17"/>
  <c r="N431" i="17" s="1"/>
  <c r="M432" i="17"/>
  <c r="N432" i="17" s="1"/>
  <c r="M433" i="17"/>
  <c r="N433" i="17" s="1"/>
  <c r="M434" i="17"/>
  <c r="N434" i="17" s="1"/>
  <c r="M437" i="17"/>
  <c r="N437" i="17" s="1"/>
  <c r="M440" i="17"/>
  <c r="N440" i="17" s="1"/>
  <c r="M443" i="17"/>
  <c r="N443" i="17" s="1"/>
  <c r="M444" i="17"/>
  <c r="N444" i="17" s="1"/>
  <c r="M446" i="17"/>
  <c r="N446" i="17" s="1"/>
  <c r="M447" i="17"/>
  <c r="N447" i="17" s="1"/>
  <c r="M449" i="17"/>
  <c r="N449" i="17" s="1"/>
  <c r="M450" i="17"/>
  <c r="N450" i="17" s="1"/>
  <c r="M457" i="17"/>
  <c r="N457" i="17" s="1"/>
  <c r="M458" i="17"/>
  <c r="N458" i="17" s="1"/>
  <c r="M460" i="17"/>
  <c r="N460" i="17" s="1"/>
  <c r="M461" i="17"/>
  <c r="N461" i="17" s="1"/>
  <c r="M463" i="17"/>
  <c r="N463" i="17" s="1"/>
  <c r="M464" i="17"/>
  <c r="N464" i="17" s="1"/>
  <c r="M465" i="17"/>
  <c r="N465" i="17" s="1"/>
  <c r="M466" i="17"/>
  <c r="N466" i="17" s="1"/>
  <c r="M474" i="17"/>
  <c r="N474" i="17" s="1"/>
  <c r="M475" i="17"/>
  <c r="N475" i="17" s="1"/>
  <c r="M477" i="17"/>
  <c r="N477" i="17" s="1"/>
  <c r="M478" i="17"/>
  <c r="N478" i="17" s="1"/>
  <c r="M480" i="17"/>
  <c r="N480" i="17" s="1"/>
  <c r="M481" i="17"/>
  <c r="N481" i="17" s="1"/>
  <c r="M488" i="17"/>
  <c r="N488" i="17" s="1"/>
  <c r="M490" i="17"/>
  <c r="N490" i="17" s="1"/>
  <c r="M492" i="17"/>
  <c r="N492" i="17" s="1"/>
  <c r="M493" i="17"/>
  <c r="N493" i="17" s="1"/>
  <c r="M494" i="17"/>
  <c r="N494" i="17" s="1"/>
  <c r="M495" i="17"/>
  <c r="N495" i="17" s="1"/>
  <c r="M496" i="17"/>
  <c r="N496" i="17" s="1"/>
  <c r="M497" i="17"/>
  <c r="N497" i="17" s="1"/>
  <c r="M500" i="17"/>
  <c r="N500" i="17" s="1"/>
  <c r="M503" i="17"/>
  <c r="N503" i="17" s="1"/>
  <c r="M504" i="17"/>
  <c r="N504" i="17" s="1"/>
  <c r="M505" i="17"/>
  <c r="N505" i="17" s="1"/>
  <c r="M507" i="17"/>
  <c r="N507" i="17" s="1"/>
  <c r="M508" i="17"/>
  <c r="N508" i="17" s="1"/>
  <c r="M510" i="17"/>
  <c r="N510" i="17" s="1"/>
  <c r="M511" i="17"/>
  <c r="N511" i="17" s="1"/>
  <c r="M514" i="17"/>
  <c r="N514" i="17" s="1"/>
  <c r="M517" i="17"/>
  <c r="N517" i="17" s="1"/>
  <c r="M518" i="17"/>
  <c r="N518" i="17" s="1"/>
  <c r="M520" i="17"/>
  <c r="N520" i="17" s="1"/>
  <c r="M521" i="17"/>
  <c r="N521" i="17" s="1"/>
  <c r="M523" i="17"/>
  <c r="N523" i="17" s="1"/>
  <c r="M524" i="17"/>
  <c r="N524" i="17" s="1"/>
  <c r="M526" i="17"/>
  <c r="N526" i="17" s="1"/>
  <c r="M527" i="17"/>
  <c r="N527" i="17" s="1"/>
  <c r="M529" i="17"/>
  <c r="N529" i="17" s="1"/>
  <c r="M534" i="17"/>
  <c r="N534" i="17" s="1"/>
  <c r="M535" i="17"/>
  <c r="N535" i="17" s="1"/>
  <c r="M536" i="17"/>
  <c r="N536" i="17" s="1"/>
  <c r="M537" i="17"/>
  <c r="N537" i="17" s="1"/>
  <c r="M538" i="17"/>
  <c r="N538" i="17" s="1"/>
  <c r="M539" i="17"/>
  <c r="N539" i="17" s="1"/>
  <c r="M540" i="17"/>
  <c r="N540" i="17" s="1"/>
  <c r="M541" i="17"/>
  <c r="N541" i="17" s="1"/>
  <c r="M542" i="17"/>
  <c r="N542" i="17" s="1"/>
  <c r="M543" i="17"/>
  <c r="N543" i="17" s="1"/>
  <c r="M545" i="17"/>
  <c r="N545" i="17" s="1"/>
  <c r="M551" i="17"/>
  <c r="N551" i="17" s="1"/>
  <c r="M12" i="17"/>
  <c r="N12" i="17" s="1"/>
  <c r="M5" i="17"/>
  <c r="N5" i="17" s="1"/>
  <c r="M4" i="17"/>
  <c r="N4" i="17" s="1"/>
  <c r="M10" i="17"/>
  <c r="N10" i="17" s="1"/>
  <c r="M8" i="17"/>
  <c r="N8" i="17" s="1"/>
  <c r="M6" i="17"/>
  <c r="N6" i="17" s="1"/>
  <c r="M7" i="17"/>
  <c r="N7" i="17" s="1"/>
  <c r="M14" i="17"/>
  <c r="N14" i="17" s="1"/>
  <c r="M3" i="17"/>
  <c r="N3" i="17" s="1"/>
  <c r="P551" i="17"/>
  <c r="O551" i="17"/>
  <c r="J44" i="17"/>
  <c r="P550" i="17"/>
  <c r="O550" i="17"/>
  <c r="M550" i="17"/>
  <c r="N550" i="17" s="1"/>
  <c r="J152" i="17"/>
  <c r="O549" i="17"/>
  <c r="P549" i="17" s="1"/>
  <c r="M549" i="17"/>
  <c r="N549" i="17" s="1"/>
  <c r="J43" i="17"/>
  <c r="P548" i="17"/>
  <c r="O548" i="17"/>
  <c r="M548" i="17"/>
  <c r="N548" i="17" s="1"/>
  <c r="J319" i="17"/>
  <c r="P547" i="17"/>
  <c r="O547" i="17"/>
  <c r="M547" i="17"/>
  <c r="N547" i="17" s="1"/>
  <c r="J551" i="17"/>
  <c r="P546" i="17"/>
  <c r="O546" i="17"/>
  <c r="M546" i="17"/>
  <c r="N546" i="17" s="1"/>
  <c r="J550" i="17"/>
  <c r="P545" i="17"/>
  <c r="O545" i="17"/>
  <c r="J274" i="17"/>
  <c r="P544" i="17"/>
  <c r="O544" i="17"/>
  <c r="M544" i="17"/>
  <c r="N544" i="17" s="1"/>
  <c r="J42" i="17"/>
  <c r="P543" i="17"/>
  <c r="O543" i="17"/>
  <c r="J71" i="17"/>
  <c r="P542" i="17"/>
  <c r="O542" i="17"/>
  <c r="J549" i="17"/>
  <c r="P541" i="17"/>
  <c r="O541" i="17"/>
  <c r="J548" i="17"/>
  <c r="P540" i="17"/>
  <c r="O540" i="17"/>
  <c r="J547" i="17"/>
  <c r="P539" i="17"/>
  <c r="O539" i="17"/>
  <c r="J546" i="17"/>
  <c r="P538" i="17"/>
  <c r="O538" i="17"/>
  <c r="J545" i="17"/>
  <c r="P537" i="17"/>
  <c r="O537" i="17"/>
  <c r="J544" i="17"/>
  <c r="P536" i="17"/>
  <c r="O536" i="17"/>
  <c r="J543" i="17"/>
  <c r="P535" i="17"/>
  <c r="O535" i="17"/>
  <c r="J41" i="17"/>
  <c r="P534" i="17"/>
  <c r="O534" i="17"/>
  <c r="J40" i="17"/>
  <c r="P533" i="17"/>
  <c r="O533" i="17"/>
  <c r="M533" i="17"/>
  <c r="N533" i="17" s="1"/>
  <c r="J542" i="17"/>
  <c r="P532" i="17"/>
  <c r="O532" i="17"/>
  <c r="M532" i="17"/>
  <c r="N532" i="17" s="1"/>
  <c r="J273" i="17"/>
  <c r="P531" i="17"/>
  <c r="O531" i="17"/>
  <c r="M531" i="17"/>
  <c r="N531" i="17" s="1"/>
  <c r="J318" i="17"/>
  <c r="P530" i="17"/>
  <c r="O530" i="17"/>
  <c r="M530" i="17"/>
  <c r="N530" i="17" s="1"/>
  <c r="J541" i="17"/>
  <c r="P529" i="17"/>
  <c r="O529" i="17"/>
  <c r="J272" i="17"/>
  <c r="P528" i="17"/>
  <c r="O528" i="17"/>
  <c r="M528" i="17"/>
  <c r="N528" i="17" s="1"/>
  <c r="J540" i="17"/>
  <c r="P527" i="17"/>
  <c r="O527" i="17"/>
  <c r="J123" i="17"/>
  <c r="J317" i="17"/>
  <c r="P526" i="17"/>
  <c r="O526" i="17"/>
  <c r="J122" i="17"/>
  <c r="P525" i="17"/>
  <c r="O525" i="17"/>
  <c r="M525" i="17"/>
  <c r="N525" i="17" s="1"/>
  <c r="J539" i="17"/>
  <c r="P524" i="17"/>
  <c r="O524" i="17"/>
  <c r="J65" i="17"/>
  <c r="P523" i="17"/>
  <c r="O523" i="17"/>
  <c r="J151" i="17"/>
  <c r="P522" i="17"/>
  <c r="O522" i="17"/>
  <c r="M522" i="17"/>
  <c r="N522" i="17" s="1"/>
  <c r="J316" i="17"/>
  <c r="P521" i="17"/>
  <c r="O521" i="17"/>
  <c r="J271" i="17"/>
  <c r="P520" i="17"/>
  <c r="O520" i="17"/>
  <c r="J270" i="17"/>
  <c r="P519" i="17"/>
  <c r="O519" i="17"/>
  <c r="M519" i="17"/>
  <c r="N519" i="17" s="1"/>
  <c r="J315" i="17"/>
  <c r="P518" i="17"/>
  <c r="O518" i="17"/>
  <c r="J269" i="17"/>
  <c r="P517" i="17"/>
  <c r="O517" i="17"/>
  <c r="J121" i="17"/>
  <c r="P516" i="17"/>
  <c r="O516" i="17"/>
  <c r="M516" i="17"/>
  <c r="N516" i="17" s="1"/>
  <c r="J538" i="17"/>
  <c r="J150" i="17"/>
  <c r="P515" i="17"/>
  <c r="O515" i="17"/>
  <c r="M515" i="17"/>
  <c r="N515" i="17" s="1"/>
  <c r="J268" i="17"/>
  <c r="P514" i="17"/>
  <c r="O514" i="17"/>
  <c r="J267" i="17"/>
  <c r="P513" i="17"/>
  <c r="O513" i="17"/>
  <c r="M513" i="17"/>
  <c r="N513" i="17" s="1"/>
  <c r="J266" i="17"/>
  <c r="P512" i="17"/>
  <c r="O512" i="17"/>
  <c r="M512" i="17"/>
  <c r="N512" i="17" s="1"/>
  <c r="J314" i="17"/>
  <c r="J537" i="17"/>
  <c r="J536" i="17"/>
  <c r="P511" i="17"/>
  <c r="O511" i="17"/>
  <c r="J535" i="17"/>
  <c r="P510" i="17"/>
  <c r="O510" i="17"/>
  <c r="J534" i="17"/>
  <c r="P509" i="17"/>
  <c r="O509" i="17"/>
  <c r="M509" i="17"/>
  <c r="N509" i="17" s="1"/>
  <c r="J533" i="17"/>
  <c r="P508" i="17"/>
  <c r="O508" i="17"/>
  <c r="P507" i="17"/>
  <c r="O507" i="17"/>
  <c r="J532" i="17"/>
  <c r="J531" i="17"/>
  <c r="J530" i="17"/>
  <c r="P506" i="17"/>
  <c r="O506" i="17"/>
  <c r="M506" i="17"/>
  <c r="N506" i="17" s="1"/>
  <c r="J313" i="17"/>
  <c r="P505" i="17"/>
  <c r="O505" i="17"/>
  <c r="J529" i="17"/>
  <c r="P504" i="17"/>
  <c r="O504" i="17"/>
  <c r="J528" i="17"/>
  <c r="J527" i="17"/>
  <c r="J526" i="17"/>
  <c r="P503" i="17"/>
  <c r="O503" i="17"/>
  <c r="J525" i="17"/>
  <c r="J524" i="17"/>
  <c r="P502" i="17"/>
  <c r="O502" i="17"/>
  <c r="M502" i="17"/>
  <c r="N502" i="17" s="1"/>
  <c r="J331" i="17"/>
  <c r="P501" i="17"/>
  <c r="O501" i="17"/>
  <c r="M501" i="17"/>
  <c r="N501" i="17" s="1"/>
  <c r="J265" i="17"/>
  <c r="P500" i="17"/>
  <c r="O500" i="17"/>
  <c r="J523" i="17"/>
  <c r="P499" i="17"/>
  <c r="O499" i="17"/>
  <c r="M499" i="17"/>
  <c r="N499" i="17" s="1"/>
  <c r="J522" i="17"/>
  <c r="P498" i="17"/>
  <c r="O498" i="17"/>
  <c r="M498" i="17"/>
  <c r="N498" i="17" s="1"/>
  <c r="J521" i="17"/>
  <c r="J520" i="17"/>
  <c r="J519" i="17"/>
  <c r="P497" i="17"/>
  <c r="O497" i="17"/>
  <c r="J518" i="17"/>
  <c r="P496" i="17"/>
  <c r="O496" i="17"/>
  <c r="J64" i="17"/>
  <c r="P495" i="17"/>
  <c r="O495" i="17"/>
  <c r="J120" i="17"/>
  <c r="P494" i="17"/>
  <c r="O494" i="17"/>
  <c r="J517" i="17"/>
  <c r="P493" i="17"/>
  <c r="O493" i="17"/>
  <c r="J516" i="17"/>
  <c r="J515" i="17"/>
  <c r="J514" i="17"/>
  <c r="J39" i="17"/>
  <c r="P492" i="17"/>
  <c r="O492" i="17"/>
  <c r="P491" i="17"/>
  <c r="O491" i="17"/>
  <c r="M491" i="17"/>
  <c r="N491" i="17" s="1"/>
  <c r="P490" i="17"/>
  <c r="O490" i="17"/>
  <c r="J312" i="17"/>
  <c r="P489" i="17"/>
  <c r="O489" i="17"/>
  <c r="M489" i="17"/>
  <c r="N489" i="17" s="1"/>
  <c r="J513" i="17"/>
  <c r="P488" i="17"/>
  <c r="O488" i="17"/>
  <c r="J512" i="17"/>
  <c r="P487" i="17"/>
  <c r="O487" i="17"/>
  <c r="M487" i="17"/>
  <c r="N487" i="17" s="1"/>
  <c r="J511" i="17"/>
  <c r="P486" i="17"/>
  <c r="O486" i="17"/>
  <c r="M486" i="17"/>
  <c r="N486" i="17" s="1"/>
  <c r="J311" i="17"/>
  <c r="P485" i="17"/>
  <c r="O485" i="17"/>
  <c r="M485" i="17"/>
  <c r="N485" i="17" s="1"/>
  <c r="J310" i="17"/>
  <c r="P484" i="17"/>
  <c r="O484" i="17"/>
  <c r="M484" i="17"/>
  <c r="N484" i="17" s="1"/>
  <c r="J149" i="17"/>
  <c r="P483" i="17"/>
  <c r="O483" i="17"/>
  <c r="M483" i="17"/>
  <c r="N483" i="17" s="1"/>
  <c r="J119" i="17"/>
  <c r="P482" i="17"/>
  <c r="O482" i="17"/>
  <c r="M482" i="17"/>
  <c r="N482" i="17" s="1"/>
  <c r="J118" i="17"/>
  <c r="J309" i="17"/>
  <c r="J510" i="17"/>
  <c r="P481" i="17"/>
  <c r="O481" i="17"/>
  <c r="J117" i="17"/>
  <c r="P480" i="17"/>
  <c r="O480" i="17"/>
  <c r="J116" i="17"/>
  <c r="P479" i="17"/>
  <c r="O479" i="17"/>
  <c r="M479" i="17"/>
  <c r="N479" i="17" s="1"/>
  <c r="J509" i="17"/>
  <c r="P478" i="17"/>
  <c r="O478" i="17"/>
  <c r="J264" i="17"/>
  <c r="J330" i="17"/>
  <c r="P477" i="17"/>
  <c r="O477" i="17"/>
  <c r="J508" i="17"/>
  <c r="P476" i="17"/>
  <c r="O476" i="17"/>
  <c r="M476" i="17"/>
  <c r="N476" i="17" s="1"/>
  <c r="J507" i="17"/>
  <c r="J263" i="17"/>
  <c r="P475" i="17"/>
  <c r="O475" i="17"/>
  <c r="J262" i="17"/>
  <c r="P474" i="17"/>
  <c r="O474" i="17"/>
  <c r="J261" i="17"/>
  <c r="P473" i="17"/>
  <c r="O473" i="17"/>
  <c r="M473" i="17"/>
  <c r="N473" i="17" s="1"/>
  <c r="P472" i="17"/>
  <c r="O472" i="17"/>
  <c r="M472" i="17"/>
  <c r="N472" i="17" s="1"/>
  <c r="P471" i="17"/>
  <c r="O471" i="17"/>
  <c r="M471" i="17"/>
  <c r="N471" i="17" s="1"/>
  <c r="P470" i="17"/>
  <c r="O470" i="17"/>
  <c r="M470" i="17"/>
  <c r="N470" i="17" s="1"/>
  <c r="J506" i="17"/>
  <c r="P469" i="17"/>
  <c r="O469" i="17"/>
  <c r="M469" i="17"/>
  <c r="N469" i="17" s="1"/>
  <c r="P468" i="17"/>
  <c r="O468" i="17"/>
  <c r="M468" i="17"/>
  <c r="N468" i="17" s="1"/>
  <c r="J505" i="17"/>
  <c r="P467" i="17"/>
  <c r="O467" i="17"/>
  <c r="M467" i="17"/>
  <c r="N467" i="17" s="1"/>
  <c r="J260" i="17"/>
  <c r="P466" i="17"/>
  <c r="O466" i="17"/>
  <c r="J63" i="17"/>
  <c r="P465" i="17"/>
  <c r="O465" i="17"/>
  <c r="J148" i="17"/>
  <c r="P464" i="17"/>
  <c r="O464" i="17"/>
  <c r="J504" i="17"/>
  <c r="P463" i="17"/>
  <c r="O463" i="17"/>
  <c r="J161" i="17"/>
  <c r="J329" i="17"/>
  <c r="P462" i="17"/>
  <c r="O462" i="17"/>
  <c r="M462" i="17"/>
  <c r="N462" i="17" s="1"/>
  <c r="P461" i="17"/>
  <c r="O461" i="17"/>
  <c r="J259" i="17"/>
  <c r="P460" i="17"/>
  <c r="O460" i="17"/>
  <c r="J503" i="17"/>
  <c r="P459" i="17"/>
  <c r="O459" i="17"/>
  <c r="M459" i="17"/>
  <c r="N459" i="17" s="1"/>
  <c r="J115" i="17"/>
  <c r="P458" i="17"/>
  <c r="O458" i="17"/>
  <c r="J114" i="17"/>
  <c r="P457" i="17"/>
  <c r="O457" i="17"/>
  <c r="J113" i="17"/>
  <c r="P456" i="17"/>
  <c r="O456" i="17"/>
  <c r="M456" i="17"/>
  <c r="N456" i="17" s="1"/>
  <c r="P455" i="17"/>
  <c r="O455" i="17"/>
  <c r="M455" i="17"/>
  <c r="N455" i="17" s="1"/>
  <c r="J258" i="17"/>
  <c r="P454" i="17"/>
  <c r="O454" i="17"/>
  <c r="M454" i="17"/>
  <c r="N454" i="17" s="1"/>
  <c r="J257" i="17"/>
  <c r="P453" i="17"/>
  <c r="O453" i="17"/>
  <c r="M453" i="17"/>
  <c r="N453" i="17" s="1"/>
  <c r="P452" i="17"/>
  <c r="O452" i="17"/>
  <c r="M452" i="17"/>
  <c r="N452" i="17" s="1"/>
  <c r="P451" i="17"/>
  <c r="O451" i="17"/>
  <c r="M451" i="17"/>
  <c r="N451" i="17" s="1"/>
  <c r="P450" i="17"/>
  <c r="O450" i="17"/>
  <c r="J62" i="17"/>
  <c r="P449" i="17"/>
  <c r="O449" i="17"/>
  <c r="J502" i="17"/>
  <c r="P448" i="17"/>
  <c r="O448" i="17"/>
  <c r="M448" i="17"/>
  <c r="N448" i="17" s="1"/>
  <c r="J501" i="17"/>
  <c r="P447" i="17"/>
  <c r="O447" i="17"/>
  <c r="J256" i="17"/>
  <c r="P446" i="17"/>
  <c r="O446" i="17"/>
  <c r="J500" i="17"/>
  <c r="P445" i="17"/>
  <c r="O445" i="17"/>
  <c r="M445" i="17"/>
  <c r="N445" i="17" s="1"/>
  <c r="J499" i="17"/>
  <c r="P444" i="17"/>
  <c r="O444" i="17"/>
  <c r="P443" i="17"/>
  <c r="O443" i="17"/>
  <c r="J498" i="17"/>
  <c r="P442" i="17"/>
  <c r="O442" i="17"/>
  <c r="M442" i="17"/>
  <c r="N442" i="17" s="1"/>
  <c r="J497" i="17"/>
  <c r="P441" i="17"/>
  <c r="O441" i="17"/>
  <c r="M441" i="17"/>
  <c r="N441" i="17" s="1"/>
  <c r="J496" i="17"/>
  <c r="P440" i="17"/>
  <c r="O440" i="17"/>
  <c r="J495" i="17"/>
  <c r="P439" i="17"/>
  <c r="O439" i="17"/>
  <c r="M439" i="17"/>
  <c r="N439" i="17" s="1"/>
  <c r="J494" i="17"/>
  <c r="J493" i="17"/>
  <c r="P438" i="17"/>
  <c r="O438" i="17"/>
  <c r="M438" i="17"/>
  <c r="N438" i="17" s="1"/>
  <c r="P437" i="17"/>
  <c r="O437" i="17"/>
  <c r="J492" i="17"/>
  <c r="P436" i="17"/>
  <c r="O436" i="17"/>
  <c r="M436" i="17"/>
  <c r="N436" i="17" s="1"/>
  <c r="J147" i="17"/>
  <c r="P435" i="17"/>
  <c r="O435" i="17"/>
  <c r="M435" i="17"/>
  <c r="N435" i="17" s="1"/>
  <c r="J255" i="17"/>
  <c r="P434" i="17"/>
  <c r="O434" i="17"/>
  <c r="J112" i="17"/>
  <c r="P433" i="17"/>
  <c r="O433" i="17"/>
  <c r="J254" i="17"/>
  <c r="P432" i="17"/>
  <c r="O432" i="17"/>
  <c r="J491" i="17"/>
  <c r="J490" i="17"/>
  <c r="J489" i="17"/>
  <c r="P431" i="17"/>
  <c r="O431" i="17"/>
  <c r="J488" i="17"/>
  <c r="P430" i="17"/>
  <c r="O430" i="17"/>
  <c r="J111" i="17"/>
  <c r="P429" i="17"/>
  <c r="O429" i="17"/>
  <c r="J146" i="17"/>
  <c r="P428" i="17"/>
  <c r="O428" i="17"/>
  <c r="P427" i="17"/>
  <c r="O427" i="17"/>
  <c r="P426" i="17"/>
  <c r="O426" i="17"/>
  <c r="J487" i="17"/>
  <c r="P425" i="17"/>
  <c r="O425" i="17"/>
  <c r="M425" i="17"/>
  <c r="N425" i="17" s="1"/>
  <c r="J253" i="17"/>
  <c r="P424" i="17"/>
  <c r="O424" i="17"/>
  <c r="J486" i="17"/>
  <c r="P423" i="17"/>
  <c r="O423" i="17"/>
  <c r="M423" i="17"/>
  <c r="N423" i="17" s="1"/>
  <c r="P422" i="17"/>
  <c r="O422" i="17"/>
  <c r="M422" i="17"/>
  <c r="N422" i="17" s="1"/>
  <c r="J485" i="17"/>
  <c r="P421" i="17"/>
  <c r="O421" i="17"/>
  <c r="M421" i="17"/>
  <c r="N421" i="17" s="1"/>
  <c r="J484" i="17"/>
  <c r="P420" i="17"/>
  <c r="O420" i="17"/>
  <c r="M420" i="17"/>
  <c r="N420" i="17" s="1"/>
  <c r="J483" i="17"/>
  <c r="P419" i="17"/>
  <c r="O419" i="17"/>
  <c r="M419" i="17"/>
  <c r="N419" i="17" s="1"/>
  <c r="J252" i="17"/>
  <c r="P418" i="17"/>
  <c r="O418" i="17"/>
  <c r="J38" i="17"/>
  <c r="P417" i="17"/>
  <c r="O417" i="17"/>
  <c r="M417" i="17"/>
  <c r="N417" i="17" s="1"/>
  <c r="J145" i="17"/>
  <c r="P416" i="17"/>
  <c r="O416" i="17"/>
  <c r="J482" i="17"/>
  <c r="P415" i="17"/>
  <c r="O415" i="17"/>
  <c r="P414" i="17"/>
  <c r="O414" i="17"/>
  <c r="M414" i="17"/>
  <c r="N414" i="17" s="1"/>
  <c r="J481" i="17"/>
  <c r="P413" i="17"/>
  <c r="O413" i="17"/>
  <c r="J251" i="17"/>
  <c r="P412" i="17"/>
  <c r="O412" i="17"/>
  <c r="J480" i="17"/>
  <c r="P411" i="17"/>
  <c r="O411" i="17"/>
  <c r="P410" i="17"/>
  <c r="O410" i="17"/>
  <c r="J308" i="17"/>
  <c r="P409" i="17"/>
  <c r="O409" i="17"/>
  <c r="J250" i="17"/>
  <c r="P408" i="17"/>
  <c r="O408" i="17"/>
  <c r="J37" i="17"/>
  <c r="P407" i="17"/>
  <c r="O407" i="17"/>
  <c r="M407" i="17"/>
  <c r="N407" i="17" s="1"/>
  <c r="J479" i="17"/>
  <c r="P406" i="17"/>
  <c r="O406" i="17"/>
  <c r="M406" i="17"/>
  <c r="N406" i="17" s="1"/>
  <c r="J249" i="17"/>
  <c r="P405" i="17"/>
  <c r="O405" i="17"/>
  <c r="M405" i="17"/>
  <c r="N405" i="17" s="1"/>
  <c r="J248" i="17"/>
  <c r="P404" i="17"/>
  <c r="O404" i="17"/>
  <c r="M404" i="17"/>
  <c r="N404" i="17" s="1"/>
  <c r="J110" i="17"/>
  <c r="P403" i="17"/>
  <c r="O403" i="17"/>
  <c r="M403" i="17"/>
  <c r="N403" i="17" s="1"/>
  <c r="J478" i="17"/>
  <c r="P402" i="17"/>
  <c r="O402" i="17"/>
  <c r="J144" i="17"/>
  <c r="P401" i="17"/>
  <c r="O401" i="17"/>
  <c r="J160" i="17"/>
  <c r="P400" i="17"/>
  <c r="O400" i="17"/>
  <c r="J36" i="17"/>
  <c r="P399" i="17"/>
  <c r="O399" i="17"/>
  <c r="J109" i="17"/>
  <c r="P398" i="17"/>
  <c r="O398" i="17"/>
  <c r="J247" i="17"/>
  <c r="P397" i="17"/>
  <c r="O397" i="17"/>
  <c r="M397" i="17"/>
  <c r="N397" i="17" s="1"/>
  <c r="J61" i="17"/>
  <c r="P396" i="17"/>
  <c r="O396" i="17"/>
  <c r="J246" i="17"/>
  <c r="P395" i="17"/>
  <c r="O395" i="17"/>
  <c r="J245" i="17"/>
  <c r="P394" i="17"/>
  <c r="O394" i="17"/>
  <c r="M394" i="17"/>
  <c r="N394" i="17" s="1"/>
  <c r="J307" i="17"/>
  <c r="P393" i="17"/>
  <c r="O393" i="17"/>
  <c r="J477" i="17"/>
  <c r="P392" i="17"/>
  <c r="O392" i="17"/>
  <c r="J476" i="17"/>
  <c r="P391" i="17"/>
  <c r="O391" i="17"/>
  <c r="M391" i="17"/>
  <c r="N391" i="17" s="1"/>
  <c r="P390" i="17"/>
  <c r="O390" i="17"/>
  <c r="M390" i="17"/>
  <c r="N390" i="17" s="1"/>
  <c r="J143" i="17"/>
  <c r="P389" i="17"/>
  <c r="O389" i="17"/>
  <c r="J475" i="17"/>
  <c r="P388" i="17"/>
  <c r="O388" i="17"/>
  <c r="M388" i="17"/>
  <c r="N388" i="17" s="1"/>
  <c r="J244" i="17"/>
  <c r="P387" i="17"/>
  <c r="O387" i="17"/>
  <c r="M387" i="17"/>
  <c r="N387" i="17" s="1"/>
  <c r="J35" i="17"/>
  <c r="P386" i="17"/>
  <c r="O386" i="17"/>
  <c r="J34" i="17"/>
  <c r="P385" i="17"/>
  <c r="O385" i="17"/>
  <c r="J474" i="17"/>
  <c r="P384" i="17"/>
  <c r="O384" i="17"/>
  <c r="J243" i="17"/>
  <c r="P383" i="17"/>
  <c r="O383" i="17"/>
  <c r="M383" i="17"/>
  <c r="N383" i="17" s="1"/>
  <c r="J328" i="17"/>
  <c r="P382" i="17"/>
  <c r="O382" i="17"/>
  <c r="J327" i="17"/>
  <c r="P381" i="17"/>
  <c r="O381" i="17"/>
  <c r="J306" i="17"/>
  <c r="P380" i="17"/>
  <c r="O380" i="17"/>
  <c r="M380" i="17"/>
  <c r="N380" i="17" s="1"/>
  <c r="J473" i="17"/>
  <c r="P379" i="17"/>
  <c r="O379" i="17"/>
  <c r="J305" i="17"/>
  <c r="P378" i="17"/>
  <c r="O378" i="17"/>
  <c r="J304" i="17"/>
  <c r="P377" i="17"/>
  <c r="O377" i="17"/>
  <c r="M377" i="17"/>
  <c r="N377" i="17" s="1"/>
  <c r="J242" i="17"/>
  <c r="P376" i="17"/>
  <c r="O376" i="17"/>
  <c r="M376" i="17"/>
  <c r="N376" i="17" s="1"/>
  <c r="J472" i="17"/>
  <c r="J471" i="17"/>
  <c r="P375" i="17"/>
  <c r="O375" i="17"/>
  <c r="M375" i="17"/>
  <c r="N375" i="17" s="1"/>
  <c r="J241" i="17"/>
  <c r="P374" i="17"/>
  <c r="O374" i="17"/>
  <c r="M374" i="17"/>
  <c r="N374" i="17" s="1"/>
  <c r="J142" i="17"/>
  <c r="P373" i="17"/>
  <c r="O373" i="17"/>
  <c r="M373" i="17"/>
  <c r="N373" i="17" s="1"/>
  <c r="J240" i="17"/>
  <c r="J470" i="17"/>
  <c r="P372" i="17"/>
  <c r="O372" i="17"/>
  <c r="M372" i="17"/>
  <c r="N372" i="17" s="1"/>
  <c r="J469" i="17"/>
  <c r="P371" i="17"/>
  <c r="O371" i="17"/>
  <c r="M371" i="17"/>
  <c r="N371" i="17" s="1"/>
  <c r="J108" i="17"/>
  <c r="P370" i="17"/>
  <c r="O370" i="17"/>
  <c r="J107" i="17"/>
  <c r="P369" i="17"/>
  <c r="O369" i="17"/>
  <c r="J106" i="17"/>
  <c r="P368" i="17"/>
  <c r="O368" i="17"/>
  <c r="J33" i="17"/>
  <c r="P367" i="17"/>
  <c r="O367" i="17"/>
  <c r="J468" i="17"/>
  <c r="P366" i="17"/>
  <c r="O366" i="17"/>
  <c r="J467" i="17"/>
  <c r="P365" i="17"/>
  <c r="O365" i="17"/>
  <c r="J466" i="17"/>
  <c r="P364" i="17"/>
  <c r="O364" i="17"/>
  <c r="J465" i="17"/>
  <c r="P363" i="17"/>
  <c r="O363" i="17"/>
  <c r="J239" i="17"/>
  <c r="P362" i="17"/>
  <c r="O362" i="17"/>
  <c r="J464" i="17"/>
  <c r="P361" i="17"/>
  <c r="O361" i="17"/>
  <c r="M361" i="17"/>
  <c r="N361" i="17" s="1"/>
  <c r="J463" i="17"/>
  <c r="P360" i="17"/>
  <c r="O360" i="17"/>
  <c r="J105" i="17"/>
  <c r="P359" i="17"/>
  <c r="O359" i="17"/>
  <c r="M359" i="17"/>
  <c r="N359" i="17" s="1"/>
  <c r="J462" i="17"/>
  <c r="P358" i="17"/>
  <c r="O358" i="17"/>
  <c r="M358" i="17"/>
  <c r="N358" i="17" s="1"/>
  <c r="J60" i="17"/>
  <c r="P357" i="17"/>
  <c r="O357" i="17"/>
  <c r="J238" i="17"/>
  <c r="P356" i="17"/>
  <c r="O356" i="17"/>
  <c r="M356" i="17"/>
  <c r="N356" i="17" s="1"/>
  <c r="J104" i="17"/>
  <c r="P355" i="17"/>
  <c r="O355" i="17"/>
  <c r="M355" i="17"/>
  <c r="N355" i="17" s="1"/>
  <c r="J461" i="17"/>
  <c r="P354" i="17"/>
  <c r="O354" i="17"/>
  <c r="J326" i="17"/>
  <c r="P353" i="17"/>
  <c r="O353" i="17"/>
  <c r="M353" i="17"/>
  <c r="N353" i="17" s="1"/>
  <c r="J303" i="17"/>
  <c r="P352" i="17"/>
  <c r="O352" i="17"/>
  <c r="J460" i="17"/>
  <c r="P351" i="17"/>
  <c r="O351" i="17"/>
  <c r="J459" i="17"/>
  <c r="P350" i="17"/>
  <c r="O350" i="17"/>
  <c r="M350" i="17"/>
  <c r="N350" i="17" s="1"/>
  <c r="J103" i="17"/>
  <c r="P349" i="17"/>
  <c r="O349" i="17"/>
  <c r="J32" i="17"/>
  <c r="P348" i="17"/>
  <c r="O348" i="17"/>
  <c r="J237" i="17"/>
  <c r="P347" i="17"/>
  <c r="O347" i="17"/>
  <c r="M347" i="17"/>
  <c r="N347" i="17" s="1"/>
  <c r="J458" i="17"/>
  <c r="P346" i="17"/>
  <c r="O346" i="17"/>
  <c r="J236" i="17"/>
  <c r="P345" i="17"/>
  <c r="O345" i="17"/>
  <c r="J302" i="17"/>
  <c r="P344" i="17"/>
  <c r="O344" i="17"/>
  <c r="J102" i="17"/>
  <c r="P343" i="17"/>
  <c r="O343" i="17"/>
  <c r="M343" i="17"/>
  <c r="N343" i="17" s="1"/>
  <c r="J235" i="17"/>
  <c r="P342" i="17"/>
  <c r="O342" i="17"/>
  <c r="M342" i="17"/>
  <c r="N342" i="17" s="1"/>
  <c r="J457" i="17"/>
  <c r="P341" i="17"/>
  <c r="O341" i="17"/>
  <c r="P340" i="17"/>
  <c r="O340" i="17"/>
  <c r="M340" i="17"/>
  <c r="N340" i="17" s="1"/>
  <c r="J456" i="17"/>
  <c r="P339" i="17"/>
  <c r="O339" i="17"/>
  <c r="M339" i="17"/>
  <c r="N339" i="17" s="1"/>
  <c r="J234" i="17"/>
  <c r="P338" i="17"/>
  <c r="O338" i="17"/>
  <c r="J455" i="17"/>
  <c r="P337" i="17"/>
  <c r="O337" i="17"/>
  <c r="J233" i="17"/>
  <c r="P336" i="17"/>
  <c r="O336" i="17"/>
  <c r="M336" i="17"/>
  <c r="N336" i="17" s="1"/>
  <c r="J101" i="17"/>
  <c r="J141" i="17"/>
  <c r="P335" i="17"/>
  <c r="O335" i="17"/>
  <c r="J232" i="17"/>
  <c r="P334" i="17"/>
  <c r="O334" i="17"/>
  <c r="J100" i="17"/>
  <c r="P333" i="17"/>
  <c r="O333" i="17"/>
  <c r="M333" i="17"/>
  <c r="N333" i="17" s="1"/>
  <c r="J140" i="17"/>
  <c r="P332" i="17"/>
  <c r="O332" i="17"/>
  <c r="J454" i="17"/>
  <c r="P331" i="17"/>
  <c r="O331" i="17"/>
  <c r="J301" i="17"/>
  <c r="P330" i="17"/>
  <c r="O330" i="17"/>
  <c r="M330" i="17"/>
  <c r="N330" i="17" s="1"/>
  <c r="J453" i="17"/>
  <c r="P329" i="17"/>
  <c r="O329" i="17"/>
  <c r="J31" i="17"/>
  <c r="P328" i="17"/>
  <c r="O328" i="17"/>
  <c r="J30" i="17"/>
  <c r="P327" i="17"/>
  <c r="O327" i="17"/>
  <c r="M327" i="17"/>
  <c r="N327" i="17" s="1"/>
  <c r="J99" i="17"/>
  <c r="P326" i="17"/>
  <c r="O326" i="17"/>
  <c r="M326" i="17"/>
  <c r="N326" i="17" s="1"/>
  <c r="J139" i="17"/>
  <c r="P325" i="17"/>
  <c r="O325" i="17"/>
  <c r="J59" i="17"/>
  <c r="J29" i="17"/>
  <c r="J452" i="17"/>
  <c r="P324" i="17"/>
  <c r="O324" i="17"/>
  <c r="M324" i="17"/>
  <c r="N324" i="17" s="1"/>
  <c r="J451" i="17"/>
  <c r="P323" i="17"/>
  <c r="O323" i="17"/>
  <c r="M323" i="17"/>
  <c r="N323" i="17" s="1"/>
  <c r="J98" i="17"/>
  <c r="P322" i="17"/>
  <c r="O322" i="17"/>
  <c r="P321" i="17"/>
  <c r="O321" i="17"/>
  <c r="J231" i="17"/>
  <c r="P320" i="17"/>
  <c r="O320" i="17"/>
  <c r="J138" i="17"/>
  <c r="P319" i="17"/>
  <c r="O319" i="17"/>
  <c r="J58" i="17"/>
  <c r="P318" i="17"/>
  <c r="O318" i="17"/>
  <c r="P317" i="17"/>
  <c r="O317" i="17"/>
  <c r="P316" i="17"/>
  <c r="O316" i="17"/>
  <c r="M316" i="17"/>
  <c r="N316" i="17" s="1"/>
  <c r="J450" i="17"/>
  <c r="J449" i="17"/>
  <c r="P315" i="17"/>
  <c r="O315" i="17"/>
  <c r="J57" i="17"/>
  <c r="P314" i="17"/>
  <c r="O314" i="17"/>
  <c r="M314" i="17"/>
  <c r="N314" i="17" s="1"/>
  <c r="J97" i="17"/>
  <c r="P313" i="17"/>
  <c r="O313" i="17"/>
  <c r="M313" i="17"/>
  <c r="N313" i="17" s="1"/>
  <c r="J448" i="17"/>
  <c r="P312" i="17"/>
  <c r="O312" i="17"/>
  <c r="J447" i="17"/>
  <c r="P311" i="17"/>
  <c r="O311" i="17"/>
  <c r="M311" i="17"/>
  <c r="N311" i="17" s="1"/>
  <c r="J300" i="17"/>
  <c r="P310" i="17"/>
  <c r="O310" i="17"/>
  <c r="M310" i="17"/>
  <c r="N310" i="17" s="1"/>
  <c r="J446" i="17"/>
  <c r="J445" i="17"/>
  <c r="P309" i="17"/>
  <c r="O309" i="17"/>
  <c r="J444" i="17"/>
  <c r="P308" i="17"/>
  <c r="O308" i="17"/>
  <c r="M308" i="17"/>
  <c r="N308" i="17" s="1"/>
  <c r="J299" i="17"/>
  <c r="P307" i="17"/>
  <c r="O307" i="17"/>
  <c r="M307" i="17"/>
  <c r="N307" i="17" s="1"/>
  <c r="J230" i="17"/>
  <c r="P306" i="17"/>
  <c r="O306" i="17"/>
  <c r="J229" i="17"/>
  <c r="P305" i="17"/>
  <c r="O305" i="17"/>
  <c r="J228" i="17"/>
  <c r="P304" i="17"/>
  <c r="O304" i="17"/>
  <c r="J227" i="17"/>
  <c r="P303" i="17"/>
  <c r="O303" i="17"/>
  <c r="J443" i="17"/>
  <c r="P302" i="17"/>
  <c r="O302" i="17"/>
  <c r="J442" i="17"/>
  <c r="J441" i="17"/>
  <c r="P301" i="17"/>
  <c r="O301" i="17"/>
  <c r="J96" i="17"/>
  <c r="P300" i="17"/>
  <c r="O300" i="17"/>
  <c r="J95" i="17"/>
  <c r="P299" i="17"/>
  <c r="O299" i="17"/>
  <c r="M299" i="17"/>
  <c r="N299" i="17" s="1"/>
  <c r="J298" i="17"/>
  <c r="P298" i="17"/>
  <c r="O298" i="17"/>
  <c r="J440" i="17"/>
  <c r="P297" i="17"/>
  <c r="O297" i="17"/>
  <c r="J137" i="17"/>
  <c r="P296" i="17"/>
  <c r="O296" i="17"/>
  <c r="M296" i="17"/>
  <c r="N296" i="17" s="1"/>
  <c r="J439" i="17"/>
  <c r="P295" i="17"/>
  <c r="O295" i="17"/>
  <c r="M295" i="17"/>
  <c r="N295" i="17" s="1"/>
  <c r="J28" i="17"/>
  <c r="P294" i="17"/>
  <c r="O294" i="17"/>
  <c r="M294" i="17"/>
  <c r="N294" i="17" s="1"/>
  <c r="J438" i="17"/>
  <c r="P293" i="17"/>
  <c r="O293" i="17"/>
  <c r="M293" i="17"/>
  <c r="N293" i="17" s="1"/>
  <c r="J226" i="17"/>
  <c r="P292" i="17"/>
  <c r="O292" i="17"/>
  <c r="M292" i="17"/>
  <c r="N292" i="17" s="1"/>
  <c r="J437" i="17"/>
  <c r="P291" i="17"/>
  <c r="O291" i="17"/>
  <c r="M291" i="17"/>
  <c r="N291" i="17" s="1"/>
  <c r="J436" i="17"/>
  <c r="P290" i="17"/>
  <c r="O290" i="17"/>
  <c r="J435" i="17"/>
  <c r="P289" i="17"/>
  <c r="O289" i="17"/>
  <c r="M289" i="17"/>
  <c r="N289" i="17" s="1"/>
  <c r="J434" i="17"/>
  <c r="P288" i="17"/>
  <c r="O288" i="17"/>
  <c r="J225" i="17"/>
  <c r="P287" i="17"/>
  <c r="O287" i="17"/>
  <c r="J224" i="17"/>
  <c r="P286" i="17"/>
  <c r="O286" i="17"/>
  <c r="M286" i="17"/>
  <c r="N286" i="17" s="1"/>
  <c r="J56" i="17"/>
  <c r="P285" i="17"/>
  <c r="O285" i="17"/>
  <c r="J433" i="17"/>
  <c r="P284" i="17"/>
  <c r="O284" i="17"/>
  <c r="J223" i="17"/>
  <c r="P283" i="17"/>
  <c r="O283" i="17"/>
  <c r="M283" i="17"/>
  <c r="N283" i="17" s="1"/>
  <c r="J432" i="17"/>
  <c r="P282" i="17"/>
  <c r="O282" i="17"/>
  <c r="J431" i="17"/>
  <c r="P281" i="17"/>
  <c r="O281" i="17"/>
  <c r="J430" i="17"/>
  <c r="P280" i="17"/>
  <c r="O280" i="17"/>
  <c r="M280" i="17"/>
  <c r="N280" i="17" s="1"/>
  <c r="J429" i="17"/>
  <c r="P279" i="17"/>
  <c r="O279" i="17"/>
  <c r="M279" i="17"/>
  <c r="N279" i="17" s="1"/>
  <c r="J136" i="17"/>
  <c r="P278" i="17"/>
  <c r="O278" i="17"/>
  <c r="M278" i="17"/>
  <c r="N278" i="17" s="1"/>
  <c r="J222" i="17"/>
  <c r="P277" i="17"/>
  <c r="O277" i="17"/>
  <c r="M277" i="17"/>
  <c r="N277" i="17" s="1"/>
  <c r="J428" i="17"/>
  <c r="P276" i="17"/>
  <c r="O276" i="17"/>
  <c r="M276" i="17"/>
  <c r="N276" i="17" s="1"/>
  <c r="J94" i="17"/>
  <c r="P275" i="17"/>
  <c r="O275" i="17"/>
  <c r="M275" i="17"/>
  <c r="N275" i="17" s="1"/>
  <c r="J427" i="17"/>
  <c r="P274" i="17"/>
  <c r="O274" i="17"/>
  <c r="J426" i="17"/>
  <c r="P273" i="17"/>
  <c r="O273" i="17"/>
  <c r="J425" i="17"/>
  <c r="P272" i="17"/>
  <c r="O272" i="17"/>
  <c r="J424" i="17"/>
  <c r="P271" i="17"/>
  <c r="O271" i="17"/>
  <c r="J423" i="17"/>
  <c r="P270" i="17"/>
  <c r="O270" i="17"/>
  <c r="J422" i="17"/>
  <c r="P269" i="17"/>
  <c r="O269" i="17"/>
  <c r="M269" i="17"/>
  <c r="N269" i="17" s="1"/>
  <c r="J421" i="17"/>
  <c r="P268" i="17"/>
  <c r="O268" i="17"/>
  <c r="J420" i="17"/>
  <c r="P267" i="17"/>
  <c r="O267" i="17"/>
  <c r="J419" i="17"/>
  <c r="P266" i="17"/>
  <c r="O266" i="17"/>
  <c r="M266" i="17"/>
  <c r="N266" i="17" s="1"/>
  <c r="J418" i="17"/>
  <c r="P265" i="17"/>
  <c r="O265" i="17"/>
  <c r="J417" i="17"/>
  <c r="P264" i="17"/>
  <c r="O264" i="17"/>
  <c r="M264" i="17"/>
  <c r="N264" i="17" s="1"/>
  <c r="J416" i="17"/>
  <c r="P263" i="17"/>
  <c r="O263" i="17"/>
  <c r="M263" i="17"/>
  <c r="N263" i="17" s="1"/>
  <c r="J221" i="17"/>
  <c r="P262" i="17"/>
  <c r="O262" i="17"/>
  <c r="M262" i="17"/>
  <c r="N262" i="17" s="1"/>
  <c r="J297" i="17"/>
  <c r="P261" i="17"/>
  <c r="O261" i="17"/>
  <c r="M261" i="17"/>
  <c r="N261" i="17" s="1"/>
  <c r="J415" i="17"/>
  <c r="P260" i="17"/>
  <c r="O260" i="17"/>
  <c r="M260" i="17"/>
  <c r="N260" i="17" s="1"/>
  <c r="J414" i="17"/>
  <c r="P259" i="17"/>
  <c r="O259" i="17"/>
  <c r="M259" i="17"/>
  <c r="N259" i="17" s="1"/>
  <c r="J135" i="17"/>
  <c r="P258" i="17"/>
  <c r="O258" i="17"/>
  <c r="J413" i="17"/>
  <c r="P257" i="17"/>
  <c r="O257" i="17"/>
  <c r="J412" i="17"/>
  <c r="P256" i="17"/>
  <c r="O256" i="17"/>
  <c r="J296" i="17"/>
  <c r="P255" i="17"/>
  <c r="O255" i="17"/>
  <c r="J411" i="17"/>
  <c r="P254" i="17"/>
  <c r="O254" i="17"/>
  <c r="J410" i="17"/>
  <c r="P253" i="17"/>
  <c r="O253" i="17"/>
  <c r="M253" i="17"/>
  <c r="N253" i="17" s="1"/>
  <c r="J409" i="17"/>
  <c r="P252" i="17"/>
  <c r="O252" i="17"/>
  <c r="J220" i="17"/>
  <c r="P251" i="17"/>
  <c r="O251" i="17"/>
  <c r="J408" i="17"/>
  <c r="J219" i="17"/>
  <c r="P250" i="17"/>
  <c r="O250" i="17"/>
  <c r="J218" i="17"/>
  <c r="P249" i="17"/>
  <c r="O249" i="17"/>
  <c r="M249" i="17"/>
  <c r="N249" i="17" s="1"/>
  <c r="J217" i="17"/>
  <c r="P248" i="17"/>
  <c r="O248" i="17"/>
  <c r="M248" i="17"/>
  <c r="N248" i="17" s="1"/>
  <c r="J216" i="17"/>
  <c r="P247" i="17"/>
  <c r="O247" i="17"/>
  <c r="M247" i="17"/>
  <c r="N247" i="17" s="1"/>
  <c r="J55" i="17"/>
  <c r="P246" i="17"/>
  <c r="O246" i="17"/>
  <c r="M246" i="17"/>
  <c r="N246" i="17" s="1"/>
  <c r="J54" i="17"/>
  <c r="P245" i="17"/>
  <c r="O245" i="17"/>
  <c r="M245" i="17"/>
  <c r="N245" i="17" s="1"/>
  <c r="J215" i="17"/>
  <c r="P244" i="17"/>
  <c r="O244" i="17"/>
  <c r="M244" i="17"/>
  <c r="N244" i="17" s="1"/>
  <c r="J407" i="17"/>
  <c r="P243" i="17"/>
  <c r="O243" i="17"/>
  <c r="J406" i="17"/>
  <c r="P242" i="17"/>
  <c r="O242" i="17"/>
  <c r="J405" i="17"/>
  <c r="P241" i="17"/>
  <c r="O241" i="17"/>
  <c r="J404" i="17"/>
  <c r="P240" i="17"/>
  <c r="O240" i="17"/>
  <c r="J403" i="17"/>
  <c r="P239" i="17"/>
  <c r="O239" i="17"/>
  <c r="J214" i="17"/>
  <c r="P238" i="17"/>
  <c r="O238" i="17"/>
  <c r="J295" i="17"/>
  <c r="P237" i="17"/>
  <c r="O237" i="17"/>
  <c r="J402" i="17"/>
  <c r="P236" i="17"/>
  <c r="O236" i="17"/>
  <c r="M236" i="17"/>
  <c r="N236" i="17" s="1"/>
  <c r="J401" i="17"/>
  <c r="P235" i="17"/>
  <c r="O235" i="17"/>
  <c r="J325" i="17"/>
  <c r="P234" i="17"/>
  <c r="O234" i="17"/>
  <c r="P233" i="17"/>
  <c r="O233" i="17"/>
  <c r="M233" i="17"/>
  <c r="N233" i="17" s="1"/>
  <c r="J213" i="17"/>
  <c r="P232" i="17"/>
  <c r="O232" i="17"/>
  <c r="M232" i="17"/>
  <c r="N232" i="17" s="1"/>
  <c r="J400" i="17"/>
  <c r="P231" i="17"/>
  <c r="O231" i="17"/>
  <c r="M231" i="17"/>
  <c r="N231" i="17" s="1"/>
  <c r="J93" i="17"/>
  <c r="P230" i="17"/>
  <c r="O230" i="17"/>
  <c r="J92" i="17"/>
  <c r="P229" i="17"/>
  <c r="O229" i="17"/>
  <c r="M229" i="17"/>
  <c r="N229" i="17" s="1"/>
  <c r="J212" i="17"/>
  <c r="P228" i="17"/>
  <c r="O228" i="17"/>
  <c r="M228" i="17"/>
  <c r="N228" i="17" s="1"/>
  <c r="J134" i="17"/>
  <c r="P227" i="17"/>
  <c r="O227" i="17"/>
  <c r="J211" i="17"/>
  <c r="P226" i="17"/>
  <c r="O226" i="17"/>
  <c r="J133" i="17"/>
  <c r="P225" i="17"/>
  <c r="O225" i="17"/>
  <c r="J132" i="17"/>
  <c r="P224" i="17"/>
  <c r="O224" i="17"/>
  <c r="J210" i="17"/>
  <c r="P223" i="17"/>
  <c r="O223" i="17"/>
  <c r="M223" i="17"/>
  <c r="N223" i="17" s="1"/>
  <c r="J399" i="17"/>
  <c r="P222" i="17"/>
  <c r="O222" i="17"/>
  <c r="J209" i="17"/>
  <c r="P221" i="17"/>
  <c r="O221" i="17"/>
  <c r="J208" i="17"/>
  <c r="J131" i="17"/>
  <c r="P220" i="17"/>
  <c r="O220" i="17"/>
  <c r="M220" i="17"/>
  <c r="N220" i="17" s="1"/>
  <c r="J207" i="17"/>
  <c r="P219" i="17"/>
  <c r="O219" i="17"/>
  <c r="M219" i="17"/>
  <c r="N219" i="17" s="1"/>
  <c r="J53" i="17"/>
  <c r="P218" i="17"/>
  <c r="O218" i="17"/>
  <c r="J294" i="17"/>
  <c r="P217" i="17"/>
  <c r="O217" i="17"/>
  <c r="M217" i="17"/>
  <c r="N217" i="17" s="1"/>
  <c r="P216" i="17"/>
  <c r="O216" i="17"/>
  <c r="M216" i="17"/>
  <c r="N216" i="17" s="1"/>
  <c r="J398" i="17"/>
  <c r="P215" i="17"/>
  <c r="O215" i="17"/>
  <c r="M215" i="17"/>
  <c r="N215" i="17" s="1"/>
  <c r="J397" i="17"/>
  <c r="P214" i="17"/>
  <c r="O214" i="17"/>
  <c r="J396" i="17"/>
  <c r="P213" i="17"/>
  <c r="O213" i="17"/>
  <c r="M213" i="17"/>
  <c r="N213" i="17" s="1"/>
  <c r="J130" i="17"/>
  <c r="P212" i="17"/>
  <c r="O212" i="17"/>
  <c r="M212" i="17"/>
  <c r="N212" i="17" s="1"/>
  <c r="J206" i="17"/>
  <c r="P211" i="17"/>
  <c r="O211" i="17"/>
  <c r="J293" i="17"/>
  <c r="P210" i="17"/>
  <c r="O210" i="17"/>
  <c r="J292" i="17"/>
  <c r="P209" i="17"/>
  <c r="O209" i="17"/>
  <c r="M209" i="17"/>
  <c r="N209" i="17" s="1"/>
  <c r="J395" i="17"/>
  <c r="P208" i="17"/>
  <c r="O208" i="17"/>
  <c r="J205" i="17"/>
  <c r="P207" i="17"/>
  <c r="O207" i="17"/>
  <c r="J394" i="17"/>
  <c r="P206" i="17"/>
  <c r="O206" i="17"/>
  <c r="M206" i="17"/>
  <c r="N206" i="17" s="1"/>
  <c r="J324" i="17"/>
  <c r="P205" i="17"/>
  <c r="O205" i="17"/>
  <c r="J393" i="17"/>
  <c r="P204" i="17"/>
  <c r="O204" i="17"/>
  <c r="J392" i="17"/>
  <c r="P203" i="17"/>
  <c r="O203" i="17"/>
  <c r="M203" i="17"/>
  <c r="N203" i="17" s="1"/>
  <c r="J391" i="17"/>
  <c r="P202" i="17"/>
  <c r="O202" i="17"/>
  <c r="J390" i="17"/>
  <c r="P201" i="17"/>
  <c r="O201" i="17"/>
  <c r="M201" i="17"/>
  <c r="N201" i="17" s="1"/>
  <c r="J389" i="17"/>
  <c r="P200" i="17"/>
  <c r="O200" i="17"/>
  <c r="M200" i="17"/>
  <c r="N200" i="17" s="1"/>
  <c r="J388" i="17"/>
  <c r="P199" i="17"/>
  <c r="O199" i="17"/>
  <c r="M199" i="17"/>
  <c r="N199" i="17" s="1"/>
  <c r="P198" i="17"/>
  <c r="O198" i="17"/>
  <c r="J387" i="17"/>
  <c r="P197" i="17"/>
  <c r="O197" i="17"/>
  <c r="M197" i="17"/>
  <c r="N197" i="17" s="1"/>
  <c r="J386" i="17"/>
  <c r="P196" i="17"/>
  <c r="O196" i="17"/>
  <c r="M196" i="17"/>
  <c r="N196" i="17" s="1"/>
  <c r="J385" i="17"/>
  <c r="P195" i="17"/>
  <c r="O195" i="17"/>
  <c r="J384" i="17"/>
  <c r="P194" i="17"/>
  <c r="O194" i="17"/>
  <c r="J291" i="17"/>
  <c r="P193" i="17"/>
  <c r="O193" i="17"/>
  <c r="J323" i="17"/>
  <c r="P192" i="17"/>
  <c r="O192" i="17"/>
  <c r="J383" i="17"/>
  <c r="P191" i="17"/>
  <c r="O191" i="17"/>
  <c r="J382" i="17"/>
  <c r="P190" i="17"/>
  <c r="O190" i="17"/>
  <c r="J381" i="17"/>
  <c r="P189" i="17"/>
  <c r="O189" i="17"/>
  <c r="J380" i="17"/>
  <c r="P188" i="17"/>
  <c r="O188" i="17"/>
  <c r="M188" i="17"/>
  <c r="N188" i="17" s="1"/>
  <c r="J379" i="17"/>
  <c r="P187" i="17"/>
  <c r="O187" i="17"/>
  <c r="J322" i="17"/>
  <c r="P186" i="17"/>
  <c r="O186" i="17"/>
  <c r="M186" i="17"/>
  <c r="N186" i="17" s="1"/>
  <c r="J378" i="17"/>
  <c r="P185" i="17"/>
  <c r="O185" i="17"/>
  <c r="J377" i="17"/>
  <c r="J376" i="17"/>
  <c r="P184" i="17"/>
  <c r="O184" i="17"/>
  <c r="M184" i="17"/>
  <c r="N184" i="17" s="1"/>
  <c r="J375" i="17"/>
  <c r="P183" i="17"/>
  <c r="O183" i="17"/>
  <c r="M183" i="17"/>
  <c r="N183" i="17" s="1"/>
  <c r="J374" i="17"/>
  <c r="P182" i="17"/>
  <c r="O182" i="17"/>
  <c r="J373" i="17"/>
  <c r="P181" i="17"/>
  <c r="O181" i="17"/>
  <c r="M181" i="17"/>
  <c r="N181" i="17" s="1"/>
  <c r="J372" i="17"/>
  <c r="P180" i="17"/>
  <c r="O180" i="17"/>
  <c r="M180" i="17"/>
  <c r="N180" i="17" s="1"/>
  <c r="J91" i="17"/>
  <c r="P179" i="17"/>
  <c r="O179" i="17"/>
  <c r="J204" i="17"/>
  <c r="P178" i="17"/>
  <c r="O178" i="17"/>
  <c r="M178" i="17"/>
  <c r="N178" i="17" s="1"/>
  <c r="J371" i="17"/>
  <c r="P177" i="17"/>
  <c r="O177" i="17"/>
  <c r="J370" i="17"/>
  <c r="P176" i="17"/>
  <c r="O176" i="17"/>
  <c r="J369" i="17"/>
  <c r="P175" i="17"/>
  <c r="O175" i="17"/>
  <c r="M175" i="17"/>
  <c r="N175" i="17" s="1"/>
  <c r="J368" i="17"/>
  <c r="P174" i="17"/>
  <c r="O174" i="17"/>
  <c r="J367" i="17"/>
  <c r="P173" i="17"/>
  <c r="O173" i="17"/>
  <c r="J366" i="17"/>
  <c r="P172" i="17"/>
  <c r="O172" i="17"/>
  <c r="M172" i="17"/>
  <c r="N172" i="17" s="1"/>
  <c r="J70" i="17"/>
  <c r="P171" i="17"/>
  <c r="O171" i="17"/>
  <c r="M171" i="17"/>
  <c r="N171" i="17" s="1"/>
  <c r="J27" i="17"/>
  <c r="P170" i="17"/>
  <c r="O170" i="17"/>
  <c r="J365" i="17"/>
  <c r="P169" i="17"/>
  <c r="O169" i="17"/>
  <c r="M169" i="17"/>
  <c r="N169" i="17" s="1"/>
  <c r="P168" i="17"/>
  <c r="O168" i="17"/>
  <c r="M168" i="17"/>
  <c r="N168" i="17" s="1"/>
  <c r="J364" i="17"/>
  <c r="P167" i="17"/>
  <c r="O167" i="17"/>
  <c r="M167" i="17"/>
  <c r="N167" i="17" s="1"/>
  <c r="J26" i="17"/>
  <c r="P166" i="17"/>
  <c r="O166" i="17"/>
  <c r="J25" i="17"/>
  <c r="P165" i="17"/>
  <c r="O165" i="17"/>
  <c r="M165" i="17"/>
  <c r="N165" i="17" s="1"/>
  <c r="J24" i="17"/>
  <c r="P164" i="17"/>
  <c r="O164" i="17"/>
  <c r="M164" i="17"/>
  <c r="N164" i="17" s="1"/>
  <c r="J23" i="17"/>
  <c r="P163" i="17"/>
  <c r="O163" i="17"/>
  <c r="J290" i="17"/>
  <c r="P162" i="17"/>
  <c r="O162" i="17"/>
  <c r="J363" i="17"/>
  <c r="P161" i="17"/>
  <c r="O161" i="17"/>
  <c r="M161" i="17"/>
  <c r="N161" i="17" s="1"/>
  <c r="J203" i="17"/>
  <c r="P160" i="17"/>
  <c r="O160" i="17"/>
  <c r="J362" i="17"/>
  <c r="P159" i="17"/>
  <c r="O159" i="17"/>
  <c r="J361" i="17"/>
  <c r="P158" i="17"/>
  <c r="O158" i="17"/>
  <c r="M158" i="17"/>
  <c r="N158" i="17" s="1"/>
  <c r="J129" i="17"/>
  <c r="P157" i="17"/>
  <c r="O157" i="17"/>
  <c r="J360" i="17"/>
  <c r="P156" i="17"/>
  <c r="O156" i="17"/>
  <c r="J202" i="17"/>
  <c r="P155" i="17"/>
  <c r="O155" i="17"/>
  <c r="M155" i="17"/>
  <c r="N155" i="17" s="1"/>
  <c r="J201" i="17"/>
  <c r="J289" i="17"/>
  <c r="J200" i="17"/>
  <c r="P154" i="17"/>
  <c r="O154" i="17"/>
  <c r="J359" i="17"/>
  <c r="P153" i="17"/>
  <c r="O153" i="17"/>
  <c r="M153" i="17"/>
  <c r="N153" i="17" s="1"/>
  <c r="J199" i="17"/>
  <c r="P152" i="17"/>
  <c r="O152" i="17"/>
  <c r="M152" i="17"/>
  <c r="N152" i="17" s="1"/>
  <c r="J358" i="17"/>
  <c r="P151" i="17"/>
  <c r="O151" i="17"/>
  <c r="M151" i="17"/>
  <c r="N151" i="17" s="1"/>
  <c r="J90" i="17"/>
  <c r="P150" i="17"/>
  <c r="O150" i="17"/>
  <c r="M150" i="17"/>
  <c r="N150" i="17" s="1"/>
  <c r="J357" i="17"/>
  <c r="P149" i="17"/>
  <c r="O149" i="17"/>
  <c r="M149" i="17"/>
  <c r="N149" i="17" s="1"/>
  <c r="J356" i="17"/>
  <c r="P148" i="17"/>
  <c r="O148" i="17"/>
  <c r="M148" i="17"/>
  <c r="N148" i="17" s="1"/>
  <c r="P147" i="17"/>
  <c r="O147" i="17"/>
  <c r="P146" i="17"/>
  <c r="O146" i="17"/>
  <c r="J321" i="17"/>
  <c r="P145" i="17"/>
  <c r="O145" i="17"/>
  <c r="J355" i="17"/>
  <c r="P144" i="17"/>
  <c r="O144" i="17"/>
  <c r="J89" i="17"/>
  <c r="P143" i="17"/>
  <c r="O143" i="17"/>
  <c r="J354" i="17"/>
  <c r="P142" i="17"/>
  <c r="O142" i="17"/>
  <c r="J88" i="17"/>
  <c r="P141" i="17"/>
  <c r="O141" i="17"/>
  <c r="J288" i="17"/>
  <c r="P140" i="17"/>
  <c r="O140" i="17"/>
  <c r="J87" i="17"/>
  <c r="J86" i="17"/>
  <c r="P139" i="17"/>
  <c r="O139" i="17"/>
  <c r="J353" i="17"/>
  <c r="P138" i="17"/>
  <c r="O138" i="17"/>
  <c r="J85" i="17"/>
  <c r="P137" i="17"/>
  <c r="O137" i="17"/>
  <c r="M137" i="17"/>
  <c r="N137" i="17" s="1"/>
  <c r="J198" i="17"/>
  <c r="P136" i="17"/>
  <c r="O136" i="17"/>
  <c r="M136" i="17"/>
  <c r="N136" i="17" s="1"/>
  <c r="J84" i="17"/>
  <c r="P135" i="17"/>
  <c r="O135" i="17"/>
  <c r="M135" i="17"/>
  <c r="N135" i="17" s="1"/>
  <c r="J352" i="17"/>
  <c r="P134" i="17"/>
  <c r="O134" i="17"/>
  <c r="J197" i="17"/>
  <c r="P133" i="17"/>
  <c r="O133" i="17"/>
  <c r="M133" i="17"/>
  <c r="N133" i="17" s="1"/>
  <c r="J287" i="17"/>
  <c r="P132" i="17"/>
  <c r="O132" i="17"/>
  <c r="M132" i="17"/>
  <c r="N132" i="17" s="1"/>
  <c r="J286" i="17"/>
  <c r="P131" i="17"/>
  <c r="O131" i="17"/>
  <c r="J196" i="17"/>
  <c r="P130" i="17"/>
  <c r="O130" i="17"/>
  <c r="J195" i="17"/>
  <c r="P129" i="17"/>
  <c r="O129" i="17"/>
  <c r="J351" i="17"/>
  <c r="P128" i="17"/>
  <c r="O128" i="17"/>
  <c r="J128" i="17"/>
  <c r="P127" i="17"/>
  <c r="O127" i="17"/>
  <c r="M127" i="17"/>
  <c r="N127" i="17" s="1"/>
  <c r="J285" i="17"/>
  <c r="P126" i="17"/>
  <c r="O126" i="17"/>
  <c r="P125" i="17"/>
  <c r="O125" i="17"/>
  <c r="J194" i="17"/>
  <c r="P124" i="17"/>
  <c r="O124" i="17"/>
  <c r="M124" i="17"/>
  <c r="N124" i="17" s="1"/>
  <c r="J22" i="17"/>
  <c r="P123" i="17"/>
  <c r="O123" i="17"/>
  <c r="J127" i="17"/>
  <c r="P122" i="17"/>
  <c r="O122" i="17"/>
  <c r="J193" i="17"/>
  <c r="P121" i="17"/>
  <c r="O121" i="17"/>
  <c r="J52" i="17"/>
  <c r="P120" i="17"/>
  <c r="O120" i="17"/>
  <c r="M120" i="17"/>
  <c r="N120" i="17" s="1"/>
  <c r="J83" i="17"/>
  <c r="P119" i="17"/>
  <c r="O119" i="17"/>
  <c r="M119" i="17"/>
  <c r="N119" i="17" s="1"/>
  <c r="J192" i="17"/>
  <c r="P118" i="17"/>
  <c r="O118" i="17"/>
  <c r="J159" i="17"/>
  <c r="P117" i="17"/>
  <c r="O117" i="17"/>
  <c r="M117" i="17"/>
  <c r="N117" i="17" s="1"/>
  <c r="J158" i="17"/>
  <c r="P116" i="17"/>
  <c r="O116" i="17"/>
  <c r="M116" i="17"/>
  <c r="N116" i="17" s="1"/>
  <c r="J350" i="17"/>
  <c r="P115" i="17"/>
  <c r="O115" i="17"/>
  <c r="J191" i="17"/>
  <c r="P114" i="17"/>
  <c r="O114" i="17"/>
  <c r="J190" i="17"/>
  <c r="P113" i="17"/>
  <c r="O113" i="17"/>
  <c r="M113" i="17"/>
  <c r="N113" i="17" s="1"/>
  <c r="J349" i="17"/>
  <c r="P112" i="17"/>
  <c r="O112" i="17"/>
  <c r="J284" i="17"/>
  <c r="P111" i="17"/>
  <c r="O111" i="17"/>
  <c r="J51" i="17"/>
  <c r="P110" i="17"/>
  <c r="O110" i="17"/>
  <c r="M110" i="17"/>
  <c r="N110" i="17" s="1"/>
  <c r="J189" i="17"/>
  <c r="P109" i="17"/>
  <c r="O109" i="17"/>
  <c r="J188" i="17"/>
  <c r="P108" i="17"/>
  <c r="O108" i="17"/>
  <c r="J187" i="17"/>
  <c r="P107" i="17"/>
  <c r="O107" i="17"/>
  <c r="M107" i="17"/>
  <c r="N107" i="17" s="1"/>
  <c r="J82" i="17"/>
  <c r="P106" i="17"/>
  <c r="O106" i="17"/>
  <c r="J320" i="17"/>
  <c r="P105" i="17"/>
  <c r="O105" i="17"/>
  <c r="J283" i="17"/>
  <c r="P104" i="17"/>
  <c r="O104" i="17"/>
  <c r="M104" i="17"/>
  <c r="N104" i="17" s="1"/>
  <c r="J81" i="17"/>
  <c r="P103" i="17"/>
  <c r="O103" i="17"/>
  <c r="M103" i="17"/>
  <c r="N103" i="17" s="1"/>
  <c r="J186" i="17"/>
  <c r="P102" i="17"/>
  <c r="O102" i="17"/>
  <c r="J21" i="17"/>
  <c r="P101" i="17"/>
  <c r="O101" i="17"/>
  <c r="M101" i="17"/>
  <c r="N101" i="17" s="1"/>
  <c r="J348" i="17"/>
  <c r="P100" i="17"/>
  <c r="O100" i="17"/>
  <c r="M100" i="17"/>
  <c r="N100" i="17" s="1"/>
  <c r="J282" i="17"/>
  <c r="P99" i="17"/>
  <c r="O99" i="17"/>
  <c r="P98" i="17"/>
  <c r="O98" i="17"/>
  <c r="J153" i="17"/>
  <c r="P97" i="17"/>
  <c r="O97" i="17"/>
  <c r="J281" i="17"/>
  <c r="P96" i="17"/>
  <c r="O96" i="17"/>
  <c r="J185" i="17"/>
  <c r="P95" i="17"/>
  <c r="O95" i="17"/>
  <c r="J184" i="17"/>
  <c r="P94" i="17"/>
  <c r="O94" i="17"/>
  <c r="J347" i="17"/>
  <c r="P93" i="17"/>
  <c r="O93" i="17"/>
  <c r="M93" i="17"/>
  <c r="N93" i="17" s="1"/>
  <c r="J346" i="17"/>
  <c r="P92" i="17"/>
  <c r="O92" i="17"/>
  <c r="J20" i="17"/>
  <c r="P91" i="17"/>
  <c r="O91" i="17"/>
  <c r="J69" i="17"/>
  <c r="P90" i="17"/>
  <c r="O90" i="17"/>
  <c r="M90" i="17"/>
  <c r="N90" i="17" s="1"/>
  <c r="J183" i="17"/>
  <c r="P89" i="17"/>
  <c r="O89" i="17"/>
  <c r="J345" i="17"/>
  <c r="P88" i="17"/>
  <c r="O88" i="17"/>
  <c r="M88" i="17"/>
  <c r="N88" i="17" s="1"/>
  <c r="J344" i="17"/>
  <c r="P87" i="17"/>
  <c r="O87" i="17"/>
  <c r="M87" i="17"/>
  <c r="N87" i="17" s="1"/>
  <c r="J343" i="17"/>
  <c r="P86" i="17"/>
  <c r="O86" i="17"/>
  <c r="M86" i="17"/>
  <c r="N86" i="17" s="1"/>
  <c r="J182" i="17"/>
  <c r="P85" i="17"/>
  <c r="O85" i="17"/>
  <c r="M85" i="17"/>
  <c r="N85" i="17" s="1"/>
  <c r="J342" i="17"/>
  <c r="P84" i="17"/>
  <c r="O84" i="17"/>
  <c r="M84" i="17"/>
  <c r="N84" i="17" s="1"/>
  <c r="P83" i="17"/>
  <c r="O83" i="17"/>
  <c r="P82" i="17"/>
  <c r="O82" i="17"/>
  <c r="P81" i="17"/>
  <c r="O81" i="17"/>
  <c r="J50" i="17"/>
  <c r="P80" i="17"/>
  <c r="O80" i="17"/>
  <c r="J157" i="17"/>
  <c r="P79" i="17"/>
  <c r="O79" i="17"/>
  <c r="J19" i="17"/>
  <c r="P78" i="17"/>
  <c r="O78" i="17"/>
  <c r="M78" i="17"/>
  <c r="N78" i="17" s="1"/>
  <c r="J18" i="17"/>
  <c r="P77" i="17"/>
  <c r="O77" i="17"/>
  <c r="J17" i="17"/>
  <c r="P76" i="17"/>
  <c r="O76" i="17"/>
  <c r="J156" i="17"/>
  <c r="P75" i="17"/>
  <c r="O75" i="17"/>
  <c r="M75" i="17"/>
  <c r="N75" i="17" s="1"/>
  <c r="J181" i="17"/>
  <c r="P74" i="17"/>
  <c r="O74" i="17"/>
  <c r="J16" i="17"/>
  <c r="P73" i="17"/>
  <c r="O73" i="17"/>
  <c r="J80" i="17"/>
  <c r="P72" i="17"/>
  <c r="O72" i="17"/>
  <c r="M72" i="17"/>
  <c r="N72" i="17" s="1"/>
  <c r="J180" i="17"/>
  <c r="P71" i="17"/>
  <c r="O71" i="17"/>
  <c r="M71" i="17"/>
  <c r="N71" i="17" s="1"/>
  <c r="J179" i="17"/>
  <c r="P70" i="17"/>
  <c r="O70" i="17"/>
  <c r="M70" i="17"/>
  <c r="N70" i="17" s="1"/>
  <c r="J68" i="17"/>
  <c r="P69" i="17"/>
  <c r="O69" i="17"/>
  <c r="M69" i="17"/>
  <c r="N69" i="17" s="1"/>
  <c r="J155" i="17"/>
  <c r="P68" i="17"/>
  <c r="O68" i="17"/>
  <c r="M68" i="17"/>
  <c r="N68" i="17" s="1"/>
  <c r="J280" i="17"/>
  <c r="P67" i="17"/>
  <c r="O67" i="17"/>
  <c r="J126" i="17"/>
  <c r="P66" i="17"/>
  <c r="O66" i="17"/>
  <c r="J79" i="17"/>
  <c r="P65" i="17"/>
  <c r="O65" i="17"/>
  <c r="M65" i="17"/>
  <c r="N65" i="17" s="1"/>
  <c r="J49" i="17"/>
  <c r="P64" i="17"/>
  <c r="O64" i="17"/>
  <c r="J279" i="17"/>
  <c r="P63" i="17"/>
  <c r="O63" i="17"/>
  <c r="J15" i="17"/>
  <c r="P62" i="17"/>
  <c r="O62" i="17"/>
  <c r="M62" i="17"/>
  <c r="N62" i="17" s="1"/>
  <c r="J14" i="17"/>
  <c r="P61" i="17"/>
  <c r="O61" i="17"/>
  <c r="J341" i="17"/>
  <c r="P60" i="17"/>
  <c r="O60" i="17"/>
  <c r="J48" i="17"/>
  <c r="P59" i="17"/>
  <c r="O59" i="17"/>
  <c r="M59" i="17"/>
  <c r="N59" i="17" s="1"/>
  <c r="J340" i="17"/>
  <c r="P58" i="17"/>
  <c r="O58" i="17"/>
  <c r="M58" i="17"/>
  <c r="N58" i="17" s="1"/>
  <c r="J339" i="17"/>
  <c r="P57" i="17"/>
  <c r="O57" i="17"/>
  <c r="J13" i="17"/>
  <c r="P56" i="17"/>
  <c r="O56" i="17"/>
  <c r="M56" i="17"/>
  <c r="N56" i="17" s="1"/>
  <c r="J12" i="17"/>
  <c r="P55" i="17"/>
  <c r="O55" i="17"/>
  <c r="M55" i="17"/>
  <c r="N55" i="17" s="1"/>
  <c r="J178" i="17"/>
  <c r="P54" i="17"/>
  <c r="O54" i="17"/>
  <c r="M54" i="17"/>
  <c r="N54" i="17" s="1"/>
  <c r="J177" i="17"/>
  <c r="P53" i="17"/>
  <c r="O53" i="17"/>
  <c r="M53" i="17"/>
  <c r="N53" i="17" s="1"/>
  <c r="J278" i="17"/>
  <c r="P52" i="17"/>
  <c r="O52" i="17"/>
  <c r="M52" i="17"/>
  <c r="N52" i="17" s="1"/>
  <c r="J176" i="17"/>
  <c r="P51" i="17"/>
  <c r="O51" i="17"/>
  <c r="J175" i="17"/>
  <c r="P50" i="17"/>
  <c r="O50" i="17"/>
  <c r="J11" i="17"/>
  <c r="P49" i="17"/>
  <c r="O49" i="17"/>
  <c r="J154" i="17"/>
  <c r="P48" i="17"/>
  <c r="O48" i="17"/>
  <c r="M48" i="17"/>
  <c r="N48" i="17" s="1"/>
  <c r="J67" i="17"/>
  <c r="P47" i="17"/>
  <c r="O47" i="17"/>
  <c r="J338" i="17"/>
  <c r="P46" i="17"/>
  <c r="O46" i="17"/>
  <c r="J174" i="17"/>
  <c r="P45" i="17"/>
  <c r="O45" i="17"/>
  <c r="M45" i="17"/>
  <c r="N45" i="17" s="1"/>
  <c r="J47" i="17"/>
  <c r="P44" i="17"/>
  <c r="O44" i="17"/>
  <c r="J173" i="17"/>
  <c r="P43" i="17"/>
  <c r="O43" i="17"/>
  <c r="J66" i="17"/>
  <c r="P42" i="17"/>
  <c r="O42" i="17"/>
  <c r="M42" i="17"/>
  <c r="N42" i="17" s="1"/>
  <c r="J10" i="17"/>
  <c r="P41" i="17"/>
  <c r="O41" i="17"/>
  <c r="J125" i="17"/>
  <c r="P40" i="17"/>
  <c r="O40" i="17"/>
  <c r="M40" i="17"/>
  <c r="N40" i="17" s="1"/>
  <c r="J78" i="17"/>
  <c r="P39" i="17"/>
  <c r="O39" i="17"/>
  <c r="M39" i="17"/>
  <c r="N39" i="17" s="1"/>
  <c r="J77" i="17"/>
  <c r="P38" i="17"/>
  <c r="O38" i="17"/>
  <c r="M38" i="17"/>
  <c r="N38" i="17" s="1"/>
  <c r="J76" i="17"/>
  <c r="P37" i="17"/>
  <c r="O37" i="17"/>
  <c r="M37" i="17"/>
  <c r="N37" i="17" s="1"/>
  <c r="J172" i="17"/>
  <c r="P36" i="17"/>
  <c r="O36" i="17"/>
  <c r="M36" i="17"/>
  <c r="N36" i="17" s="1"/>
  <c r="J171" i="17"/>
  <c r="P35" i="17"/>
  <c r="O35" i="17"/>
  <c r="J170" i="17"/>
  <c r="P34" i="17"/>
  <c r="O34" i="17"/>
  <c r="J124" i="17"/>
  <c r="P33" i="17"/>
  <c r="O33" i="17"/>
  <c r="J46" i="17"/>
  <c r="P32" i="17"/>
  <c r="O32" i="17"/>
  <c r="P31" i="17"/>
  <c r="O31" i="17"/>
  <c r="J169" i="17"/>
  <c r="P30" i="17"/>
  <c r="O30" i="17"/>
  <c r="J75" i="17"/>
  <c r="P29" i="17"/>
  <c r="O29" i="17"/>
  <c r="J9" i="17"/>
  <c r="P28" i="17"/>
  <c r="O28" i="17"/>
  <c r="J74" i="17"/>
  <c r="P27" i="17"/>
  <c r="O27" i="17"/>
  <c r="J8" i="17"/>
  <c r="P26" i="17"/>
  <c r="O26" i="17"/>
  <c r="M26" i="17"/>
  <c r="N26" i="17" s="1"/>
  <c r="J168" i="17"/>
  <c r="P25" i="17"/>
  <c r="O25" i="17"/>
  <c r="M25" i="17"/>
  <c r="N25" i="17" s="1"/>
  <c r="J73" i="17"/>
  <c r="P24" i="17"/>
  <c r="O24" i="17"/>
  <c r="M24" i="17"/>
  <c r="N24" i="17" s="1"/>
  <c r="J72" i="17"/>
  <c r="P23" i="17"/>
  <c r="O23" i="17"/>
  <c r="M23" i="17"/>
  <c r="N23" i="17" s="1"/>
  <c r="J7" i="17"/>
  <c r="P22" i="17"/>
  <c r="O22" i="17"/>
  <c r="M22" i="17"/>
  <c r="N22" i="17" s="1"/>
  <c r="J6" i="17"/>
  <c r="P21" i="17"/>
  <c r="O21" i="17"/>
  <c r="J337" i="17"/>
  <c r="P20" i="17"/>
  <c r="O20" i="17"/>
  <c r="M20" i="17"/>
  <c r="N20" i="17" s="1"/>
  <c r="J5" i="17"/>
  <c r="P19" i="17"/>
  <c r="O19" i="17"/>
  <c r="J277" i="17"/>
  <c r="P18" i="17"/>
  <c r="O18" i="17"/>
  <c r="J167" i="17"/>
  <c r="P17" i="17"/>
  <c r="O17" i="17"/>
  <c r="J45" i="17"/>
  <c r="P16" i="17"/>
  <c r="O16" i="17"/>
  <c r="J166" i="17"/>
  <c r="P15" i="17"/>
  <c r="O15" i="17"/>
  <c r="J165" i="17"/>
  <c r="P14" i="17"/>
  <c r="O14" i="17"/>
  <c r="J164" i="17"/>
  <c r="P13" i="17"/>
  <c r="O13" i="17"/>
  <c r="J336" i="17"/>
  <c r="P12" i="17"/>
  <c r="O12" i="17"/>
  <c r="J335" i="17"/>
  <c r="P11" i="17"/>
  <c r="O11" i="17"/>
  <c r="M11" i="17"/>
  <c r="N11" i="17" s="1"/>
  <c r="J4" i="17"/>
  <c r="P10" i="17"/>
  <c r="O10" i="17"/>
  <c r="J334" i="17"/>
  <c r="P9" i="17"/>
  <c r="O9" i="17"/>
  <c r="M9" i="17"/>
  <c r="N9" i="17" s="1"/>
  <c r="J3" i="17"/>
  <c r="P8" i="17"/>
  <c r="O8" i="17"/>
  <c r="J163" i="17"/>
  <c r="P7" i="17"/>
  <c r="O7" i="17"/>
  <c r="J333" i="17"/>
  <c r="P6" i="17"/>
  <c r="O6" i="17"/>
  <c r="J332" i="17"/>
  <c r="P5" i="17"/>
  <c r="O5" i="17"/>
  <c r="J162" i="17"/>
  <c r="P4" i="17"/>
  <c r="O4" i="17"/>
  <c r="J276" i="17"/>
  <c r="P3" i="17"/>
  <c r="O3" i="17"/>
  <c r="J275" i="17"/>
  <c r="R192" i="17" l="1"/>
  <c r="R239" i="17"/>
  <c r="O2" i="17"/>
  <c r="P2" i="17"/>
  <c r="K2" i="17"/>
  <c r="R117" i="17"/>
  <c r="R103" i="17"/>
  <c r="R193" i="17"/>
  <c r="R209" i="17"/>
  <c r="R458" i="17"/>
  <c r="R100" i="17"/>
  <c r="R225" i="17"/>
  <c r="R139" i="17"/>
  <c r="R101" i="17"/>
  <c r="R68" i="17"/>
  <c r="R273" i="17"/>
  <c r="R289" i="17"/>
  <c r="R293" i="17"/>
  <c r="R53" i="17"/>
  <c r="R226" i="17"/>
  <c r="R85" i="17"/>
  <c r="R11" i="17"/>
  <c r="R23" i="17"/>
  <c r="R287" i="17"/>
  <c r="R5" i="17"/>
  <c r="R304" i="17"/>
  <c r="R530" i="17"/>
  <c r="R234" i="17"/>
  <c r="R299" i="17"/>
  <c r="R144" i="17"/>
  <c r="R94" i="17"/>
  <c r="R218" i="17"/>
  <c r="R296" i="17"/>
  <c r="R178" i="17"/>
  <c r="R271" i="17"/>
  <c r="R231" i="17"/>
  <c r="R57" i="17"/>
  <c r="R54" i="17"/>
  <c r="R134" i="17"/>
  <c r="R539" i="17"/>
  <c r="R69" i="17"/>
  <c r="R223" i="17"/>
  <c r="R146" i="17"/>
  <c r="R4" i="17"/>
  <c r="R28" i="17"/>
  <c r="R97" i="17"/>
  <c r="R34" i="17"/>
  <c r="R50" i="17"/>
  <c r="R66" i="17"/>
  <c r="R82" i="17"/>
  <c r="R98" i="17"/>
  <c r="R114" i="17"/>
  <c r="R63" i="17"/>
  <c r="R131" i="17"/>
  <c r="R77" i="17"/>
  <c r="R93" i="17"/>
  <c r="R109" i="17"/>
  <c r="R160" i="17"/>
  <c r="R253" i="17"/>
  <c r="R301" i="17"/>
  <c r="R328" i="17"/>
  <c r="R374" i="17"/>
  <c r="R389" i="17"/>
  <c r="R405" i="17"/>
  <c r="R421" i="17"/>
  <c r="R32" i="17"/>
  <c r="R64" i="17"/>
  <c r="R143" i="17"/>
  <c r="R298" i="17"/>
  <c r="R372" i="17"/>
  <c r="R386" i="17"/>
  <c r="R402" i="17"/>
  <c r="R418" i="17"/>
  <c r="R46" i="17"/>
  <c r="R62" i="17"/>
  <c r="R78" i="17"/>
  <c r="R174" i="17"/>
  <c r="R316" i="17"/>
  <c r="R330" i="17"/>
  <c r="R391" i="17"/>
  <c r="R403" i="17"/>
  <c r="R407" i="17"/>
  <c r="R423" i="17"/>
  <c r="R437" i="17"/>
  <c r="R452" i="17"/>
  <c r="R489" i="17"/>
  <c r="R501" i="17"/>
  <c r="R508" i="17"/>
  <c r="R27" i="17"/>
  <c r="R43" i="17"/>
  <c r="R59" i="17"/>
  <c r="R91" i="17"/>
  <c r="R155" i="17"/>
  <c r="R159" i="17"/>
  <c r="R171" i="17"/>
  <c r="R175" i="17"/>
  <c r="R186" i="17"/>
  <c r="R264" i="17"/>
  <c r="R268" i="17"/>
  <c r="R284" i="17"/>
  <c r="R310" i="17"/>
  <c r="R314" i="17"/>
  <c r="R327" i="17"/>
  <c r="R370" i="17"/>
  <c r="R373" i="17"/>
  <c r="R384" i="17"/>
  <c r="R388" i="17"/>
  <c r="R400" i="17"/>
  <c r="R404" i="17"/>
  <c r="R416" i="17"/>
  <c r="R420" i="17"/>
  <c r="R434" i="17"/>
  <c r="R449" i="17"/>
  <c r="R487" i="17"/>
  <c r="R490" i="17"/>
  <c r="R499" i="17"/>
  <c r="R518" i="17"/>
  <c r="R40" i="17"/>
  <c r="R184" i="17"/>
  <c r="R215" i="17"/>
  <c r="R322" i="17"/>
  <c r="R24" i="17"/>
  <c r="R261" i="17"/>
  <c r="R367" i="17"/>
  <c r="R381" i="17"/>
  <c r="R484" i="17"/>
  <c r="R258" i="17"/>
  <c r="R378" i="17"/>
  <c r="R60" i="17"/>
  <c r="R92" i="17"/>
  <c r="R187" i="17"/>
  <c r="R203" i="17"/>
  <c r="R265" i="17"/>
  <c r="R281" i="17"/>
  <c r="R359" i="17"/>
  <c r="R462" i="17"/>
  <c r="R56" i="17"/>
  <c r="R136" i="17"/>
  <c r="R154" i="17"/>
  <c r="R429" i="17"/>
  <c r="R496" i="17"/>
  <c r="R504" i="17"/>
  <c r="R243" i="17"/>
  <c r="R73" i="17"/>
  <c r="R89" i="17"/>
  <c r="R105" i="17"/>
  <c r="R200" i="17"/>
  <c r="R262" i="17"/>
  <c r="R309" i="17"/>
  <c r="R323" i="17"/>
  <c r="R430" i="17"/>
  <c r="R443" i="17"/>
  <c r="R459" i="17"/>
  <c r="R474" i="17"/>
  <c r="R485" i="17"/>
  <c r="R505" i="17"/>
  <c r="R516" i="17"/>
  <c r="R165" i="17"/>
  <c r="R227" i="17"/>
  <c r="R319" i="17"/>
  <c r="R364" i="17"/>
  <c r="R493" i="17"/>
  <c r="R6" i="17"/>
  <c r="R70" i="17"/>
  <c r="R74" i="17"/>
  <c r="R86" i="17"/>
  <c r="R90" i="17"/>
  <c r="R138" i="17"/>
  <c r="R140" i="17"/>
  <c r="R152" i="17"/>
  <c r="R170" i="17"/>
  <c r="R185" i="17"/>
  <c r="R201" i="17"/>
  <c r="R217" i="17"/>
  <c r="R263" i="17"/>
  <c r="R275" i="17"/>
  <c r="R279" i="17"/>
  <c r="R324" i="17"/>
  <c r="R334" i="17"/>
  <c r="R399" i="17"/>
  <c r="R415" i="17"/>
  <c r="R427" i="17"/>
  <c r="R431" i="17"/>
  <c r="R444" i="17"/>
  <c r="R456" i="17"/>
  <c r="R482" i="17"/>
  <c r="R486" i="17"/>
  <c r="R494" i="17"/>
  <c r="R497" i="17"/>
  <c r="R506" i="17"/>
  <c r="R517" i="17"/>
  <c r="R168" i="17"/>
  <c r="R397" i="17"/>
  <c r="R348" i="17"/>
  <c r="R3" i="17"/>
  <c r="R51" i="17"/>
  <c r="R67" i="17"/>
  <c r="R71" i="17"/>
  <c r="R83" i="17"/>
  <c r="R115" i="17"/>
  <c r="R153" i="17"/>
  <c r="R163" i="17"/>
  <c r="R167" i="17"/>
  <c r="R183" i="17"/>
  <c r="R198" i="17"/>
  <c r="R214" i="17"/>
  <c r="R256" i="17"/>
  <c r="R272" i="17"/>
  <c r="R288" i="17"/>
  <c r="R307" i="17"/>
  <c r="R321" i="17"/>
  <c r="R331" i="17"/>
  <c r="R392" i="17"/>
  <c r="R396" i="17"/>
  <c r="R408" i="17"/>
  <c r="R412" i="17"/>
  <c r="R424" i="17"/>
  <c r="R428" i="17"/>
  <c r="R438" i="17"/>
  <c r="R481" i="17"/>
  <c r="R483" i="17"/>
  <c r="R495" i="17"/>
  <c r="R515" i="17"/>
  <c r="R308" i="17"/>
  <c r="R151" i="17"/>
  <c r="R181" i="17"/>
  <c r="R305" i="17"/>
  <c r="R543" i="17"/>
  <c r="R48" i="17"/>
  <c r="R80" i="17"/>
  <c r="R150" i="17"/>
  <c r="R269" i="17"/>
  <c r="R318" i="17"/>
  <c r="R450" i="17"/>
  <c r="R478" i="17"/>
  <c r="R523" i="17"/>
  <c r="R17" i="17"/>
  <c r="R147" i="17"/>
  <c r="R375" i="17"/>
  <c r="R466" i="17"/>
  <c r="R477" i="17"/>
  <c r="R492" i="17"/>
  <c r="R276" i="17"/>
  <c r="R292" i="17"/>
  <c r="R295" i="17"/>
  <c r="R303" i="17"/>
  <c r="R306" i="17"/>
  <c r="R406" i="17"/>
  <c r="R509" i="17"/>
  <c r="R21" i="17"/>
  <c r="R55" i="17"/>
  <c r="R65" i="17"/>
  <c r="R96" i="17"/>
  <c r="R99" i="17"/>
  <c r="R122" i="17"/>
  <c r="R142" i="17"/>
  <c r="R182" i="17"/>
  <c r="R199" i="17"/>
  <c r="R224" i="17"/>
  <c r="R236" i="17"/>
  <c r="R240" i="17"/>
  <c r="R251" i="17"/>
  <c r="R266" i="17"/>
  <c r="R270" i="17"/>
  <c r="R285" i="17"/>
  <c r="R341" i="17"/>
  <c r="R345" i="17"/>
  <c r="R435" i="17"/>
  <c r="R453" i="17"/>
  <c r="R457" i="17"/>
  <c r="R460" i="17"/>
  <c r="R475" i="17"/>
  <c r="R503" i="17"/>
  <c r="R536" i="17"/>
  <c r="R540" i="17"/>
  <c r="R106" i="17"/>
  <c r="R125" i="17"/>
  <c r="R190" i="17"/>
  <c r="R206" i="17"/>
  <c r="R441" i="17"/>
  <c r="R522" i="17"/>
  <c r="R525" i="17"/>
  <c r="R14" i="17"/>
  <c r="R18" i="17"/>
  <c r="R37" i="17"/>
  <c r="R52" i="17"/>
  <c r="R112" i="17"/>
  <c r="R119" i="17"/>
  <c r="R137" i="17"/>
  <c r="R156" i="17"/>
  <c r="R179" i="17"/>
  <c r="R196" i="17"/>
  <c r="R212" i="17"/>
  <c r="R221" i="17"/>
  <c r="R233" i="17"/>
  <c r="R237" i="17"/>
  <c r="R249" i="17"/>
  <c r="R252" i="17"/>
  <c r="R255" i="17"/>
  <c r="R267" i="17"/>
  <c r="R282" i="17"/>
  <c r="R333" i="17"/>
  <c r="R338" i="17"/>
  <c r="R342" i="17"/>
  <c r="R358" i="17"/>
  <c r="R361" i="17"/>
  <c r="R432" i="17"/>
  <c r="R436" i="17"/>
  <c r="R447" i="17"/>
  <c r="R468" i="17"/>
  <c r="R472" i="17"/>
  <c r="R513" i="17"/>
  <c r="R533" i="17"/>
  <c r="R537" i="17"/>
  <c r="R549" i="17"/>
  <c r="R216" i="17"/>
  <c r="R9" i="17"/>
  <c r="R12" i="17"/>
  <c r="R31" i="17"/>
  <c r="R72" i="17"/>
  <c r="R88" i="17"/>
  <c r="R129" i="17"/>
  <c r="R132" i="17"/>
  <c r="R173" i="17"/>
  <c r="R194" i="17"/>
  <c r="R210" i="17"/>
  <c r="R312" i="17"/>
  <c r="R325" i="17"/>
  <c r="R336" i="17"/>
  <c r="R352" i="17"/>
  <c r="R410" i="17"/>
  <c r="R445" i="17"/>
  <c r="R488" i="17"/>
  <c r="R528" i="17"/>
  <c r="R531" i="17"/>
  <c r="R547" i="17"/>
  <c r="R128" i="17"/>
  <c r="R351" i="17"/>
  <c r="R546" i="17"/>
  <c r="R116" i="17"/>
  <c r="R213" i="17"/>
  <c r="R433" i="17"/>
  <c r="R10" i="17"/>
  <c r="R13" i="17"/>
  <c r="R107" i="17"/>
  <c r="R111" i="17"/>
  <c r="R126" i="17"/>
  <c r="R130" i="17"/>
  <c r="R133" i="17"/>
  <c r="R191" i="17"/>
  <c r="R195" i="17"/>
  <c r="R207" i="17"/>
  <c r="R228" i="17"/>
  <c r="R232" i="17"/>
  <c r="R248" i="17"/>
  <c r="R277" i="17"/>
  <c r="R313" i="17"/>
  <c r="R335" i="17"/>
  <c r="R337" i="17"/>
  <c r="R349" i="17"/>
  <c r="R353" i="17"/>
  <c r="R371" i="17"/>
  <c r="R426" i="17"/>
  <c r="R442" i="17"/>
  <c r="R463" i="17"/>
  <c r="R467" i="17"/>
  <c r="R479" i="17"/>
  <c r="R510" i="17"/>
  <c r="R526" i="17"/>
  <c r="R529" i="17"/>
  <c r="R532" i="17"/>
  <c r="R548" i="17"/>
  <c r="R49" i="17"/>
  <c r="R311" i="17"/>
  <c r="R390" i="17"/>
  <c r="R465" i="17"/>
  <c r="R75" i="17"/>
  <c r="R157" i="17"/>
  <c r="R25" i="17"/>
  <c r="R29" i="17"/>
  <c r="R41" i="17"/>
  <c r="R104" i="17"/>
  <c r="R108" i="17"/>
  <c r="R123" i="17"/>
  <c r="R164" i="17"/>
  <c r="R188" i="17"/>
  <c r="R204" i="17"/>
  <c r="R229" i="17"/>
  <c r="R245" i="17"/>
  <c r="R274" i="17"/>
  <c r="R278" i="17"/>
  <c r="R290" i="17"/>
  <c r="R346" i="17"/>
  <c r="R350" i="17"/>
  <c r="R365" i="17"/>
  <c r="R368" i="17"/>
  <c r="R382" i="17"/>
  <c r="R439" i="17"/>
  <c r="R461" i="17"/>
  <c r="R464" i="17"/>
  <c r="R480" i="17"/>
  <c r="R507" i="17"/>
  <c r="R511" i="17"/>
  <c r="R520" i="17"/>
  <c r="R541" i="17"/>
  <c r="R545" i="17"/>
  <c r="R387" i="17"/>
  <c r="R527" i="17"/>
  <c r="R15" i="17"/>
  <c r="R176" i="17"/>
  <c r="R197" i="17"/>
  <c r="R502" i="17"/>
  <c r="R19" i="17"/>
  <c r="R26" i="17"/>
  <c r="R38" i="17"/>
  <c r="R42" i="17"/>
  <c r="R45" i="17"/>
  <c r="R79" i="17"/>
  <c r="R120" i="17"/>
  <c r="R148" i="17"/>
  <c r="R180" i="17"/>
  <c r="R189" i="17"/>
  <c r="R220" i="17"/>
  <c r="R222" i="17"/>
  <c r="R238" i="17"/>
  <c r="R242" i="17"/>
  <c r="R259" i="17"/>
  <c r="R300" i="17"/>
  <c r="R302" i="17"/>
  <c r="R343" i="17"/>
  <c r="R362" i="17"/>
  <c r="R366" i="17"/>
  <c r="R369" i="17"/>
  <c r="R383" i="17"/>
  <c r="R401" i="17"/>
  <c r="R455" i="17"/>
  <c r="R473" i="17"/>
  <c r="R538" i="17"/>
  <c r="R8" i="17"/>
  <c r="R230" i="17"/>
  <c r="R246" i="17"/>
  <c r="R113" i="17"/>
  <c r="R315" i="17"/>
  <c r="R339" i="17"/>
  <c r="R394" i="17"/>
  <c r="R413" i="17"/>
  <c r="R491" i="17"/>
  <c r="R534" i="17"/>
  <c r="R16" i="17"/>
  <c r="R20" i="17"/>
  <c r="R35" i="17"/>
  <c r="R58" i="17"/>
  <c r="R61" i="17"/>
  <c r="R76" i="17"/>
  <c r="R95" i="17"/>
  <c r="R102" i="17"/>
  <c r="R141" i="17"/>
  <c r="R145" i="17"/>
  <c r="R162" i="17"/>
  <c r="R177" i="17"/>
  <c r="R235" i="17"/>
  <c r="R260" i="17"/>
  <c r="R340" i="17"/>
  <c r="R344" i="17"/>
  <c r="R356" i="17"/>
  <c r="R376" i="17"/>
  <c r="R380" i="17"/>
  <c r="R395" i="17"/>
  <c r="R398" i="17"/>
  <c r="R414" i="17"/>
  <c r="R470" i="17"/>
  <c r="R535" i="17"/>
  <c r="R551" i="17"/>
  <c r="R254" i="17"/>
  <c r="R291" i="17"/>
  <c r="R297" i="17"/>
  <c r="R329" i="17"/>
  <c r="R22" i="17"/>
  <c r="R7" i="17"/>
  <c r="R135" i="17"/>
  <c r="R166" i="17"/>
  <c r="R205" i="17"/>
  <c r="R81" i="17"/>
  <c r="R87" i="17"/>
  <c r="R124" i="17"/>
  <c r="R127" i="17"/>
  <c r="R280" i="17"/>
  <c r="R354" i="17"/>
  <c r="R118" i="17"/>
  <c r="R317" i="17"/>
  <c r="R448" i="17"/>
  <c r="R451" i="17"/>
  <c r="R110" i="17"/>
  <c r="R257" i="17"/>
  <c r="R440" i="17"/>
  <c r="R44" i="17"/>
  <c r="R172" i="17"/>
  <c r="R244" i="17"/>
  <c r="R247" i="17"/>
  <c r="R250" i="17"/>
  <c r="R471" i="17"/>
  <c r="R121" i="17"/>
  <c r="R320" i="17"/>
  <c r="R33" i="17"/>
  <c r="R36" i="17"/>
  <c r="R39" i="17"/>
  <c r="R411" i="17"/>
  <c r="R219" i="17"/>
  <c r="R294" i="17"/>
  <c r="R326" i="17"/>
  <c r="R514" i="17"/>
  <c r="R149" i="17"/>
  <c r="R419" i="17"/>
  <c r="R422" i="17"/>
  <c r="R379" i="17"/>
  <c r="R47" i="17"/>
  <c r="R169" i="17"/>
  <c r="R208" i="17"/>
  <c r="R211" i="17"/>
  <c r="R498" i="17"/>
  <c r="R500" i="17"/>
  <c r="R84" i="17"/>
  <c r="R202" i="17"/>
  <c r="R241" i="17"/>
  <c r="R283" i="17"/>
  <c r="R286" i="17"/>
  <c r="R357" i="17"/>
  <c r="R360" i="17"/>
  <c r="R544" i="17"/>
  <c r="R30" i="17"/>
  <c r="R158" i="17"/>
  <c r="R161" i="17"/>
  <c r="R521" i="17"/>
  <c r="R524" i="17"/>
  <c r="R363" i="17"/>
  <c r="R393" i="17"/>
  <c r="R454" i="17"/>
  <c r="R355" i="17"/>
  <c r="R385" i="17"/>
  <c r="R417" i="17"/>
  <c r="R446" i="17"/>
  <c r="R476" i="17"/>
  <c r="R519" i="17"/>
  <c r="R550" i="17"/>
  <c r="R332" i="17"/>
  <c r="R425" i="17"/>
  <c r="R347" i="17"/>
  <c r="R377" i="17"/>
  <c r="R409" i="17"/>
  <c r="R469" i="17"/>
  <c r="R512" i="17"/>
  <c r="R542" i="17"/>
  <c r="R1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H3" authorId="0" shapeId="0" xr:uid="{61734C31-1379-4C0A-98A6-126C8643AEE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" authorId="0" shapeId="0" xr:uid="{55C50729-4F42-411E-87ED-2631C8EFEA1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5" authorId="0" shapeId="0" xr:uid="{0A20D6C2-B57F-4DEC-9D74-FE34E3BD616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6" authorId="0" shapeId="0" xr:uid="{F61ACF59-994D-4513-9E17-8171445E8B2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7" authorId="0" shapeId="0" xr:uid="{821E77B6-A3C6-4091-8DB8-AD1F2FDB475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8" authorId="0" shapeId="0" xr:uid="{DC56F86F-008D-4D9C-92DE-031D0B277AE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9" authorId="0" shapeId="0" xr:uid="{42727517-D99B-43BA-A5D6-6066B38356B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0" authorId="0" shapeId="0" xr:uid="{B0F15EF0-7C0D-4B6B-BBBE-0A79CAF543D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1" authorId="0" shapeId="0" xr:uid="{8D502396-58D6-4BB9-9217-6F637A7D4AD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2" authorId="0" shapeId="0" xr:uid="{09AFAB6F-F95F-4268-8FA2-2C5959E6B3B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3" authorId="0" shapeId="0" xr:uid="{52E546B8-4ADE-4C4A-828A-EEB18B4C308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4" authorId="0" shapeId="0" xr:uid="{3E86DD16-8740-40EB-A1FF-69E81183AF1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5" authorId="0" shapeId="0" xr:uid="{EDB4C4DB-0308-45C8-84F2-C270641B794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6" authorId="0" shapeId="0" xr:uid="{017F8B7C-2729-4296-A53E-E72BC4DB161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7" authorId="0" shapeId="0" xr:uid="{632744F0-0AFF-45EB-810F-BE7E8674225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8" authorId="0" shapeId="0" xr:uid="{2CD90470-BE98-4075-8D92-93EB9E069DE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19" authorId="0" shapeId="0" xr:uid="{67E1EEA8-C30C-4F6E-B87C-AB34849F8D9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0" authorId="0" shapeId="0" xr:uid="{012EDA9A-0934-4A83-8880-49ACC2EEC64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1" authorId="0" shapeId="0" xr:uid="{3D955DCC-28AA-4DF5-AB1B-D372094B542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2" authorId="0" shapeId="0" xr:uid="{F6550821-5F69-4B8E-8512-561F02836B1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3" authorId="0" shapeId="0" xr:uid="{BF8D846E-159C-455E-8CBE-713BCDB9767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4" authorId="0" shapeId="0" xr:uid="{D8BA89A5-6EE8-4E5D-9388-C637BF4DA33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5" authorId="0" shapeId="0" xr:uid="{9A3C8F4D-160D-4FA4-8E15-4E8ADC1FC18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6" authorId="0" shapeId="0" xr:uid="{8696DA16-14C6-4CF1-8408-1AD84F1D0BB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7" authorId="0" shapeId="0" xr:uid="{A5AC0EBE-195B-44B5-A10F-4E161752FAE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8" authorId="0" shapeId="0" xr:uid="{83ED9167-275C-45DE-B319-25819C11AA8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29" authorId="0" shapeId="0" xr:uid="{E98B55DE-5612-4EC7-A133-CCB3A77040A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0" authorId="0" shapeId="0" xr:uid="{EAD8DFF4-79B3-4C7C-83FD-C269B9A289A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1" authorId="0" shapeId="0" xr:uid="{242C3D40-5347-44C8-AD8F-D987A856055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2" authorId="0" shapeId="0" xr:uid="{A5E2D691-1972-47B0-9AAA-9FD0A27D4D7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3" authorId="0" shapeId="0" xr:uid="{9FAC2C04-CBD2-4AF3-B986-139AA30C275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4" authorId="0" shapeId="0" xr:uid="{1AF595BC-3624-4115-8654-CB105EADF58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5" authorId="0" shapeId="0" xr:uid="{B08FABE2-D473-4302-B15B-C17BE42B831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6" authorId="0" shapeId="0" xr:uid="{5CF28A7E-7CE8-4B89-AA48-05D5EAC0141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7" authorId="0" shapeId="0" xr:uid="{F5A3CF4C-3C84-4FA7-A2D1-BEA2C0AA119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8" authorId="0" shapeId="0" xr:uid="{2CF358C6-931B-4519-8C62-EFC5BEB9072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39" authorId="0" shapeId="0" xr:uid="{006D7E5B-9CE8-498B-9A53-9BAE9198CE8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0" authorId="0" shapeId="0" xr:uid="{125CC6AC-6312-4825-9833-E515C9A106E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1" authorId="0" shapeId="0" xr:uid="{3FDA8906-9490-4C6F-ABEF-5756E92D6BB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2" authorId="0" shapeId="0" xr:uid="{350EC246-ADF0-4A27-8EB1-706962A140E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3" authorId="0" shapeId="0" xr:uid="{E1784560-2752-4A31-90CC-7E0CF774831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4" authorId="0" shapeId="0" xr:uid="{B01652AA-8F42-408E-B89E-4F16797A0FE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45" authorId="0" shapeId="0" xr:uid="{468BBC8A-CC32-4C34-AAB8-516FCAEF19A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46" authorId="0" shapeId="0" xr:uid="{909739E1-FEBD-4BB2-89BE-D38BC56E5AF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47" authorId="0" shapeId="0" xr:uid="{5E2FEEDF-B9D1-4EE4-A3FB-94254F2EB00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48" authorId="0" shapeId="0" xr:uid="{C1CE8978-85B9-4AAF-800A-30D5E429308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49" authorId="0" shapeId="0" xr:uid="{516FFF9F-29ED-4BCB-BEF5-E8167473781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0" authorId="0" shapeId="0" xr:uid="{858B3B65-6B40-428B-8517-3B52A2EC5EA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1" authorId="0" shapeId="0" xr:uid="{3A1C2D71-D5D7-4247-82BE-49C18D98EBA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2" authorId="0" shapeId="0" xr:uid="{43175A6C-615E-4959-AAF7-1594919E58C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3" authorId="0" shapeId="0" xr:uid="{2A06ECCD-EEE2-4342-9423-1342BD84DF6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4" authorId="0" shapeId="0" xr:uid="{2D8A8C15-A176-41A4-B652-6F571AED3F0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5" authorId="0" shapeId="0" xr:uid="{C96336AD-AF18-494C-98E8-1380204F472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6" authorId="0" shapeId="0" xr:uid="{D1CC1834-EC29-42BF-928C-ABB13D54EF1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7" authorId="0" shapeId="0" xr:uid="{04E9D719-4220-42ED-87FF-88A074C103E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8" authorId="0" shapeId="0" xr:uid="{38871DB8-142E-472F-9B59-2ECEBFF704E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59" authorId="0" shapeId="0" xr:uid="{FF30E791-DAD7-433D-9808-D4062444029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0" authorId="0" shapeId="0" xr:uid="{5BB8C37C-F322-45B9-B362-D8A77EB3091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1" authorId="0" shapeId="0" xr:uid="{98256836-77E9-4E04-AB70-3EA74398F75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2" authorId="0" shapeId="0" xr:uid="{701ABCC6-E11F-4997-B102-4B983DC177A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3" authorId="0" shapeId="0" xr:uid="{17324821-9982-48FB-90EB-20D58E4272E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4" authorId="0" shapeId="0" xr:uid="{EAC2DDBC-822D-4E1E-8288-13396D6DBF2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5" authorId="0" shapeId="0" xr:uid="{F91CDD8B-2CB7-470B-89A3-20197DE43AD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66" authorId="0" shapeId="0" xr:uid="{FD077BC7-204D-4A9B-8267-593AB62B38F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67" authorId="0" shapeId="0" xr:uid="{8EF15C95-E2F4-4150-8025-01CE43C9890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68" authorId="0" shapeId="0" xr:uid="{4976CBD9-EF2C-4298-B6B9-D9A198F2C4D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69" authorId="0" shapeId="0" xr:uid="{C25B21D8-A3AB-4B74-9A72-9DBF7738DAC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70" authorId="0" shapeId="0" xr:uid="{0C0CD40C-EC8F-409F-BE2E-87DE34D4C17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71" authorId="0" shapeId="0" xr:uid="{564736D9-A428-4E11-86FE-FA21E0E8FA0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H72" authorId="0" shapeId="0" xr:uid="{45563CE8-BCB3-4005-B355-10144345BCA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3" authorId="0" shapeId="0" xr:uid="{EDE81AF1-DDC7-484F-8DF8-53B3679484B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4" authorId="0" shapeId="0" xr:uid="{151E7D0F-F4DD-4AF8-B4AF-71D1D076FF8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5" authorId="0" shapeId="0" xr:uid="{A4CECEFA-6B8D-44B7-A921-E90A058FD28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6" authorId="0" shapeId="0" xr:uid="{C7E8128C-409A-44CC-A947-A26FB8DFA1D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7" authorId="0" shapeId="0" xr:uid="{58DAF9D7-A5AA-43B9-8C67-F1EA8059926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8" authorId="0" shapeId="0" xr:uid="{1A5D9FEE-D6E1-49E9-A06F-280B1DE0E10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79" authorId="0" shapeId="0" xr:uid="{2BE9B05B-FE8D-412D-BA43-A7FA49A24FF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0" authorId="0" shapeId="0" xr:uid="{7E9B2E8D-D069-4BD6-833E-6AC723976E3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1" authorId="0" shapeId="0" xr:uid="{B02750EE-CCAE-477B-ACAC-06E7371E1BD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2" authorId="0" shapeId="0" xr:uid="{EDB33C2E-4160-4D09-985F-57DA5DC512D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3" authorId="0" shapeId="0" xr:uid="{223BD5A8-25AB-4CAC-8046-2958850FEEC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4" authorId="0" shapeId="0" xr:uid="{754509F5-D316-4D6E-8630-1B51D4CEFE3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5" authorId="0" shapeId="0" xr:uid="{F5C1F39D-B143-4B19-B0EB-150080E2F05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6" authorId="0" shapeId="0" xr:uid="{BA2841A4-28E4-4AC2-868A-3A36A1F4D6B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7" authorId="0" shapeId="0" xr:uid="{2B1FCE5B-2CFC-4CB9-B7C1-C12513C0178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8" authorId="0" shapeId="0" xr:uid="{E9676FD6-B1AB-4753-A356-F7E9E59AF45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89" authorId="0" shapeId="0" xr:uid="{CE86F687-C028-4F30-9C01-34EFC6358C5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0" authorId="0" shapeId="0" xr:uid="{40BB2164-BC8A-458F-91C6-9E946A9734B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1" authorId="0" shapeId="0" xr:uid="{7F6673C0-854B-4708-9924-B081F8EB1A8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2" authorId="0" shapeId="0" xr:uid="{C3F27D42-A4C0-492F-9FDD-728D97FEDF8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3" authorId="0" shapeId="0" xr:uid="{C44FA015-20DC-496A-8408-DAACC6FF653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4" authorId="0" shapeId="0" xr:uid="{923C085A-DC4C-4E0B-82C4-3D5535CB8F5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5" authorId="0" shapeId="0" xr:uid="{55153EC0-636C-4AA1-AD21-F0ED6922326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6" authorId="0" shapeId="0" xr:uid="{09C2CF4D-FD1C-4138-9E8A-BC2734EC138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7" authorId="0" shapeId="0" xr:uid="{F3608F3E-13E9-485E-908A-0968691F362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8" authorId="0" shapeId="0" xr:uid="{4D2F95BD-556C-4167-8947-44F99229F94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99" authorId="0" shapeId="0" xr:uid="{E919836E-8BEB-4D9D-BF47-0DB393A6500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0" authorId="0" shapeId="0" xr:uid="{8CA85514-FDA0-42A7-8943-10D82B408E0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1" authorId="0" shapeId="0" xr:uid="{3DCCD343-67C2-449E-9A90-14611BC5215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2" authorId="0" shapeId="0" xr:uid="{39B21624-CE01-4BC8-8B33-7B816E3F7EC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3" authorId="0" shapeId="0" xr:uid="{8AC57681-3D08-4235-8551-C5FD9AAD48D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4" authorId="0" shapeId="0" xr:uid="{8BBA510F-B409-4B9B-871C-F549D36A0C5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5" authorId="0" shapeId="0" xr:uid="{32FEA3F2-52AD-4B36-960F-BF78D120E3E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6" authorId="0" shapeId="0" xr:uid="{FCAA6E77-91CD-4452-A1CC-74FB00763C0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7" authorId="0" shapeId="0" xr:uid="{E1E9CF4C-3956-48E4-95F9-A6250F7A2BE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8" authorId="0" shapeId="0" xr:uid="{6FC86CDD-7EA3-46CF-BA75-E808D6A1BB8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09" authorId="0" shapeId="0" xr:uid="{B60CA15E-2BF9-47FC-AB0A-A70029D3F76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0" authorId="0" shapeId="0" xr:uid="{30069F2B-25B4-4DAE-A8D2-8A0832A4BF4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1" authorId="0" shapeId="0" xr:uid="{716D2F9F-89C2-4250-934E-F26EBEC24B9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2" authorId="0" shapeId="0" xr:uid="{A75DA8BC-B238-4CD0-B9E4-DA9C5B1064A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3" authorId="0" shapeId="0" xr:uid="{84BE3E19-C804-41D4-A805-81408A4751D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4" authorId="0" shapeId="0" xr:uid="{D1E47B67-0F42-4085-A1D9-B77632DC1FE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5" authorId="0" shapeId="0" xr:uid="{0A716E6B-BE23-47D8-9CF4-01BC58FB1D0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6" authorId="0" shapeId="0" xr:uid="{5348595D-649D-417C-8368-0DA82F32805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7" authorId="0" shapeId="0" xr:uid="{5BA744A9-B6E1-432A-85C5-6A19F1C727B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8" authorId="0" shapeId="0" xr:uid="{09351367-FCDA-4C02-AE89-A5BDFEFE738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19" authorId="0" shapeId="0" xr:uid="{25B74015-CE21-4418-A208-7AA5F226BDC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20" authorId="0" shapeId="0" xr:uid="{BA8E2886-3F12-45A5-BEB1-F1907E2D68E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21" authorId="0" shapeId="0" xr:uid="{516D5E99-0A0B-4BBB-8CA3-374129312A0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22" authorId="0" shapeId="0" xr:uid="{A9CAB9F2-7E67-49CF-8C47-6AF371B3440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23" authorId="0" shapeId="0" xr:uid="{9B587BF4-C770-4A9A-B998-0B824C64920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24" authorId="0" shapeId="0" xr:uid="{98F5C188-A2DD-41A2-890A-6296C43D2AC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25" authorId="0" shapeId="0" xr:uid="{B40EBF90-8003-4B5C-9BBD-127CFFA6E39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26" authorId="0" shapeId="0" xr:uid="{07855F7D-87D4-4F7E-83E8-A1CC3648066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27" authorId="0" shapeId="0" xr:uid="{D5C1D1C1-F791-442E-9958-F486A2F5C33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28" authorId="0" shapeId="0" xr:uid="{E58C63E2-0428-4AD8-BC0C-131A0CD7A92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29" authorId="0" shapeId="0" xr:uid="{16D6888A-3D35-4DF8-8596-F5DD964D239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0" authorId="0" shapeId="0" xr:uid="{11935A38-B3CF-4C79-96E7-77B603E5910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1" authorId="0" shapeId="0" xr:uid="{5533C5F1-AA2B-4C0B-8528-D01C6F571AC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2" authorId="0" shapeId="0" xr:uid="{0464126C-76C6-44AE-BFE6-3EFE98C33E4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3" authorId="0" shapeId="0" xr:uid="{E9F04953-26A8-4266-8174-3D185CAD45E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4" authorId="0" shapeId="0" xr:uid="{8CD54B2A-D554-4B08-AC5B-EAE7809002D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5" authorId="0" shapeId="0" xr:uid="{4B3A800D-1893-44B2-A3F5-838B7344E53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6" authorId="0" shapeId="0" xr:uid="{24EBFD82-BE3C-4AC2-8EA8-BD3DACA1CEC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7" authorId="0" shapeId="0" xr:uid="{135818CE-A682-47A2-82FC-DF017CB047C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8" authorId="0" shapeId="0" xr:uid="{DEBB29DF-4CD5-4418-B703-F318AEE4C8C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39" authorId="0" shapeId="0" xr:uid="{5C3F3050-2FD1-44E5-B711-EAD14E1F251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0" authorId="0" shapeId="0" xr:uid="{3086882E-650E-439C-A401-829DF1A8826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1" authorId="0" shapeId="0" xr:uid="{7EB1B74F-E8D3-4459-9015-A0AFBB0BA12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2" authorId="0" shapeId="0" xr:uid="{443E6FD8-9C95-4D3D-9534-E0885E086D5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3" authorId="0" shapeId="0" xr:uid="{2F8CF26E-735A-46E5-8471-C98F28B2790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4" authorId="0" shapeId="0" xr:uid="{8FDC5119-1AD3-4144-A666-5AB7ECE00AE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5" authorId="0" shapeId="0" xr:uid="{FF5AD7FB-14D9-44DE-ABBF-15FD25B8B21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6" authorId="0" shapeId="0" xr:uid="{81C5DE6B-A6EF-4C56-B306-116CE89E806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7" authorId="0" shapeId="0" xr:uid="{8CDED1DF-2A5F-4B40-B899-2F8F86907AE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8" authorId="0" shapeId="0" xr:uid="{C556689D-52D3-4D7C-9CEF-7FB5B4901EF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49" authorId="0" shapeId="0" xr:uid="{2454B948-D0BD-4668-A52B-C756ECA43A4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50" authorId="0" shapeId="0" xr:uid="{EFFA1EC0-36A6-45E2-BB0E-DF3435D2BFF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51" authorId="0" shapeId="0" xr:uid="{09BDE7F9-059B-4A0A-93CD-4BFCBABA994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52" authorId="0" shapeId="0" xr:uid="{363AF1F3-9B11-4C8A-B24B-280578821C6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54" authorId="0" shapeId="0" xr:uid="{C7FDCCC9-E40C-4EDC-8A2C-659D698E54F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55" authorId="0" shapeId="0" xr:uid="{032ACE1B-AFBA-415C-A430-A873DC4F29D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56" authorId="0" shapeId="0" xr:uid="{438B269F-036F-4503-9C37-D78FFC2684F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57" authorId="0" shapeId="0" xr:uid="{F6653D04-5033-4DAC-AB74-56CE05EDD4A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58" authorId="0" shapeId="0" xr:uid="{C0963CF4-820C-4C33-B197-8E3DC7431ED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59" authorId="0" shapeId="0" xr:uid="{46FB3C31-E7DF-4D68-86D4-C3C7C2BAD5E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60" authorId="0" shapeId="0" xr:uid="{34BD044D-139C-4505-9D04-F0CAE28A15E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61" authorId="0" shapeId="0" xr:uid="{7C546CC1-EDC0-4807-AC14-C6C6C207088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H162" authorId="0" shapeId="0" xr:uid="{F40D7031-CFA3-4E9A-903E-D21C14CB626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3" authorId="0" shapeId="0" xr:uid="{4B8E12FA-36E8-444D-AF23-D6C95DD5BBF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4" authorId="0" shapeId="0" xr:uid="{D7E87031-8034-4E11-B3A9-2E604746B47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5" authorId="0" shapeId="0" xr:uid="{3E6BEFBE-4E0C-4E57-A65D-B3983A87BBD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6" authorId="0" shapeId="0" xr:uid="{933BBC9B-16B1-4315-B470-633C16A1291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7" authorId="0" shapeId="0" xr:uid="{F41A8E22-B441-49F4-B538-2802B27105A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8" authorId="0" shapeId="0" xr:uid="{A45C0EFE-1902-43E4-A0EE-04425DF85C2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69" authorId="0" shapeId="0" xr:uid="{790B225B-BE65-41E6-9DBB-3FCCC914640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0" authorId="0" shapeId="0" xr:uid="{9AAD79BF-9F69-4111-924F-AB63508219B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1" authorId="0" shapeId="0" xr:uid="{56A0CB41-365F-439D-8DCD-A699FFDA447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2" authorId="0" shapeId="0" xr:uid="{FDB0FEBC-46FF-46F2-9819-DBA329028CD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3" authorId="0" shapeId="0" xr:uid="{48287373-1662-4373-B2E3-FDE8ABDAA02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4" authorId="0" shapeId="0" xr:uid="{F0ABED37-A17B-409E-8B42-3BCF8D312EF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5" authorId="0" shapeId="0" xr:uid="{B58ACB1F-FFF5-4CDC-A91B-89148EFA576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6" authorId="0" shapeId="0" xr:uid="{244B2BAB-AF5A-4FCD-81B1-4C59A6F53DF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7" authorId="0" shapeId="0" xr:uid="{9B00E50A-7959-4B21-B046-594CF434A46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8" authorId="0" shapeId="0" xr:uid="{E109DFD4-465B-471C-81DC-AD542F16C7D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79" authorId="0" shapeId="0" xr:uid="{0F33F26C-2CD6-47F3-9AF0-907AB2DDC71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0" authorId="0" shapeId="0" xr:uid="{C1103DE4-6CE3-40F6-9160-86D1630AF5F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1" authorId="0" shapeId="0" xr:uid="{FE59F5BE-B3BC-4A8C-AC05-BC1B7E8DBE7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2" authorId="0" shapeId="0" xr:uid="{D6B7F1AA-2797-4DD9-BDC7-E1E934B4AF6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3" authorId="0" shapeId="0" xr:uid="{96C80B6D-5F9B-4AB1-89CA-0A05901B7AC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4" authorId="0" shapeId="0" xr:uid="{6C373099-28B2-44F3-926A-17B9B3D776A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5" authorId="0" shapeId="0" xr:uid="{96A2C682-E76D-4785-B2B7-6DDC9B00D5E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6" authorId="0" shapeId="0" xr:uid="{5D9BEF8E-723A-42B4-9392-320205E073D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7" authorId="0" shapeId="0" xr:uid="{A04C1488-6067-4DEC-AF34-9A65E1F18FD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8" authorId="0" shapeId="0" xr:uid="{B97D1022-886D-42C0-AA8A-1D5E01CF8AA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89" authorId="0" shapeId="0" xr:uid="{26E10D51-5C37-4594-A45F-94901BB8B02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0" authorId="0" shapeId="0" xr:uid="{D326A155-709D-4E12-ACA1-876BC576095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1" authorId="0" shapeId="0" xr:uid="{625A9766-F4A1-415B-95BA-C2C3BC9E8A3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2" authorId="0" shapeId="0" xr:uid="{700F5EF8-74AA-4CF7-B4B2-0B1B8B73E5F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3" authorId="0" shapeId="0" xr:uid="{A1271828-0923-4385-BF87-56E393D8D60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4" authorId="0" shapeId="0" xr:uid="{76D3728A-D36B-4D9B-AF36-FBDA078B89A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5" authorId="0" shapeId="0" xr:uid="{4DA23387-F6E2-4C39-BBC3-0EE114F1373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6" authorId="0" shapeId="0" xr:uid="{113D3A13-9494-4497-9865-51414FE797F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7" authorId="0" shapeId="0" xr:uid="{9FDE251D-8014-4023-9F1A-3902D9E99D7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8" authorId="0" shapeId="0" xr:uid="{62AD4A6F-62BE-47DC-BD13-FDA30076D60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199" authorId="0" shapeId="0" xr:uid="{AECF381E-F2F8-4ABB-8392-698AB8B8664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0" authorId="0" shapeId="0" xr:uid="{3F88DEE3-E88E-456B-AF5D-3C309EA2A0E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1" authorId="0" shapeId="0" xr:uid="{1331591B-22C4-413E-89B2-A5D6E42A9F0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2" authorId="0" shapeId="0" xr:uid="{A8AEF4CE-E47F-4917-A3A2-C5506AD7E04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3" authorId="0" shapeId="0" xr:uid="{808D47DB-B436-4F51-B8A5-7604711433C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4" authorId="0" shapeId="0" xr:uid="{3F19DAAA-895C-4D85-AA9C-1423E932C9F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5" authorId="0" shapeId="0" xr:uid="{A18EAE6D-9306-4AEF-9C8B-1C3E9DB6F3B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6" authorId="0" shapeId="0" xr:uid="{FBDA8586-9BC6-45C7-9EC4-C7CC48FD2F3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7" authorId="0" shapeId="0" xr:uid="{9DEDF4AE-AFA2-434D-A9EE-2483C0E25D7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8" authorId="0" shapeId="0" xr:uid="{76057725-D63C-4631-938E-E1ECA2917F5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09" authorId="0" shapeId="0" xr:uid="{15C310F6-0D8A-4CBB-8CB7-3501039EF5C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0" authorId="0" shapeId="0" xr:uid="{3A5097DC-A181-4FFF-833A-CFC748A83C2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1" authorId="0" shapeId="0" xr:uid="{B8A71674-1B69-42C5-85D3-B9D93BC13D1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2" authorId="0" shapeId="0" xr:uid="{CE27C864-AF57-47BE-A625-40AFE2FFC62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3" authorId="0" shapeId="0" xr:uid="{04CE25F2-1B5B-4B8B-9844-FE5ACDE6F82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4" authorId="0" shapeId="0" xr:uid="{E81D6240-EC3B-450A-9F8F-EA4B7EAC77B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5" authorId="0" shapeId="0" xr:uid="{9F826869-7E68-4748-8A29-2C903B42BD3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6" authorId="0" shapeId="0" xr:uid="{F9686B53-0211-4FD0-BD3B-C3219D3196A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7" authorId="0" shapeId="0" xr:uid="{FEBC307D-56EC-4169-B802-8F4E31F9667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8" authorId="0" shapeId="0" xr:uid="{1012E7FA-A28E-4D5B-81C7-873DF1F5E2E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19" authorId="0" shapeId="0" xr:uid="{ED80F27C-EAF2-43E9-BEDB-8C09648477C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0" authorId="0" shapeId="0" xr:uid="{C3481675-7A7A-487F-B00D-112D32540D5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1" authorId="0" shapeId="0" xr:uid="{EDB1087E-75DC-4B22-B14E-131B14CB427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2" authorId="0" shapeId="0" xr:uid="{6F20FBC7-C67A-4857-BBFC-0D219A6A8CA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3" authorId="0" shapeId="0" xr:uid="{88258A1D-F352-41B7-BC11-A2EE3D6F7F3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4" authorId="0" shapeId="0" xr:uid="{A1523FAE-06A5-44B3-848A-C2335733D61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5" authorId="0" shapeId="0" xr:uid="{A51E0DC4-FD5B-4A3B-B408-86A38AC9E0A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6" authorId="0" shapeId="0" xr:uid="{00850B69-1322-4C99-B234-2FE8A7C871A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7" authorId="0" shapeId="0" xr:uid="{DF828DEA-1845-42CD-99F6-1374A3D0B46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8" authorId="0" shapeId="0" xr:uid="{13124313-B671-4F7C-BFDD-62C376E9E24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29" authorId="0" shapeId="0" xr:uid="{7B2FC54D-2B32-4D3F-B619-E3F6C44E834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0" authorId="0" shapeId="0" xr:uid="{9504E0D8-64E5-4E5E-AF77-4BA1490BB45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1" authorId="0" shapeId="0" xr:uid="{DC085824-80EE-4C18-A033-8DE4FE3F001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2" authorId="0" shapeId="0" xr:uid="{70401F41-0D52-4679-8212-4A911D7AF50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3" authorId="0" shapeId="0" xr:uid="{467691F7-3BF4-476F-8706-CE441E2E9B8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4" authorId="0" shapeId="0" xr:uid="{45A93E33-A8DC-45C9-90A3-3749C591C4C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5" authorId="0" shapeId="0" xr:uid="{295DFFAD-E0BB-4046-AC6C-294C5CC8EBC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6" authorId="0" shapeId="0" xr:uid="{DAB9AFD7-11DA-4544-861D-3E5F643B865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7" authorId="0" shapeId="0" xr:uid="{FADD2662-30E4-41A8-97F4-64EFBF5840C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8" authorId="0" shapeId="0" xr:uid="{BEF06298-9608-4264-A08E-83C5CFB24A9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39" authorId="0" shapeId="0" xr:uid="{2F564F12-060F-4BAC-A532-C0BEA38C7C8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0" authorId="0" shapeId="0" xr:uid="{9757E7BC-828E-4550-A076-9AE020E00AF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1" authorId="0" shapeId="0" xr:uid="{AF756BC5-9D5F-40E0-ADBE-FA4E9FD33CE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2" authorId="0" shapeId="0" xr:uid="{C8122568-E583-4260-9FDA-49AD6C4840B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3" authorId="0" shapeId="0" xr:uid="{A64639E2-66D1-463D-8224-0116DF3D528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4" authorId="0" shapeId="0" xr:uid="{7DC1AFA0-4E92-4BF0-B639-FDF7FF9329D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5" authorId="0" shapeId="0" xr:uid="{0C4D4873-FBDF-4578-86EF-C16187E8651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6" authorId="0" shapeId="0" xr:uid="{8515B457-929A-4BF3-A268-8327B79D567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7" authorId="0" shapeId="0" xr:uid="{130AEF76-E17B-4AF2-9CE2-F557F191A59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8" authorId="0" shapeId="0" xr:uid="{A371DD6F-1390-4176-A46D-633758C470E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49" authorId="0" shapeId="0" xr:uid="{1CFC3EB0-B427-49BD-86B1-8537BFC1C0B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0" authorId="0" shapeId="0" xr:uid="{B1C2DFDB-D6C5-4945-A578-BB46388328B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1" authorId="0" shapeId="0" xr:uid="{24F098FF-71C3-4C92-8AA1-C68CB2CA839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2" authorId="0" shapeId="0" xr:uid="{58C27395-134C-4F5D-B283-F3E1836D61A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3" authorId="0" shapeId="0" xr:uid="{389C8E39-266D-4DF5-BC39-8BCD211C788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4" authorId="0" shapeId="0" xr:uid="{34C0E414-B336-4E63-9811-5889BCA456D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5" authorId="0" shapeId="0" xr:uid="{0396E11D-CEEC-4C56-8C0E-B825760FFE5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6" authorId="0" shapeId="0" xr:uid="{50D7E166-B879-47DD-96E8-2FB02543307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7" authorId="0" shapeId="0" xr:uid="{E668FA6D-E8A1-4BE4-91E1-1CF75F460CE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8" authorId="0" shapeId="0" xr:uid="{0C11BF23-8C49-4337-B94E-F1C248B1BF5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59" authorId="0" shapeId="0" xr:uid="{9837F54C-7013-48F2-8FC2-5325308C387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0" authorId="0" shapeId="0" xr:uid="{21FD4E89-7A32-4163-A2EE-ECB14905057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1" authorId="0" shapeId="0" xr:uid="{F07BB91B-94AA-42C1-8443-21F6E97E084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2" authorId="0" shapeId="0" xr:uid="{6EFB5A10-D414-4030-BB4E-443A5363C5C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3" authorId="0" shapeId="0" xr:uid="{680E9504-7580-4EEE-97EF-BA831A1FBCA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4" authorId="0" shapeId="0" xr:uid="{A95E162C-461D-4DCE-904C-5DE2B33C3F6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5" authorId="0" shapeId="0" xr:uid="{1BCA1FB7-BA63-45D3-8C01-0615A02F796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6" authorId="0" shapeId="0" xr:uid="{A075DA96-B2D5-4BC2-BED1-1DAD075F706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7" authorId="0" shapeId="0" xr:uid="{70BD24BD-AF82-4943-8A88-0DAD7D8C3F0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8" authorId="0" shapeId="0" xr:uid="{99A3BE34-87F3-43EB-9F32-B32B3FCEC62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69" authorId="0" shapeId="0" xr:uid="{794EF52A-CF89-455F-A728-BE2E6E4C01A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70" authorId="0" shapeId="0" xr:uid="{FB93CB33-0456-4A44-853A-C894EB2355C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71" authorId="0" shapeId="0" xr:uid="{079BDF92-65C4-4A1D-A9B6-9FDF555CBB7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72" authorId="0" shapeId="0" xr:uid="{6A2C42FA-C82A-4506-A0BC-DC7554E595D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73" authorId="0" shapeId="0" xr:uid="{54D00CA1-C008-4F9F-9603-3B0F352C96F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274" authorId="0" shapeId="0" xr:uid="{FA76BD5B-4771-43C1-94AC-3777A40734A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0" authorId="0" shapeId="0" xr:uid="{CC44B6A4-F089-4555-A180-FF71995A50F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1" authorId="0" shapeId="0" xr:uid="{A54404F0-1B76-4F5D-AB4F-0061AD89FED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2" authorId="0" shapeId="0" xr:uid="{BBB65709-F791-426E-943B-10F95D39650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3" authorId="0" shapeId="0" xr:uid="{338751F2-6F5B-40BB-921E-CF3B8EE813A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4" authorId="0" shapeId="0" xr:uid="{2AB24A1D-8A99-426E-84D9-1157D20D048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5" authorId="0" shapeId="0" xr:uid="{25441775-B7AA-4AB5-BF35-03FEB14F4CC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6" authorId="0" shapeId="0" xr:uid="{0D3CF435-A2FA-409A-B798-5081FDA26EC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7" authorId="0" shapeId="0" xr:uid="{1C0057EC-1841-4644-8161-E5258E11DC1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8" authorId="0" shapeId="0" xr:uid="{A20DACA3-9A09-44D6-B7C8-7ECA9AFE165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29" authorId="0" shapeId="0" xr:uid="{85E68FF0-C071-4E46-BBDE-8490E1F1AD7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30" authorId="0" shapeId="0" xr:uid="{778A26D5-B913-4576-8548-2C3A3B92E9D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H331" authorId="0" shapeId="0" xr:uid="{DDB636C3-19CF-43AC-A473-8CAB7292E5A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<sst xmlns="http://schemas.openxmlformats.org/spreadsheetml/2006/main" count="1749" uniqueCount="631">
  <si>
    <r>
      <rPr>
        <b/>
        <sz val="10"/>
        <color rgb="FFFF0000"/>
        <rFont val="Times New Roman"/>
        <family val="1"/>
        <charset val="204"/>
      </rPr>
      <t>Importantly!</t>
    </r>
    <r>
      <rPr>
        <sz val="10"/>
        <color rgb="FF000000"/>
        <rFont val="Times New Roman"/>
        <family val="1"/>
        <charset val="204"/>
      </rPr>
      <t xml:space="preserve">
- The minimum order amount is € / $ 5,000 per brand
- delivery EX Work from the Poland / US warehouse!
- this offer is valid within the current month
- order is possible only rounded by boxes
- due to the raw material crisis in the market, prices could be changed without prior notice</t>
    </r>
  </si>
  <si>
    <t>Order</t>
  </si>
  <si>
    <t>Total</t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</si>
  <si>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</si>
  <si>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</si>
  <si>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</si>
  <si>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</si>
  <si>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</si>
  <si>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Category</t>
  </si>
  <si>
    <t>Case 
Count</t>
  </si>
  <si>
    <t>5073IP</t>
  </si>
  <si>
    <t>UPC</t>
  </si>
  <si>
    <t>Weight, kg</t>
  </si>
  <si>
    <t>07842IP</t>
  </si>
  <si>
    <t>ST1388</t>
  </si>
  <si>
    <t>ST1394</t>
  </si>
  <si>
    <t>ST1923</t>
  </si>
  <si>
    <t>12325C</t>
  </si>
  <si>
    <t>5-HTP / 30 Tb</t>
  </si>
  <si>
    <t>5-HTP / 60 Tb</t>
  </si>
  <si>
    <t>7-KETO DHEA Metabolite / 60 Cp</t>
  </si>
  <si>
    <t>Acid-A-Cal Formula / 100 Cp</t>
  </si>
  <si>
    <t>Acid-Ease / 180 Vgn Cp</t>
  </si>
  <si>
    <t>ActiFruit Cranberry Fruit Chew / 20 Soft Chw</t>
  </si>
  <si>
    <t>Activated Charcoal (Green lid) / 100 Cp</t>
  </si>
  <si>
    <t>Activated Charcoal (Green lid) / 360 Cp</t>
  </si>
  <si>
    <t>Activated Charcoal (Teal Lid) / 100 Cp</t>
  </si>
  <si>
    <t>ADRENergize / 50 Cp</t>
  </si>
  <si>
    <t>Air-Power Guaifenesin Expectorant / 100 Tb</t>
  </si>
  <si>
    <t>Alfalfa Yng Harvest MWOrganic / 100 Vgn Cp</t>
  </si>
  <si>
    <t>Alfa-Max Alfalfa Concentrate / 100 Vgn Cp</t>
  </si>
  <si>
    <t>Alive! Adult Multi Gummies / 90 Gummies</t>
  </si>
  <si>
    <t>Alive! B-Complex Gummies / 60 Gummies</t>
  </si>
  <si>
    <t>Alive! Calcium / 60 Tb</t>
  </si>
  <si>
    <t>Alive! Calcium / 120 Tb</t>
  </si>
  <si>
    <t>Alive! Calcium + D3 Gummies / 60 Gummies</t>
  </si>
  <si>
    <t>Alive! Calcium Bonus Pack / 180 Tb</t>
  </si>
  <si>
    <t>Alive! Children’s Multi Chewables / 120 Chw Tb</t>
  </si>
  <si>
    <t>Alive! Children’s Multi Gummies / 90 Gummies</t>
  </si>
  <si>
    <t>Alive! Complete Prenatal Multi-Vitamin / 60 Veg Sg</t>
  </si>
  <si>
    <t>Alive! Daily Energy Multi-vitamin w/ Iron / 60 Tb</t>
  </si>
  <si>
    <t>Alive! Diabetic Multivitamin / 60 Tb</t>
  </si>
  <si>
    <t>Alive! Gummies Multi-Vitamin for Children / 60 Gummies</t>
  </si>
  <si>
    <t>Alive! Hair, Skin &amp; Nail Gummies / 60 Gummies</t>
  </si>
  <si>
    <t>Alive! Hair, Skin &amp; Nails Gummies / 60 Gummies</t>
  </si>
  <si>
    <t>Alive! Hair, Skin &amp; Nails Multi-Vitamin / 60 Sg</t>
  </si>
  <si>
    <t>Alive! Immune Gummy / 90 Gummies</t>
  </si>
  <si>
    <t>Alive! Max3 Daily Men’s MultiVitamin / 90 Tb</t>
  </si>
  <si>
    <t>Alive! Max3 Daily MultiVitamin / 90 Tb</t>
  </si>
  <si>
    <t>Alive! Max3 Daily MultiVitamin / 180 Tb</t>
  </si>
  <si>
    <t>Alive! Max3 Daily MultiVitamin (no iron added) / 90 Tb</t>
  </si>
  <si>
    <t>Alive! Max3 Daily MultiVitamin (no iron added) / 180 Tb</t>
  </si>
  <si>
    <t>Alive! Max3 Daily Women’s MultiVitamin / 90 Tb</t>
  </si>
  <si>
    <t>Alive! Max6 Daily MultiVitamin / 90 Veg Cp</t>
  </si>
  <si>
    <t>Alive! Max6 Daily MultiVitamin (no iron added) / 90 Veg Cp</t>
  </si>
  <si>
    <t xml:space="preserve">Alive! Men’s 50+ Gummy Vitamins / 75 Gummies </t>
  </si>
  <si>
    <t>Alive! Men's 50 tabs 3/band / 50 Tabs 3/bnd</t>
  </si>
  <si>
    <t>Alive! Men's 50+  / 50 Tabs 3/bnd</t>
  </si>
  <si>
    <t>Alive! Men's 50+  / 130 Tb</t>
  </si>
  <si>
    <t>Alive! Men's 50+ Gummy Vitamins / 60 Gummies</t>
  </si>
  <si>
    <t>Alive! Men's 50+ Multi Gummy / 150 Gummies</t>
  </si>
  <si>
    <t>Alive! Men's 50+ Multi Gummy / 130 Gummies</t>
  </si>
  <si>
    <t xml:space="preserve">Alive! Men’s Gummy Vitamins / 75 Gummies </t>
  </si>
  <si>
    <t>Alive! Men's Energy  / 130 Tabs</t>
  </si>
  <si>
    <t>Alive! Men's Gummy Vitamins / 60 Gummies</t>
  </si>
  <si>
    <t>Alive! Men's Multi Gummy  / 130 Gummies</t>
  </si>
  <si>
    <t>Alive! Men's Multi Gummy  / 150 Gummies</t>
  </si>
  <si>
    <t>Alive! Multi-Vitamin Citrus Flavor Liquid / 30.4 Fl Oz</t>
  </si>
  <si>
    <t>Alive! MWOrganic Garden Goodness Men  / 60 Tbs</t>
  </si>
  <si>
    <t>Alive! MWOrganic Garden Goodness Wmn  / 60 Tbs</t>
  </si>
  <si>
    <t>Alive! Once Daily Men’s 50+ Ultra Potency / 60 Tb</t>
  </si>
  <si>
    <t>Alive! Once Daily Men’s Ultra Potency / 60 Tb</t>
  </si>
  <si>
    <t>Alive! Once Daily Mens 50+ Ultra  / 150 Tb</t>
  </si>
  <si>
    <t>Alive! Once Daily Men's Ultra  / 150 Tabs</t>
  </si>
  <si>
    <t>Alive! Once Daily Ultra Potency / 60 Tb</t>
  </si>
  <si>
    <t>Alive! Once Daily Wmn 50+ Ultra  / 150 Tb</t>
  </si>
  <si>
    <t>Alive! Once Daily Women’s 50+ Ultra Potency / 60 Tb</t>
  </si>
  <si>
    <t>Alive! Once Daily Women’s Ultra Potency / 60 Tb</t>
  </si>
  <si>
    <t>Alive! Once Daily Womens Ultra  / 150 Tabs</t>
  </si>
  <si>
    <t>Alive! Prenatal Gummy Vitamins / 75 Gummies</t>
  </si>
  <si>
    <t>Alive! Prenatal Multi-Vitamin w/ Plant DHA Gummies / 90 Gummies</t>
  </si>
  <si>
    <t>Alive! Vitamin C MWOrganic  / 120 Veg Cp</t>
  </si>
  <si>
    <t>Alive! Vitamin C Organic Pwd  / 120 gm</t>
  </si>
  <si>
    <t xml:space="preserve">Alive! Women’s 50+ Gummy Vitamins / 75 Gummies </t>
  </si>
  <si>
    <t>Alive! Women's 50+ / 50 Tabs 3/bnd</t>
  </si>
  <si>
    <t>Alive! Women's 50+  / 110 Tabs 3/bnd</t>
  </si>
  <si>
    <t>Alive! Women's 50+  / 130 Tabs</t>
  </si>
  <si>
    <t>Alive! Womens 50+ Gummy Vitamins / 130 Gummies</t>
  </si>
  <si>
    <t>Alive! Women's 50+ Gummy Vitamins / 60 Gummies</t>
  </si>
  <si>
    <t>Alive! Women's 50+ Multi Gummy  / 150 Gummies</t>
  </si>
  <si>
    <t xml:space="preserve">Alive! Women’s Gummy Vitamins  / 75 Gummies </t>
  </si>
  <si>
    <t>Alive! Women's Gummy Vitamins / 130 Gummies</t>
  </si>
  <si>
    <t>Alive! Women's Gummy Vitamins / 60 Gummies</t>
  </si>
  <si>
    <t>Alive! Women's / 50 Tabs 3/bnd</t>
  </si>
  <si>
    <t>Alive! Women's  / 130 Tabs</t>
  </si>
  <si>
    <t>Alive! Women's Multi Gummy / 150 Gummies</t>
  </si>
  <si>
    <t>Alive! Zero Sugar Men Multi Gummy  / 80 Gummies</t>
  </si>
  <si>
    <t>Alive! Zero Sugar Wmn Multi Gummy  / 50 Gummies</t>
  </si>
  <si>
    <t>Alive! Zero Sugar Wmn Multi Gummy  / 80 Gummies</t>
  </si>
  <si>
    <t>Allergiemittel AllerAide / 40 Tb</t>
  </si>
  <si>
    <t>Allergy+Sinus Relief Cherry / 20 Chw Tb</t>
  </si>
  <si>
    <t>Aloe Latex with Fennel / 100 Vgn Cp</t>
  </si>
  <si>
    <t>Aloe Vera Inner Leaf Gel &amp; Juice (Wild Berry Flavor) / 1 Ltr Lq</t>
  </si>
  <si>
    <t>Aloe Vera Leaf Juice / 1 Ltr Lq</t>
  </si>
  <si>
    <t>Aloelax with Fennel Seed Premium Blend / 100 Vgn Cp</t>
  </si>
  <si>
    <t>AloeMaxLax with Cascara Sagrada Premium Blend / 100 Vgn Cp</t>
  </si>
  <si>
    <t>alpha betic Multivitamin, Energy Support / 30 Tb</t>
  </si>
  <si>
    <t>Alpha Lipoic Acid / 60 Cp</t>
  </si>
  <si>
    <t>AM/PM Menopause Formula / 60 Tb</t>
  </si>
  <si>
    <t>AM/PM PeriMenopause Formula / 60 Tb</t>
  </si>
  <si>
    <t>Apple Cider Vinegar Organic Gummy  / 60 Gummies</t>
  </si>
  <si>
    <t>Arniflora Arnica Gel / 2.75 Oz Gel</t>
  </si>
  <si>
    <t>Artichoke Premium Extract / 60 Vgn Cp</t>
  </si>
  <si>
    <t>Ashwagandha Gummies / 90 Gummies</t>
  </si>
  <si>
    <t>Ashwagandha Premium Extract / 60 Vgn Cp</t>
  </si>
  <si>
    <t>Astragalus Premium Extract / 60 Vgn Cp</t>
  </si>
  <si>
    <t>Astragalus Root / 100 Vgn Cp</t>
  </si>
  <si>
    <t>Astragalus Root / 180 Vgn Cp</t>
  </si>
  <si>
    <t>B-100 Complex / 60 Cp</t>
  </si>
  <si>
    <t>B-100 Complex / 100 Cp</t>
  </si>
  <si>
    <t>B-50 Complex / 100 Cp</t>
  </si>
  <si>
    <t>Beet Root / 100 Vgn Cp</t>
  </si>
  <si>
    <t>Beet Root  / 320 Vgn Cp</t>
  </si>
  <si>
    <t>Beet Root Powder / 5 Oz Pwd</t>
  </si>
  <si>
    <t>Berberine with Cinnamon / 60 Veg cp</t>
  </si>
  <si>
    <t>Bilberry Premium Extract, 25% Anthocyanins / 60 Vgn Cp</t>
  </si>
  <si>
    <t>Bilberry Premium Extract, 25% Anthocyanins / 90 Vgn Cp</t>
  </si>
  <si>
    <t>Biotin Forte 3 mg with Zinc / 60 Tb</t>
  </si>
  <si>
    <t>Biotin Forte 5 mg without Zinc / 60 Tb</t>
  </si>
  <si>
    <t>Black Cohosh Premium Extract / 120 Vgn Cp</t>
  </si>
  <si>
    <t>Black Cohosh Root / 100 Vgn Cp</t>
  </si>
  <si>
    <t>Black Cohosh Root / 180 Vgn Cp</t>
  </si>
  <si>
    <t>Black Elderberry, 1,150 mg / 100 Vgn Cp</t>
  </si>
  <si>
    <t>Black Seed Oil, Organic / 8 Fl Oz</t>
  </si>
  <si>
    <t>Black Walnut Hulls / 100 Vgn Cp</t>
  </si>
  <si>
    <t>Bladderwrack Whole Thallus / 100 Vgn Cp</t>
  </si>
  <si>
    <t>Blood Sugar Manager / 60 Tb</t>
  </si>
  <si>
    <t>Blood Sugar Manager / 90 Veg cp</t>
  </si>
  <si>
    <t>Borage Oil Cold Pressed Oil 1300 mg, EfaGold / 60 Sg</t>
  </si>
  <si>
    <t>Boron Complex / 100 Cp</t>
  </si>
  <si>
    <t>Boswellia Premium Extract / 60 Tb</t>
  </si>
  <si>
    <t>BP Manager / 90 Tb</t>
  </si>
  <si>
    <t>Brain Fuel / 60 Gummies</t>
  </si>
  <si>
    <t>Bronchial Soothe / 4.0 Fl Oz</t>
  </si>
  <si>
    <t>B-Stress Formula, Premium Blend / 100 Vgn Cp</t>
  </si>
  <si>
    <t>Burdock Root / 100 Vgn Cp</t>
  </si>
  <si>
    <t>Butcher’s Broom Root / 100 Vgn Cp</t>
  </si>
  <si>
    <t>Calcium &amp; Magnesium / 100 Cp</t>
  </si>
  <si>
    <t>Calcium &amp; Magnesium / 250 Cp</t>
  </si>
  <si>
    <t>Calcium &amp; Vitamin D3 Liquid / 16 Fl Oz</t>
  </si>
  <si>
    <t>Calcium Citrate / 100 Cp</t>
  </si>
  <si>
    <t>Calcium Citrate / 250 Cp</t>
  </si>
  <si>
    <t>Calcium Magnesium &amp; Vitamin D Complex / 100 Cp</t>
  </si>
  <si>
    <t>Calcium Magnesium &amp; Vitamin D Complex / 250 Cp</t>
  </si>
  <si>
    <t>Calcium Magnesium &amp; Zinc Mineral Complex / 100 Cp</t>
  </si>
  <si>
    <t>Calcium Magnesium &amp; Zinc Mineral Complex / 250 Cp</t>
  </si>
  <si>
    <t>Calm Drops Cherry Lozenges / 24 Loz.</t>
  </si>
  <si>
    <t>Calm Drops Raspberry Lozenges / 24 Loz</t>
  </si>
  <si>
    <t>Calm Drops Raspberry Lozenges / 30 Loz</t>
  </si>
  <si>
    <t>CalmAid / 30 Sg</t>
  </si>
  <si>
    <t>CalmAid® / 90 sg</t>
  </si>
  <si>
    <t>Cascara Sagrada / 100 Vgn Cp</t>
  </si>
  <si>
    <t>Cascara Sagrada / 180 Vgn Cp</t>
  </si>
  <si>
    <t>Cat’s Claw Bark / 100 Vgn Cp</t>
  </si>
  <si>
    <t>Cat’s Claw Premium Extract / 100 Vgn Cp</t>
  </si>
  <si>
    <t>Cayenne Fruit 40,000 SHU / 100 Vgn Cp</t>
  </si>
  <si>
    <t>Cayenne Fruit 40,000 SHU / 180 Vgn Cp</t>
  </si>
  <si>
    <t>Cell Forté IP-6 &amp; Inositol / 240 Vgn Cp</t>
  </si>
  <si>
    <t>Cell Forté IP-6 &amp; Inositol / 120 Vgn Cp</t>
  </si>
  <si>
    <t>Cell Forté IP-6 &amp; Inositol (powder) / 14.6 Oz Pwd</t>
  </si>
  <si>
    <t>Cell Forté MAX3 / 120 Vgn Cp</t>
  </si>
  <si>
    <t>Chamomile Flower / 100 Vgn Cp</t>
  </si>
  <si>
    <t>Cherry Fruit / 180 Cp</t>
  </si>
  <si>
    <t>Chlorella Micro-algae / 100 Vgn Cp</t>
  </si>
  <si>
    <t>Chlorofresh / 90 Sg</t>
  </si>
  <si>
    <t xml:space="preserve">Chlorofresh Chlorophyll Drops (Mint) / 2 Fl Oz. </t>
  </si>
  <si>
    <t>Chlorofresh Liquid Chlorophyll Mint Flavor / 16 Fl Oz</t>
  </si>
  <si>
    <t>Chlorofresh Liquid Chlorophyll Unflavored / 16 Fl Oz</t>
  </si>
  <si>
    <t>Chlorophyll Gummy / 60 Gummies</t>
  </si>
  <si>
    <t>Cholesterol Shield / 90 Tb</t>
  </si>
  <si>
    <t>Choline / 100 Vgn Tb</t>
  </si>
  <si>
    <t>Choline &amp; Inositol / 100 Cp</t>
  </si>
  <si>
    <t>Cinnamon Premium Extract / 120 Vgn Cp</t>
  </si>
  <si>
    <t>Cinnamon Premium Extract / 60 Vgn Cp</t>
  </si>
  <si>
    <t>Clear Thinking / 40 Veg Cp</t>
  </si>
  <si>
    <t>Coconut Oil / 120 Sg</t>
  </si>
  <si>
    <t>Coconut Oil, Liquid (Nutr. Facts) / 10 Fl Oz</t>
  </si>
  <si>
    <t>Coconut Oil, Liquid (Nutr. Facts) / 20 Fl Oz</t>
  </si>
  <si>
    <t>Coconut Oil, Organic / 32 Oz</t>
  </si>
  <si>
    <t>Coconut Oil, Organic / 16 Oz</t>
  </si>
  <si>
    <t>Cold + Flu Relief Berry / 20 Chw Tb</t>
  </si>
  <si>
    <t>Cold + Flu Relief Berry Syrup / 4 Fl Oz</t>
  </si>
  <si>
    <t>Cold + Flu Relief Bry FastActives Display / 6-10 Pkts</t>
  </si>
  <si>
    <t>Cold + Flu Relief Orange  / 20 Chw Tb</t>
  </si>
  <si>
    <t>Cold Relief Cherry  / 20 Chw Tb</t>
  </si>
  <si>
    <t>Cold Relief Day+Night Hot Drink / 12 Pkts</t>
  </si>
  <si>
    <t>Cold Relief Drops / 1 Fl Oz</t>
  </si>
  <si>
    <t>Cold Relief Kids Cherry  / 10 Chw Tb</t>
  </si>
  <si>
    <t xml:space="preserve">Cold Relief Lemon Hot Drink / 10 Pkts Bx </t>
  </si>
  <si>
    <t>Cold Relief Syrup Cherry / 4 Fl Oz</t>
  </si>
  <si>
    <t>Cold Relief Syrup Cherry / 8 Fl Oz</t>
  </si>
  <si>
    <t>Cold Relief Syrup Kids Cherry / 4 Fl Oz</t>
  </si>
  <si>
    <t>Cold Relief Zero Sugar Grape Syrup / 4 Fl Oz</t>
  </si>
  <si>
    <t>Cold+Flue Relief Berry Fastactv / 10 Pkts</t>
  </si>
  <si>
    <t>Complete Liver Cleanse / 84 Cp</t>
  </si>
  <si>
    <t>CompleteGest / 180 Vgn Cp</t>
  </si>
  <si>
    <t>Completia Diabetic Complete Multi-Vitamin (iron-free) / 60 Tb</t>
  </si>
  <si>
    <t>Completia Diabetic Complete Multi-Vitamin (iron-free) / 90 Tb</t>
  </si>
  <si>
    <t>CoQ10 100 mg / 120 Sg</t>
  </si>
  <si>
    <t>Corn Silk / 100 Vgn Cp</t>
  </si>
  <si>
    <t xml:space="preserve">Cough &amp; Bronchial Daytime Syrup / 4 Fl Oz </t>
  </si>
  <si>
    <t xml:space="preserve">Cough &amp; Bronchial Daytime Syrup / 8 Fl Oz </t>
  </si>
  <si>
    <t>Cough &amp; Bronchial Nighttime Syrup / 4 Fl Oz</t>
  </si>
  <si>
    <t>Cough &amp; Bronchial Nighttime Syrup / 8 Fl Oz</t>
  </si>
  <si>
    <t>Cough Relief Syrup / 4 Fl Oz</t>
  </si>
  <si>
    <t>Cranberry Fruit / 100 Vgn Cp</t>
  </si>
  <si>
    <t>Cranberry Fruit / 180 Vgn Cp</t>
  </si>
  <si>
    <t>Cranberry Premium Blend / 60 Tb</t>
  </si>
  <si>
    <t>Cranberry Premium Blend / 120 Tb</t>
  </si>
  <si>
    <t>Cranberry Premium Blend / 60 Vgn Cp</t>
  </si>
  <si>
    <t>Cranberry Premium Blend / 120 Vgn Cp</t>
  </si>
  <si>
    <t>CranRx BioActive Cranberry / 30 Veg Cp</t>
  </si>
  <si>
    <t>CranRx Gummies / 60 Gummies</t>
  </si>
  <si>
    <t>CranRx Gummies / 50 Gummies</t>
  </si>
  <si>
    <t>CranRx Liquid Cranberry / 16 Fl Oz</t>
  </si>
  <si>
    <t>CranRx Women's Care with Probiotics  / 60 Veg Cp</t>
  </si>
  <si>
    <t>Damiana Leaves / 100 Vgn Cp</t>
  </si>
  <si>
    <t>Dandelion Root / 100 Vgn Cp</t>
  </si>
  <si>
    <t>Dandelion Root / 180 Vgn Cp</t>
  </si>
  <si>
    <t>Devil’s Claw Secondary Root / 100 Vgn Cp</t>
  </si>
  <si>
    <t>DGL / 100 Chw Tb</t>
  </si>
  <si>
    <t>DGL (Sugar Free) / 100 Chw Tb</t>
  </si>
  <si>
    <t>DGL ULTRA German Chocolate / 90 Chw Tb</t>
  </si>
  <si>
    <t>DGL Ultra Premium Extract / 90 Vgn Cp</t>
  </si>
  <si>
    <t>DIM-plus / 60 Veg Cp</t>
  </si>
  <si>
    <t>DIM-plus / 120 Veg Cp</t>
  </si>
  <si>
    <t>Dong Quai Root / 100 Vgn Cp</t>
  </si>
  <si>
    <t>Echinacea Astragalus &amp; Reishi / 100 Vgn Cp</t>
  </si>
  <si>
    <t>Echinacea Goldenseal Premium Blend / 1 Fl Oz</t>
  </si>
  <si>
    <t>Echinacea Purpurea Herb / 100 Vgn Cp</t>
  </si>
  <si>
    <t>Echinacea Purpurea Herb / 180 Vgn Cp</t>
  </si>
  <si>
    <t>Echinacea-Goldenseal Premium Blend / 100 Vgn Cp</t>
  </si>
  <si>
    <t>Echinacea-Goldenseal Premium Blend / 180 Vgn Cp</t>
  </si>
  <si>
    <t>Eleuthero Root, Siberian / 100 Vgn Cp</t>
  </si>
  <si>
    <t>Energizing Iron / 90 Sg</t>
  </si>
  <si>
    <t>EstroBalance / 60 Tb</t>
  </si>
  <si>
    <t>EstroSoy / 60 Vgn Cp</t>
  </si>
  <si>
    <t>Evening Primrose Cold Pressed Oil 1300 mg, EfaGold  / 60 Sg</t>
  </si>
  <si>
    <t>Evening Primrose Cold Pressed Oil 1300 mg, EfaGold  / 120 Sg</t>
  </si>
  <si>
    <t>Eyebright Herb / 100 Vgn Cp</t>
  </si>
  <si>
    <t>Eyebright Herbal Blend, Premium Blend / 100 Vgn Cp</t>
  </si>
  <si>
    <t>Fatigued to Fantastic! Adrenal Stress End / 60 Cp</t>
  </si>
  <si>
    <t>Fatigued to Fantastic! Revitalizing Sleep Formula / 90 Veg Cp</t>
  </si>
  <si>
    <t>Fennel Seed / 100 Vgn Cp</t>
  </si>
  <si>
    <t>Fenugreek Seed / 100 Vgn Cp</t>
  </si>
  <si>
    <t>Fenugreek Seed / 180 Vgn Cp</t>
  </si>
  <si>
    <t>Fenugreek Seed  / 320 Vgn Cp</t>
  </si>
  <si>
    <t>Fenu-Thyme Premium Blend / 100 Vgn Cp</t>
  </si>
  <si>
    <t>Feverfew Herb / 180 Vgn Cp</t>
  </si>
  <si>
    <t>Feverfew Herb / 100 Vgn Cp</t>
  </si>
  <si>
    <t>Fiber Delights  Vanilla Flavor / 60 Chw Tb</t>
  </si>
  <si>
    <t>Fiber Fusion Daily / 150 Vgn Cp</t>
  </si>
  <si>
    <t>Fisol Fish Oil / 180 Sg</t>
  </si>
  <si>
    <t>Flax Oil Cold Pressed 1300 mg, EfaGold / 200 Sg</t>
  </si>
  <si>
    <t>Flax Oil Super Lignan 35mg, EfaGold Organic / 16 Fl Oz</t>
  </si>
  <si>
    <t>Flax Oil Super Lignan 35mg, EfaGold Organic / 24 Fl Oz</t>
  </si>
  <si>
    <t>Flax Oil, EfaGold Organic / 16 Fl Oz</t>
  </si>
  <si>
    <t>Florasone Cardiospermum Cream / 1 Oz Cream</t>
  </si>
  <si>
    <t>Folic Acid / 100 Cp</t>
  </si>
  <si>
    <t>Forskohlii Premium Blend / 60 Vgn Cp</t>
  </si>
  <si>
    <t>Fortify Daily Probiotic 30 Billion / 30 Veg Cp</t>
  </si>
  <si>
    <t>Fortify Everyday Care Age 50+ Probiotic 30 Billion / 30 Veg Cp</t>
  </si>
  <si>
    <t>Fortify Everyday Care Women's Probiotic 30 Billion / 30 Veg Cp</t>
  </si>
  <si>
    <t>Fortify Extra Strength Age 50+ Probiotic 50 Billion - (vitamin) / 30 Veg Cp</t>
  </si>
  <si>
    <t>Fortify Extra Strength Daily Probiotic 50 Billion - (vitamin) / 30 Veg Cp</t>
  </si>
  <si>
    <t>Fortify Extra Strength Women's Probiotic 50 Billion - (vitamin) / 30 Veg Cp</t>
  </si>
  <si>
    <t>Fortify Optima Adult 50+ Probiotic 50 Billion / 30 Veg Cp</t>
  </si>
  <si>
    <t>Fortify Optima Advanced Care 100 Billion Probiotic + Prebiotic (Refrig) / 30 Veg Cp</t>
  </si>
  <si>
    <t>Fortify Optima Advanced Care 60 Billion Probiotic and Prebiotics (Refrig) / 30 Veg Cp</t>
  </si>
  <si>
    <t>Fortify Optima Advanced Care Women's 90 Billion Probiotic (Refrig) / 30 Veg Cp</t>
  </si>
  <si>
    <t>Fortify Optima Age 50+ Advanced Care 90 Billion Probiotic + Prebiotics (Refrig) / 30 Cp</t>
  </si>
  <si>
    <t>Fortify Optima Daily Probiotic 50 Billion / 30 Veg Cp</t>
  </si>
  <si>
    <t>Fortify Optima Everyday Care Probiotic 35 Billion / 30 Veg Cp</t>
  </si>
  <si>
    <t>Fortify Optima Everyday Care Probiotic 35 Billion  / 60 Veg Cp</t>
  </si>
  <si>
    <t>Fortify Optima Women's Probiotic 50 Billion / 30 Veg Cp</t>
  </si>
  <si>
    <t>Fo-Ti Root / 100 Vgn Cp</t>
  </si>
  <si>
    <t>GABA / 60 Veg Cp</t>
  </si>
  <si>
    <t>Garden Veggies / 60 Veg Cp</t>
  </si>
  <si>
    <t>Garlic Bulb / 100 Vgn Cp</t>
  </si>
  <si>
    <t>Garlicin Cardio* Premium Herbal / 90 Vgn Tb</t>
  </si>
  <si>
    <t>Garlicin Cardio* Premium Herbal / 180 Vgn Tb</t>
  </si>
  <si>
    <t>Garlinase 5000 / 100 Tb</t>
  </si>
  <si>
    <t>Garlinase 5000 / 30 Tb</t>
  </si>
  <si>
    <t>Ginger Root / 100 Vgn Cp</t>
  </si>
  <si>
    <t>Ginger Root / 180 Vgn Cp</t>
  </si>
  <si>
    <t>Ginger Root  / 240 Vgn Cp</t>
  </si>
  <si>
    <t>Ginkgo Premium Extract / 120 Vgn Cp</t>
  </si>
  <si>
    <t>Ginkgo Premium Extract / 60 Vgn Cp</t>
  </si>
  <si>
    <t>Ginkgold / 150 Tb</t>
  </si>
  <si>
    <t>Ginkgold Eyes / 60 Tb</t>
  </si>
  <si>
    <t>Ginkgold Max 120 mg / 60 Tb</t>
  </si>
  <si>
    <t>Ginseng, Asian / 100 Vgn Cp</t>
  </si>
  <si>
    <t>Ginseng, Asian / 50 Vgn Cp</t>
  </si>
  <si>
    <t>Ginseng, Asian Premium Extract / 60 Vgn Cp</t>
  </si>
  <si>
    <t>Glucomannan from Konjac Root / 100 Vgn Cp</t>
  </si>
  <si>
    <t>Gluten Defense / 120 Vgn Cp</t>
  </si>
  <si>
    <t>Goldenseal Herb / 100 Vgn Cp</t>
  </si>
  <si>
    <t>Goldenseal Root / 50 Vgn Cp</t>
  </si>
  <si>
    <t>Goldenseal Root / 100 Vgn Cp</t>
  </si>
  <si>
    <t>Gotu Kola Herb / 100 Vgn Cp</t>
  </si>
  <si>
    <t>Gotu Kola Herb / 180 Vgn Cp</t>
  </si>
  <si>
    <t>Grape Seed Premium Extract / 60 VgnCp</t>
  </si>
  <si>
    <t>Grape Seed with Vitamin C Premium Blend / 30 Vgn Cp</t>
  </si>
  <si>
    <t>GS-500 Glucosamine Sulfate / 240 Cp</t>
  </si>
  <si>
    <t>GTF Chromium / 100 Vgn Cp</t>
  </si>
  <si>
    <t>Gymnema Premium Extract / 60 Vgn Cp</t>
  </si>
  <si>
    <t>Hawthorn Berries / 100 Vgn Cp</t>
  </si>
  <si>
    <t>Hawthorn Berries / 180 Vgn Cp</t>
  </si>
  <si>
    <t>Hawthorn Premium Extract / 90 Vgn Cp</t>
  </si>
  <si>
    <t>Heartburn Free w/ ROH10 / 10 Sg</t>
  </si>
  <si>
    <t>HeartCare  Standardized Hawthorn / 120 Tb</t>
  </si>
  <si>
    <t>Hem-Care / 90 Cp</t>
  </si>
  <si>
    <t>Holy Basil Premium Extract / 60 Vgn Cp</t>
  </si>
  <si>
    <t>Hops Flowers / 100 Vgn Cp</t>
  </si>
  <si>
    <t>Horny Goat Weed Premium Extract / 60 Vgn Cp</t>
  </si>
  <si>
    <t>Horse Chestnut Premium Extract / 90 Vgn Cp</t>
  </si>
  <si>
    <t>Horsetail Grass / 100 Vgn Cp</t>
  </si>
  <si>
    <t>Hydraplenish  / 60 Cp</t>
  </si>
  <si>
    <t>Hydraplenish Plus MSM / 60 Cp</t>
  </si>
  <si>
    <t>Inositol / 100 Cp</t>
  </si>
  <si>
    <t>Iron 18mg / 100 Cp</t>
  </si>
  <si>
    <t>Ivy Extract / 90 Vgn Tb</t>
  </si>
  <si>
    <t>Joint Movement Glucosamine Liquid / 16 Fl Oz</t>
  </si>
  <si>
    <t>Joint Movement Unflavored  / 20 ct Pkt</t>
  </si>
  <si>
    <t>Joint Movement Unflavored  / 30 ct Pkt</t>
  </si>
  <si>
    <t>Kelp Whole Thallus / 100 Vgn Cp</t>
  </si>
  <si>
    <t>Kelp Whole Thallus / 180 Vgn Cp</t>
  </si>
  <si>
    <t>Kidney Bladder Premium Blend / 100 Vgn Cp</t>
  </si>
  <si>
    <t>Kids Brain Builder Gummy / 60 Gummies</t>
  </si>
  <si>
    <t>Kids Cool, Calm &amp; Collected / 40 Gummies</t>
  </si>
  <si>
    <t>Kids Growing Bones &amp; Muscles / 60 Gummies</t>
  </si>
  <si>
    <t>Krebs Magnesium Potassium Complex / 120 Vgn Tb</t>
  </si>
  <si>
    <t>Krill Oil 500 mg, EfaGold / 30 Sg</t>
  </si>
  <si>
    <t>Krill Oil 500 mg, EfaGold / 60 Sg</t>
  </si>
  <si>
    <t>Kudzu Root / 50 Vgn Cp</t>
  </si>
  <si>
    <t>Lactase Defense / 100 Cp</t>
  </si>
  <si>
    <t>Leg Veins Premium Blend / 120 Vgn Cp</t>
  </si>
  <si>
    <t>Leg Veins Premium Blend / 60 Vgn Cp</t>
  </si>
  <si>
    <t>Licorice Root / 100 Vgn Cp</t>
  </si>
  <si>
    <t>Liquid Iron 18 mg / 16 Fl Oz</t>
  </si>
  <si>
    <t>L-Theanine / 180 Veg Cp</t>
  </si>
  <si>
    <t>L-Theanine / 60 Veg Cp</t>
  </si>
  <si>
    <t>Lutein / 60 Sg</t>
  </si>
  <si>
    <t>Maca Premium Extract / 60 Vgn Cp</t>
  </si>
  <si>
    <t>Maca Root / 100 Vgn Cp</t>
  </si>
  <si>
    <t>Magnesium Complex / 100 Cp</t>
  </si>
  <si>
    <t>Magnesium Glycinate Complex / 120 Tb</t>
  </si>
  <si>
    <t>Magnesium Gummy / 60 Gummies</t>
  </si>
  <si>
    <t>Magnesium Gummy / 90 Gummies</t>
  </si>
  <si>
    <t>Marshmallow Root / 100 Vgn Cp</t>
  </si>
  <si>
    <t>MCT Oil From Coconut / 16 Fl Oz</t>
  </si>
  <si>
    <t>MCT Oil From Coconut  / 30 Fl Oz</t>
  </si>
  <si>
    <t>Mega 3/6/9 Omega Blend 1350 mg / 90 Sg</t>
  </si>
  <si>
    <t>Mega 3/6/9 Omega Blend 1350 mg / 180 Sg</t>
  </si>
  <si>
    <t>Mega-DHA, EFAGold 1,000 mg / 60 Sg</t>
  </si>
  <si>
    <t>Mega-Zyme / 200 Tb</t>
  </si>
  <si>
    <t>Mega-Zyme / 100 Tb</t>
  </si>
  <si>
    <t>Melatonin Gummies / 120 Gummies</t>
  </si>
  <si>
    <t>Melatonin Lozenge / 100 Loz</t>
  </si>
  <si>
    <t>Melissa Lemon Balm Leaf / 100 Vgn Cp</t>
  </si>
  <si>
    <t>Milk Thistle Premium Blend / 120 Vgn Cp</t>
  </si>
  <si>
    <t>Milk Thistle Premium Blend / 60 Vgn Cp</t>
  </si>
  <si>
    <t>MSM 1000 mg / 200 Tb</t>
  </si>
  <si>
    <t>Myo-Tone / 80 Tb</t>
  </si>
  <si>
    <t>Myrrh Gum Tree Resin / 100 Vgn Cp</t>
  </si>
  <si>
    <t>NatureWorks Swedish Bitters / 3.38 Fl Oz</t>
  </si>
  <si>
    <t>NatureWorks Swedish Bitters / 8.45 Fl Oz</t>
  </si>
  <si>
    <t>NatureWorks Swedish Bitters / 16.9 Fl Oz</t>
  </si>
  <si>
    <t>NatureWorks Swedish Bitters / 33.8 Fl Oz</t>
  </si>
  <si>
    <t>Neem Leaf / 100 Vgn Cp</t>
  </si>
  <si>
    <t>Nettle Leaf / 100 Vgn Cp</t>
  </si>
  <si>
    <t>Niacin Vitamin B3 / 100 Cp</t>
  </si>
  <si>
    <t>Niacinamide 500 mg / 100 Cp</t>
  </si>
  <si>
    <t>NutraSea Omega-3 1250 mg (Zesty Lemon) / 16.9 Fl Oz</t>
  </si>
  <si>
    <t>NutraVege ExtStr Cranberry Orange / 6.8 Fl Oz</t>
  </si>
  <si>
    <t>NutraVege Omega-3 Plant-Based / 30 Sg</t>
  </si>
  <si>
    <t>Olive Leaf / 100 Vgn Cp</t>
  </si>
  <si>
    <t>Olive Leaf  Premium Extract, 20% Oleuropein / 60 Vgn Cp</t>
  </si>
  <si>
    <t>Olive Leaf Premium Extract / 60 Vgn Cp</t>
  </si>
  <si>
    <t>Oral Ivy Liquid / 1 Fl Oz</t>
  </si>
  <si>
    <t>Orchard Fruits / 60 Vgn Cp</t>
  </si>
  <si>
    <t>Oregano Oil Premium Blend / 60 Vgn Cp</t>
  </si>
  <si>
    <t>Oregon Grape / 90 Vgn Cp</t>
  </si>
  <si>
    <t xml:space="preserve">Organic Sambucus Trad Imm Syrup Kids / 4 Fl Oz </t>
  </si>
  <si>
    <t>Organic Sambucus Trad Immune Syrup / 4 Fl Oz</t>
  </si>
  <si>
    <t>OsteoPrime / 120 Cp</t>
  </si>
  <si>
    <t>OsteoPrime PLUS / 120 Tb</t>
  </si>
  <si>
    <t>Pantothenic Acid (Vitamin B5) / 100 Cp</t>
  </si>
  <si>
    <t>Parsley Leaf / 100 Vgn Cp</t>
  </si>
  <si>
    <t>Pau d’Arco Inner Bark / 180 Vgn Cp</t>
  </si>
  <si>
    <t>Pau d’Arco Inner Bark / 100 Vgn Cp</t>
  </si>
  <si>
    <t>Pearls Elite / 30 Sg</t>
  </si>
  <si>
    <t>Pepogest Peppermint Oil / 60 Sg</t>
  </si>
  <si>
    <t>Peppermint Leaf / 100 Vgn Cp</t>
  </si>
  <si>
    <t>Petadolex Pro-Active  / 60 Sg</t>
  </si>
  <si>
    <t>Phosphatidylserine / 60 Sg</t>
  </si>
  <si>
    <t>Pomegranate Premium Extract / 60 Vgn Cp</t>
  </si>
  <si>
    <t>Potassium / 100 Cp</t>
  </si>
  <si>
    <t>Prenatal Multi-Vitamin &amp; Multi-Mineral / 180 Cp</t>
  </si>
  <si>
    <t>Primadophilus Bifidus (Refrig) / 90 Veg Cp</t>
  </si>
  <si>
    <t>Primadophilus Bifidus (Refrig) / 180 Veg Cp</t>
  </si>
  <si>
    <t>Primadophilus Kids Cherry (Refrig) / 60 Chw Tb</t>
  </si>
  <si>
    <t>Primadophilus Kids Cherry (Refrig) / 30 Chw Tb</t>
  </si>
  <si>
    <t>Primadophilus Kids Orange (Refrig) / 30 Chw Tb</t>
  </si>
  <si>
    <t>Primadophilus Original (Refrig) / 90 Veg Cp</t>
  </si>
  <si>
    <t>Primadophilus Original (Refrig) / 180 Veg Cp</t>
  </si>
  <si>
    <t>Primadophilus Reuteri (Refrig) / 30 Veg Cp</t>
  </si>
  <si>
    <t>Primadophilus Reuteri (Refrig) / 90 Veg Cp</t>
  </si>
  <si>
    <t>Primadophilus Reuteri Pearls / 30 Sg</t>
  </si>
  <si>
    <t>Primadophilus Reuteri Pearls / 60 Sg</t>
  </si>
  <si>
    <t>Primadophilus Reuteri Powder 141.75 g (Refrig) / 5 Oz Pwd</t>
  </si>
  <si>
    <t>Probiotic Pearls Acidophilus / 30 Sg</t>
  </si>
  <si>
    <t>Probiotic Pearls Acidophilus / 90 Sg</t>
  </si>
  <si>
    <t>Probiotic Pearls Adult 50+ / 30 Sg</t>
  </si>
  <si>
    <t>Probiotic Pearls Complete / 30 Sg</t>
  </si>
  <si>
    <t>Probiotic Pearls Complete / 90 Sg</t>
  </si>
  <si>
    <t>Probiotic Pearls Max Potency / 30 Sg</t>
  </si>
  <si>
    <t>Probiotic Pearls Women's / 90 Sg</t>
  </si>
  <si>
    <t>Probiotic Pearls Women's / 30 Sg</t>
  </si>
  <si>
    <t>Protective Breast Formula / 60 Tb</t>
  </si>
  <si>
    <t>Psoriaflora Topical Cream / 1 Oz Cream</t>
  </si>
  <si>
    <t>Pycnogenol / 30 Tb</t>
  </si>
  <si>
    <t>Quercetin with Zinc Gummy / 60 Gummies</t>
  </si>
  <si>
    <t>Quick Calm Gummy / 60 Gummies</t>
  </si>
  <si>
    <t>Quick Calm Gummy / 40 Gummies</t>
  </si>
  <si>
    <t>Raspberry Leaf / 100 Vgn Cp</t>
  </si>
  <si>
    <t>Red Clover Blossoms/Herb / 100 Vgn Cp</t>
  </si>
  <si>
    <t>Red Yeast Rice / 120 Vgn Cp</t>
  </si>
  <si>
    <t>Reishi Premium Extract / 100 Vgn Cp</t>
  </si>
  <si>
    <t>Resveratrol Premium Blend / 60 Vgn Cp</t>
  </si>
  <si>
    <t>Resveratrol-Forte 175 mg / 60 Sg</t>
  </si>
  <si>
    <t>Rhodiola Premium Extract / 60 Vgn Cp</t>
  </si>
  <si>
    <t>Riboflavin Vitamin B2, 100 mg / 100 Cp</t>
  </si>
  <si>
    <t>Riboflavin Vitamin B2, 400 mg / 30 Tb</t>
  </si>
  <si>
    <t>Rosemary Leaf / 100 Vgn Cp</t>
  </si>
  <si>
    <t>Samb Cough Relief + Imm Gummy Kids / 36 Gummies</t>
  </si>
  <si>
    <t>Sambucus Alpha® CF Flu Relief / 4 Fl Oz</t>
  </si>
  <si>
    <t>Sambucus Cold+Flu Relief Chewables / 20 chew tabs</t>
  </si>
  <si>
    <t>Sambucus Cold+Flu Relief Hot Drink Mix / 10 pkts</t>
  </si>
  <si>
    <t>Sambucus Cold+Flu Relief Syrup  / 4 Oz</t>
  </si>
  <si>
    <t>Sambucus Cough Relief + Imm Gummy  / 36 Gummies</t>
  </si>
  <si>
    <t>Sambucus Cough Relief + Imm Syr Kids / 4 Oz</t>
  </si>
  <si>
    <t>Sambucus Cough Relief + Immune Syrup / 4 Oz</t>
  </si>
  <si>
    <t>Sambucus Drops / 1 Fl Oz</t>
  </si>
  <si>
    <t>Sambucus Hot Drink Honey Lemon-Berry / 10 Pkts</t>
  </si>
  <si>
    <t>Sambucus Immune / 30 Loz</t>
  </si>
  <si>
    <t>Sambucus Immune Gummy / 40 Gummies</t>
  </si>
  <si>
    <t>Sambucus Immune Gummy / 60 Gummies</t>
  </si>
  <si>
    <t>Sambucus Immune Loz MWOrganic Chry  / 24 Loz</t>
  </si>
  <si>
    <t>Sambucus Immune Loz MWOrganic Trop / 24 Loz</t>
  </si>
  <si>
    <t>Sambucus Immune Lozenge Organic / 24 Loz</t>
  </si>
  <si>
    <t>Sambucus Immune Lozenge Organic HoneyLmn / 24 Loz</t>
  </si>
  <si>
    <t>Sambucus Immune Lozenge Organic Mint / 24 Loz</t>
  </si>
  <si>
    <t>Sambucus Immune Shot 20 mL/bottle ($3.75 SRP/bottle) / 1 tray (12-0.67  FlOz bottles)</t>
  </si>
  <si>
    <t>Sambucus Immune Syrup / 4 Fl Oz</t>
  </si>
  <si>
    <t>Sambucus Immune Syrup / 8 Fl Oz</t>
  </si>
  <si>
    <t>Sambucus Immune Syrup for Kids / 4 Fl Oz</t>
  </si>
  <si>
    <t>Sambucus Immune Syrup for Kids / 8 Fl Oz</t>
  </si>
  <si>
    <t>Sambucus Kids Chewable Tablets / 40 Chw Tb</t>
  </si>
  <si>
    <t>Sambucus Kids Gummies Immune Support / 60 Gummies</t>
  </si>
  <si>
    <t>Sambucus Kids Gummies Immune Support / 40 Gummies</t>
  </si>
  <si>
    <t>Sambucus Kids MWOrganic HoneyBerry  / 4 Fl Oz</t>
  </si>
  <si>
    <t>Sambucus MWOrganic HoneyBerry Syrup  / 4 Fl Oz</t>
  </si>
  <si>
    <t>Sambucus Sleep + Immune / 50 Gummies</t>
  </si>
  <si>
    <t>Sambucus Traditional Immune Syrup / 4 Fl Oz</t>
  </si>
  <si>
    <t>Sambucus Traditional Immune Syrup / 8 Fl Oz</t>
  </si>
  <si>
    <t>Sambucus Zero Sugar Elderbry Gummy  / 50 Gummies</t>
  </si>
  <si>
    <t>Sambucus Zero Sugar Elderbry Gummy  / 70 Gummies</t>
  </si>
  <si>
    <t>Sambucus Zero Sugar Kids Gummy  / 50 Gummies</t>
  </si>
  <si>
    <t>Sambucus Zero Sugar Trad Imm Syrup / 4 Fl Oz</t>
  </si>
  <si>
    <t>Sambucus Zero Sugar Trad Imm Syrup / 8 Fl Oz</t>
  </si>
  <si>
    <t>Saw Palmetto Berries / 100 Vgn Cp</t>
  </si>
  <si>
    <t>Saw Palmetto Berries / 180 Vgn Cp</t>
  </si>
  <si>
    <t>Saw Palmetto Premium Extract / 120 Sg</t>
  </si>
  <si>
    <t>Saw Palmetto Premium Extract / 60 Sg</t>
  </si>
  <si>
    <t>Schisandra Fruit / 100 Vgn Cp</t>
  </si>
  <si>
    <t>Selenium / 100 Cp</t>
  </si>
  <si>
    <t>Senna Leaves / 100 Vgn Cp</t>
  </si>
  <si>
    <t>Siberian Eleuthero Root / 180 Vgn Cp</t>
  </si>
  <si>
    <t>Skullcap Herb / 100 Vgn Cp</t>
  </si>
  <si>
    <t>Sleep tonight / 28 Tb</t>
  </si>
  <si>
    <t>Sleep tonight  Melatonin Drops, Cherry Flavor / 2 Fl Oz</t>
  </si>
  <si>
    <t>Sleep Well / 90 Gummies</t>
  </si>
  <si>
    <t>Sleep Well Gummy  / 60 Gummies</t>
  </si>
  <si>
    <t>Slippery Elm Bark / 100 Vgn Cp</t>
  </si>
  <si>
    <t>SMART Q10 CoQ10 100 mg, Tropical Créme / 30 Chw Tb</t>
  </si>
  <si>
    <t>Spirulina Micro-Algae / 100 Vgn Cp</t>
  </si>
  <si>
    <t>Sports Gel / 2.5 Oz  Gel</t>
  </si>
  <si>
    <t>SssstingStop Topical Gel with Citronella / 1 Oz Gel</t>
  </si>
  <si>
    <t>St. John’s Wort Herb / 180 Vgn Cp</t>
  </si>
  <si>
    <t>St. John’s Wort Herb / 100 Vgn Cp</t>
  </si>
  <si>
    <t>St. John’s Wort Premium Extract / 90 Vgn Cp</t>
  </si>
  <si>
    <t>Super Fisol  Fish Oil / 180 Sg</t>
  </si>
  <si>
    <t>Super Fisol  Fish Oil / 90 Sg</t>
  </si>
  <si>
    <t>Super Milk Thistle / 120 Vgn Cp</t>
  </si>
  <si>
    <t>Super Thisilyn / 60 Cp</t>
  </si>
  <si>
    <t>SystemWell Immune / 180 Tb</t>
  </si>
  <si>
    <t>SystemWell Ultimate Immunity Multi-System Defense / 90 Tb</t>
  </si>
  <si>
    <t>Sytrinol Cholesterol Control / 60 Sg</t>
  </si>
  <si>
    <t>Tart Cherry Ultra / 90 Veg Cp</t>
  </si>
  <si>
    <t>Tart Cherry Ultra Chewable  / 90 Chw Tb</t>
  </si>
  <si>
    <t>Tart Cherry Ultra Gummies 1200mg / 75 Gummies</t>
  </si>
  <si>
    <t>Thisilyn Milk Thistle Extract / 100 Vgn Cp</t>
  </si>
  <si>
    <t>Triflora Arthritis Gel / 2.75 Oz  Gel</t>
  </si>
  <si>
    <t>Turmeric Premium Extract / 120 Tb</t>
  </si>
  <si>
    <t>Turmeric Premium Extract / 60 Tb</t>
  </si>
  <si>
    <t>Turmeric Premium Extract, 750 mg / 60 Vgn Cp</t>
  </si>
  <si>
    <t>Ultimate Iron / 90 Sg</t>
  </si>
  <si>
    <t>Umcka ColdCare 99.9% Alcohol-Free Drops / 1 Fl Oz</t>
  </si>
  <si>
    <t>Umcka ColdCare Mint-Menthol Syrup / 4 Fl Oz</t>
  </si>
  <si>
    <t>Umcka ColdCare Mint-Menthol Syrup / 8 Fl Oz</t>
  </si>
  <si>
    <t>Umcka ColdCare Original Alcohol Free Drops / 2 Fl Oz</t>
  </si>
  <si>
    <t>Umcka ColdCare Original Drops / 2 Fl Oz</t>
  </si>
  <si>
    <t>Umcka Elderberry Cold+Flu Syrup / 4 Fl Oz</t>
  </si>
  <si>
    <t>Urinary with Cranberry Premium Blend / 100 Vgn Cp</t>
  </si>
  <si>
    <t>Uva Ursi Leaves / 100 Vgn Cp</t>
  </si>
  <si>
    <t>Valerian Nighttime Herbal Sleep Aid Premium Blend / 100 Tb</t>
  </si>
  <si>
    <t>Valerian Premium Extract / 90 Vgn Cp</t>
  </si>
  <si>
    <t>Valerian Root / 100 Vgn Cp</t>
  </si>
  <si>
    <t>Valerian Root / 180 Vgn Cp</t>
  </si>
  <si>
    <t>Vitamin A / 100 Sg</t>
  </si>
  <si>
    <t>Vitamin B-1 / 100 Cp</t>
  </si>
  <si>
    <t>Vitamin B-12 / 100 Loz</t>
  </si>
  <si>
    <t>Vitamin B-6 50 mg / 100 Cp</t>
  </si>
  <si>
    <t>Vitamin C Bioflavonoids / 100 Cp</t>
  </si>
  <si>
    <t>Vitamin C Bioflavonoids / 250 Cp</t>
  </si>
  <si>
    <t>Vitamin C Gummy / 120 Gummies</t>
  </si>
  <si>
    <t>Vitamin C with Bioflavonoids / 100 Vgn Cp</t>
  </si>
  <si>
    <t>Vitamin C with Bioflavonoids / 250 Vgn Cp</t>
  </si>
  <si>
    <t>Vitamin C with Rose Hips / 100 Cp</t>
  </si>
  <si>
    <t>Vitamin C with Rose Hips / 250 Cp</t>
  </si>
  <si>
    <t>Vitamin C with Rose Hips Extra Strength / 100 Cp</t>
  </si>
  <si>
    <t>Vitamin C with Rose Hips Extra Strength / 250 Cp</t>
  </si>
  <si>
    <t>Vitamin D3 / 120 Sg</t>
  </si>
  <si>
    <t>Vitamin D3  / 240 Sg</t>
  </si>
  <si>
    <t>Vitamin D3 Gummy / 120 Gummies</t>
  </si>
  <si>
    <t>Vitamin D3 MAX / 240 Sg</t>
  </si>
  <si>
    <t>Vitamin E D-Alpha Tocopherol / 100 Sg</t>
  </si>
  <si>
    <t>Vitex Fruit / 100 Vgn Cp</t>
  </si>
  <si>
    <t>Vitex Fruit / 320 Vgn Cp</t>
  </si>
  <si>
    <t>Weight Manager Citrus Drink Mix / 7 ct Pkt</t>
  </si>
  <si>
    <t>Weight Manager Citrus Drink Mix / 30 ct Pkt</t>
  </si>
  <si>
    <t>Weight Manager Citrus Drink Mix Pwd / 6 Oz</t>
  </si>
  <si>
    <t>Weight Manager Fruit Drink Mix / 7 ct Pkt</t>
  </si>
  <si>
    <t>Weight Manager Fruit Drink Mix / 30 ct Pkt</t>
  </si>
  <si>
    <t>Weight Manager Fruit Drink Mix Pwd / 6 Oz</t>
  </si>
  <si>
    <t>Wild Yam Root / 180 Vgn Cp</t>
  </si>
  <si>
    <t>Wild Yam Root / 100 Vgn Cp</t>
  </si>
  <si>
    <t>Willow Bark / 100 Vgn Cp</t>
  </si>
  <si>
    <t>Women's Probiotic Gummy / 50 Gummies</t>
  </si>
  <si>
    <t>Women's Probiotic Gummy  / 60 Gummies</t>
  </si>
  <si>
    <t>Youthful You DHEA 5mg / 60 Veg Cp</t>
  </si>
  <si>
    <t>Zinc Chelate / 100 Cp</t>
  </si>
  <si>
    <t>Zinc Gummy / 120 Gummies</t>
  </si>
  <si>
    <t>Zinc Lozenge / 60 Vgn Lz</t>
  </si>
  <si>
    <t>ANXIETY/STRESS/MOOD</t>
  </si>
  <si>
    <t>WEIGHT MANAGEMENT</t>
  </si>
  <si>
    <t>BONE HEALTH</t>
  </si>
  <si>
    <t>DIGESTION</t>
  </si>
  <si>
    <t>URINARY</t>
  </si>
  <si>
    <t>CLEANSE/DETOX</t>
  </si>
  <si>
    <t>ENERGY</t>
  </si>
  <si>
    <t>COUGH &amp; COLD</t>
  </si>
  <si>
    <t>GENERAL HEALTH</t>
  </si>
  <si>
    <t>HORMONE BALANCE/GYNE</t>
  </si>
  <si>
    <t>BLOOD SUGAR/DIABETES</t>
  </si>
  <si>
    <t>SKIN HEALTH - THERAP</t>
  </si>
  <si>
    <t>MULTIVITAMIN</t>
  </si>
  <si>
    <t>IMMUNE</t>
  </si>
  <si>
    <t>MULTI-VITAMINS/MULTI-MINERALS</t>
  </si>
  <si>
    <t>HORMONE BALANCE/WOMEN'S HEALTH</t>
  </si>
  <si>
    <t>PAIN/INFLAMMATION</t>
  </si>
  <si>
    <t>CARDIOVASCULAR HEALT</t>
  </si>
  <si>
    <t>VISION/EYE HEALTH</t>
  </si>
  <si>
    <t>SKIN HEALTH - THERAPEUTIC</t>
  </si>
  <si>
    <t>BLOOD SUGAR</t>
  </si>
  <si>
    <t>JOINT</t>
  </si>
  <si>
    <t>CARDIOVASCULAR HEALTH</t>
  </si>
  <si>
    <t>MEMORY/BRAIN HEALTH</t>
  </si>
  <si>
    <t>BRAIN HEALTH</t>
  </si>
  <si>
    <t>SEXUAL HEALTH</t>
  </si>
  <si>
    <t>SLEEP</t>
  </si>
  <si>
    <t>MINERALS</t>
  </si>
  <si>
    <t>EFA</t>
  </si>
  <si>
    <t>Code</t>
  </si>
  <si>
    <t>Product / Size</t>
  </si>
  <si>
    <t>WHLS</t>
  </si>
  <si>
    <t>Unіt Freight Cost</t>
  </si>
  <si>
    <t>unit, key</t>
  </si>
  <si>
    <t>Logistic Price</t>
  </si>
  <si>
    <t>Landed Cost</t>
  </si>
  <si>
    <t>RATING</t>
  </si>
  <si>
    <t>С</t>
  </si>
  <si>
    <t>А</t>
  </si>
  <si>
    <t>В</t>
  </si>
  <si>
    <t>HERBS</t>
  </si>
  <si>
    <t>5-Mushroom Blend / 60 Veg Cp</t>
  </si>
  <si>
    <t>Alive! Calcium + D3 Gummy / 60 ct 3 Pack</t>
  </si>
  <si>
    <t>Alive! Max6 (no-iron) / 180 Veg Cp</t>
  </si>
  <si>
    <t>Alive! Max6 (with iron) / 180 Veg Cp</t>
  </si>
  <si>
    <t>Alive! Men's 50+ Ultra MINIS / 180 tab</t>
  </si>
  <si>
    <t>Alive! Women 50+ Ultra MINIS / 180 tabs</t>
  </si>
  <si>
    <t>Blood Sugar Blend / 90 Veg cp</t>
  </si>
  <si>
    <t>CranRx Gummy / 60 ct 3 Pack</t>
  </si>
  <si>
    <t>Melatonin Gummy / 120 ct 2 Pack</t>
  </si>
  <si>
    <t>Moringa / 120 Veg Cp</t>
  </si>
  <si>
    <t>Omega 3 Gummy / 30 Gummies</t>
  </si>
  <si>
    <t>Organic MCT Powder  / 10.6 Oz</t>
  </si>
  <si>
    <t xml:space="preserve">Respiratory Relief + Bronchial Herb Bundle / </t>
  </si>
  <si>
    <t xml:space="preserve">Respiratory Relief + Immune Herb Bundle / </t>
  </si>
  <si>
    <t>Rest and Restore / 30 Veg Cp</t>
  </si>
  <si>
    <t>Saffron / 60 Veg Cp</t>
  </si>
  <si>
    <t>Sambucus Immune Gummy / 60 ct 3 Pack</t>
  </si>
  <si>
    <t>Sambucus Immune Honey Gummy / 50 Gummies</t>
  </si>
  <si>
    <t>Sambucus Kids Gummy  / 60 ct 3 Pack</t>
  </si>
  <si>
    <t>Sambucus Ultra Immune Juicy Burst / 25 ct Chews</t>
  </si>
  <si>
    <t>Sambucus Ultra Immune Juicy Burst / 30 ct Chews</t>
  </si>
  <si>
    <t>Vitamin C Gummy / 120 ct 2 Pack</t>
  </si>
  <si>
    <t>Vitamin D3 Gummy / 120 ct 2 Pack</t>
  </si>
  <si>
    <t>Weight Manager Gummy / 60 Gummies</t>
  </si>
  <si>
    <t>Zinc Gummy / 120 ct 2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</si>
</sst>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###,000"/>
    <numFmt numFmtId="166" formatCode="_-[$$-1409]* #,##0.00_-;\-[$$-1409]* #,##0.00_-;_-[$$-1409]* &quot;-&quot;??_-;_-@_-"/>
    <numFmt numFmtId="167" formatCode="_-[$$-409]* #,##0.00_ ;_-[$$-409]* \-#,##0.00\ ;_-[$$-409]* &quot;-&quot;??_ ;_-@_ "/>
    <numFmt numFmtId="168" formatCode="[$$-409]#,##0.00"/>
  </numFmts>
  <fonts count="18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8"/>
      <color rgb="FF1F497D"/>
      <name val="Verdana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9"/>
      <color rgb="FF231F20"/>
      <name val="Arial MT"/>
      <family val="2"/>
      <charset val="204"/>
    </font>
    <font>
      <sz val="9"/>
      <color theme="1"/>
      <name val="Arial Narrow"/>
      <family val="2"/>
      <charset val="204"/>
    </font>
    <font>
      <b/>
      <sz val="9"/>
      <color rgb="FF231F20"/>
      <name val="Arial MT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rgb="FF00B05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92D050"/>
        <bgColor indexed="64"/>
      </patternFill>
    </fill>
    <fill>
      <patternFill patternType="solid">
        <fgColor rgb="FFFFFF00"/>
        <bgColor rgb="FF0064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4" fillId="2" borderId="7" applyNumberFormat="0" applyAlignment="0" applyProtection="0">
      <alignment horizontal="left" vertical="center" indent="1"/>
    </xf>
    <xf numFmtId="0" fontId="5" fillId="0" borderId="0"/>
  </cellStyleXfs>
  <cellXfs count="7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4" fontId="8" fillId="4" borderId="17" xfId="0" applyNumberFormat="1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167" fontId="9" fillId="4" borderId="17" xfId="0" applyNumberFormat="1" applyFont="1" applyFill="1" applyBorder="1" applyAlignment="1" applyProtection="1">
      <alignment horizontal="center" vertical="center" wrapText="1" readingOrder="1"/>
      <protection hidden="1"/>
    </xf>
    <xf numFmtId="168" fontId="8" fillId="4" borderId="17" xfId="0" applyNumberFormat="1" applyFont="1" applyFill="1" applyBorder="1" applyAlignment="1">
      <alignment horizontal="center" vertical="center"/>
    </xf>
    <xf numFmtId="0" fontId="10" fillId="5" borderId="17" xfId="0" applyFont="1" applyFill="1" applyBorder="1" applyAlignment="1" applyProtection="1">
      <alignment horizontal="center" vertical="center" wrapText="1" readingOrder="1"/>
      <protection locked="0"/>
    </xf>
    <xf numFmtId="4" fontId="8" fillId="5" borderId="19" xfId="0" applyNumberFormat="1" applyFont="1" applyFill="1" applyBorder="1" applyAlignment="1">
      <alignment horizontal="center" vertical="center"/>
    </xf>
    <xf numFmtId="167" fontId="9" fillId="0" borderId="0" xfId="0" applyNumberFormat="1" applyFont="1" applyAlignment="1" applyProtection="1">
      <alignment vertical="center" wrapText="1" readingOrder="1"/>
      <protection hidden="1"/>
    </xf>
    <xf numFmtId="0" fontId="8" fillId="6" borderId="17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2" fontId="11" fillId="0" borderId="16" xfId="0" applyNumberFormat="1" applyFont="1" applyBorder="1" applyAlignment="1">
      <alignment horizontal="center" vertical="center" wrapText="1"/>
    </xf>
    <xf numFmtId="164" fontId="12" fillId="0" borderId="16" xfId="0" applyNumberFormat="1" applyFont="1" applyBorder="1" applyAlignment="1">
      <alignment horizontal="center" vertical="center" shrinkToFit="1"/>
    </xf>
    <xf numFmtId="14" fontId="2" fillId="0" borderId="0" xfId="0" quotePrefix="1" applyNumberFormat="1" applyFont="1" applyAlignment="1" applyProtection="1">
      <alignment horizontal="center" vertical="center"/>
      <protection hidden="1"/>
    </xf>
    <xf numFmtId="1" fontId="13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2" fontId="11" fillId="0" borderId="22" xfId="0" applyNumberFormat="1" applyFont="1" applyBorder="1" applyAlignment="1">
      <alignment horizontal="center" vertical="center" wrapText="1"/>
    </xf>
    <xf numFmtId="164" fontId="12" fillId="0" borderId="22" xfId="0" applyNumberFormat="1" applyFont="1" applyBorder="1" applyAlignment="1">
      <alignment horizontal="center" vertical="center" shrinkToFit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hidden="1"/>
    </xf>
    <xf numFmtId="0" fontId="11" fillId="0" borderId="21" xfId="0" applyFont="1" applyBorder="1" applyAlignment="1">
      <alignment vertical="center"/>
    </xf>
    <xf numFmtId="1" fontId="12" fillId="0" borderId="16" xfId="0" applyNumberFormat="1" applyFont="1" applyBorder="1" applyAlignment="1">
      <alignment horizontal="center" vertical="center" shrinkToFit="1"/>
    </xf>
    <xf numFmtId="0" fontId="11" fillId="0" borderId="16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/>
    </xf>
    <xf numFmtId="1" fontId="14" fillId="0" borderId="16" xfId="0" applyNumberFormat="1" applyFont="1" applyBorder="1" applyAlignment="1" applyProtection="1">
      <alignment horizontal="center" vertical="center" shrinkToFit="1"/>
      <protection locked="0"/>
    </xf>
    <xf numFmtId="0" fontId="11" fillId="0" borderId="3" xfId="0" applyFont="1" applyBorder="1" applyAlignment="1">
      <alignment vertical="center"/>
    </xf>
    <xf numFmtId="1" fontId="12" fillId="0" borderId="22" xfId="0" applyNumberFormat="1" applyFont="1" applyBorder="1" applyAlignment="1">
      <alignment horizontal="center" vertical="center" shrinkToFit="1"/>
    </xf>
    <xf numFmtId="0" fontId="11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/>
    </xf>
    <xf numFmtId="1" fontId="14" fillId="0" borderId="22" xfId="0" applyNumberFormat="1" applyFont="1" applyBorder="1" applyAlignment="1" applyProtection="1">
      <alignment horizontal="center" vertical="center" shrinkToFit="1"/>
      <protection locked="0"/>
    </xf>
    <xf numFmtId="1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2" fillId="0" borderId="24" xfId="0" applyNumberFormat="1" applyFont="1" applyBorder="1" applyAlignment="1">
      <alignment horizontal="center" vertical="center" shrinkToFit="1"/>
    </xf>
    <xf numFmtId="164" fontId="12" fillId="0" borderId="4" xfId="0" applyNumberFormat="1" applyFont="1" applyBorder="1" applyAlignment="1">
      <alignment horizontal="center" vertical="center" shrinkToFit="1"/>
    </xf>
    <xf numFmtId="0" fontId="11" fillId="0" borderId="25" xfId="0" applyFont="1" applyBorder="1" applyAlignment="1">
      <alignment vertical="center"/>
    </xf>
    <xf numFmtId="1" fontId="12" fillId="0" borderId="26" xfId="0" applyNumberFormat="1" applyFont="1" applyBorder="1" applyAlignment="1">
      <alignment horizontal="center" vertical="center" shrinkToFit="1"/>
    </xf>
    <xf numFmtId="1" fontId="13" fillId="0" borderId="2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vertical="center" wrapText="1"/>
    </xf>
    <xf numFmtId="0" fontId="11" fillId="0" borderId="26" xfId="0" applyFont="1" applyBorder="1" applyAlignment="1">
      <alignment horizontal="center" vertical="center" wrapText="1"/>
    </xf>
    <xf numFmtId="2" fontId="11" fillId="0" borderId="26" xfId="0" applyNumberFormat="1" applyFont="1" applyBorder="1" applyAlignment="1">
      <alignment horizontal="center" vertical="center" wrapText="1"/>
    </xf>
    <xf numFmtId="164" fontId="12" fillId="0" borderId="26" xfId="0" applyNumberFormat="1" applyFont="1" applyBorder="1" applyAlignment="1">
      <alignment horizontal="center" vertical="center" shrinkToFit="1"/>
    </xf>
    <xf numFmtId="1" fontId="14" fillId="0" borderId="26" xfId="0" applyNumberFormat="1" applyFont="1" applyBorder="1" applyAlignment="1" applyProtection="1">
      <alignment horizontal="center" vertical="center" shrinkToFit="1"/>
      <protection locked="0"/>
    </xf>
    <xf numFmtId="164" fontId="12" fillId="0" borderId="27" xfId="0" applyNumberFormat="1" applyFont="1" applyBorder="1" applyAlignment="1">
      <alignment horizontal="center" vertical="center" shrinkToFi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1" fontId="6" fillId="3" borderId="28" xfId="0" applyNumberFormat="1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167" fontId="15" fillId="8" borderId="12" xfId="0" applyNumberFormat="1" applyFont="1" applyFill="1" applyBorder="1" applyAlignment="1" applyProtection="1">
      <alignment horizontal="center" vertical="center" readingOrder="1"/>
      <protection hidden="1"/>
    </xf>
    <xf numFmtId="0" fontId="6" fillId="3" borderId="6" xfId="0" applyFont="1" applyFill="1" applyBorder="1" applyAlignment="1">
      <alignment horizontal="center" vertical="center" wrapText="1"/>
    </xf>
    <xf numFmtId="166" fontId="7" fillId="3" borderId="29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14" fontId="8" fillId="4" borderId="18" xfId="0" applyNumberFormat="1" applyFont="1" applyFill="1" applyBorder="1" applyAlignment="1">
      <alignment horizontal="center" vertical="center" wrapText="1"/>
    </xf>
    <xf numFmtId="14" fontId="8" fillId="4" borderId="19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Normal 2 16" xfId="2" xr:uid="{27773176-D31F-4168-9E11-E74BED330D2D}"/>
    <cellStyle name="SAPMemberCell" xfId="1" xr:uid="{F96915E9-CCF4-493C-A364-438513E985DD}"/>
    <cellStyle name="Звичайний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B7FF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9" defaultPivotStyle="PivotStyleLight16"/>
  <colors>
    <mruColors>
      <color rgb="FFB7FFCF"/>
      <color rgb="FF00CC66"/>
      <color rgb="FFD9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873315</xdr:colOff>
      <xdr:row>504</xdr:row>
      <xdr:rowOff>167392</xdr:rowOff>
    </xdr:from>
    <xdr:ext cx="132715" cy="137795"/>
    <xdr:sp macro="" textlink="">
      <xdr:nvSpPr>
        <xdr:cNvPr id="2" name="Textbox 140">
          <a:extLst>
            <a:ext uri="{FF2B5EF4-FFF2-40B4-BE49-F238E27FC236}">
              <a16:creationId xmlns:a16="http://schemas.microsoft.com/office/drawing/2014/main" id="{911BF0D6-0C25-4A99-A530-A3EB29D98F79}"/>
            </a:ext>
          </a:extLst>
        </xdr:cNvPr>
        <xdr:cNvSpPr txBox="1"/>
      </xdr:nvSpPr>
      <xdr:spPr>
        <a:xfrm>
          <a:off x="3852735" y="92544652"/>
          <a:ext cx="132715" cy="1377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solidFill>
                <a:srgbClr val="FFFFFF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873315</xdr:colOff>
      <xdr:row>542</xdr:row>
      <xdr:rowOff>167392</xdr:rowOff>
    </xdr:from>
    <xdr:ext cx="132715" cy="137795"/>
    <xdr:sp macro="" textlink="">
      <xdr:nvSpPr>
        <xdr:cNvPr id="3" name="Textbox 168">
          <a:extLst>
            <a:ext uri="{FF2B5EF4-FFF2-40B4-BE49-F238E27FC236}">
              <a16:creationId xmlns:a16="http://schemas.microsoft.com/office/drawing/2014/main" id="{F92392D9-800C-41AF-81DA-087227B63A4B}"/>
            </a:ext>
          </a:extLst>
        </xdr:cNvPr>
        <xdr:cNvSpPr txBox="1"/>
      </xdr:nvSpPr>
      <xdr:spPr>
        <a:xfrm>
          <a:off x="3852735" y="109430572"/>
          <a:ext cx="132715" cy="1377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solidFill>
                <a:srgbClr val="FFFFFF"/>
              </a:solidFill>
              <a:latin typeface="Arial"/>
              <a:cs typeface="Arial"/>
            </a:rPr>
            <a:t>6</a:t>
          </a:r>
        </a:p>
      </xdr:txBody>
    </xdr:sp>
    <xdr:clientData/>
  </xdr:oneCellAnchor>
  <xdr:twoCellAnchor editAs="oneCell">
    <xdr:from>
      <xdr:col>5</xdr:col>
      <xdr:colOff>160020</xdr:colOff>
      <xdr:row>0</xdr:row>
      <xdr:rowOff>161365</xdr:rowOff>
    </xdr:from>
    <xdr:to>
      <xdr:col>7</xdr:col>
      <xdr:colOff>415067</xdr:colOff>
      <xdr:row>0</xdr:row>
      <xdr:rowOff>899160</xdr:rowOff>
    </xdr:to>
    <xdr:pic>
      <xdr:nvPicPr>
        <xdr:cNvPr id="4" name="Рисунок 3" descr="Nature's Way">
          <a:extLst>
            <a:ext uri="{FF2B5EF4-FFF2-40B4-BE49-F238E27FC236}">
              <a16:creationId xmlns:a16="http://schemas.microsoft.com/office/drawing/2014/main" id="{205E5F84-6458-409B-BF8F-6FA4AB0D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161365"/>
          <a:ext cx="1306607" cy="737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47A2-BD33-4A60-883B-78C8E62AD461}">
  <dimension ref="A1:R686"/>
  <sheetViews>
    <sheetView tabSelected="1" zoomScale="85" zoomScaleNormal="85" workbookViewId="0">
      <pane ySplit="2" topLeftCell="A3" activePane="bottomLeft" state="frozen"/>
      <selection pane="bottomLeft" activeCell="K5" sqref="K5"/>
    </sheetView>
  </sheetViews>
  <sheetFormatPr defaultRowHeight="13.2"/>
  <cols>
    <col min="1" max="1" width="24.21875" style="24" bestFit="1" customWidth="1"/>
    <col min="2" max="2" width="7.77734375" style="1" customWidth="1"/>
    <col min="3" max="3" width="11.44140625" style="36" bestFit="1" customWidth="1"/>
    <col min="4" max="4" width="41.44140625" style="24" bestFit="1" customWidth="1"/>
    <col min="5" max="6" width="7.5546875" style="24" customWidth="1"/>
    <col min="7" max="7" width="7.77734375" style="1" bestFit="1" customWidth="1"/>
    <col min="8" max="8" width="9" style="1" customWidth="1"/>
    <col min="9" max="9" width="9.44140625" style="37" customWidth="1"/>
    <col min="10" max="10" width="10.33203125" style="1" bestFit="1" customWidth="1"/>
    <col min="11" max="11" width="15" style="22" bestFit="1" customWidth="1"/>
    <col min="12" max="12" width="14" style="22" customWidth="1"/>
    <col min="13" max="16" width="13.88671875" style="23" customWidth="1"/>
    <col min="17" max="17" width="5.5546875" style="23" customWidth="1"/>
    <col min="18" max="18" width="13.88671875" style="23" customWidth="1"/>
    <col min="19" max="16384" width="8.88671875" style="24"/>
  </cols>
  <sheetData>
    <row r="1" spans="1:18" ht="86.4" customHeight="1" thickBo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17">
        <v>46115</v>
      </c>
      <c r="M1" s="2" t="s">
        <v>597</v>
      </c>
      <c r="N1" s="63" t="s">
        <v>598</v>
      </c>
      <c r="O1" s="3" t="s">
        <v>12</v>
      </c>
      <c r="P1" s="4" t="s">
        <v>599</v>
      </c>
      <c r="R1" s="5" t="str">
        <f>IFERROR(IF(SUM(R3:R576)=0, "-", K2+P2), "-")</f>
        <v>-</v>
      </c>
    </row>
    <row r="2" spans="1:18" ht="24.6" thickBot="1">
      <c r="A2" s="49" t="s">
        <v>8</v>
      </c>
      <c r="B2" s="50" t="s">
        <v>594</v>
      </c>
      <c r="C2" s="51" t="s">
        <v>11</v>
      </c>
      <c r="D2" s="50" t="s">
        <v>595</v>
      </c>
      <c r="E2" s="50" t="s">
        <v>9</v>
      </c>
      <c r="F2" s="52" t="s">
        <v>12</v>
      </c>
      <c r="G2" s="50" t="s">
        <v>596</v>
      </c>
      <c r="H2" s="53" t="s">
        <v>601</v>
      </c>
      <c r="I2" s="50" t="s">
        <v>1</v>
      </c>
      <c r="J2" s="54" t="s">
        <v>2</v>
      </c>
      <c r="K2" s="55">
        <f>SUM(J3:J576)</f>
        <v>0</v>
      </c>
      <c r="L2" s="25"/>
      <c r="M2" s="6"/>
      <c r="N2" s="64"/>
      <c r="O2" s="7" t="str">
        <f>IF(SUM(O3:O576)=0, "-", SUM(O3:O576))</f>
        <v>-</v>
      </c>
      <c r="P2" s="7" t="str">
        <f>IF(SUM(P3:P576)=0, "-", SUM(P3:P576))</f>
        <v>-</v>
      </c>
      <c r="Q2" s="8"/>
      <c r="R2" s="9" t="s">
        <v>600</v>
      </c>
    </row>
    <row r="3" spans="1:18" ht="14.4">
      <c r="A3" s="40" t="s">
        <v>570</v>
      </c>
      <c r="B3" s="41">
        <v>2070</v>
      </c>
      <c r="C3" s="42">
        <v>33674020708</v>
      </c>
      <c r="D3" s="43" t="s">
        <v>24</v>
      </c>
      <c r="E3" s="44">
        <v>12</v>
      </c>
      <c r="F3" s="45">
        <v>8.7520647791500025E-2</v>
      </c>
      <c r="G3" s="46">
        <v>8.0212500000000002</v>
      </c>
      <c r="H3" s="29" t="s">
        <v>603</v>
      </c>
      <c r="I3" s="47"/>
      <c r="J3" s="48">
        <f t="shared" ref="J3:J66" si="0">I3*G3</f>
        <v>0</v>
      </c>
      <c r="M3" s="10" t="str">
        <f t="shared" ref="M3:M66" si="1">IFERROR(IF($M$2*F3=0, "-", $M$2*F3), "-")</f>
        <v>-</v>
      </c>
      <c r="N3" s="10" t="str">
        <f>IFERROR(IF(M3&gt;0,G3+M3,"-"),"-")</f>
        <v>-</v>
      </c>
      <c r="O3" s="11" t="str">
        <f t="shared" ref="O3:O66" si="2">IF(I3&gt;0,I3*F3, "-")</f>
        <v>-</v>
      </c>
      <c r="P3" s="12" t="str">
        <f>IFERROR(IF($M$2&gt;0, $M$2*O3, "-"), "-")</f>
        <v>-</v>
      </c>
      <c r="R3" s="12" t="str">
        <f t="shared" ref="R3:R66" si="3">IFERROR(IF(P3+J3=0, "-", IF(P3&gt;0, P3+J3, "-")), "-")</f>
        <v>-</v>
      </c>
    </row>
    <row r="4" spans="1:18" ht="14.4">
      <c r="A4" s="26" t="s">
        <v>570</v>
      </c>
      <c r="B4" s="27">
        <v>45171</v>
      </c>
      <c r="C4" s="13">
        <v>33674451717</v>
      </c>
      <c r="D4" s="28" t="s">
        <v>26</v>
      </c>
      <c r="E4" s="14">
        <v>12</v>
      </c>
      <c r="F4" s="45">
        <v>9.2154093851050001E-2</v>
      </c>
      <c r="G4" s="16">
        <v>8.0212500000000002</v>
      </c>
      <c r="H4" s="29" t="s">
        <v>603</v>
      </c>
      <c r="I4" s="30"/>
      <c r="J4" s="38">
        <f t="shared" si="0"/>
        <v>0</v>
      </c>
      <c r="M4" s="10" t="str">
        <f t="shared" si="1"/>
        <v>-</v>
      </c>
      <c r="N4" s="10" t="str">
        <f t="shared" ref="N4:N67" si="4">IFERROR(IF(M4&gt;0,G4+M4,"-"),"-")</f>
        <v>-</v>
      </c>
      <c r="O4" s="11" t="str">
        <f t="shared" si="2"/>
        <v>-</v>
      </c>
      <c r="P4" s="12" t="str">
        <f t="shared" ref="P4:P67" si="5">IFERROR(IF($M$2&gt;0, $M$2*O4, "-"), "-")</f>
        <v>-</v>
      </c>
      <c r="R4" s="12" t="str">
        <f t="shared" si="3"/>
        <v>-</v>
      </c>
    </row>
    <row r="5" spans="1:18" ht="14.4">
      <c r="A5" s="26" t="s">
        <v>567</v>
      </c>
      <c r="B5" s="27">
        <v>10255</v>
      </c>
      <c r="C5" s="13">
        <v>33674102558</v>
      </c>
      <c r="D5" s="28" t="s">
        <v>35</v>
      </c>
      <c r="E5" s="14">
        <v>12</v>
      </c>
      <c r="F5" s="45">
        <v>0.44069220299720008</v>
      </c>
      <c r="G5" s="16">
        <v>9.7537500000000001</v>
      </c>
      <c r="H5" s="29" t="s">
        <v>603</v>
      </c>
      <c r="I5" s="30"/>
      <c r="J5" s="38">
        <f t="shared" si="0"/>
        <v>0</v>
      </c>
      <c r="M5" s="10" t="str">
        <f t="shared" si="1"/>
        <v>-</v>
      </c>
      <c r="N5" s="10" t="str">
        <f t="shared" si="4"/>
        <v>-</v>
      </c>
      <c r="O5" s="11" t="str">
        <f t="shared" si="2"/>
        <v>-</v>
      </c>
      <c r="P5" s="12" t="str">
        <f t="shared" si="5"/>
        <v>-</v>
      </c>
      <c r="R5" s="12" t="str">
        <f t="shared" si="3"/>
        <v>-</v>
      </c>
    </row>
    <row r="6" spans="1:18" ht="14.4">
      <c r="A6" s="26" t="s">
        <v>573</v>
      </c>
      <c r="B6" s="27">
        <v>15786</v>
      </c>
      <c r="C6" s="13">
        <v>33674157862</v>
      </c>
      <c r="D6" s="28" t="s">
        <v>37</v>
      </c>
      <c r="E6" s="14">
        <v>12</v>
      </c>
      <c r="F6" s="45">
        <v>0.29602572047125003</v>
      </c>
      <c r="G6" s="16">
        <v>11.16</v>
      </c>
      <c r="H6" s="29" t="s">
        <v>603</v>
      </c>
      <c r="I6" s="30"/>
      <c r="J6" s="38">
        <f t="shared" si="0"/>
        <v>0</v>
      </c>
      <c r="M6" s="10" t="str">
        <f t="shared" si="1"/>
        <v>-</v>
      </c>
      <c r="N6" s="10" t="str">
        <f t="shared" si="4"/>
        <v>-</v>
      </c>
      <c r="O6" s="11" t="str">
        <f t="shared" si="2"/>
        <v>-</v>
      </c>
      <c r="P6" s="12" t="str">
        <f t="shared" si="5"/>
        <v>-</v>
      </c>
      <c r="R6" s="12" t="str">
        <f t="shared" si="3"/>
        <v>-</v>
      </c>
    </row>
    <row r="7" spans="1:18" ht="14.4">
      <c r="A7" s="26" t="s">
        <v>573</v>
      </c>
      <c r="B7" s="27">
        <v>15789</v>
      </c>
      <c r="C7" s="13">
        <v>33674157893</v>
      </c>
      <c r="D7" s="28" t="s">
        <v>38</v>
      </c>
      <c r="E7" s="14">
        <v>12</v>
      </c>
      <c r="F7" s="45">
        <v>0.37016085742405003</v>
      </c>
      <c r="G7" s="16">
        <v>11.790000000000001</v>
      </c>
      <c r="H7" s="29" t="s">
        <v>603</v>
      </c>
      <c r="I7" s="30"/>
      <c r="J7" s="38">
        <f t="shared" si="0"/>
        <v>0</v>
      </c>
      <c r="M7" s="10" t="str">
        <f t="shared" si="1"/>
        <v>-</v>
      </c>
      <c r="N7" s="10" t="str">
        <f t="shared" si="4"/>
        <v>-</v>
      </c>
      <c r="O7" s="11" t="str">
        <f t="shared" si="2"/>
        <v>-</v>
      </c>
      <c r="P7" s="12" t="str">
        <f t="shared" si="5"/>
        <v>-</v>
      </c>
      <c r="R7" s="12" t="str">
        <f t="shared" si="3"/>
        <v>-</v>
      </c>
    </row>
    <row r="8" spans="1:18" ht="14.4">
      <c r="A8" s="26" t="s">
        <v>573</v>
      </c>
      <c r="B8" s="27">
        <v>15788</v>
      </c>
      <c r="C8" s="13">
        <v>33674157886</v>
      </c>
      <c r="D8" s="28" t="s">
        <v>42</v>
      </c>
      <c r="E8" s="14">
        <v>12</v>
      </c>
      <c r="F8" s="45">
        <v>0.26153228869459999</v>
      </c>
      <c r="G8" s="16">
        <v>6.8849999999999998</v>
      </c>
      <c r="H8" s="29" t="s">
        <v>603</v>
      </c>
      <c r="I8" s="30"/>
      <c r="J8" s="38">
        <f t="shared" si="0"/>
        <v>0</v>
      </c>
      <c r="M8" s="10" t="str">
        <f t="shared" si="1"/>
        <v>-</v>
      </c>
      <c r="N8" s="10" t="str">
        <f t="shared" si="4"/>
        <v>-</v>
      </c>
      <c r="O8" s="11" t="str">
        <f t="shared" si="2"/>
        <v>-</v>
      </c>
      <c r="P8" s="12" t="str">
        <f t="shared" si="5"/>
        <v>-</v>
      </c>
      <c r="R8" s="12" t="str">
        <f t="shared" si="3"/>
        <v>-</v>
      </c>
    </row>
    <row r="9" spans="1:18" ht="14.4">
      <c r="A9" s="26" t="s">
        <v>576</v>
      </c>
      <c r="B9" s="27">
        <v>11534</v>
      </c>
      <c r="C9" s="13">
        <v>33674115343</v>
      </c>
      <c r="D9" s="28" t="s">
        <v>44</v>
      </c>
      <c r="E9" s="14">
        <v>12</v>
      </c>
      <c r="F9" s="45">
        <v>0.29139227441170001</v>
      </c>
      <c r="G9" s="16">
        <v>7.8862500000000004</v>
      </c>
      <c r="H9" s="29" t="s">
        <v>603</v>
      </c>
      <c r="I9" s="30"/>
      <c r="J9" s="38">
        <f t="shared" si="0"/>
        <v>0</v>
      </c>
      <c r="M9" s="10" t="str">
        <f t="shared" si="1"/>
        <v>-</v>
      </c>
      <c r="N9" s="10" t="str">
        <f t="shared" si="4"/>
        <v>-</v>
      </c>
      <c r="O9" s="11" t="str">
        <f t="shared" si="2"/>
        <v>-</v>
      </c>
      <c r="P9" s="12" t="str">
        <f t="shared" si="5"/>
        <v>-</v>
      </c>
      <c r="R9" s="12" t="str">
        <f t="shared" si="3"/>
        <v>-</v>
      </c>
    </row>
    <row r="10" spans="1:18" ht="14.4">
      <c r="A10" s="26" t="s">
        <v>573</v>
      </c>
      <c r="B10" s="27">
        <v>13660</v>
      </c>
      <c r="C10" s="13">
        <v>33674136607</v>
      </c>
      <c r="D10" s="28" t="s">
        <v>56</v>
      </c>
      <c r="E10" s="14">
        <v>12</v>
      </c>
      <c r="F10" s="45">
        <v>0.15496302932495001</v>
      </c>
      <c r="G10" s="16">
        <v>9.18</v>
      </c>
      <c r="H10" s="29" t="s">
        <v>603</v>
      </c>
      <c r="I10" s="30"/>
      <c r="J10" s="38">
        <f t="shared" si="0"/>
        <v>0</v>
      </c>
      <c r="M10" s="10" t="str">
        <f t="shared" si="1"/>
        <v>-</v>
      </c>
      <c r="N10" s="10" t="str">
        <f t="shared" si="4"/>
        <v>-</v>
      </c>
      <c r="O10" s="11" t="str">
        <f t="shared" si="2"/>
        <v>-</v>
      </c>
      <c r="P10" s="12" t="str">
        <f t="shared" si="5"/>
        <v>-</v>
      </c>
      <c r="R10" s="12" t="str">
        <f t="shared" si="3"/>
        <v>-</v>
      </c>
    </row>
    <row r="11" spans="1:18" ht="14.4">
      <c r="A11" s="26" t="s">
        <v>573</v>
      </c>
      <c r="B11" s="27">
        <v>15900</v>
      </c>
      <c r="C11" s="13">
        <v>33674159002</v>
      </c>
      <c r="D11" s="28" t="s">
        <v>64</v>
      </c>
      <c r="E11" s="14">
        <v>12</v>
      </c>
      <c r="F11" s="45">
        <v>0.34236018106675004</v>
      </c>
      <c r="G11" s="16">
        <v>8.8650000000000002</v>
      </c>
      <c r="H11" s="29" t="s">
        <v>603</v>
      </c>
      <c r="I11" s="30"/>
      <c r="J11" s="38">
        <f t="shared" si="0"/>
        <v>0</v>
      </c>
      <c r="M11" s="10" t="str">
        <f t="shared" si="1"/>
        <v>-</v>
      </c>
      <c r="N11" s="10" t="str">
        <f t="shared" si="4"/>
        <v>-</v>
      </c>
      <c r="O11" s="11" t="str">
        <f t="shared" si="2"/>
        <v>-</v>
      </c>
      <c r="P11" s="12" t="str">
        <f t="shared" si="5"/>
        <v>-</v>
      </c>
      <c r="R11" s="12" t="str">
        <f t="shared" si="3"/>
        <v>-</v>
      </c>
    </row>
    <row r="12" spans="1:18" ht="14.4">
      <c r="A12" s="26" t="s">
        <v>573</v>
      </c>
      <c r="B12" s="27">
        <v>15691</v>
      </c>
      <c r="C12" s="13">
        <v>33674156919</v>
      </c>
      <c r="D12" s="28" t="s">
        <v>70</v>
      </c>
      <c r="E12" s="14">
        <v>12</v>
      </c>
      <c r="F12" s="45">
        <v>0.19717887120084998</v>
      </c>
      <c r="G12" s="16">
        <v>16.875</v>
      </c>
      <c r="H12" s="29" t="s">
        <v>603</v>
      </c>
      <c r="I12" s="30"/>
      <c r="J12" s="38">
        <f t="shared" si="0"/>
        <v>0</v>
      </c>
      <c r="M12" s="10" t="str">
        <f t="shared" si="1"/>
        <v>-</v>
      </c>
      <c r="N12" s="10" t="str">
        <f t="shared" si="4"/>
        <v>-</v>
      </c>
      <c r="O12" s="11" t="str">
        <f t="shared" si="2"/>
        <v>-</v>
      </c>
      <c r="P12" s="12" t="str">
        <f t="shared" si="5"/>
        <v>-</v>
      </c>
      <c r="R12" s="12" t="str">
        <f t="shared" si="3"/>
        <v>-</v>
      </c>
    </row>
    <row r="13" spans="1:18" ht="14.4">
      <c r="A13" s="26" t="s">
        <v>573</v>
      </c>
      <c r="B13" s="27">
        <v>15685</v>
      </c>
      <c r="C13" s="13">
        <v>33674156858</v>
      </c>
      <c r="D13" s="28" t="s">
        <v>71</v>
      </c>
      <c r="E13" s="14">
        <v>12</v>
      </c>
      <c r="F13" s="45">
        <v>0.19563438918100004</v>
      </c>
      <c r="G13" s="16">
        <v>16.875</v>
      </c>
      <c r="H13" s="29" t="s">
        <v>603</v>
      </c>
      <c r="I13" s="30"/>
      <c r="J13" s="38">
        <f t="shared" si="0"/>
        <v>0</v>
      </c>
      <c r="M13" s="10" t="str">
        <f t="shared" si="1"/>
        <v>-</v>
      </c>
      <c r="N13" s="10" t="str">
        <f t="shared" si="4"/>
        <v>-</v>
      </c>
      <c r="O13" s="11" t="str">
        <f t="shared" si="2"/>
        <v>-</v>
      </c>
      <c r="P13" s="12" t="str">
        <f t="shared" si="5"/>
        <v>-</v>
      </c>
      <c r="R13" s="12" t="str">
        <f t="shared" si="3"/>
        <v>-</v>
      </c>
    </row>
    <row r="14" spans="1:18" ht="14.4">
      <c r="A14" s="26" t="s">
        <v>573</v>
      </c>
      <c r="B14" s="27">
        <v>15692</v>
      </c>
      <c r="C14" s="13">
        <v>33674156926</v>
      </c>
      <c r="D14" s="28" t="s">
        <v>76</v>
      </c>
      <c r="E14" s="14">
        <v>12</v>
      </c>
      <c r="F14" s="45">
        <v>0.19203059780135001</v>
      </c>
      <c r="G14" s="16">
        <v>16.875</v>
      </c>
      <c r="H14" s="29" t="s">
        <v>603</v>
      </c>
      <c r="I14" s="30"/>
      <c r="J14" s="38">
        <f t="shared" si="0"/>
        <v>0</v>
      </c>
      <c r="M14" s="10" t="str">
        <f t="shared" si="1"/>
        <v>-</v>
      </c>
      <c r="N14" s="10" t="str">
        <f t="shared" si="4"/>
        <v>-</v>
      </c>
      <c r="O14" s="11" t="str">
        <f t="shared" si="2"/>
        <v>-</v>
      </c>
      <c r="P14" s="12" t="str">
        <f t="shared" si="5"/>
        <v>-</v>
      </c>
      <c r="R14" s="12" t="str">
        <f t="shared" si="3"/>
        <v>-</v>
      </c>
    </row>
    <row r="15" spans="1:18" ht="14.4">
      <c r="A15" s="26" t="s">
        <v>573</v>
      </c>
      <c r="B15" s="27">
        <v>15686</v>
      </c>
      <c r="C15" s="13">
        <v>33674156865</v>
      </c>
      <c r="D15" s="28" t="s">
        <v>77</v>
      </c>
      <c r="E15" s="14">
        <v>12</v>
      </c>
      <c r="F15" s="45">
        <v>0.19717887120084998</v>
      </c>
      <c r="G15" s="16">
        <v>16.875</v>
      </c>
      <c r="H15" s="29" t="s">
        <v>603</v>
      </c>
      <c r="I15" s="30"/>
      <c r="J15" s="38">
        <f t="shared" si="0"/>
        <v>0</v>
      </c>
      <c r="M15" s="10" t="str">
        <f t="shared" si="1"/>
        <v>-</v>
      </c>
      <c r="N15" s="10" t="str">
        <f t="shared" si="4"/>
        <v>-</v>
      </c>
      <c r="O15" s="11" t="str">
        <f t="shared" si="2"/>
        <v>-</v>
      </c>
      <c r="P15" s="12" t="str">
        <f t="shared" si="5"/>
        <v>-</v>
      </c>
      <c r="R15" s="12" t="str">
        <f t="shared" si="3"/>
        <v>-</v>
      </c>
    </row>
    <row r="16" spans="1:18" ht="14.4">
      <c r="A16" s="26" t="s">
        <v>573</v>
      </c>
      <c r="B16" s="27">
        <v>15904</v>
      </c>
      <c r="C16" s="13">
        <v>33674159040</v>
      </c>
      <c r="D16" s="28" t="s">
        <v>88</v>
      </c>
      <c r="E16" s="14">
        <v>12</v>
      </c>
      <c r="F16" s="45">
        <v>0.34493431776650002</v>
      </c>
      <c r="G16" s="16">
        <v>8.8650000000000002</v>
      </c>
      <c r="H16" s="29" t="s">
        <v>603</v>
      </c>
      <c r="I16" s="30"/>
      <c r="J16" s="38">
        <f t="shared" si="0"/>
        <v>0</v>
      </c>
      <c r="M16" s="10" t="str">
        <f t="shared" si="1"/>
        <v>-</v>
      </c>
      <c r="N16" s="10" t="str">
        <f t="shared" si="4"/>
        <v>-</v>
      </c>
      <c r="O16" s="11" t="str">
        <f t="shared" si="2"/>
        <v>-</v>
      </c>
      <c r="P16" s="12" t="str">
        <f t="shared" si="5"/>
        <v>-</v>
      </c>
      <c r="R16" s="12" t="str">
        <f t="shared" si="3"/>
        <v>-</v>
      </c>
    </row>
    <row r="17" spans="1:18" ht="14.4">
      <c r="A17" s="26" t="s">
        <v>573</v>
      </c>
      <c r="B17" s="27">
        <v>11536</v>
      </c>
      <c r="C17" s="13">
        <v>33674115367</v>
      </c>
      <c r="D17" s="28" t="s">
        <v>91</v>
      </c>
      <c r="E17" s="14">
        <v>12</v>
      </c>
      <c r="F17" s="45">
        <v>0.64868244833700006</v>
      </c>
      <c r="G17" s="16">
        <v>15.120000000000001</v>
      </c>
      <c r="H17" s="29" t="s">
        <v>603</v>
      </c>
      <c r="I17" s="30"/>
      <c r="J17" s="38">
        <f t="shared" si="0"/>
        <v>0</v>
      </c>
      <c r="M17" s="10" t="str">
        <f t="shared" si="1"/>
        <v>-</v>
      </c>
      <c r="N17" s="10" t="str">
        <f t="shared" si="4"/>
        <v>-</v>
      </c>
      <c r="O17" s="11" t="str">
        <f t="shared" si="2"/>
        <v>-</v>
      </c>
      <c r="P17" s="12" t="str">
        <f t="shared" si="5"/>
        <v>-</v>
      </c>
      <c r="R17" s="12" t="str">
        <f t="shared" si="3"/>
        <v>-</v>
      </c>
    </row>
    <row r="18" spans="1:18" ht="14.4">
      <c r="A18" s="26" t="s">
        <v>573</v>
      </c>
      <c r="B18" s="27">
        <v>15903</v>
      </c>
      <c r="C18" s="13">
        <v>33674159033</v>
      </c>
      <c r="D18" s="28" t="s">
        <v>92</v>
      </c>
      <c r="E18" s="14">
        <v>12</v>
      </c>
      <c r="F18" s="45">
        <v>0.33927121702705004</v>
      </c>
      <c r="G18" s="16">
        <v>8.8650000000000002</v>
      </c>
      <c r="H18" s="29" t="s">
        <v>603</v>
      </c>
      <c r="I18" s="30"/>
      <c r="J18" s="38">
        <f t="shared" si="0"/>
        <v>0</v>
      </c>
      <c r="M18" s="10" t="str">
        <f t="shared" si="1"/>
        <v>-</v>
      </c>
      <c r="N18" s="10" t="str">
        <f t="shared" si="4"/>
        <v>-</v>
      </c>
      <c r="O18" s="11" t="str">
        <f t="shared" si="2"/>
        <v>-</v>
      </c>
      <c r="P18" s="12" t="str">
        <f t="shared" si="5"/>
        <v>-</v>
      </c>
      <c r="R18" s="12" t="str">
        <f t="shared" si="3"/>
        <v>-</v>
      </c>
    </row>
    <row r="19" spans="1:18" ht="14.4">
      <c r="A19" s="26" t="s">
        <v>573</v>
      </c>
      <c r="B19" s="27">
        <v>13663</v>
      </c>
      <c r="C19" s="13">
        <v>33674136638</v>
      </c>
      <c r="D19" s="28" t="s">
        <v>93</v>
      </c>
      <c r="E19" s="14">
        <v>12</v>
      </c>
      <c r="F19" s="45">
        <v>0.16320026676415</v>
      </c>
      <c r="G19" s="16">
        <v>9.18</v>
      </c>
      <c r="H19" s="29" t="s">
        <v>603</v>
      </c>
      <c r="I19" s="30"/>
      <c r="J19" s="38">
        <f t="shared" si="0"/>
        <v>0</v>
      </c>
      <c r="M19" s="10" t="str">
        <f t="shared" si="1"/>
        <v>-</v>
      </c>
      <c r="N19" s="10" t="str">
        <f t="shared" si="4"/>
        <v>-</v>
      </c>
      <c r="O19" s="11" t="str">
        <f t="shared" si="2"/>
        <v>-</v>
      </c>
      <c r="P19" s="12" t="str">
        <f t="shared" si="5"/>
        <v>-</v>
      </c>
      <c r="R19" s="12" t="str">
        <f t="shared" si="3"/>
        <v>-</v>
      </c>
    </row>
    <row r="20" spans="1:18" ht="14.4">
      <c r="A20" s="26" t="s">
        <v>570</v>
      </c>
      <c r="B20" s="27">
        <v>14280</v>
      </c>
      <c r="C20" s="13">
        <v>33674142806</v>
      </c>
      <c r="D20" s="28" t="s">
        <v>103</v>
      </c>
      <c r="E20" s="14">
        <v>12</v>
      </c>
      <c r="F20" s="45">
        <v>1.3128097168725001</v>
      </c>
      <c r="G20" s="16">
        <v>10.6875</v>
      </c>
      <c r="H20" s="29" t="s">
        <v>603</v>
      </c>
      <c r="I20" s="30"/>
      <c r="J20" s="38">
        <f t="shared" si="0"/>
        <v>0</v>
      </c>
      <c r="M20" s="10" t="str">
        <f t="shared" si="1"/>
        <v>-</v>
      </c>
      <c r="N20" s="10" t="str">
        <f t="shared" si="4"/>
        <v>-</v>
      </c>
      <c r="O20" s="11" t="str">
        <f t="shared" si="2"/>
        <v>-</v>
      </c>
      <c r="P20" s="12" t="str">
        <f t="shared" si="5"/>
        <v>-</v>
      </c>
      <c r="R20" s="12" t="str">
        <f t="shared" si="3"/>
        <v>-</v>
      </c>
    </row>
    <row r="21" spans="1:18" ht="14.4">
      <c r="A21" s="26" t="s">
        <v>568</v>
      </c>
      <c r="B21" s="27">
        <v>64600</v>
      </c>
      <c r="C21" s="13">
        <v>33674646007</v>
      </c>
      <c r="D21" s="28" t="s">
        <v>112</v>
      </c>
      <c r="E21" s="14">
        <v>12</v>
      </c>
      <c r="F21" s="15">
        <v>7.7224100992500003E-2</v>
      </c>
      <c r="G21" s="16">
        <v>7.6499999999999995</v>
      </c>
      <c r="H21" s="29" t="s">
        <v>603</v>
      </c>
      <c r="I21" s="30"/>
      <c r="J21" s="38">
        <f t="shared" si="0"/>
        <v>0</v>
      </c>
      <c r="M21" s="10" t="str">
        <f t="shared" si="1"/>
        <v>-</v>
      </c>
      <c r="N21" s="10" t="str">
        <f t="shared" si="4"/>
        <v>-</v>
      </c>
      <c r="O21" s="11" t="str">
        <f t="shared" si="2"/>
        <v>-</v>
      </c>
      <c r="P21" s="12" t="str">
        <f t="shared" si="5"/>
        <v>-</v>
      </c>
      <c r="R21" s="12" t="str">
        <f t="shared" si="3"/>
        <v>-</v>
      </c>
    </row>
    <row r="22" spans="1:18" ht="14.4">
      <c r="A22" s="26" t="s">
        <v>570</v>
      </c>
      <c r="B22" s="27">
        <v>10600</v>
      </c>
      <c r="C22" s="13">
        <v>33674106006</v>
      </c>
      <c r="D22" s="28" t="s">
        <v>134</v>
      </c>
      <c r="E22" s="14">
        <v>12</v>
      </c>
      <c r="F22" s="15">
        <v>0.10450995000985001</v>
      </c>
      <c r="G22" s="16">
        <v>8.0212500000000002</v>
      </c>
      <c r="H22" s="29" t="s">
        <v>603</v>
      </c>
      <c r="I22" s="30"/>
      <c r="J22" s="38">
        <f t="shared" si="0"/>
        <v>0</v>
      </c>
      <c r="M22" s="10" t="str">
        <f t="shared" si="1"/>
        <v>-</v>
      </c>
      <c r="N22" s="10" t="str">
        <f t="shared" si="4"/>
        <v>-</v>
      </c>
      <c r="O22" s="11" t="str">
        <f t="shared" si="2"/>
        <v>-</v>
      </c>
      <c r="P22" s="12" t="str">
        <f t="shared" si="5"/>
        <v>-</v>
      </c>
      <c r="R22" s="12" t="str">
        <f t="shared" si="3"/>
        <v>-</v>
      </c>
    </row>
    <row r="23" spans="1:18" ht="14.4">
      <c r="A23" s="26" t="s">
        <v>570</v>
      </c>
      <c r="B23" s="27">
        <v>3550</v>
      </c>
      <c r="C23" s="13">
        <v>358008035501</v>
      </c>
      <c r="D23" s="28" t="s">
        <v>174</v>
      </c>
      <c r="E23" s="14">
        <v>12</v>
      </c>
      <c r="F23" s="15">
        <v>0.11583615148875002</v>
      </c>
      <c r="G23" s="16">
        <v>11.475</v>
      </c>
      <c r="H23" s="29" t="s">
        <v>603</v>
      </c>
      <c r="I23" s="30"/>
      <c r="J23" s="38">
        <f t="shared" si="0"/>
        <v>0</v>
      </c>
      <c r="M23" s="10" t="str">
        <f t="shared" si="1"/>
        <v>-</v>
      </c>
      <c r="N23" s="10" t="str">
        <f t="shared" si="4"/>
        <v>-</v>
      </c>
      <c r="O23" s="11" t="str">
        <f t="shared" si="2"/>
        <v>-</v>
      </c>
      <c r="P23" s="12" t="str">
        <f t="shared" si="5"/>
        <v>-</v>
      </c>
      <c r="R23" s="12" t="str">
        <f t="shared" si="3"/>
        <v>-</v>
      </c>
    </row>
    <row r="24" spans="1:18" ht="14.4">
      <c r="A24" s="26" t="s">
        <v>570</v>
      </c>
      <c r="B24" s="27">
        <v>10008</v>
      </c>
      <c r="C24" s="13">
        <v>33674100080</v>
      </c>
      <c r="D24" s="28" t="s">
        <v>175</v>
      </c>
      <c r="E24" s="14">
        <v>12</v>
      </c>
      <c r="F24" s="15">
        <v>0.18705393351516672</v>
      </c>
      <c r="G24" s="16">
        <v>13.758749999999999</v>
      </c>
      <c r="H24" s="29" t="s">
        <v>603</v>
      </c>
      <c r="I24" s="30"/>
      <c r="J24" s="38">
        <f t="shared" si="0"/>
        <v>0</v>
      </c>
      <c r="M24" s="10" t="str">
        <f t="shared" si="1"/>
        <v>-</v>
      </c>
      <c r="N24" s="10" t="str">
        <f t="shared" si="4"/>
        <v>-</v>
      </c>
      <c r="O24" s="11" t="str">
        <f t="shared" si="2"/>
        <v>-</v>
      </c>
      <c r="P24" s="12" t="str">
        <f t="shared" si="5"/>
        <v>-</v>
      </c>
      <c r="R24" s="12" t="str">
        <f t="shared" si="3"/>
        <v>-</v>
      </c>
    </row>
    <row r="25" spans="1:18" ht="14.4">
      <c r="A25" s="26" t="s">
        <v>570</v>
      </c>
      <c r="B25" s="27">
        <v>3501</v>
      </c>
      <c r="C25" s="13">
        <v>358008035013</v>
      </c>
      <c r="D25" s="28" t="s">
        <v>176</v>
      </c>
      <c r="E25" s="14">
        <v>12</v>
      </c>
      <c r="F25" s="15">
        <v>0.66069508626916673</v>
      </c>
      <c r="G25" s="16">
        <v>9.5512499999999996</v>
      </c>
      <c r="H25" s="29" t="s">
        <v>603</v>
      </c>
      <c r="I25" s="30"/>
      <c r="J25" s="38">
        <f t="shared" si="0"/>
        <v>0</v>
      </c>
      <c r="M25" s="10" t="str">
        <f t="shared" si="1"/>
        <v>-</v>
      </c>
      <c r="N25" s="10" t="str">
        <f t="shared" si="4"/>
        <v>-</v>
      </c>
      <c r="O25" s="11" t="str">
        <f t="shared" si="2"/>
        <v>-</v>
      </c>
      <c r="P25" s="12" t="str">
        <f t="shared" si="5"/>
        <v>-</v>
      </c>
      <c r="R25" s="12" t="str">
        <f t="shared" si="3"/>
        <v>-</v>
      </c>
    </row>
    <row r="26" spans="1:18" ht="14.4">
      <c r="A26" s="26" t="s">
        <v>570</v>
      </c>
      <c r="B26" s="27">
        <v>3502</v>
      </c>
      <c r="C26" s="13">
        <v>358008035020</v>
      </c>
      <c r="D26" s="28" t="s">
        <v>177</v>
      </c>
      <c r="E26" s="14">
        <v>12</v>
      </c>
      <c r="F26" s="15">
        <v>0.58347098527666674</v>
      </c>
      <c r="G26" s="16">
        <v>9.5512499999999996</v>
      </c>
      <c r="H26" s="29" t="s">
        <v>603</v>
      </c>
      <c r="I26" s="30"/>
      <c r="J26" s="38">
        <f t="shared" si="0"/>
        <v>0</v>
      </c>
      <c r="M26" s="10" t="str">
        <f t="shared" si="1"/>
        <v>-</v>
      </c>
      <c r="N26" s="10" t="str">
        <f t="shared" si="4"/>
        <v>-</v>
      </c>
      <c r="O26" s="11" t="str">
        <f t="shared" si="2"/>
        <v>-</v>
      </c>
      <c r="P26" s="12" t="str">
        <f t="shared" si="5"/>
        <v>-</v>
      </c>
      <c r="R26" s="12" t="str">
        <f t="shared" si="3"/>
        <v>-</v>
      </c>
    </row>
    <row r="27" spans="1:18" ht="14.4">
      <c r="A27" s="26" t="s">
        <v>588</v>
      </c>
      <c r="B27" s="27">
        <v>40460</v>
      </c>
      <c r="C27" s="13">
        <v>33674404607</v>
      </c>
      <c r="D27" s="28" t="s">
        <v>180</v>
      </c>
      <c r="E27" s="14">
        <v>12</v>
      </c>
      <c r="F27" s="15">
        <v>0.23682057637699996</v>
      </c>
      <c r="G27" s="16">
        <v>8.932500000000001</v>
      </c>
      <c r="H27" s="29" t="s">
        <v>603</v>
      </c>
      <c r="I27" s="30"/>
      <c r="J27" s="38">
        <f t="shared" si="0"/>
        <v>0</v>
      </c>
      <c r="M27" s="10" t="str">
        <f t="shared" si="1"/>
        <v>-</v>
      </c>
      <c r="N27" s="10" t="str">
        <f t="shared" si="4"/>
        <v>-</v>
      </c>
      <c r="O27" s="11" t="str">
        <f t="shared" si="2"/>
        <v>-</v>
      </c>
      <c r="P27" s="12" t="str">
        <f t="shared" si="5"/>
        <v>-</v>
      </c>
      <c r="R27" s="12" t="str">
        <f t="shared" si="3"/>
        <v>-</v>
      </c>
    </row>
    <row r="28" spans="1:18" ht="14.4">
      <c r="A28" s="26" t="s">
        <v>566</v>
      </c>
      <c r="B28" s="27">
        <v>13675</v>
      </c>
      <c r="C28" s="13">
        <v>33674136751</v>
      </c>
      <c r="D28" s="28" t="s">
        <v>304</v>
      </c>
      <c r="E28" s="14">
        <v>12</v>
      </c>
      <c r="F28" s="15">
        <v>0.14415165518600001</v>
      </c>
      <c r="G28" s="16">
        <v>11.486250000000002</v>
      </c>
      <c r="H28" s="29" t="s">
        <v>603</v>
      </c>
      <c r="I28" s="30"/>
      <c r="J28" s="38">
        <f t="shared" si="0"/>
        <v>0</v>
      </c>
      <c r="M28" s="10" t="str">
        <f t="shared" si="1"/>
        <v>-</v>
      </c>
      <c r="N28" s="10" t="str">
        <f t="shared" si="4"/>
        <v>-</v>
      </c>
      <c r="O28" s="11" t="str">
        <f t="shared" si="2"/>
        <v>-</v>
      </c>
      <c r="P28" s="12" t="str">
        <f t="shared" si="5"/>
        <v>-</v>
      </c>
      <c r="R28" s="12" t="str">
        <f t="shared" si="3"/>
        <v>-</v>
      </c>
    </row>
    <row r="29" spans="1:18" ht="14.4">
      <c r="A29" s="26" t="s">
        <v>571</v>
      </c>
      <c r="B29" s="27">
        <v>14500</v>
      </c>
      <c r="C29" s="13">
        <v>33674145005</v>
      </c>
      <c r="D29" s="28" t="s">
        <v>335</v>
      </c>
      <c r="E29" s="14">
        <v>12</v>
      </c>
      <c r="F29" s="15">
        <v>0.1204695975483</v>
      </c>
      <c r="G29" s="16">
        <v>6.3787499999999993</v>
      </c>
      <c r="H29" s="29" t="s">
        <v>603</v>
      </c>
      <c r="I29" s="30"/>
      <c r="J29" s="38">
        <f t="shared" si="0"/>
        <v>0</v>
      </c>
      <c r="M29" s="10" t="str">
        <f t="shared" si="1"/>
        <v>-</v>
      </c>
      <c r="N29" s="10" t="str">
        <f t="shared" si="4"/>
        <v>-</v>
      </c>
      <c r="O29" s="11" t="str">
        <f t="shared" si="2"/>
        <v>-</v>
      </c>
      <c r="P29" s="12" t="str">
        <f t="shared" si="5"/>
        <v>-</v>
      </c>
      <c r="R29" s="12" t="str">
        <f t="shared" si="3"/>
        <v>-</v>
      </c>
    </row>
    <row r="30" spans="1:18" ht="14.4">
      <c r="A30" s="26" t="s">
        <v>565</v>
      </c>
      <c r="B30" s="27">
        <v>13369</v>
      </c>
      <c r="C30" s="13">
        <v>33674133699</v>
      </c>
      <c r="D30" s="28" t="s">
        <v>339</v>
      </c>
      <c r="E30" s="14">
        <v>12</v>
      </c>
      <c r="F30" s="15">
        <v>0.29859985717100002</v>
      </c>
      <c r="G30" s="16">
        <v>11.16</v>
      </c>
      <c r="H30" s="29" t="s">
        <v>603</v>
      </c>
      <c r="I30" s="30"/>
      <c r="J30" s="38">
        <f t="shared" si="0"/>
        <v>0</v>
      </c>
      <c r="M30" s="10" t="str">
        <f t="shared" si="1"/>
        <v>-</v>
      </c>
      <c r="N30" s="10" t="str">
        <f t="shared" si="4"/>
        <v>-</v>
      </c>
      <c r="O30" s="11" t="str">
        <f t="shared" si="2"/>
        <v>-</v>
      </c>
      <c r="P30" s="12" t="str">
        <f t="shared" si="5"/>
        <v>-</v>
      </c>
      <c r="R30" s="12" t="str">
        <f t="shared" si="3"/>
        <v>-</v>
      </c>
    </row>
    <row r="31" spans="1:18" ht="14.4">
      <c r="A31" s="26" t="s">
        <v>573</v>
      </c>
      <c r="B31" s="27">
        <v>13371</v>
      </c>
      <c r="C31" s="13">
        <v>33674133712</v>
      </c>
      <c r="D31" s="28" t="s">
        <v>340</v>
      </c>
      <c r="E31" s="14">
        <v>12</v>
      </c>
      <c r="F31" s="15">
        <v>0.38972429634215006</v>
      </c>
      <c r="G31" s="16">
        <v>11.16</v>
      </c>
      <c r="H31" s="29" t="s">
        <v>603</v>
      </c>
      <c r="I31" s="30"/>
      <c r="J31" s="38">
        <f t="shared" si="0"/>
        <v>0</v>
      </c>
      <c r="M31" s="10" t="str">
        <f t="shared" si="1"/>
        <v>-</v>
      </c>
      <c r="N31" s="10" t="str">
        <f t="shared" si="4"/>
        <v>-</v>
      </c>
      <c r="O31" s="11" t="str">
        <f t="shared" si="2"/>
        <v>-</v>
      </c>
      <c r="P31" s="12" t="str">
        <f t="shared" si="5"/>
        <v>-</v>
      </c>
      <c r="R31" s="12" t="str">
        <f t="shared" si="3"/>
        <v>-</v>
      </c>
    </row>
    <row r="32" spans="1:18" ht="14.4">
      <c r="A32" s="26" t="s">
        <v>588</v>
      </c>
      <c r="B32" s="27">
        <v>10895</v>
      </c>
      <c r="C32" s="13">
        <v>33674108956</v>
      </c>
      <c r="D32" s="28" t="s">
        <v>360</v>
      </c>
      <c r="E32" s="14">
        <v>6</v>
      </c>
      <c r="F32" s="15">
        <v>0.61933728995985005</v>
      </c>
      <c r="G32" s="16">
        <v>16.424999999999997</v>
      </c>
      <c r="H32" s="29" t="s">
        <v>603</v>
      </c>
      <c r="I32" s="30"/>
      <c r="J32" s="38">
        <f t="shared" si="0"/>
        <v>0</v>
      </c>
      <c r="M32" s="10" t="str">
        <f t="shared" si="1"/>
        <v>-</v>
      </c>
      <c r="N32" s="10" t="str">
        <f t="shared" si="4"/>
        <v>-</v>
      </c>
      <c r="O32" s="11" t="str">
        <f t="shared" si="2"/>
        <v>-</v>
      </c>
      <c r="P32" s="12" t="str">
        <f t="shared" si="5"/>
        <v>-</v>
      </c>
      <c r="R32" s="12" t="str">
        <f t="shared" si="3"/>
        <v>-</v>
      </c>
    </row>
    <row r="33" spans="1:18" ht="14.4">
      <c r="A33" s="26" t="s">
        <v>570</v>
      </c>
      <c r="B33" s="27">
        <v>15120</v>
      </c>
      <c r="C33" s="13">
        <v>33674151204</v>
      </c>
      <c r="D33" s="28" t="s">
        <v>379</v>
      </c>
      <c r="E33" s="14">
        <v>12</v>
      </c>
      <c r="F33" s="15">
        <v>0.12201407956814998</v>
      </c>
      <c r="G33" s="16">
        <v>6.6825000000000001</v>
      </c>
      <c r="H33" s="29" t="s">
        <v>603</v>
      </c>
      <c r="I33" s="30"/>
      <c r="J33" s="38">
        <f t="shared" si="0"/>
        <v>0</v>
      </c>
      <c r="M33" s="10" t="str">
        <f t="shared" si="1"/>
        <v>-</v>
      </c>
      <c r="N33" s="10" t="str">
        <f t="shared" si="4"/>
        <v>-</v>
      </c>
      <c r="O33" s="11" t="str">
        <f t="shared" si="2"/>
        <v>-</v>
      </c>
      <c r="P33" s="12" t="str">
        <f t="shared" si="5"/>
        <v>-</v>
      </c>
      <c r="R33" s="12" t="str">
        <f t="shared" si="3"/>
        <v>-</v>
      </c>
    </row>
    <row r="34" spans="1:18" ht="14.4">
      <c r="A34" s="26" t="s">
        <v>578</v>
      </c>
      <c r="B34" s="27">
        <v>15408</v>
      </c>
      <c r="C34" s="13">
        <v>33674154083</v>
      </c>
      <c r="D34" s="28" t="s">
        <v>399</v>
      </c>
      <c r="E34" s="14">
        <v>12</v>
      </c>
      <c r="F34" s="15">
        <v>0.19769369854079996</v>
      </c>
      <c r="G34" s="16">
        <v>9.1349999999999998</v>
      </c>
      <c r="H34" s="29" t="s">
        <v>603</v>
      </c>
      <c r="I34" s="30"/>
      <c r="J34" s="38">
        <f t="shared" si="0"/>
        <v>0</v>
      </c>
      <c r="M34" s="10" t="str">
        <f t="shared" si="1"/>
        <v>-</v>
      </c>
      <c r="N34" s="10" t="str">
        <f t="shared" si="4"/>
        <v>-</v>
      </c>
      <c r="O34" s="11" t="str">
        <f t="shared" si="2"/>
        <v>-</v>
      </c>
      <c r="P34" s="12" t="str">
        <f t="shared" si="5"/>
        <v>-</v>
      </c>
      <c r="R34" s="12" t="str">
        <f t="shared" si="3"/>
        <v>-</v>
      </c>
    </row>
    <row r="35" spans="1:18" ht="14.4">
      <c r="A35" s="26" t="s">
        <v>578</v>
      </c>
      <c r="B35" s="27">
        <v>15450</v>
      </c>
      <c r="C35" s="13">
        <v>33674154502</v>
      </c>
      <c r="D35" s="28" t="s">
        <v>400</v>
      </c>
      <c r="E35" s="14">
        <v>12</v>
      </c>
      <c r="F35" s="15">
        <v>0.11377684212895001</v>
      </c>
      <c r="G35" s="16">
        <v>6.5249999999999995</v>
      </c>
      <c r="H35" s="29" t="s">
        <v>603</v>
      </c>
      <c r="I35" s="30"/>
      <c r="J35" s="38">
        <f t="shared" si="0"/>
        <v>0</v>
      </c>
      <c r="M35" s="10" t="str">
        <f t="shared" si="1"/>
        <v>-</v>
      </c>
      <c r="N35" s="10" t="str">
        <f t="shared" si="4"/>
        <v>-</v>
      </c>
      <c r="O35" s="11" t="str">
        <f t="shared" si="2"/>
        <v>-</v>
      </c>
      <c r="P35" s="12" t="str">
        <f t="shared" si="5"/>
        <v>-</v>
      </c>
      <c r="R35" s="12" t="str">
        <f t="shared" si="3"/>
        <v>-</v>
      </c>
    </row>
    <row r="36" spans="1:18" ht="14.4">
      <c r="A36" s="26" t="s">
        <v>568</v>
      </c>
      <c r="B36" s="27">
        <v>14243</v>
      </c>
      <c r="C36" s="13">
        <v>33674142431</v>
      </c>
      <c r="D36" s="28" t="s">
        <v>412</v>
      </c>
      <c r="E36" s="14">
        <v>12</v>
      </c>
      <c r="F36" s="15">
        <v>8.2372374392E-2</v>
      </c>
      <c r="G36" s="16">
        <v>7.5600000000000005</v>
      </c>
      <c r="H36" s="29" t="s">
        <v>603</v>
      </c>
      <c r="I36" s="30"/>
      <c r="J36" s="38">
        <f t="shared" si="0"/>
        <v>0</v>
      </c>
      <c r="M36" s="10" t="str">
        <f t="shared" si="1"/>
        <v>-</v>
      </c>
      <c r="N36" s="10" t="str">
        <f t="shared" si="4"/>
        <v>-</v>
      </c>
      <c r="O36" s="11" t="str">
        <f t="shared" si="2"/>
        <v>-</v>
      </c>
      <c r="P36" s="12" t="str">
        <f t="shared" si="5"/>
        <v>-</v>
      </c>
      <c r="R36" s="12" t="str">
        <f t="shared" si="3"/>
        <v>-</v>
      </c>
    </row>
    <row r="37" spans="1:18" ht="14.4">
      <c r="A37" s="26" t="s">
        <v>568</v>
      </c>
      <c r="B37" s="27">
        <v>14241</v>
      </c>
      <c r="C37" s="13">
        <v>33674142417</v>
      </c>
      <c r="D37" s="28" t="s">
        <v>420</v>
      </c>
      <c r="E37" s="14">
        <v>12</v>
      </c>
      <c r="F37" s="15">
        <v>0.24248367711645002</v>
      </c>
      <c r="G37" s="16">
        <v>16.650000000000002</v>
      </c>
      <c r="H37" s="29" t="s">
        <v>603</v>
      </c>
      <c r="I37" s="30"/>
      <c r="J37" s="38">
        <f t="shared" si="0"/>
        <v>0</v>
      </c>
      <c r="M37" s="10" t="str">
        <f t="shared" si="1"/>
        <v>-</v>
      </c>
      <c r="N37" s="10" t="str">
        <f t="shared" si="4"/>
        <v>-</v>
      </c>
      <c r="O37" s="11" t="str">
        <f t="shared" si="2"/>
        <v>-</v>
      </c>
      <c r="P37" s="12" t="str">
        <f t="shared" si="5"/>
        <v>-</v>
      </c>
      <c r="R37" s="12" t="str">
        <f t="shared" si="3"/>
        <v>-</v>
      </c>
    </row>
    <row r="38" spans="1:18" ht="14.4">
      <c r="A38" s="26" t="s">
        <v>568</v>
      </c>
      <c r="B38" s="27">
        <v>4213</v>
      </c>
      <c r="C38" s="13">
        <v>763948042135</v>
      </c>
      <c r="D38" s="28" t="s">
        <v>428</v>
      </c>
      <c r="E38" s="14">
        <v>12</v>
      </c>
      <c r="F38" s="15">
        <v>3.7582395816349999E-2</v>
      </c>
      <c r="G38" s="16">
        <v>12.408749999999998</v>
      </c>
      <c r="H38" s="29" t="s">
        <v>603</v>
      </c>
      <c r="I38" s="30"/>
      <c r="J38" s="38">
        <f t="shared" si="0"/>
        <v>0</v>
      </c>
      <c r="M38" s="10" t="str">
        <f t="shared" si="1"/>
        <v>-</v>
      </c>
      <c r="N38" s="10" t="str">
        <f t="shared" si="4"/>
        <v>-</v>
      </c>
      <c r="O38" s="11" t="str">
        <f t="shared" si="2"/>
        <v>-</v>
      </c>
      <c r="P38" s="12" t="str">
        <f t="shared" si="5"/>
        <v>-</v>
      </c>
      <c r="R38" s="12" t="str">
        <f t="shared" si="3"/>
        <v>-</v>
      </c>
    </row>
    <row r="39" spans="1:18" ht="14.4">
      <c r="A39" s="26" t="s">
        <v>568</v>
      </c>
      <c r="B39" s="27">
        <v>17100</v>
      </c>
      <c r="C39" s="13">
        <v>33674171004</v>
      </c>
      <c r="D39" s="28" t="s">
        <v>494</v>
      </c>
      <c r="E39" s="14">
        <v>12</v>
      </c>
      <c r="F39" s="15">
        <v>0.12355856158800001</v>
      </c>
      <c r="G39" s="16">
        <v>6.6825000000000001</v>
      </c>
      <c r="H39" s="29" t="s">
        <v>603</v>
      </c>
      <c r="I39" s="30"/>
      <c r="J39" s="38">
        <f t="shared" si="0"/>
        <v>0</v>
      </c>
      <c r="M39" s="10" t="str">
        <f t="shared" si="1"/>
        <v>-</v>
      </c>
      <c r="N39" s="10" t="str">
        <f t="shared" si="4"/>
        <v>-</v>
      </c>
      <c r="O39" s="11" t="str">
        <f t="shared" si="2"/>
        <v>-</v>
      </c>
      <c r="P39" s="12" t="str">
        <f t="shared" si="5"/>
        <v>-</v>
      </c>
      <c r="R39" s="12" t="str">
        <f t="shared" si="3"/>
        <v>-</v>
      </c>
    </row>
    <row r="40" spans="1:18" ht="14.4">
      <c r="A40" s="26" t="s">
        <v>580</v>
      </c>
      <c r="B40" s="27">
        <v>11750</v>
      </c>
      <c r="C40" s="13">
        <v>33674117507</v>
      </c>
      <c r="D40" s="28" t="s">
        <v>548</v>
      </c>
      <c r="E40" s="14">
        <v>12</v>
      </c>
      <c r="F40" s="15">
        <v>9.781719459050002E-2</v>
      </c>
      <c r="G40" s="16">
        <v>6.3787499999999993</v>
      </c>
      <c r="H40" s="29" t="s">
        <v>603</v>
      </c>
      <c r="I40" s="30"/>
      <c r="J40" s="38">
        <f t="shared" si="0"/>
        <v>0</v>
      </c>
      <c r="M40" s="10" t="str">
        <f t="shared" si="1"/>
        <v>-</v>
      </c>
      <c r="N40" s="10" t="str">
        <f t="shared" si="4"/>
        <v>-</v>
      </c>
      <c r="O40" s="11" t="str">
        <f t="shared" si="2"/>
        <v>-</v>
      </c>
      <c r="P40" s="12" t="str">
        <f t="shared" si="5"/>
        <v>-</v>
      </c>
      <c r="R40" s="12" t="str">
        <f t="shared" si="3"/>
        <v>-</v>
      </c>
    </row>
    <row r="41" spans="1:18" ht="14.4">
      <c r="A41" s="26" t="s">
        <v>580</v>
      </c>
      <c r="B41" s="27">
        <v>11923</v>
      </c>
      <c r="C41" s="13">
        <v>33674119235</v>
      </c>
      <c r="D41" s="28" t="s">
        <v>549</v>
      </c>
      <c r="E41" s="14">
        <v>12</v>
      </c>
      <c r="F41" s="15">
        <v>0.26050263401470003</v>
      </c>
      <c r="G41" s="16">
        <v>15.311249999999999</v>
      </c>
      <c r="H41" s="29" t="s">
        <v>603</v>
      </c>
      <c r="I41" s="30"/>
      <c r="J41" s="38">
        <f t="shared" si="0"/>
        <v>0</v>
      </c>
      <c r="M41" s="10" t="str">
        <f t="shared" si="1"/>
        <v>-</v>
      </c>
      <c r="N41" s="10" t="str">
        <f t="shared" si="4"/>
        <v>-</v>
      </c>
      <c r="O41" s="11" t="str">
        <f t="shared" si="2"/>
        <v>-</v>
      </c>
      <c r="P41" s="12" t="str">
        <f t="shared" si="5"/>
        <v>-</v>
      </c>
      <c r="R41" s="12" t="str">
        <f t="shared" si="3"/>
        <v>-</v>
      </c>
    </row>
    <row r="42" spans="1:18" ht="14.4">
      <c r="A42" s="26" t="s">
        <v>580</v>
      </c>
      <c r="B42" s="27">
        <v>17870</v>
      </c>
      <c r="C42" s="13">
        <v>33674178706</v>
      </c>
      <c r="D42" s="28" t="s">
        <v>557</v>
      </c>
      <c r="E42" s="14">
        <v>12</v>
      </c>
      <c r="F42" s="15">
        <v>9.1124439171149998E-2</v>
      </c>
      <c r="G42" s="16">
        <v>6.3787499999999993</v>
      </c>
      <c r="H42" s="29" t="s">
        <v>603</v>
      </c>
      <c r="I42" s="30"/>
      <c r="J42" s="38">
        <f t="shared" si="0"/>
        <v>0</v>
      </c>
      <c r="M42" s="10" t="str">
        <f t="shared" si="1"/>
        <v>-</v>
      </c>
      <c r="N42" s="10" t="str">
        <f t="shared" si="4"/>
        <v>-</v>
      </c>
      <c r="O42" s="11" t="str">
        <f t="shared" si="2"/>
        <v>-</v>
      </c>
      <c r="P42" s="12" t="str">
        <f t="shared" si="5"/>
        <v>-</v>
      </c>
      <c r="R42" s="12" t="str">
        <f t="shared" si="3"/>
        <v>-</v>
      </c>
    </row>
    <row r="43" spans="1:18" ht="14.4">
      <c r="A43" s="26" t="s">
        <v>578</v>
      </c>
      <c r="B43" s="27">
        <v>41091</v>
      </c>
      <c r="C43" s="13">
        <v>33674410912</v>
      </c>
      <c r="D43" s="28" t="s">
        <v>562</v>
      </c>
      <c r="E43" s="14">
        <v>12</v>
      </c>
      <c r="F43" s="15">
        <v>9.5757885230700002E-2</v>
      </c>
      <c r="G43" s="16">
        <v>5.13</v>
      </c>
      <c r="H43" s="29" t="s">
        <v>603</v>
      </c>
      <c r="I43" s="30"/>
      <c r="J43" s="38">
        <f t="shared" si="0"/>
        <v>0</v>
      </c>
      <c r="M43" s="10" t="str">
        <f t="shared" si="1"/>
        <v>-</v>
      </c>
      <c r="N43" s="10" t="str">
        <f t="shared" si="4"/>
        <v>-</v>
      </c>
      <c r="O43" s="11" t="str">
        <f t="shared" si="2"/>
        <v>-</v>
      </c>
      <c r="P43" s="12" t="str">
        <f t="shared" si="5"/>
        <v>-</v>
      </c>
      <c r="R43" s="12" t="str">
        <f t="shared" si="3"/>
        <v>-</v>
      </c>
    </row>
    <row r="44" spans="1:18" ht="14.4">
      <c r="A44" s="26" t="s">
        <v>578</v>
      </c>
      <c r="B44" s="27">
        <v>41092</v>
      </c>
      <c r="C44" s="13">
        <v>33674410929</v>
      </c>
      <c r="D44" s="28" t="s">
        <v>564</v>
      </c>
      <c r="E44" s="14">
        <v>12</v>
      </c>
      <c r="F44" s="15">
        <v>0.13848855444655003</v>
      </c>
      <c r="G44" s="16">
        <v>3.8475000000000001</v>
      </c>
      <c r="H44" s="29" t="s">
        <v>603</v>
      </c>
      <c r="I44" s="30"/>
      <c r="J44" s="38">
        <f t="shared" si="0"/>
        <v>0</v>
      </c>
      <c r="M44" s="10" t="str">
        <f t="shared" si="1"/>
        <v>-</v>
      </c>
      <c r="N44" s="10" t="str">
        <f t="shared" si="4"/>
        <v>-</v>
      </c>
      <c r="O44" s="11" t="str">
        <f t="shared" si="2"/>
        <v>-</v>
      </c>
      <c r="P44" s="12" t="str">
        <f t="shared" si="5"/>
        <v>-</v>
      </c>
      <c r="R44" s="12" t="str">
        <f t="shared" si="3"/>
        <v>-</v>
      </c>
    </row>
    <row r="45" spans="1:18" ht="14.4">
      <c r="A45" s="26" t="s">
        <v>571</v>
      </c>
      <c r="B45" s="27">
        <v>10483</v>
      </c>
      <c r="C45" s="13">
        <v>33674104835</v>
      </c>
      <c r="D45" s="28" t="s">
        <v>32</v>
      </c>
      <c r="E45" s="14">
        <v>12</v>
      </c>
      <c r="F45" s="15">
        <v>0.27543262687325004</v>
      </c>
      <c r="G45" s="16">
        <v>9.7537500000000001</v>
      </c>
      <c r="H45" s="29" t="s">
        <v>603</v>
      </c>
      <c r="I45" s="30"/>
      <c r="J45" s="38">
        <f t="shared" si="0"/>
        <v>0</v>
      </c>
      <c r="M45" s="10" t="str">
        <f t="shared" si="1"/>
        <v>-</v>
      </c>
      <c r="N45" s="10" t="str">
        <f t="shared" si="4"/>
        <v>-</v>
      </c>
      <c r="O45" s="11" t="str">
        <f t="shared" si="2"/>
        <v>-</v>
      </c>
      <c r="P45" s="12" t="str">
        <f t="shared" si="5"/>
        <v>-</v>
      </c>
      <c r="R45" s="12" t="str">
        <f t="shared" si="3"/>
        <v>-</v>
      </c>
    </row>
    <row r="46" spans="1:18" ht="14.4">
      <c r="A46" s="26" t="s">
        <v>573</v>
      </c>
      <c r="B46" s="27">
        <v>15542</v>
      </c>
      <c r="C46" s="13">
        <v>33674155424</v>
      </c>
      <c r="D46" s="28" t="s">
        <v>47</v>
      </c>
      <c r="E46" s="14">
        <v>12</v>
      </c>
      <c r="F46" s="15">
        <v>0.24505781381619998</v>
      </c>
      <c r="G46" s="16">
        <v>20.418749999999999</v>
      </c>
      <c r="H46" s="29" t="s">
        <v>603</v>
      </c>
      <c r="I46" s="30"/>
      <c r="J46" s="38">
        <f t="shared" si="0"/>
        <v>0</v>
      </c>
      <c r="M46" s="10" t="str">
        <f t="shared" si="1"/>
        <v>-</v>
      </c>
      <c r="N46" s="10" t="str">
        <f t="shared" si="4"/>
        <v>-</v>
      </c>
      <c r="O46" s="11" t="str">
        <f t="shared" si="2"/>
        <v>-</v>
      </c>
      <c r="P46" s="12" t="str">
        <f t="shared" si="5"/>
        <v>-</v>
      </c>
      <c r="R46" s="12" t="str">
        <f t="shared" si="3"/>
        <v>-</v>
      </c>
    </row>
    <row r="47" spans="1:18" ht="14.4">
      <c r="A47" s="26" t="s">
        <v>573</v>
      </c>
      <c r="B47" s="27">
        <v>15902</v>
      </c>
      <c r="C47" s="13">
        <v>33674159026</v>
      </c>
      <c r="D47" s="28" t="s">
        <v>59</v>
      </c>
      <c r="E47" s="14">
        <v>12</v>
      </c>
      <c r="F47" s="15">
        <v>0.34338983574665</v>
      </c>
      <c r="G47" s="16">
        <v>8.8650000000000002</v>
      </c>
      <c r="H47" s="29" t="s">
        <v>603</v>
      </c>
      <c r="I47" s="30"/>
      <c r="J47" s="38">
        <f t="shared" si="0"/>
        <v>0</v>
      </c>
      <c r="M47" s="10" t="str">
        <f t="shared" si="1"/>
        <v>-</v>
      </c>
      <c r="N47" s="10" t="str">
        <f t="shared" si="4"/>
        <v>-</v>
      </c>
      <c r="O47" s="11" t="str">
        <f t="shared" si="2"/>
        <v>-</v>
      </c>
      <c r="P47" s="12" t="str">
        <f t="shared" si="5"/>
        <v>-</v>
      </c>
      <c r="R47" s="12" t="str">
        <f t="shared" si="3"/>
        <v>-</v>
      </c>
    </row>
    <row r="48" spans="1:18" ht="14.4">
      <c r="A48" s="26" t="s">
        <v>573</v>
      </c>
      <c r="B48" s="27">
        <v>15679</v>
      </c>
      <c r="C48" s="13">
        <v>33674156797</v>
      </c>
      <c r="D48" s="28" t="s">
        <v>74</v>
      </c>
      <c r="E48" s="14">
        <v>12</v>
      </c>
      <c r="F48" s="15">
        <v>0.20078266258050001</v>
      </c>
      <c r="G48" s="16">
        <v>16.875</v>
      </c>
      <c r="H48" s="29" t="s">
        <v>603</v>
      </c>
      <c r="I48" s="30"/>
      <c r="J48" s="38">
        <f t="shared" si="0"/>
        <v>0</v>
      </c>
      <c r="M48" s="10" t="str">
        <f t="shared" si="1"/>
        <v>-</v>
      </c>
      <c r="N48" s="10" t="str">
        <f t="shared" si="4"/>
        <v>-</v>
      </c>
      <c r="O48" s="11" t="str">
        <f t="shared" si="2"/>
        <v>-</v>
      </c>
      <c r="P48" s="12" t="str">
        <f t="shared" si="5"/>
        <v>-</v>
      </c>
      <c r="R48" s="12" t="str">
        <f t="shared" si="3"/>
        <v>-</v>
      </c>
    </row>
    <row r="49" spans="1:18" ht="14.4">
      <c r="A49" s="26" t="s">
        <v>574</v>
      </c>
      <c r="B49" s="27">
        <v>10482</v>
      </c>
      <c r="C49" s="13">
        <v>33674104828</v>
      </c>
      <c r="D49" s="28" t="s">
        <v>79</v>
      </c>
      <c r="E49" s="14">
        <v>12</v>
      </c>
      <c r="F49" s="15">
        <v>0.37839809486324999</v>
      </c>
      <c r="G49" s="16">
        <v>14.951249999999998</v>
      </c>
      <c r="H49" s="29" t="s">
        <v>603</v>
      </c>
      <c r="I49" s="30"/>
      <c r="J49" s="38">
        <f t="shared" si="0"/>
        <v>0</v>
      </c>
      <c r="M49" s="10" t="str">
        <f t="shared" si="1"/>
        <v>-</v>
      </c>
      <c r="N49" s="10" t="str">
        <f t="shared" si="4"/>
        <v>-</v>
      </c>
      <c r="O49" s="11" t="str">
        <f t="shared" si="2"/>
        <v>-</v>
      </c>
      <c r="P49" s="12" t="str">
        <f t="shared" si="5"/>
        <v>-</v>
      </c>
      <c r="R49" s="12" t="str">
        <f t="shared" si="3"/>
        <v>-</v>
      </c>
    </row>
    <row r="50" spans="1:18" ht="14.4">
      <c r="A50" s="26" t="s">
        <v>573</v>
      </c>
      <c r="B50" s="27">
        <v>14069</v>
      </c>
      <c r="C50" s="13">
        <v>33674140697</v>
      </c>
      <c r="D50" s="28" t="s">
        <v>95</v>
      </c>
      <c r="E50" s="14">
        <v>12</v>
      </c>
      <c r="F50" s="15">
        <v>0.72384723996970013</v>
      </c>
      <c r="G50" s="16">
        <v>17.37</v>
      </c>
      <c r="H50" s="29" t="s">
        <v>603</v>
      </c>
      <c r="I50" s="30"/>
      <c r="J50" s="38">
        <f t="shared" si="0"/>
        <v>0</v>
      </c>
      <c r="M50" s="10" t="str">
        <f t="shared" si="1"/>
        <v>-</v>
      </c>
      <c r="N50" s="10" t="str">
        <f t="shared" si="4"/>
        <v>-</v>
      </c>
      <c r="O50" s="11" t="str">
        <f t="shared" si="2"/>
        <v>-</v>
      </c>
      <c r="P50" s="12" t="str">
        <f t="shared" si="5"/>
        <v>-</v>
      </c>
      <c r="R50" s="12" t="str">
        <f t="shared" si="3"/>
        <v>-</v>
      </c>
    </row>
    <row r="51" spans="1:18" ht="14.4">
      <c r="A51" s="26" t="s">
        <v>582</v>
      </c>
      <c r="B51" s="27">
        <v>10400</v>
      </c>
      <c r="C51" s="13">
        <v>33674104002</v>
      </c>
      <c r="D51" s="28" t="s">
        <v>121</v>
      </c>
      <c r="E51" s="14">
        <v>12</v>
      </c>
      <c r="F51" s="15">
        <v>0.11120270542920001</v>
      </c>
      <c r="G51" s="16">
        <v>7.6499999999999995</v>
      </c>
      <c r="H51" s="29" t="s">
        <v>603</v>
      </c>
      <c r="I51" s="30"/>
      <c r="J51" s="38">
        <f t="shared" si="0"/>
        <v>0</v>
      </c>
      <c r="M51" s="10" t="str">
        <f t="shared" si="1"/>
        <v>-</v>
      </c>
      <c r="N51" s="10" t="str">
        <f t="shared" si="4"/>
        <v>-</v>
      </c>
      <c r="O51" s="11" t="str">
        <f t="shared" si="2"/>
        <v>-</v>
      </c>
      <c r="P51" s="12" t="str">
        <f t="shared" si="5"/>
        <v>-</v>
      </c>
      <c r="R51" s="12" t="str">
        <f t="shared" si="3"/>
        <v>-</v>
      </c>
    </row>
    <row r="52" spans="1:18" ht="14.4">
      <c r="A52" s="26" t="s">
        <v>580</v>
      </c>
      <c r="B52" s="27">
        <v>14690</v>
      </c>
      <c r="C52" s="13">
        <v>33674146903</v>
      </c>
      <c r="D52" s="28" t="s">
        <v>131</v>
      </c>
      <c r="E52" s="14">
        <v>12</v>
      </c>
      <c r="F52" s="15">
        <v>0.19769369854079996</v>
      </c>
      <c r="G52" s="16">
        <v>11.182500000000001</v>
      </c>
      <c r="H52" s="29" t="s">
        <v>603</v>
      </c>
      <c r="I52" s="30"/>
      <c r="J52" s="38">
        <f t="shared" si="0"/>
        <v>0</v>
      </c>
      <c r="M52" s="10" t="str">
        <f t="shared" si="1"/>
        <v>-</v>
      </c>
      <c r="N52" s="10" t="str">
        <f t="shared" si="4"/>
        <v>-</v>
      </c>
      <c r="O52" s="11" t="str">
        <f t="shared" si="2"/>
        <v>-</v>
      </c>
      <c r="P52" s="12" t="str">
        <f t="shared" si="5"/>
        <v>-</v>
      </c>
      <c r="R52" s="12" t="str">
        <f t="shared" si="3"/>
        <v>-</v>
      </c>
    </row>
    <row r="53" spans="1:18" ht="14.4">
      <c r="A53" s="26" t="s">
        <v>569</v>
      </c>
      <c r="B53" s="27">
        <v>12300</v>
      </c>
      <c r="C53" s="13">
        <v>33674123003</v>
      </c>
      <c r="D53" s="28" t="s">
        <v>227</v>
      </c>
      <c r="E53" s="14">
        <v>12</v>
      </c>
      <c r="F53" s="15">
        <v>0.12870683498750002</v>
      </c>
      <c r="G53" s="16">
        <v>6.3787499999999993</v>
      </c>
      <c r="H53" s="29" t="s">
        <v>603</v>
      </c>
      <c r="I53" s="30"/>
      <c r="J53" s="38">
        <f t="shared" si="0"/>
        <v>0</v>
      </c>
      <c r="M53" s="10" t="str">
        <f t="shared" si="1"/>
        <v>-</v>
      </c>
      <c r="N53" s="10" t="str">
        <f t="shared" si="4"/>
        <v>-</v>
      </c>
      <c r="O53" s="11" t="str">
        <f t="shared" si="2"/>
        <v>-</v>
      </c>
      <c r="P53" s="12" t="str">
        <f t="shared" si="5"/>
        <v>-</v>
      </c>
      <c r="R53" s="12" t="str">
        <f t="shared" si="3"/>
        <v>-</v>
      </c>
    </row>
    <row r="54" spans="1:18" ht="14.4">
      <c r="A54" s="26" t="s">
        <v>574</v>
      </c>
      <c r="B54" s="27">
        <v>12800</v>
      </c>
      <c r="C54" s="13">
        <v>33674128008</v>
      </c>
      <c r="D54" s="28" t="s">
        <v>254</v>
      </c>
      <c r="E54" s="14">
        <v>12</v>
      </c>
      <c r="F54" s="15">
        <v>0.11583615148875002</v>
      </c>
      <c r="G54" s="16">
        <v>6.6825000000000001</v>
      </c>
      <c r="H54" s="29" t="s">
        <v>603</v>
      </c>
      <c r="I54" s="30"/>
      <c r="J54" s="38">
        <f t="shared" si="0"/>
        <v>0</v>
      </c>
      <c r="M54" s="10" t="str">
        <f t="shared" si="1"/>
        <v>-</v>
      </c>
      <c r="N54" s="10" t="str">
        <f t="shared" si="4"/>
        <v>-</v>
      </c>
      <c r="O54" s="11" t="str">
        <f t="shared" si="2"/>
        <v>-</v>
      </c>
      <c r="P54" s="12" t="str">
        <f t="shared" si="5"/>
        <v>-</v>
      </c>
      <c r="R54" s="12" t="str">
        <f t="shared" si="3"/>
        <v>-</v>
      </c>
    </row>
    <row r="55" spans="1:18" ht="14.4">
      <c r="A55" s="26" t="s">
        <v>574</v>
      </c>
      <c r="B55" s="27">
        <v>14610</v>
      </c>
      <c r="C55" s="13">
        <v>33674146101</v>
      </c>
      <c r="D55" s="28" t="s">
        <v>255</v>
      </c>
      <c r="E55" s="14">
        <v>12</v>
      </c>
      <c r="F55" s="15">
        <v>0.20232714460035003</v>
      </c>
      <c r="G55" s="16">
        <v>9.36</v>
      </c>
      <c r="H55" s="29" t="s">
        <v>603</v>
      </c>
      <c r="I55" s="30"/>
      <c r="J55" s="38">
        <f t="shared" si="0"/>
        <v>0</v>
      </c>
      <c r="M55" s="10" t="str">
        <f t="shared" si="1"/>
        <v>-</v>
      </c>
      <c r="N55" s="10" t="str">
        <f t="shared" si="4"/>
        <v>-</v>
      </c>
      <c r="O55" s="11" t="str">
        <f t="shared" si="2"/>
        <v>-</v>
      </c>
      <c r="P55" s="12" t="str">
        <f t="shared" si="5"/>
        <v>-</v>
      </c>
      <c r="R55" s="12" t="str">
        <f t="shared" si="3"/>
        <v>-</v>
      </c>
    </row>
    <row r="56" spans="1:18" ht="14.4">
      <c r="A56" s="26" t="s">
        <v>568</v>
      </c>
      <c r="B56" s="27">
        <v>11926</v>
      </c>
      <c r="C56" s="13">
        <v>33674119266</v>
      </c>
      <c r="D56" s="28" t="s">
        <v>295</v>
      </c>
      <c r="E56" s="14">
        <v>12</v>
      </c>
      <c r="F56" s="15">
        <v>0.25947297933480001</v>
      </c>
      <c r="G56" s="16">
        <v>13.004999999999999</v>
      </c>
      <c r="H56" s="29" t="s">
        <v>603</v>
      </c>
      <c r="I56" s="30"/>
      <c r="J56" s="38">
        <f t="shared" si="0"/>
        <v>0</v>
      </c>
      <c r="M56" s="10" t="str">
        <f t="shared" si="1"/>
        <v>-</v>
      </c>
      <c r="N56" s="10" t="str">
        <f t="shared" si="4"/>
        <v>-</v>
      </c>
      <c r="O56" s="11" t="str">
        <f t="shared" si="2"/>
        <v>-</v>
      </c>
      <c r="P56" s="12" t="str">
        <f t="shared" si="5"/>
        <v>-</v>
      </c>
      <c r="R56" s="12" t="str">
        <f t="shared" si="3"/>
        <v>-</v>
      </c>
    </row>
    <row r="57" spans="1:18" ht="14.4">
      <c r="A57" s="26" t="s">
        <v>576</v>
      </c>
      <c r="B57" s="27">
        <v>14300</v>
      </c>
      <c r="C57" s="13">
        <v>33674143001</v>
      </c>
      <c r="D57" s="28" t="s">
        <v>326</v>
      </c>
      <c r="E57" s="14">
        <v>12</v>
      </c>
      <c r="F57" s="15">
        <v>0.11738063350860001</v>
      </c>
      <c r="G57" s="16">
        <v>6.3787499999999993</v>
      </c>
      <c r="H57" s="29" t="s">
        <v>603</v>
      </c>
      <c r="I57" s="30"/>
      <c r="J57" s="38">
        <f t="shared" si="0"/>
        <v>0</v>
      </c>
      <c r="M57" s="10" t="str">
        <f t="shared" si="1"/>
        <v>-</v>
      </c>
      <c r="N57" s="10" t="str">
        <f t="shared" si="4"/>
        <v>-</v>
      </c>
      <c r="O57" s="11" t="str">
        <f t="shared" si="2"/>
        <v>-</v>
      </c>
      <c r="P57" s="12" t="str">
        <f t="shared" si="5"/>
        <v>-</v>
      </c>
      <c r="R57" s="12" t="str">
        <f t="shared" si="3"/>
        <v>-</v>
      </c>
    </row>
    <row r="58" spans="1:18" ht="14.4">
      <c r="A58" s="26" t="s">
        <v>588</v>
      </c>
      <c r="B58" s="27">
        <v>40461</v>
      </c>
      <c r="C58" s="13">
        <v>33674404614</v>
      </c>
      <c r="D58" s="28" t="s">
        <v>329</v>
      </c>
      <c r="E58" s="14">
        <v>12</v>
      </c>
      <c r="F58" s="15">
        <v>0.12098442488825001</v>
      </c>
      <c r="G58" s="16">
        <v>8.932500000000001</v>
      </c>
      <c r="H58" s="29" t="s">
        <v>603</v>
      </c>
      <c r="I58" s="30"/>
      <c r="J58" s="38">
        <f t="shared" si="0"/>
        <v>0</v>
      </c>
      <c r="M58" s="10" t="str">
        <f t="shared" si="1"/>
        <v>-</v>
      </c>
      <c r="N58" s="10" t="str">
        <f t="shared" si="4"/>
        <v>-</v>
      </c>
      <c r="O58" s="11" t="str">
        <f t="shared" si="2"/>
        <v>-</v>
      </c>
      <c r="P58" s="12" t="str">
        <f t="shared" si="5"/>
        <v>-</v>
      </c>
      <c r="R58" s="12" t="str">
        <f t="shared" si="3"/>
        <v>-</v>
      </c>
    </row>
    <row r="59" spans="1:18" ht="14.4">
      <c r="A59" s="26" t="s">
        <v>571</v>
      </c>
      <c r="B59" s="27">
        <v>14508</v>
      </c>
      <c r="C59" s="13">
        <v>33674145081</v>
      </c>
      <c r="D59" s="28" t="s">
        <v>336</v>
      </c>
      <c r="E59" s="14">
        <v>12</v>
      </c>
      <c r="F59" s="15">
        <v>0.20747541799985003</v>
      </c>
      <c r="G59" s="16">
        <v>8.932500000000001</v>
      </c>
      <c r="H59" s="29" t="s">
        <v>603</v>
      </c>
      <c r="I59" s="30"/>
      <c r="J59" s="38">
        <f t="shared" si="0"/>
        <v>0</v>
      </c>
      <c r="M59" s="10" t="str">
        <f t="shared" si="1"/>
        <v>-</v>
      </c>
      <c r="N59" s="10" t="str">
        <f t="shared" si="4"/>
        <v>-</v>
      </c>
      <c r="O59" s="11" t="str">
        <f t="shared" si="2"/>
        <v>-</v>
      </c>
      <c r="P59" s="12" t="str">
        <f t="shared" si="5"/>
        <v>-</v>
      </c>
      <c r="R59" s="12" t="str">
        <f t="shared" si="3"/>
        <v>-</v>
      </c>
    </row>
    <row r="60" spans="1:18" ht="14.4">
      <c r="A60" s="26" t="s">
        <v>591</v>
      </c>
      <c r="B60" s="27">
        <v>14650</v>
      </c>
      <c r="C60" s="13">
        <v>33674146507</v>
      </c>
      <c r="D60" s="28" t="s">
        <v>369</v>
      </c>
      <c r="E60" s="14">
        <v>12</v>
      </c>
      <c r="F60" s="15">
        <v>0.12510304360784999</v>
      </c>
      <c r="G60" s="16">
        <v>6.6825000000000001</v>
      </c>
      <c r="H60" s="29" t="s">
        <v>603</v>
      </c>
      <c r="I60" s="30"/>
      <c r="J60" s="38">
        <f t="shared" si="0"/>
        <v>0</v>
      </c>
      <c r="M60" s="10" t="str">
        <f t="shared" si="1"/>
        <v>-</v>
      </c>
      <c r="N60" s="10" t="str">
        <f t="shared" si="4"/>
        <v>-</v>
      </c>
      <c r="O60" s="11" t="str">
        <f t="shared" si="2"/>
        <v>-</v>
      </c>
      <c r="P60" s="12" t="str">
        <f t="shared" si="5"/>
        <v>-</v>
      </c>
      <c r="R60" s="12" t="str">
        <f t="shared" si="3"/>
        <v>-</v>
      </c>
    </row>
    <row r="61" spans="1:18" ht="14.4">
      <c r="A61" s="26" t="s">
        <v>568</v>
      </c>
      <c r="B61" s="27">
        <v>6860</v>
      </c>
      <c r="C61" s="13">
        <v>33674068601</v>
      </c>
      <c r="D61" s="28" t="s">
        <v>409</v>
      </c>
      <c r="E61" s="14">
        <v>12</v>
      </c>
      <c r="F61" s="15">
        <v>8.5461338431700007E-2</v>
      </c>
      <c r="G61" s="16">
        <v>14.512500000000001</v>
      </c>
      <c r="H61" s="29" t="s">
        <v>603</v>
      </c>
      <c r="I61" s="30"/>
      <c r="J61" s="38">
        <f t="shared" si="0"/>
        <v>0</v>
      </c>
      <c r="M61" s="10" t="str">
        <f t="shared" si="1"/>
        <v>-</v>
      </c>
      <c r="N61" s="10" t="str">
        <f t="shared" si="4"/>
        <v>-</v>
      </c>
      <c r="O61" s="11" t="str">
        <f t="shared" si="2"/>
        <v>-</v>
      </c>
      <c r="P61" s="12" t="str">
        <f t="shared" si="5"/>
        <v>-</v>
      </c>
      <c r="R61" s="12" t="str">
        <f t="shared" si="3"/>
        <v>-</v>
      </c>
    </row>
    <row r="62" spans="1:18" ht="14.4">
      <c r="A62" s="26" t="s">
        <v>578</v>
      </c>
      <c r="B62" s="27">
        <v>10486</v>
      </c>
      <c r="C62" s="13">
        <v>33674104866</v>
      </c>
      <c r="D62" s="28" t="s">
        <v>457</v>
      </c>
      <c r="E62" s="14">
        <v>12</v>
      </c>
      <c r="F62" s="15">
        <v>0.25638401529509997</v>
      </c>
      <c r="G62" s="16">
        <v>14.163749999999999</v>
      </c>
      <c r="H62" s="29" t="s">
        <v>603</v>
      </c>
      <c r="I62" s="30"/>
      <c r="J62" s="38">
        <f t="shared" si="0"/>
        <v>0</v>
      </c>
      <c r="M62" s="10" t="str">
        <f t="shared" si="1"/>
        <v>-</v>
      </c>
      <c r="N62" s="10" t="str">
        <f t="shared" si="4"/>
        <v>-</v>
      </c>
      <c r="O62" s="11" t="str">
        <f t="shared" si="2"/>
        <v>-</v>
      </c>
      <c r="P62" s="12" t="str">
        <f t="shared" si="5"/>
        <v>-</v>
      </c>
      <c r="R62" s="12" t="str">
        <f t="shared" si="3"/>
        <v>-</v>
      </c>
    </row>
    <row r="63" spans="1:18" ht="14.4">
      <c r="A63" s="26" t="s">
        <v>578</v>
      </c>
      <c r="B63" s="27">
        <v>12285</v>
      </c>
      <c r="C63" s="13">
        <v>33674122853</v>
      </c>
      <c r="D63" s="28" t="s">
        <v>469</v>
      </c>
      <c r="E63" s="14">
        <v>12</v>
      </c>
      <c r="F63" s="15">
        <v>0.26668056209410002</v>
      </c>
      <c r="G63" s="16">
        <v>14.163749999999999</v>
      </c>
      <c r="H63" s="29" t="s">
        <v>603</v>
      </c>
      <c r="I63" s="30"/>
      <c r="J63" s="38">
        <f t="shared" si="0"/>
        <v>0</v>
      </c>
      <c r="M63" s="10" t="str">
        <f t="shared" si="1"/>
        <v>-</v>
      </c>
      <c r="N63" s="10" t="str">
        <f t="shared" si="4"/>
        <v>-</v>
      </c>
      <c r="O63" s="11" t="str">
        <f t="shared" si="2"/>
        <v>-</v>
      </c>
      <c r="P63" s="12" t="str">
        <f t="shared" si="5"/>
        <v>-</v>
      </c>
      <c r="R63" s="12" t="str">
        <f t="shared" si="3"/>
        <v>-</v>
      </c>
    </row>
    <row r="64" spans="1:18" ht="14.4">
      <c r="A64" s="26" t="s">
        <v>565</v>
      </c>
      <c r="B64" s="27">
        <v>17300</v>
      </c>
      <c r="C64" s="13">
        <v>33674173008</v>
      </c>
      <c r="D64" s="28" t="s">
        <v>500</v>
      </c>
      <c r="E64" s="14">
        <v>12</v>
      </c>
      <c r="F64" s="15">
        <v>9.2668921191000009E-2</v>
      </c>
      <c r="G64" s="16">
        <v>8.0212500000000002</v>
      </c>
      <c r="H64" s="29" t="s">
        <v>603</v>
      </c>
      <c r="I64" s="30"/>
      <c r="J64" s="38">
        <f t="shared" si="0"/>
        <v>0</v>
      </c>
      <c r="M64" s="10" t="str">
        <f t="shared" si="1"/>
        <v>-</v>
      </c>
      <c r="N64" s="10" t="str">
        <f t="shared" si="4"/>
        <v>-</v>
      </c>
      <c r="O64" s="11" t="str">
        <f t="shared" si="2"/>
        <v>-</v>
      </c>
      <c r="P64" s="12" t="str">
        <f t="shared" si="5"/>
        <v>-</v>
      </c>
      <c r="R64" s="12" t="str">
        <f t="shared" si="3"/>
        <v>-</v>
      </c>
    </row>
    <row r="65" spans="1:18" ht="14.4">
      <c r="A65" s="26" t="s">
        <v>578</v>
      </c>
      <c r="B65" s="27">
        <v>15464</v>
      </c>
      <c r="C65" s="13">
        <v>33674154649</v>
      </c>
      <c r="D65" s="28" t="s">
        <v>537</v>
      </c>
      <c r="E65" s="14">
        <v>12</v>
      </c>
      <c r="F65" s="15">
        <v>0.19254542514130005</v>
      </c>
      <c r="G65" s="16">
        <v>10.26</v>
      </c>
      <c r="H65" s="29" t="s">
        <v>603</v>
      </c>
      <c r="I65" s="30"/>
      <c r="J65" s="38">
        <f t="shared" si="0"/>
        <v>0</v>
      </c>
      <c r="M65" s="10" t="str">
        <f t="shared" si="1"/>
        <v>-</v>
      </c>
      <c r="N65" s="10" t="str">
        <f t="shared" si="4"/>
        <v>-</v>
      </c>
      <c r="O65" s="11" t="str">
        <f t="shared" si="2"/>
        <v>-</v>
      </c>
      <c r="P65" s="12" t="str">
        <f t="shared" si="5"/>
        <v>-</v>
      </c>
      <c r="R65" s="12" t="str">
        <f t="shared" si="3"/>
        <v>-</v>
      </c>
    </row>
    <row r="66" spans="1:18" ht="14.4">
      <c r="A66" s="26" t="s">
        <v>573</v>
      </c>
      <c r="B66" s="27">
        <v>13661</v>
      </c>
      <c r="C66" s="13">
        <v>33674136614</v>
      </c>
      <c r="D66" s="28" t="s">
        <v>57</v>
      </c>
      <c r="E66" s="14">
        <v>12</v>
      </c>
      <c r="F66" s="15">
        <v>0.15393337464505</v>
      </c>
      <c r="G66" s="16">
        <v>9.18</v>
      </c>
      <c r="H66" s="29" t="s">
        <v>604</v>
      </c>
      <c r="I66" s="30"/>
      <c r="J66" s="38">
        <f t="shared" si="0"/>
        <v>0</v>
      </c>
      <c r="M66" s="10" t="str">
        <f t="shared" si="1"/>
        <v>-</v>
      </c>
      <c r="N66" s="10" t="str">
        <f t="shared" si="4"/>
        <v>-</v>
      </c>
      <c r="O66" s="11" t="str">
        <f t="shared" si="2"/>
        <v>-</v>
      </c>
      <c r="P66" s="12" t="str">
        <f t="shared" si="5"/>
        <v>-</v>
      </c>
      <c r="R66" s="12" t="str">
        <f t="shared" si="3"/>
        <v>-</v>
      </c>
    </row>
    <row r="67" spans="1:18" ht="14.4">
      <c r="A67" s="26" t="s">
        <v>573</v>
      </c>
      <c r="B67" s="27">
        <v>15895</v>
      </c>
      <c r="C67" s="13">
        <v>33674158951</v>
      </c>
      <c r="D67" s="28" t="s">
        <v>62</v>
      </c>
      <c r="E67" s="14">
        <v>12</v>
      </c>
      <c r="F67" s="15">
        <v>0.32588570618835005</v>
      </c>
      <c r="G67" s="16">
        <v>12.408749999999998</v>
      </c>
      <c r="H67" s="29" t="s">
        <v>604</v>
      </c>
      <c r="I67" s="30"/>
      <c r="J67" s="38">
        <f t="shared" ref="J67:J130" si="6">I67*G67</f>
        <v>0</v>
      </c>
      <c r="M67" s="10" t="str">
        <f t="shared" ref="M67:M130" si="7">IFERROR(IF($M$2*F67=0, "-", $M$2*F67), "-")</f>
        <v>-</v>
      </c>
      <c r="N67" s="10" t="str">
        <f t="shared" si="4"/>
        <v>-</v>
      </c>
      <c r="O67" s="11" t="str">
        <f t="shared" ref="O67:O130" si="8">IF(I67&gt;0,I67*F67, "-")</f>
        <v>-</v>
      </c>
      <c r="P67" s="12" t="str">
        <f t="shared" si="5"/>
        <v>-</v>
      </c>
      <c r="R67" s="12" t="str">
        <f t="shared" ref="R67:R130" si="9">IFERROR(IF(P67+J67=0, "-", IF(P67&gt;0, P67+J67, "-")), "-")</f>
        <v>-</v>
      </c>
    </row>
    <row r="68" spans="1:18" ht="14.4">
      <c r="A68" s="26" t="s">
        <v>573</v>
      </c>
      <c r="B68" s="27">
        <v>13662</v>
      </c>
      <c r="C68" s="13">
        <v>33674136621</v>
      </c>
      <c r="D68" s="28" t="s">
        <v>84</v>
      </c>
      <c r="E68" s="14">
        <v>12</v>
      </c>
      <c r="F68" s="15">
        <v>0.16886336750360001</v>
      </c>
      <c r="G68" s="16">
        <v>9.18</v>
      </c>
      <c r="H68" s="29" t="s">
        <v>604</v>
      </c>
      <c r="I68" s="30"/>
      <c r="J68" s="38">
        <f t="shared" si="6"/>
        <v>0</v>
      </c>
      <c r="M68" s="10" t="str">
        <f t="shared" si="7"/>
        <v>-</v>
      </c>
      <c r="N68" s="10" t="str">
        <f t="shared" ref="N68:N131" si="10">IFERROR(IF(M68&gt;0,G68+M68,"-"),"-")</f>
        <v>-</v>
      </c>
      <c r="O68" s="11" t="str">
        <f t="shared" si="8"/>
        <v>-</v>
      </c>
      <c r="P68" s="12" t="str">
        <f t="shared" ref="P68:P131" si="11">IFERROR(IF($M$2&gt;0, $M$2*O68, "-"), "-")</f>
        <v>-</v>
      </c>
      <c r="R68" s="12" t="str">
        <f t="shared" si="9"/>
        <v>-</v>
      </c>
    </row>
    <row r="69" spans="1:18" ht="24">
      <c r="A69" s="26" t="s">
        <v>570</v>
      </c>
      <c r="B69" s="27">
        <v>14282</v>
      </c>
      <c r="C69" s="13">
        <v>33674142820</v>
      </c>
      <c r="D69" s="28" t="s">
        <v>102</v>
      </c>
      <c r="E69" s="14">
        <v>12</v>
      </c>
      <c r="F69" s="15">
        <v>1.34730314864915</v>
      </c>
      <c r="G69" s="16">
        <v>10.6875</v>
      </c>
      <c r="H69" s="29" t="s">
        <v>604</v>
      </c>
      <c r="I69" s="30"/>
      <c r="J69" s="38">
        <f t="shared" si="6"/>
        <v>0</v>
      </c>
      <c r="M69" s="10" t="str">
        <f t="shared" si="7"/>
        <v>-</v>
      </c>
      <c r="N69" s="10" t="str">
        <f t="shared" si="10"/>
        <v>-</v>
      </c>
      <c r="O69" s="11" t="str">
        <f t="shared" si="8"/>
        <v>-</v>
      </c>
      <c r="P69" s="12" t="str">
        <f t="shared" si="11"/>
        <v>-</v>
      </c>
      <c r="R69" s="12" t="str">
        <f t="shared" si="9"/>
        <v>-</v>
      </c>
    </row>
    <row r="70" spans="1:18" ht="14.4">
      <c r="A70" s="26" t="s">
        <v>588</v>
      </c>
      <c r="B70" s="27">
        <v>40462</v>
      </c>
      <c r="C70" s="13">
        <v>33674404621</v>
      </c>
      <c r="D70" s="28" t="s">
        <v>181</v>
      </c>
      <c r="E70" s="14">
        <v>12</v>
      </c>
      <c r="F70" s="15">
        <v>0.16731888548374999</v>
      </c>
      <c r="G70" s="16">
        <v>12.757499999999999</v>
      </c>
      <c r="H70" s="29" t="s">
        <v>604</v>
      </c>
      <c r="I70" s="30"/>
      <c r="J70" s="38">
        <f t="shared" si="6"/>
        <v>0</v>
      </c>
      <c r="M70" s="10" t="str">
        <f t="shared" si="7"/>
        <v>-</v>
      </c>
      <c r="N70" s="10" t="str">
        <f t="shared" si="10"/>
        <v>-</v>
      </c>
      <c r="O70" s="11" t="str">
        <f t="shared" si="8"/>
        <v>-</v>
      </c>
      <c r="P70" s="12" t="str">
        <f t="shared" si="11"/>
        <v>-</v>
      </c>
      <c r="R70" s="12" t="str">
        <f t="shared" si="9"/>
        <v>-</v>
      </c>
    </row>
    <row r="71" spans="1:18" ht="14.4">
      <c r="A71" s="26" t="s">
        <v>580</v>
      </c>
      <c r="B71" s="27">
        <v>15350</v>
      </c>
      <c r="C71" s="13">
        <v>33674153505</v>
      </c>
      <c r="D71" s="28" t="s">
        <v>556</v>
      </c>
      <c r="E71" s="14">
        <v>12</v>
      </c>
      <c r="F71" s="15">
        <v>0.15547785666490002</v>
      </c>
      <c r="G71" s="16">
        <v>11.486250000000002</v>
      </c>
      <c r="H71" s="29" t="s">
        <v>604</v>
      </c>
      <c r="I71" s="30"/>
      <c r="J71" s="38">
        <f t="shared" si="6"/>
        <v>0</v>
      </c>
      <c r="M71" s="10" t="str">
        <f t="shared" si="7"/>
        <v>-</v>
      </c>
      <c r="N71" s="10" t="str">
        <f t="shared" si="10"/>
        <v>-</v>
      </c>
      <c r="O71" s="11" t="str">
        <f t="shared" si="8"/>
        <v>-</v>
      </c>
      <c r="P71" s="12" t="str">
        <f t="shared" si="11"/>
        <v>-</v>
      </c>
      <c r="R71" s="12" t="str">
        <f t="shared" si="9"/>
        <v>-</v>
      </c>
    </row>
    <row r="72" spans="1:18" ht="14.4">
      <c r="A72" s="26" t="s">
        <v>574</v>
      </c>
      <c r="B72" s="27">
        <v>11209</v>
      </c>
      <c r="C72" s="13">
        <v>33674112090</v>
      </c>
      <c r="D72" s="28" t="s">
        <v>39</v>
      </c>
      <c r="E72" s="14">
        <v>12</v>
      </c>
      <c r="F72" s="15">
        <v>0.19923818056065001</v>
      </c>
      <c r="G72" s="16">
        <v>22.747499999999999</v>
      </c>
      <c r="H72" s="29" t="s">
        <v>604</v>
      </c>
      <c r="I72" s="30"/>
      <c r="J72" s="38">
        <f t="shared" si="6"/>
        <v>0</v>
      </c>
      <c r="M72" s="10" t="str">
        <f t="shared" si="7"/>
        <v>-</v>
      </c>
      <c r="N72" s="10" t="str">
        <f t="shared" si="10"/>
        <v>-</v>
      </c>
      <c r="O72" s="11" t="str">
        <f t="shared" si="8"/>
        <v>-</v>
      </c>
      <c r="P72" s="12" t="str">
        <f t="shared" si="11"/>
        <v>-</v>
      </c>
      <c r="R72" s="12" t="str">
        <f t="shared" si="9"/>
        <v>-</v>
      </c>
    </row>
    <row r="73" spans="1:18" ht="14.4">
      <c r="A73" s="26" t="s">
        <v>573</v>
      </c>
      <c r="B73" s="27">
        <v>60192</v>
      </c>
      <c r="C73" s="13">
        <v>33674601921</v>
      </c>
      <c r="D73" s="28" t="s">
        <v>40</v>
      </c>
      <c r="E73" s="14">
        <v>12</v>
      </c>
      <c r="F73" s="15">
        <v>0.18070439632245003</v>
      </c>
      <c r="G73" s="16">
        <v>9.18</v>
      </c>
      <c r="H73" s="29" t="s">
        <v>604</v>
      </c>
      <c r="I73" s="30"/>
      <c r="J73" s="38">
        <f t="shared" si="6"/>
        <v>0</v>
      </c>
      <c r="M73" s="10" t="str">
        <f t="shared" si="7"/>
        <v>-</v>
      </c>
      <c r="N73" s="10" t="str">
        <f t="shared" si="10"/>
        <v>-</v>
      </c>
      <c r="O73" s="11" t="str">
        <f t="shared" si="8"/>
        <v>-</v>
      </c>
      <c r="P73" s="12" t="str">
        <f t="shared" si="11"/>
        <v>-</v>
      </c>
      <c r="R73" s="12" t="str">
        <f t="shared" si="9"/>
        <v>-</v>
      </c>
    </row>
    <row r="74" spans="1:18" ht="14.4">
      <c r="A74" s="26" t="s">
        <v>576</v>
      </c>
      <c r="B74" s="27">
        <v>11973</v>
      </c>
      <c r="C74" s="13">
        <v>33674119730</v>
      </c>
      <c r="D74" s="28" t="s">
        <v>43</v>
      </c>
      <c r="E74" s="14">
        <v>12</v>
      </c>
      <c r="F74" s="15">
        <v>0.28469951899235002</v>
      </c>
      <c r="G74" s="16">
        <v>12.993750000000002</v>
      </c>
      <c r="H74" s="29" t="s">
        <v>604</v>
      </c>
      <c r="I74" s="30"/>
      <c r="J74" s="38">
        <f t="shared" si="6"/>
        <v>0</v>
      </c>
      <c r="M74" s="10" t="str">
        <f t="shared" si="7"/>
        <v>-</v>
      </c>
      <c r="N74" s="10" t="str">
        <f t="shared" si="10"/>
        <v>-</v>
      </c>
      <c r="O74" s="11" t="str">
        <f t="shared" si="8"/>
        <v>-</v>
      </c>
      <c r="P74" s="12" t="str">
        <f t="shared" si="11"/>
        <v>-</v>
      </c>
      <c r="R74" s="12" t="str">
        <f t="shared" si="9"/>
        <v>-</v>
      </c>
    </row>
    <row r="75" spans="1:18" ht="14.4">
      <c r="A75" s="26" t="s">
        <v>576</v>
      </c>
      <c r="B75" s="27">
        <v>11094</v>
      </c>
      <c r="C75" s="13">
        <v>33674110942</v>
      </c>
      <c r="D75" s="28" t="s">
        <v>45</v>
      </c>
      <c r="E75" s="14">
        <v>12</v>
      </c>
      <c r="F75" s="15">
        <v>0.13231062636715002</v>
      </c>
      <c r="G75" s="16">
        <v>9.28125</v>
      </c>
      <c r="H75" s="29" t="s">
        <v>604</v>
      </c>
      <c r="I75" s="30"/>
      <c r="J75" s="38">
        <f t="shared" si="6"/>
        <v>0</v>
      </c>
      <c r="M75" s="10" t="str">
        <f t="shared" si="7"/>
        <v>-</v>
      </c>
      <c r="N75" s="10" t="str">
        <f t="shared" si="10"/>
        <v>-</v>
      </c>
      <c r="O75" s="11" t="str">
        <f t="shared" si="8"/>
        <v>-</v>
      </c>
      <c r="P75" s="12" t="str">
        <f t="shared" si="11"/>
        <v>-</v>
      </c>
      <c r="R75" s="12" t="str">
        <f t="shared" si="9"/>
        <v>-</v>
      </c>
    </row>
    <row r="76" spans="1:18" ht="14.4">
      <c r="A76" s="26" t="s">
        <v>573</v>
      </c>
      <c r="B76" s="27">
        <v>15543</v>
      </c>
      <c r="C76" s="13">
        <v>33674155431</v>
      </c>
      <c r="D76" s="28" t="s">
        <v>52</v>
      </c>
      <c r="E76" s="14">
        <v>12</v>
      </c>
      <c r="F76" s="15">
        <v>0.2584433246549</v>
      </c>
      <c r="G76" s="16">
        <v>20.418749999999999</v>
      </c>
      <c r="H76" s="29" t="s">
        <v>604</v>
      </c>
      <c r="I76" s="30"/>
      <c r="J76" s="38">
        <f t="shared" si="6"/>
        <v>0</v>
      </c>
      <c r="M76" s="10" t="str">
        <f t="shared" si="7"/>
        <v>-</v>
      </c>
      <c r="N76" s="10" t="str">
        <f t="shared" si="10"/>
        <v>-</v>
      </c>
      <c r="O76" s="11" t="str">
        <f t="shared" si="8"/>
        <v>-</v>
      </c>
      <c r="P76" s="12" t="str">
        <f t="shared" si="11"/>
        <v>-</v>
      </c>
      <c r="R76" s="12" t="str">
        <f t="shared" si="9"/>
        <v>-</v>
      </c>
    </row>
    <row r="77" spans="1:18" ht="14.4">
      <c r="A77" s="26" t="s">
        <v>573</v>
      </c>
      <c r="B77" s="27">
        <v>15090</v>
      </c>
      <c r="C77" s="13">
        <v>33674150900</v>
      </c>
      <c r="D77" s="28" t="s">
        <v>53</v>
      </c>
      <c r="E77" s="14">
        <v>12</v>
      </c>
      <c r="F77" s="15">
        <v>0.16834854016365</v>
      </c>
      <c r="G77" s="16">
        <v>10.89</v>
      </c>
      <c r="H77" s="29" t="s">
        <v>604</v>
      </c>
      <c r="I77" s="30"/>
      <c r="J77" s="38">
        <f t="shared" si="6"/>
        <v>0</v>
      </c>
      <c r="M77" s="10" t="str">
        <f t="shared" si="7"/>
        <v>-</v>
      </c>
      <c r="N77" s="10" t="str">
        <f t="shared" si="10"/>
        <v>-</v>
      </c>
      <c r="O77" s="11" t="str">
        <f t="shared" si="8"/>
        <v>-</v>
      </c>
      <c r="P77" s="12" t="str">
        <f t="shared" si="11"/>
        <v>-</v>
      </c>
      <c r="R77" s="12" t="str">
        <f t="shared" si="9"/>
        <v>-</v>
      </c>
    </row>
    <row r="78" spans="1:18" ht="24">
      <c r="A78" s="26" t="s">
        <v>573</v>
      </c>
      <c r="B78" s="27">
        <v>15092</v>
      </c>
      <c r="C78" s="13">
        <v>33674150924</v>
      </c>
      <c r="D78" s="28" t="s">
        <v>54</v>
      </c>
      <c r="E78" s="14">
        <v>12</v>
      </c>
      <c r="F78" s="15">
        <v>0.16577440346390002</v>
      </c>
      <c r="G78" s="16">
        <v>10.89</v>
      </c>
      <c r="H78" s="29" t="s">
        <v>604</v>
      </c>
      <c r="I78" s="30"/>
      <c r="J78" s="38">
        <f t="shared" si="6"/>
        <v>0</v>
      </c>
      <c r="M78" s="10" t="str">
        <f t="shared" si="7"/>
        <v>-</v>
      </c>
      <c r="N78" s="10" t="str">
        <f t="shared" si="10"/>
        <v>-</v>
      </c>
      <c r="O78" s="11" t="str">
        <f t="shared" si="8"/>
        <v>-</v>
      </c>
      <c r="P78" s="12" t="str">
        <f t="shared" si="11"/>
        <v>-</v>
      </c>
      <c r="R78" s="12" t="str">
        <f t="shared" si="9"/>
        <v>-</v>
      </c>
    </row>
    <row r="79" spans="1:18" ht="24">
      <c r="A79" s="26" t="s">
        <v>574</v>
      </c>
      <c r="B79" s="27">
        <v>10488</v>
      </c>
      <c r="C79" s="13">
        <v>33674104880</v>
      </c>
      <c r="D79" s="28" t="s">
        <v>80</v>
      </c>
      <c r="E79" s="14">
        <v>12</v>
      </c>
      <c r="F79" s="15">
        <v>0.43914772097735005</v>
      </c>
      <c r="G79" s="16">
        <v>12.015000000000001</v>
      </c>
      <c r="H79" s="29" t="s">
        <v>604</v>
      </c>
      <c r="I79" s="30"/>
      <c r="J79" s="38">
        <f t="shared" si="6"/>
        <v>0</v>
      </c>
      <c r="M79" s="10" t="str">
        <f t="shared" si="7"/>
        <v>-</v>
      </c>
      <c r="N79" s="10" t="str">
        <f t="shared" si="10"/>
        <v>-</v>
      </c>
      <c r="O79" s="11" t="str">
        <f t="shared" si="8"/>
        <v>-</v>
      </c>
      <c r="P79" s="12" t="str">
        <f t="shared" si="11"/>
        <v>-</v>
      </c>
      <c r="R79" s="12" t="str">
        <f t="shared" si="9"/>
        <v>-</v>
      </c>
    </row>
    <row r="80" spans="1:18" ht="14.4">
      <c r="A80" s="26" t="s">
        <v>573</v>
      </c>
      <c r="B80" s="27">
        <v>11537</v>
      </c>
      <c r="C80" s="13">
        <v>33674115374</v>
      </c>
      <c r="D80" s="28" t="s">
        <v>87</v>
      </c>
      <c r="E80" s="14">
        <v>12</v>
      </c>
      <c r="F80" s="15">
        <v>0.65589003109629995</v>
      </c>
      <c r="G80" s="16">
        <v>15.120000000000001</v>
      </c>
      <c r="H80" s="29" t="s">
        <v>604</v>
      </c>
      <c r="I80" s="30"/>
      <c r="J80" s="38">
        <f t="shared" si="6"/>
        <v>0</v>
      </c>
      <c r="M80" s="10" t="str">
        <f t="shared" si="7"/>
        <v>-</v>
      </c>
      <c r="N80" s="10" t="str">
        <f t="shared" si="10"/>
        <v>-</v>
      </c>
      <c r="O80" s="11" t="str">
        <f t="shared" si="8"/>
        <v>-</v>
      </c>
      <c r="P80" s="12" t="str">
        <f t="shared" si="11"/>
        <v>-</v>
      </c>
      <c r="R80" s="12" t="str">
        <f t="shared" si="9"/>
        <v>-</v>
      </c>
    </row>
    <row r="81" spans="1:18" ht="14.4">
      <c r="A81" s="26" t="s">
        <v>565</v>
      </c>
      <c r="B81" s="27">
        <v>15387</v>
      </c>
      <c r="C81" s="13">
        <v>33674153871</v>
      </c>
      <c r="D81" s="28" t="s">
        <v>114</v>
      </c>
      <c r="E81" s="14">
        <v>12</v>
      </c>
      <c r="F81" s="15">
        <v>7.0016518233200001E-2</v>
      </c>
      <c r="G81" s="16">
        <v>14.028750000000002</v>
      </c>
      <c r="H81" s="29" t="s">
        <v>604</v>
      </c>
      <c r="I81" s="30"/>
      <c r="J81" s="38">
        <f t="shared" si="6"/>
        <v>0</v>
      </c>
      <c r="M81" s="10" t="str">
        <f t="shared" si="7"/>
        <v>-</v>
      </c>
      <c r="N81" s="10" t="str">
        <f t="shared" si="10"/>
        <v>-</v>
      </c>
      <c r="O81" s="11" t="str">
        <f t="shared" si="8"/>
        <v>-</v>
      </c>
      <c r="P81" s="12" t="str">
        <f t="shared" si="11"/>
        <v>-</v>
      </c>
      <c r="R81" s="12" t="str">
        <f t="shared" si="9"/>
        <v>-</v>
      </c>
    </row>
    <row r="82" spans="1:18" ht="14.4">
      <c r="A82" s="26" t="s">
        <v>578</v>
      </c>
      <c r="B82" s="27">
        <v>15337</v>
      </c>
      <c r="C82" s="13">
        <v>33674153376</v>
      </c>
      <c r="D82" s="28" t="s">
        <v>117</v>
      </c>
      <c r="E82" s="14">
        <v>12</v>
      </c>
      <c r="F82" s="15">
        <v>0.2038716266202</v>
      </c>
      <c r="G82" s="16">
        <v>11.745000000000001</v>
      </c>
      <c r="H82" s="29" t="s">
        <v>604</v>
      </c>
      <c r="I82" s="30"/>
      <c r="J82" s="38">
        <f t="shared" si="6"/>
        <v>0</v>
      </c>
      <c r="M82" s="10" t="str">
        <f t="shared" si="7"/>
        <v>-</v>
      </c>
      <c r="N82" s="10" t="str">
        <f t="shared" si="10"/>
        <v>-</v>
      </c>
      <c r="O82" s="11" t="str">
        <f t="shared" si="8"/>
        <v>-</v>
      </c>
      <c r="P82" s="12" t="str">
        <f t="shared" si="11"/>
        <v>-</v>
      </c>
      <c r="R82" s="12" t="str">
        <f t="shared" si="9"/>
        <v>-</v>
      </c>
    </row>
    <row r="83" spans="1:18" ht="14.4">
      <c r="A83" s="26" t="s">
        <v>580</v>
      </c>
      <c r="B83" s="27">
        <v>10500</v>
      </c>
      <c r="C83" s="13">
        <v>33674105009</v>
      </c>
      <c r="D83" s="28" t="s">
        <v>130</v>
      </c>
      <c r="E83" s="14">
        <v>12</v>
      </c>
      <c r="F83" s="15">
        <v>0.11274718744905</v>
      </c>
      <c r="G83" s="16">
        <v>8.3812500000000014</v>
      </c>
      <c r="H83" s="29" t="s">
        <v>604</v>
      </c>
      <c r="I83" s="30"/>
      <c r="J83" s="38">
        <f t="shared" si="6"/>
        <v>0</v>
      </c>
      <c r="M83" s="10" t="str">
        <f t="shared" si="7"/>
        <v>-</v>
      </c>
      <c r="N83" s="10" t="str">
        <f t="shared" si="10"/>
        <v>-</v>
      </c>
      <c r="O83" s="11" t="str">
        <f t="shared" si="8"/>
        <v>-</v>
      </c>
      <c r="P83" s="12" t="str">
        <f t="shared" si="11"/>
        <v>-</v>
      </c>
      <c r="R83" s="12" t="str">
        <f t="shared" si="9"/>
        <v>-</v>
      </c>
    </row>
    <row r="84" spans="1:18" ht="14.4">
      <c r="A84" s="26" t="s">
        <v>570</v>
      </c>
      <c r="B84" s="27">
        <v>11200</v>
      </c>
      <c r="C84" s="13">
        <v>33674112007</v>
      </c>
      <c r="D84" s="28" t="s">
        <v>145</v>
      </c>
      <c r="E84" s="14">
        <v>12</v>
      </c>
      <c r="F84" s="15">
        <v>0.12201407956814998</v>
      </c>
      <c r="G84" s="16">
        <v>9.36</v>
      </c>
      <c r="H84" s="29" t="s">
        <v>604</v>
      </c>
      <c r="I84" s="30"/>
      <c r="J84" s="38">
        <f t="shared" si="6"/>
        <v>0</v>
      </c>
      <c r="M84" s="10" t="str">
        <f t="shared" si="7"/>
        <v>-</v>
      </c>
      <c r="N84" s="10" t="str">
        <f t="shared" si="10"/>
        <v>-</v>
      </c>
      <c r="O84" s="11" t="str">
        <f t="shared" si="8"/>
        <v>-</v>
      </c>
      <c r="P84" s="12" t="str">
        <f t="shared" si="11"/>
        <v>-</v>
      </c>
      <c r="R84" s="12" t="str">
        <f t="shared" si="9"/>
        <v>-</v>
      </c>
    </row>
    <row r="85" spans="1:18" ht="14.4">
      <c r="A85" s="26" t="s">
        <v>567</v>
      </c>
      <c r="B85" s="27">
        <v>41310</v>
      </c>
      <c r="C85" s="13">
        <v>33674413104</v>
      </c>
      <c r="D85" s="28" t="s">
        <v>147</v>
      </c>
      <c r="E85" s="14">
        <v>12</v>
      </c>
      <c r="F85" s="15">
        <v>0.16062613006439999</v>
      </c>
      <c r="G85" s="16">
        <v>7.6499999999999995</v>
      </c>
      <c r="H85" s="29" t="s">
        <v>604</v>
      </c>
      <c r="I85" s="30"/>
      <c r="J85" s="38">
        <f t="shared" si="6"/>
        <v>0</v>
      </c>
      <c r="M85" s="10" t="str">
        <f t="shared" si="7"/>
        <v>-</v>
      </c>
      <c r="N85" s="10" t="str">
        <f t="shared" si="10"/>
        <v>-</v>
      </c>
      <c r="O85" s="11" t="str">
        <f t="shared" si="8"/>
        <v>-</v>
      </c>
      <c r="P85" s="12" t="str">
        <f t="shared" si="11"/>
        <v>-</v>
      </c>
      <c r="R85" s="12" t="str">
        <f t="shared" si="9"/>
        <v>-</v>
      </c>
    </row>
    <row r="86" spans="1:18" ht="14.4">
      <c r="A86" s="26" t="s">
        <v>567</v>
      </c>
      <c r="B86" s="27" t="s">
        <v>14</v>
      </c>
      <c r="C86" s="13">
        <v>371401388166</v>
      </c>
      <c r="D86" s="28" t="s">
        <v>149</v>
      </c>
      <c r="E86" s="14">
        <v>12</v>
      </c>
      <c r="F86" s="15">
        <v>0.69810587297219995</v>
      </c>
      <c r="G86" s="16">
        <v>5.0962499999999995</v>
      </c>
      <c r="H86" s="29" t="s">
        <v>604</v>
      </c>
      <c r="I86" s="30"/>
      <c r="J86" s="38">
        <f t="shared" si="6"/>
        <v>0</v>
      </c>
      <c r="M86" s="10" t="str">
        <f t="shared" si="7"/>
        <v>-</v>
      </c>
      <c r="N86" s="10" t="str">
        <f t="shared" si="10"/>
        <v>-</v>
      </c>
      <c r="O86" s="11" t="str">
        <f t="shared" si="8"/>
        <v>-</v>
      </c>
      <c r="P86" s="12" t="str">
        <f t="shared" si="11"/>
        <v>-</v>
      </c>
      <c r="R86" s="12" t="str">
        <f t="shared" si="9"/>
        <v>-</v>
      </c>
    </row>
    <row r="87" spans="1:18" ht="14.4">
      <c r="A87" s="26" t="s">
        <v>567</v>
      </c>
      <c r="B87" s="27">
        <v>41010</v>
      </c>
      <c r="C87" s="13">
        <v>33674410103</v>
      </c>
      <c r="D87" s="28" t="s">
        <v>150</v>
      </c>
      <c r="E87" s="14">
        <v>12</v>
      </c>
      <c r="F87" s="15">
        <v>0.17915991430260003</v>
      </c>
      <c r="G87" s="16">
        <v>7.6499999999999995</v>
      </c>
      <c r="H87" s="29" t="s">
        <v>604</v>
      </c>
      <c r="I87" s="30"/>
      <c r="J87" s="38">
        <f t="shared" si="6"/>
        <v>0</v>
      </c>
      <c r="M87" s="10" t="str">
        <f t="shared" si="7"/>
        <v>-</v>
      </c>
      <c r="N87" s="10" t="str">
        <f t="shared" si="10"/>
        <v>-</v>
      </c>
      <c r="O87" s="11" t="str">
        <f t="shared" si="8"/>
        <v>-</v>
      </c>
      <c r="P87" s="12" t="str">
        <f t="shared" si="11"/>
        <v>-</v>
      </c>
      <c r="R87" s="12" t="str">
        <f t="shared" si="9"/>
        <v>-</v>
      </c>
    </row>
    <row r="88" spans="1:18" ht="14.4">
      <c r="A88" s="26" t="s">
        <v>567</v>
      </c>
      <c r="B88" s="27">
        <v>41420</v>
      </c>
      <c r="C88" s="13">
        <v>33674414200</v>
      </c>
      <c r="D88" s="28" t="s">
        <v>152</v>
      </c>
      <c r="E88" s="14">
        <v>12</v>
      </c>
      <c r="F88" s="15">
        <v>0.17092267686340001</v>
      </c>
      <c r="G88" s="16">
        <v>7.6499999999999995</v>
      </c>
      <c r="H88" s="29" t="s">
        <v>604</v>
      </c>
      <c r="I88" s="30"/>
      <c r="J88" s="38">
        <f t="shared" si="6"/>
        <v>0</v>
      </c>
      <c r="M88" s="10" t="str">
        <f t="shared" si="7"/>
        <v>-</v>
      </c>
      <c r="N88" s="10" t="str">
        <f t="shared" si="10"/>
        <v>-</v>
      </c>
      <c r="O88" s="11" t="str">
        <f t="shared" si="8"/>
        <v>-</v>
      </c>
      <c r="P88" s="12" t="str">
        <f t="shared" si="11"/>
        <v>-</v>
      </c>
      <c r="R88" s="12" t="str">
        <f t="shared" si="9"/>
        <v>-</v>
      </c>
    </row>
    <row r="89" spans="1:18" ht="14.4">
      <c r="A89" s="26" t="s">
        <v>567</v>
      </c>
      <c r="B89" s="27">
        <v>41410</v>
      </c>
      <c r="C89" s="13">
        <v>33674414101</v>
      </c>
      <c r="D89" s="28" t="s">
        <v>154</v>
      </c>
      <c r="E89" s="14">
        <v>12</v>
      </c>
      <c r="F89" s="15">
        <v>0.17092267686340001</v>
      </c>
      <c r="G89" s="16">
        <v>7.6499999999999995</v>
      </c>
      <c r="H89" s="29" t="s">
        <v>604</v>
      </c>
      <c r="I89" s="30"/>
      <c r="J89" s="38">
        <f t="shared" si="6"/>
        <v>0</v>
      </c>
      <c r="M89" s="10" t="str">
        <f t="shared" si="7"/>
        <v>-</v>
      </c>
      <c r="N89" s="10" t="str">
        <f t="shared" si="10"/>
        <v>-</v>
      </c>
      <c r="O89" s="11" t="str">
        <f t="shared" si="8"/>
        <v>-</v>
      </c>
      <c r="P89" s="12" t="str">
        <f t="shared" si="11"/>
        <v>-</v>
      </c>
      <c r="R89" s="12" t="str">
        <f t="shared" si="9"/>
        <v>-</v>
      </c>
    </row>
    <row r="90" spans="1:18" ht="14.4">
      <c r="A90" s="26" t="s">
        <v>565</v>
      </c>
      <c r="B90" s="27">
        <v>15819</v>
      </c>
      <c r="C90" s="13">
        <v>33674158197</v>
      </c>
      <c r="D90" s="28" t="s">
        <v>159</v>
      </c>
      <c r="E90" s="14">
        <v>12</v>
      </c>
      <c r="F90" s="15">
        <v>3.4321822663333341E-2</v>
      </c>
      <c r="G90" s="16">
        <v>12.150000000000002</v>
      </c>
      <c r="H90" s="29" t="s">
        <v>604</v>
      </c>
      <c r="I90" s="30"/>
      <c r="J90" s="38">
        <f t="shared" si="6"/>
        <v>0</v>
      </c>
      <c r="M90" s="10" t="str">
        <f t="shared" si="7"/>
        <v>-</v>
      </c>
      <c r="N90" s="10" t="str">
        <f t="shared" si="10"/>
        <v>-</v>
      </c>
      <c r="O90" s="11" t="str">
        <f t="shared" si="8"/>
        <v>-</v>
      </c>
      <c r="P90" s="12" t="str">
        <f t="shared" si="11"/>
        <v>-</v>
      </c>
      <c r="R90" s="12" t="str">
        <f t="shared" si="9"/>
        <v>-</v>
      </c>
    </row>
    <row r="91" spans="1:18" ht="14.4">
      <c r="A91" s="26" t="s">
        <v>576</v>
      </c>
      <c r="B91" s="27">
        <v>15673</v>
      </c>
      <c r="C91" s="13">
        <v>33674156735</v>
      </c>
      <c r="D91" s="28" t="s">
        <v>189</v>
      </c>
      <c r="E91" s="14">
        <v>12</v>
      </c>
      <c r="F91" s="15">
        <v>0.63581176483824997</v>
      </c>
      <c r="G91" s="16">
        <v>9.7424999999999997</v>
      </c>
      <c r="H91" s="29" t="s">
        <v>604</v>
      </c>
      <c r="I91" s="30"/>
      <c r="J91" s="38">
        <f t="shared" si="6"/>
        <v>0</v>
      </c>
      <c r="M91" s="10" t="str">
        <f t="shared" si="7"/>
        <v>-</v>
      </c>
      <c r="N91" s="10" t="str">
        <f t="shared" si="10"/>
        <v>-</v>
      </c>
      <c r="O91" s="11" t="str">
        <f t="shared" si="8"/>
        <v>-</v>
      </c>
      <c r="P91" s="12" t="str">
        <f t="shared" si="11"/>
        <v>-</v>
      </c>
      <c r="R91" s="12" t="str">
        <f t="shared" si="9"/>
        <v>-</v>
      </c>
    </row>
    <row r="92" spans="1:18" ht="14.4">
      <c r="A92" s="26" t="s">
        <v>578</v>
      </c>
      <c r="B92" s="27">
        <v>12400</v>
      </c>
      <c r="C92" s="13">
        <v>33674124000</v>
      </c>
      <c r="D92" s="28" t="s">
        <v>239</v>
      </c>
      <c r="E92" s="14">
        <v>12</v>
      </c>
      <c r="F92" s="15">
        <v>9.6787539910600004E-2</v>
      </c>
      <c r="G92" s="16">
        <v>9.1349999999999998</v>
      </c>
      <c r="H92" s="29" t="s">
        <v>604</v>
      </c>
      <c r="I92" s="30"/>
      <c r="J92" s="38">
        <f t="shared" si="6"/>
        <v>0</v>
      </c>
      <c r="M92" s="10" t="str">
        <f t="shared" si="7"/>
        <v>-</v>
      </c>
      <c r="N92" s="10" t="str">
        <f t="shared" si="10"/>
        <v>-</v>
      </c>
      <c r="O92" s="11" t="str">
        <f t="shared" si="8"/>
        <v>-</v>
      </c>
      <c r="P92" s="12" t="str">
        <f t="shared" si="11"/>
        <v>-</v>
      </c>
      <c r="R92" s="12" t="str">
        <f t="shared" si="9"/>
        <v>-</v>
      </c>
    </row>
    <row r="93" spans="1:18" ht="14.4">
      <c r="A93" s="26" t="s">
        <v>578</v>
      </c>
      <c r="B93" s="27">
        <v>12408</v>
      </c>
      <c r="C93" s="13">
        <v>33674124086</v>
      </c>
      <c r="D93" s="28" t="s">
        <v>240</v>
      </c>
      <c r="E93" s="14">
        <v>12</v>
      </c>
      <c r="F93" s="15">
        <v>0.16525957612395001</v>
      </c>
      <c r="G93" s="16">
        <v>11.745000000000001</v>
      </c>
      <c r="H93" s="29" t="s">
        <v>604</v>
      </c>
      <c r="I93" s="30"/>
      <c r="J93" s="38">
        <f t="shared" si="6"/>
        <v>0</v>
      </c>
      <c r="M93" s="10" t="str">
        <f t="shared" si="7"/>
        <v>-</v>
      </c>
      <c r="N93" s="10" t="str">
        <f t="shared" si="10"/>
        <v>-</v>
      </c>
      <c r="O93" s="11" t="str">
        <f t="shared" si="8"/>
        <v>-</v>
      </c>
      <c r="P93" s="12" t="str">
        <f t="shared" si="11"/>
        <v>-</v>
      </c>
      <c r="R93" s="12" t="str">
        <f t="shared" si="9"/>
        <v>-</v>
      </c>
    </row>
    <row r="94" spans="1:18" ht="14.4">
      <c r="A94" s="26" t="s">
        <v>573</v>
      </c>
      <c r="B94" s="27">
        <v>12900</v>
      </c>
      <c r="C94" s="13">
        <v>33674129005</v>
      </c>
      <c r="D94" s="28" t="s">
        <v>285</v>
      </c>
      <c r="E94" s="14">
        <v>12</v>
      </c>
      <c r="F94" s="15">
        <v>0.13797372710660002</v>
      </c>
      <c r="G94" s="16">
        <v>7.6499999999999995</v>
      </c>
      <c r="H94" s="29" t="s">
        <v>604</v>
      </c>
      <c r="I94" s="30"/>
      <c r="J94" s="38">
        <f t="shared" si="6"/>
        <v>0</v>
      </c>
      <c r="M94" s="10" t="str">
        <f t="shared" si="7"/>
        <v>-</v>
      </c>
      <c r="N94" s="10" t="str">
        <f t="shared" si="10"/>
        <v>-</v>
      </c>
      <c r="O94" s="11" t="str">
        <f t="shared" si="8"/>
        <v>-</v>
      </c>
      <c r="P94" s="12" t="str">
        <f t="shared" si="11"/>
        <v>-</v>
      </c>
      <c r="R94" s="12" t="str">
        <f t="shared" si="9"/>
        <v>-</v>
      </c>
    </row>
    <row r="95" spans="1:18" ht="14.4">
      <c r="A95" s="26" t="s">
        <v>588</v>
      </c>
      <c r="B95" s="27">
        <v>14000</v>
      </c>
      <c r="C95" s="13">
        <v>33674140000</v>
      </c>
      <c r="D95" s="28" t="s">
        <v>309</v>
      </c>
      <c r="E95" s="14">
        <v>12</v>
      </c>
      <c r="F95" s="15">
        <v>0.10553960468975</v>
      </c>
      <c r="G95" s="16">
        <v>7.6499999999999995</v>
      </c>
      <c r="H95" s="29" t="s">
        <v>604</v>
      </c>
      <c r="I95" s="30"/>
      <c r="J95" s="38">
        <f t="shared" si="6"/>
        <v>0</v>
      </c>
      <c r="M95" s="10" t="str">
        <f t="shared" si="7"/>
        <v>-</v>
      </c>
      <c r="N95" s="10" t="str">
        <f t="shared" si="10"/>
        <v>-</v>
      </c>
      <c r="O95" s="11" t="str">
        <f t="shared" si="8"/>
        <v>-</v>
      </c>
      <c r="P95" s="12" t="str">
        <f t="shared" si="11"/>
        <v>-</v>
      </c>
      <c r="R95" s="12" t="str">
        <f t="shared" si="9"/>
        <v>-</v>
      </c>
    </row>
    <row r="96" spans="1:18" ht="14.4">
      <c r="A96" s="26" t="s">
        <v>588</v>
      </c>
      <c r="B96" s="27">
        <v>14008</v>
      </c>
      <c r="C96" s="13">
        <v>33674140086</v>
      </c>
      <c r="D96" s="28" t="s">
        <v>310</v>
      </c>
      <c r="E96" s="14">
        <v>12</v>
      </c>
      <c r="F96" s="15">
        <v>0.18121922366240004</v>
      </c>
      <c r="G96" s="16">
        <v>11.486250000000002</v>
      </c>
      <c r="H96" s="29" t="s">
        <v>604</v>
      </c>
      <c r="I96" s="30"/>
      <c r="J96" s="38">
        <f t="shared" si="6"/>
        <v>0</v>
      </c>
      <c r="M96" s="10" t="str">
        <f t="shared" si="7"/>
        <v>-</v>
      </c>
      <c r="N96" s="10" t="str">
        <f t="shared" si="10"/>
        <v>-</v>
      </c>
      <c r="O96" s="11" t="str">
        <f t="shared" si="8"/>
        <v>-</v>
      </c>
      <c r="P96" s="12" t="str">
        <f t="shared" si="11"/>
        <v>-</v>
      </c>
      <c r="R96" s="12" t="str">
        <f t="shared" si="9"/>
        <v>-</v>
      </c>
    </row>
    <row r="97" spans="1:18" ht="14.4">
      <c r="A97" s="26" t="s">
        <v>582</v>
      </c>
      <c r="B97" s="27">
        <v>62000</v>
      </c>
      <c r="C97" s="13">
        <v>33674620007</v>
      </c>
      <c r="D97" s="28" t="s">
        <v>325</v>
      </c>
      <c r="E97" s="14">
        <v>12</v>
      </c>
      <c r="F97" s="15">
        <v>9.2668921191000009E-2</v>
      </c>
      <c r="G97" s="16">
        <v>8.932500000000001</v>
      </c>
      <c r="H97" s="29" t="s">
        <v>604</v>
      </c>
      <c r="I97" s="30"/>
      <c r="J97" s="38">
        <f t="shared" si="6"/>
        <v>0</v>
      </c>
      <c r="M97" s="10" t="str">
        <f t="shared" si="7"/>
        <v>-</v>
      </c>
      <c r="N97" s="10" t="str">
        <f t="shared" si="10"/>
        <v>-</v>
      </c>
      <c r="O97" s="11" t="str">
        <f t="shared" si="8"/>
        <v>-</v>
      </c>
      <c r="P97" s="12" t="str">
        <f t="shared" si="11"/>
        <v>-</v>
      </c>
      <c r="R97" s="12" t="str">
        <f t="shared" si="9"/>
        <v>-</v>
      </c>
    </row>
    <row r="98" spans="1:18" ht="14.4">
      <c r="A98" s="26" t="s">
        <v>586</v>
      </c>
      <c r="B98" s="27" t="s">
        <v>15</v>
      </c>
      <c r="C98" s="13">
        <v>371401394167</v>
      </c>
      <c r="D98" s="28" t="s">
        <v>332</v>
      </c>
      <c r="E98" s="14">
        <v>12</v>
      </c>
      <c r="F98" s="15">
        <v>0.69450208159255</v>
      </c>
      <c r="G98" s="16">
        <v>12.465</v>
      </c>
      <c r="H98" s="29" t="s">
        <v>604</v>
      </c>
      <c r="I98" s="30"/>
      <c r="J98" s="38">
        <f t="shared" si="6"/>
        <v>0</v>
      </c>
      <c r="M98" s="10" t="str">
        <f t="shared" si="7"/>
        <v>-</v>
      </c>
      <c r="N98" s="10" t="str">
        <f t="shared" si="10"/>
        <v>-</v>
      </c>
      <c r="O98" s="11" t="str">
        <f t="shared" si="8"/>
        <v>-</v>
      </c>
      <c r="P98" s="12" t="str">
        <f t="shared" si="11"/>
        <v>-</v>
      </c>
      <c r="R98" s="12" t="str">
        <f t="shared" si="9"/>
        <v>-</v>
      </c>
    </row>
    <row r="99" spans="1:18" ht="14.4">
      <c r="A99" s="26" t="s">
        <v>589</v>
      </c>
      <c r="B99" s="27">
        <v>13882</v>
      </c>
      <c r="C99" s="13">
        <v>33674138823</v>
      </c>
      <c r="D99" s="28" t="s">
        <v>338</v>
      </c>
      <c r="E99" s="14">
        <v>12</v>
      </c>
      <c r="F99" s="15">
        <v>0.25226539657550001</v>
      </c>
      <c r="G99" s="16">
        <v>11.16</v>
      </c>
      <c r="H99" s="29" t="s">
        <v>604</v>
      </c>
      <c r="I99" s="30"/>
      <c r="J99" s="38">
        <f t="shared" si="6"/>
        <v>0</v>
      </c>
      <c r="M99" s="10" t="str">
        <f t="shared" si="7"/>
        <v>-</v>
      </c>
      <c r="N99" s="10" t="str">
        <f t="shared" si="10"/>
        <v>-</v>
      </c>
      <c r="O99" s="11" t="str">
        <f t="shared" si="8"/>
        <v>-</v>
      </c>
      <c r="P99" s="12" t="str">
        <f t="shared" si="11"/>
        <v>-</v>
      </c>
      <c r="R99" s="12" t="str">
        <f t="shared" si="9"/>
        <v>-</v>
      </c>
    </row>
    <row r="100" spans="1:18" ht="14.4">
      <c r="A100" s="26" t="s">
        <v>568</v>
      </c>
      <c r="B100" s="27">
        <v>47110</v>
      </c>
      <c r="C100" s="13">
        <v>33674471104</v>
      </c>
      <c r="D100" s="28" t="s">
        <v>345</v>
      </c>
      <c r="E100" s="14">
        <v>12</v>
      </c>
      <c r="F100" s="15">
        <v>9.9876503950299997E-2</v>
      </c>
      <c r="G100" s="16">
        <v>13.004999999999999</v>
      </c>
      <c r="H100" s="29" t="s">
        <v>604</v>
      </c>
      <c r="I100" s="30"/>
      <c r="J100" s="38">
        <f t="shared" si="6"/>
        <v>0</v>
      </c>
      <c r="M100" s="10" t="str">
        <f t="shared" si="7"/>
        <v>-</v>
      </c>
      <c r="N100" s="10" t="str">
        <f t="shared" si="10"/>
        <v>-</v>
      </c>
      <c r="O100" s="11" t="str">
        <f t="shared" si="8"/>
        <v>-</v>
      </c>
      <c r="P100" s="12" t="str">
        <f t="shared" si="11"/>
        <v>-</v>
      </c>
      <c r="R100" s="12" t="str">
        <f t="shared" si="9"/>
        <v>-</v>
      </c>
    </row>
    <row r="101" spans="1:18" ht="14.4">
      <c r="A101" s="26" t="s">
        <v>568</v>
      </c>
      <c r="B101" s="27">
        <v>14600</v>
      </c>
      <c r="C101" s="13">
        <v>33674146002</v>
      </c>
      <c r="D101" s="28" t="s">
        <v>348</v>
      </c>
      <c r="E101" s="14">
        <v>12</v>
      </c>
      <c r="F101" s="15">
        <v>0.1019358133101</v>
      </c>
      <c r="G101" s="16">
        <v>7.83</v>
      </c>
      <c r="H101" s="29" t="s">
        <v>604</v>
      </c>
      <c r="I101" s="30"/>
      <c r="J101" s="38">
        <f t="shared" si="6"/>
        <v>0</v>
      </c>
      <c r="M101" s="10" t="str">
        <f t="shared" si="7"/>
        <v>-</v>
      </c>
      <c r="N101" s="10" t="str">
        <f t="shared" si="10"/>
        <v>-</v>
      </c>
      <c r="O101" s="11" t="str">
        <f t="shared" si="8"/>
        <v>-</v>
      </c>
      <c r="P101" s="12" t="str">
        <f t="shared" si="11"/>
        <v>-</v>
      </c>
      <c r="R101" s="12" t="str">
        <f t="shared" si="9"/>
        <v>-</v>
      </c>
    </row>
    <row r="102" spans="1:18" ht="14.4">
      <c r="A102" s="26" t="s">
        <v>567</v>
      </c>
      <c r="B102" s="27">
        <v>41051</v>
      </c>
      <c r="C102" s="13">
        <v>33674410516</v>
      </c>
      <c r="D102" s="28" t="s">
        <v>355</v>
      </c>
      <c r="E102" s="14">
        <v>12</v>
      </c>
      <c r="F102" s="15">
        <v>0.17092267686340001</v>
      </c>
      <c r="G102" s="16">
        <v>6.3787499999999993</v>
      </c>
      <c r="H102" s="29" t="s">
        <v>604</v>
      </c>
      <c r="I102" s="30"/>
      <c r="J102" s="38">
        <f t="shared" si="6"/>
        <v>0</v>
      </c>
      <c r="M102" s="10" t="str">
        <f t="shared" si="7"/>
        <v>-</v>
      </c>
      <c r="N102" s="10" t="str">
        <f t="shared" si="10"/>
        <v>-</v>
      </c>
      <c r="O102" s="11" t="str">
        <f t="shared" si="8"/>
        <v>-</v>
      </c>
      <c r="P102" s="12" t="str">
        <f t="shared" si="11"/>
        <v>-</v>
      </c>
      <c r="R102" s="12" t="str">
        <f t="shared" si="9"/>
        <v>-</v>
      </c>
    </row>
    <row r="103" spans="1:18" ht="14.4">
      <c r="A103" s="26" t="s">
        <v>588</v>
      </c>
      <c r="B103" s="27">
        <v>11772</v>
      </c>
      <c r="C103" s="13">
        <v>33674117729</v>
      </c>
      <c r="D103" s="28" t="s">
        <v>361</v>
      </c>
      <c r="E103" s="14">
        <v>6</v>
      </c>
      <c r="F103" s="15">
        <v>1.0639765025633334</v>
      </c>
      <c r="G103" s="16">
        <v>24.052500000000002</v>
      </c>
      <c r="H103" s="29" t="s">
        <v>604</v>
      </c>
      <c r="I103" s="30"/>
      <c r="J103" s="38">
        <f t="shared" si="6"/>
        <v>0</v>
      </c>
      <c r="M103" s="10" t="str">
        <f t="shared" si="7"/>
        <v>-</v>
      </c>
      <c r="N103" s="10" t="str">
        <f t="shared" si="10"/>
        <v>-</v>
      </c>
      <c r="O103" s="11" t="str">
        <f t="shared" si="8"/>
        <v>-</v>
      </c>
      <c r="P103" s="12" t="str">
        <f t="shared" si="11"/>
        <v>-</v>
      </c>
      <c r="R103" s="12" t="str">
        <f t="shared" si="9"/>
        <v>-</v>
      </c>
    </row>
    <row r="104" spans="1:18" ht="14.4">
      <c r="A104" s="26" t="s">
        <v>591</v>
      </c>
      <c r="B104" s="27">
        <v>13750</v>
      </c>
      <c r="C104" s="13">
        <v>33674137505</v>
      </c>
      <c r="D104" s="28" t="s">
        <v>367</v>
      </c>
      <c r="E104" s="14">
        <v>12</v>
      </c>
      <c r="F104" s="15">
        <v>0.43657358427760001</v>
      </c>
      <c r="G104" s="16">
        <v>11.834999999999999</v>
      </c>
      <c r="H104" s="29" t="s">
        <v>604</v>
      </c>
      <c r="I104" s="30"/>
      <c r="J104" s="38">
        <f t="shared" si="6"/>
        <v>0</v>
      </c>
      <c r="M104" s="10" t="str">
        <f t="shared" si="7"/>
        <v>-</v>
      </c>
      <c r="N104" s="10" t="str">
        <f t="shared" si="10"/>
        <v>-</v>
      </c>
      <c r="O104" s="11" t="str">
        <f t="shared" si="8"/>
        <v>-</v>
      </c>
      <c r="P104" s="12" t="str">
        <f t="shared" si="11"/>
        <v>-</v>
      </c>
      <c r="R104" s="12" t="str">
        <f t="shared" si="9"/>
        <v>-</v>
      </c>
    </row>
    <row r="105" spans="1:18" ht="14.4">
      <c r="A105" s="26" t="s">
        <v>570</v>
      </c>
      <c r="B105" s="27">
        <v>62400</v>
      </c>
      <c r="C105" s="13">
        <v>33674624005</v>
      </c>
      <c r="D105" s="28" t="s">
        <v>371</v>
      </c>
      <c r="E105" s="14">
        <v>12</v>
      </c>
      <c r="F105" s="15">
        <v>7.7738928332450011E-2</v>
      </c>
      <c r="G105" s="16">
        <v>13.004999999999999</v>
      </c>
      <c r="H105" s="29" t="s">
        <v>604</v>
      </c>
      <c r="I105" s="30"/>
      <c r="J105" s="38">
        <f t="shared" si="6"/>
        <v>0</v>
      </c>
      <c r="M105" s="10" t="str">
        <f t="shared" si="7"/>
        <v>-</v>
      </c>
      <c r="N105" s="10" t="str">
        <f t="shared" si="10"/>
        <v>-</v>
      </c>
      <c r="O105" s="11" t="str">
        <f t="shared" si="8"/>
        <v>-</v>
      </c>
      <c r="P105" s="12" t="str">
        <f t="shared" si="11"/>
        <v>-</v>
      </c>
      <c r="R105" s="12" t="str">
        <f t="shared" si="9"/>
        <v>-</v>
      </c>
    </row>
    <row r="106" spans="1:18" ht="14.4">
      <c r="A106" s="26" t="s">
        <v>572</v>
      </c>
      <c r="B106" s="27">
        <v>15150</v>
      </c>
      <c r="C106" s="13">
        <v>33674151501</v>
      </c>
      <c r="D106" s="28" t="s">
        <v>380</v>
      </c>
      <c r="E106" s="14">
        <v>12</v>
      </c>
      <c r="F106" s="15">
        <v>0.10039133129025</v>
      </c>
      <c r="G106" s="16">
        <v>6.3787499999999993</v>
      </c>
      <c r="H106" s="29" t="s">
        <v>604</v>
      </c>
      <c r="I106" s="30"/>
      <c r="J106" s="38">
        <f t="shared" si="6"/>
        <v>0</v>
      </c>
      <c r="M106" s="10" t="str">
        <f t="shared" si="7"/>
        <v>-</v>
      </c>
      <c r="N106" s="10" t="str">
        <f t="shared" si="10"/>
        <v>-</v>
      </c>
      <c r="O106" s="11" t="str">
        <f t="shared" si="8"/>
        <v>-</v>
      </c>
      <c r="P106" s="12" t="str">
        <f t="shared" si="11"/>
        <v>-</v>
      </c>
      <c r="R106" s="12" t="str">
        <f t="shared" si="9"/>
        <v>-</v>
      </c>
    </row>
    <row r="107" spans="1:18" ht="14.4">
      <c r="A107" s="26" t="s">
        <v>587</v>
      </c>
      <c r="B107" s="27">
        <v>40470</v>
      </c>
      <c r="C107" s="13">
        <v>33674404706</v>
      </c>
      <c r="D107" s="28" t="s">
        <v>381</v>
      </c>
      <c r="E107" s="14">
        <v>12</v>
      </c>
      <c r="F107" s="15">
        <v>9.7302367250549984E-2</v>
      </c>
      <c r="G107" s="16">
        <v>3.8249999999999997</v>
      </c>
      <c r="H107" s="29" t="s">
        <v>604</v>
      </c>
      <c r="I107" s="30"/>
      <c r="J107" s="38">
        <f t="shared" si="6"/>
        <v>0</v>
      </c>
      <c r="M107" s="10" t="str">
        <f t="shared" si="7"/>
        <v>-</v>
      </c>
      <c r="N107" s="10" t="str">
        <f t="shared" si="10"/>
        <v>-</v>
      </c>
      <c r="O107" s="11" t="str">
        <f t="shared" si="8"/>
        <v>-</v>
      </c>
      <c r="P107" s="12" t="str">
        <f t="shared" si="11"/>
        <v>-</v>
      </c>
      <c r="R107" s="12" t="str">
        <f t="shared" si="9"/>
        <v>-</v>
      </c>
    </row>
    <row r="108" spans="1:18" ht="14.4">
      <c r="A108" s="26" t="s">
        <v>587</v>
      </c>
      <c r="B108" s="27">
        <v>40480</v>
      </c>
      <c r="C108" s="13">
        <v>33674404805</v>
      </c>
      <c r="D108" s="28" t="s">
        <v>382</v>
      </c>
      <c r="E108" s="14">
        <v>12</v>
      </c>
      <c r="F108" s="15">
        <v>0.11223236010910002</v>
      </c>
      <c r="G108" s="16">
        <v>5.1074999999999999</v>
      </c>
      <c r="H108" s="29" t="s">
        <v>604</v>
      </c>
      <c r="I108" s="30"/>
      <c r="J108" s="38">
        <f t="shared" si="6"/>
        <v>0</v>
      </c>
      <c r="M108" s="10" t="str">
        <f t="shared" si="7"/>
        <v>-</v>
      </c>
      <c r="N108" s="10" t="str">
        <f t="shared" si="10"/>
        <v>-</v>
      </c>
      <c r="O108" s="11" t="str">
        <f t="shared" si="8"/>
        <v>-</v>
      </c>
      <c r="P108" s="12" t="str">
        <f t="shared" si="11"/>
        <v>-</v>
      </c>
      <c r="R108" s="12" t="str">
        <f t="shared" si="9"/>
        <v>-</v>
      </c>
    </row>
    <row r="109" spans="1:18" ht="14.4">
      <c r="A109" s="26" t="s">
        <v>568</v>
      </c>
      <c r="B109" s="27">
        <v>11035</v>
      </c>
      <c r="C109" s="13">
        <v>33674110355</v>
      </c>
      <c r="D109" s="28" t="s">
        <v>411</v>
      </c>
      <c r="E109" s="14">
        <v>12</v>
      </c>
      <c r="F109" s="15">
        <v>0.1019358133101</v>
      </c>
      <c r="G109" s="16">
        <v>13.623749999999999</v>
      </c>
      <c r="H109" s="29" t="s">
        <v>604</v>
      </c>
      <c r="I109" s="30"/>
      <c r="J109" s="38">
        <f t="shared" si="6"/>
        <v>0</v>
      </c>
      <c r="M109" s="10" t="str">
        <f t="shared" si="7"/>
        <v>-</v>
      </c>
      <c r="N109" s="10" t="str">
        <f t="shared" si="10"/>
        <v>-</v>
      </c>
      <c r="O109" s="11" t="str">
        <f t="shared" si="8"/>
        <v>-</v>
      </c>
      <c r="P109" s="12" t="str">
        <f t="shared" si="11"/>
        <v>-</v>
      </c>
      <c r="R109" s="12" t="str">
        <f t="shared" si="9"/>
        <v>-</v>
      </c>
    </row>
    <row r="110" spans="1:18" ht="14.4">
      <c r="A110" s="26" t="s">
        <v>568</v>
      </c>
      <c r="B110" s="27">
        <v>14240</v>
      </c>
      <c r="C110" s="13">
        <v>33674142400</v>
      </c>
      <c r="D110" s="28" t="s">
        <v>416</v>
      </c>
      <c r="E110" s="14">
        <v>12</v>
      </c>
      <c r="F110" s="15">
        <v>5.9719971434199999E-2</v>
      </c>
      <c r="G110" s="16">
        <v>9.8324999999999996</v>
      </c>
      <c r="H110" s="29" t="s">
        <v>604</v>
      </c>
      <c r="I110" s="30"/>
      <c r="J110" s="38">
        <f t="shared" si="6"/>
        <v>0</v>
      </c>
      <c r="M110" s="10" t="str">
        <f t="shared" si="7"/>
        <v>-</v>
      </c>
      <c r="N110" s="10" t="str">
        <f t="shared" si="10"/>
        <v>-</v>
      </c>
      <c r="O110" s="11" t="str">
        <f t="shared" si="8"/>
        <v>-</v>
      </c>
      <c r="P110" s="12" t="str">
        <f t="shared" si="11"/>
        <v>-</v>
      </c>
      <c r="R110" s="12" t="str">
        <f t="shared" si="9"/>
        <v>-</v>
      </c>
    </row>
    <row r="111" spans="1:18" ht="14.4">
      <c r="A111" s="26" t="s">
        <v>580</v>
      </c>
      <c r="B111" s="27">
        <v>16000</v>
      </c>
      <c r="C111" s="13">
        <v>33674160008</v>
      </c>
      <c r="D111" s="28" t="s">
        <v>436</v>
      </c>
      <c r="E111" s="14">
        <v>12</v>
      </c>
      <c r="F111" s="15">
        <v>9.5243057890750007E-2</v>
      </c>
      <c r="G111" s="16">
        <v>6.3787499999999993</v>
      </c>
      <c r="H111" s="29" t="s">
        <v>604</v>
      </c>
      <c r="I111" s="30"/>
      <c r="J111" s="38">
        <f t="shared" si="6"/>
        <v>0</v>
      </c>
      <c r="M111" s="10" t="str">
        <f t="shared" si="7"/>
        <v>-</v>
      </c>
      <c r="N111" s="10" t="str">
        <f t="shared" si="10"/>
        <v>-</v>
      </c>
      <c r="O111" s="11" t="str">
        <f t="shared" si="8"/>
        <v>-</v>
      </c>
      <c r="P111" s="12" t="str">
        <f t="shared" si="11"/>
        <v>-</v>
      </c>
      <c r="R111" s="12" t="str">
        <f t="shared" si="9"/>
        <v>-</v>
      </c>
    </row>
    <row r="112" spans="1:18" ht="14.4">
      <c r="A112" s="26" t="s">
        <v>571</v>
      </c>
      <c r="B112" s="27">
        <v>40421</v>
      </c>
      <c r="C112" s="13">
        <v>33674404218</v>
      </c>
      <c r="D112" s="28" t="s">
        <v>442</v>
      </c>
      <c r="E112" s="14">
        <v>12</v>
      </c>
      <c r="F112" s="15">
        <v>9.2668921191000009E-2</v>
      </c>
      <c r="G112" s="16">
        <v>6.3787499999999993</v>
      </c>
      <c r="H112" s="29" t="s">
        <v>604</v>
      </c>
      <c r="I112" s="30"/>
      <c r="J112" s="38">
        <f t="shared" si="6"/>
        <v>0</v>
      </c>
      <c r="M112" s="10" t="str">
        <f t="shared" si="7"/>
        <v>-</v>
      </c>
      <c r="N112" s="10" t="str">
        <f t="shared" si="10"/>
        <v>-</v>
      </c>
      <c r="O112" s="11" t="str">
        <f t="shared" si="8"/>
        <v>-</v>
      </c>
      <c r="P112" s="12" t="str">
        <f t="shared" si="11"/>
        <v>-</v>
      </c>
      <c r="R112" s="12" t="str">
        <f t="shared" si="9"/>
        <v>-</v>
      </c>
    </row>
    <row r="113" spans="1:18" ht="14.4">
      <c r="A113" s="26" t="s">
        <v>572</v>
      </c>
      <c r="B113" s="27">
        <v>10220</v>
      </c>
      <c r="C113" s="13">
        <v>33674102206</v>
      </c>
      <c r="D113" s="28" t="s">
        <v>460</v>
      </c>
      <c r="E113" s="14">
        <v>12</v>
      </c>
      <c r="F113" s="15">
        <v>0.13694407242670001</v>
      </c>
      <c r="G113" s="16">
        <v>4.1512500000000001</v>
      </c>
      <c r="H113" s="29" t="s">
        <v>604</v>
      </c>
      <c r="I113" s="30"/>
      <c r="J113" s="38">
        <f t="shared" si="6"/>
        <v>0</v>
      </c>
      <c r="M113" s="10" t="str">
        <f t="shared" si="7"/>
        <v>-</v>
      </c>
      <c r="N113" s="10" t="str">
        <f t="shared" si="10"/>
        <v>-</v>
      </c>
      <c r="O113" s="11" t="str">
        <f t="shared" si="8"/>
        <v>-</v>
      </c>
      <c r="P113" s="12" t="str">
        <f t="shared" si="11"/>
        <v>-</v>
      </c>
      <c r="R113" s="12" t="str">
        <f t="shared" si="9"/>
        <v>-</v>
      </c>
    </row>
    <row r="114" spans="1:18" ht="14.4">
      <c r="A114" s="26" t="s">
        <v>572</v>
      </c>
      <c r="B114" s="27">
        <v>12089</v>
      </c>
      <c r="C114" s="13">
        <v>33674120897</v>
      </c>
      <c r="D114" s="28" t="s">
        <v>461</v>
      </c>
      <c r="E114" s="14">
        <v>12</v>
      </c>
      <c r="F114" s="15">
        <v>0.13797372710660002</v>
      </c>
      <c r="G114" s="16">
        <v>4.1512500000000001</v>
      </c>
      <c r="H114" s="29" t="s">
        <v>604</v>
      </c>
      <c r="I114" s="30"/>
      <c r="J114" s="38">
        <f t="shared" si="6"/>
        <v>0</v>
      </c>
      <c r="M114" s="10" t="str">
        <f t="shared" si="7"/>
        <v>-</v>
      </c>
      <c r="N114" s="10" t="str">
        <f t="shared" si="10"/>
        <v>-</v>
      </c>
      <c r="O114" s="11" t="str">
        <f t="shared" si="8"/>
        <v>-</v>
      </c>
      <c r="P114" s="12" t="str">
        <f t="shared" si="11"/>
        <v>-</v>
      </c>
      <c r="R114" s="12" t="str">
        <f t="shared" si="9"/>
        <v>-</v>
      </c>
    </row>
    <row r="115" spans="1:18" ht="14.4">
      <c r="A115" s="26" t="s">
        <v>572</v>
      </c>
      <c r="B115" s="27">
        <v>12088</v>
      </c>
      <c r="C115" s="13">
        <v>33674120880</v>
      </c>
      <c r="D115" s="28" t="s">
        <v>462</v>
      </c>
      <c r="E115" s="14">
        <v>12</v>
      </c>
      <c r="F115" s="15">
        <v>0.13539959040685001</v>
      </c>
      <c r="G115" s="16">
        <v>4.1512500000000001</v>
      </c>
      <c r="H115" s="29" t="s">
        <v>604</v>
      </c>
      <c r="I115" s="30"/>
      <c r="J115" s="38">
        <f t="shared" si="6"/>
        <v>0</v>
      </c>
      <c r="M115" s="10" t="str">
        <f t="shared" si="7"/>
        <v>-</v>
      </c>
      <c r="N115" s="10" t="str">
        <f t="shared" si="10"/>
        <v>-</v>
      </c>
      <c r="O115" s="11" t="str">
        <f t="shared" si="8"/>
        <v>-</v>
      </c>
      <c r="P115" s="12" t="str">
        <f t="shared" si="11"/>
        <v>-</v>
      </c>
      <c r="R115" s="12" t="str">
        <f t="shared" si="9"/>
        <v>-</v>
      </c>
    </row>
    <row r="116" spans="1:18" ht="14.4">
      <c r="A116" s="26" t="s">
        <v>569</v>
      </c>
      <c r="B116" s="27">
        <v>16750</v>
      </c>
      <c r="C116" s="13">
        <v>33674167502</v>
      </c>
      <c r="D116" s="28" t="s">
        <v>481</v>
      </c>
      <c r="E116" s="14">
        <v>12</v>
      </c>
      <c r="F116" s="15">
        <v>0.11995477020834999</v>
      </c>
      <c r="G116" s="16">
        <v>10.203749999999999</v>
      </c>
      <c r="H116" s="29" t="s">
        <v>604</v>
      </c>
      <c r="I116" s="30"/>
      <c r="J116" s="38">
        <f t="shared" si="6"/>
        <v>0</v>
      </c>
      <c r="M116" s="10" t="str">
        <f t="shared" si="7"/>
        <v>-</v>
      </c>
      <c r="N116" s="10" t="str">
        <f t="shared" si="10"/>
        <v>-</v>
      </c>
      <c r="O116" s="11" t="str">
        <f t="shared" si="8"/>
        <v>-</v>
      </c>
      <c r="P116" s="12" t="str">
        <f t="shared" si="11"/>
        <v>-</v>
      </c>
      <c r="R116" s="12" t="str">
        <f t="shared" si="9"/>
        <v>-</v>
      </c>
    </row>
    <row r="117" spans="1:18" ht="14.4">
      <c r="A117" s="26" t="s">
        <v>569</v>
      </c>
      <c r="B117" s="27">
        <v>16758</v>
      </c>
      <c r="C117" s="13">
        <v>33674167588</v>
      </c>
      <c r="D117" s="28" t="s">
        <v>482</v>
      </c>
      <c r="E117" s="14">
        <v>12</v>
      </c>
      <c r="F117" s="15">
        <v>0.20850507267975002</v>
      </c>
      <c r="G117" s="16">
        <v>16.5825</v>
      </c>
      <c r="H117" s="29" t="s">
        <v>604</v>
      </c>
      <c r="I117" s="30"/>
      <c r="J117" s="38">
        <f t="shared" si="6"/>
        <v>0</v>
      </c>
      <c r="M117" s="10" t="str">
        <f t="shared" si="7"/>
        <v>-</v>
      </c>
      <c r="N117" s="10" t="str">
        <f t="shared" si="10"/>
        <v>-</v>
      </c>
      <c r="O117" s="11" t="str">
        <f t="shared" si="8"/>
        <v>-</v>
      </c>
      <c r="P117" s="12" t="str">
        <f t="shared" si="11"/>
        <v>-</v>
      </c>
      <c r="R117" s="12" t="str">
        <f t="shared" si="9"/>
        <v>-</v>
      </c>
    </row>
    <row r="118" spans="1:18" ht="14.4">
      <c r="A118" s="26" t="s">
        <v>565</v>
      </c>
      <c r="B118" s="27">
        <v>16800</v>
      </c>
      <c r="C118" s="13">
        <v>33674168004</v>
      </c>
      <c r="D118" s="28" t="s">
        <v>485</v>
      </c>
      <c r="E118" s="14">
        <v>12</v>
      </c>
      <c r="F118" s="15">
        <v>0.13334028104705001</v>
      </c>
      <c r="G118" s="16">
        <v>7.6499999999999995</v>
      </c>
      <c r="H118" s="29" t="s">
        <v>604</v>
      </c>
      <c r="I118" s="30"/>
      <c r="J118" s="38">
        <f t="shared" si="6"/>
        <v>0</v>
      </c>
      <c r="M118" s="10" t="str">
        <f t="shared" si="7"/>
        <v>-</v>
      </c>
      <c r="N118" s="10" t="str">
        <f t="shared" si="10"/>
        <v>-</v>
      </c>
      <c r="O118" s="11" t="str">
        <f t="shared" si="8"/>
        <v>-</v>
      </c>
      <c r="P118" s="12" t="str">
        <f t="shared" si="11"/>
        <v>-</v>
      </c>
      <c r="R118" s="12" t="str">
        <f t="shared" si="9"/>
        <v>-</v>
      </c>
    </row>
    <row r="119" spans="1:18" ht="14.4">
      <c r="A119" s="26" t="s">
        <v>578</v>
      </c>
      <c r="B119" s="27">
        <v>41081</v>
      </c>
      <c r="C119" s="13">
        <v>33674410813</v>
      </c>
      <c r="D119" s="28" t="s">
        <v>486</v>
      </c>
      <c r="E119" s="14">
        <v>12</v>
      </c>
      <c r="F119" s="15">
        <v>8.3916856411849997E-2</v>
      </c>
      <c r="G119" s="16">
        <v>6.4125000000000005</v>
      </c>
      <c r="H119" s="29" t="s">
        <v>604</v>
      </c>
      <c r="I119" s="30"/>
      <c r="J119" s="38">
        <f t="shared" si="6"/>
        <v>0</v>
      </c>
      <c r="M119" s="10" t="str">
        <f t="shared" si="7"/>
        <v>-</v>
      </c>
      <c r="N119" s="10" t="str">
        <f t="shared" si="10"/>
        <v>-</v>
      </c>
      <c r="O119" s="11" t="str">
        <f t="shared" si="8"/>
        <v>-</v>
      </c>
      <c r="P119" s="12" t="str">
        <f t="shared" si="11"/>
        <v>-</v>
      </c>
      <c r="R119" s="12" t="str">
        <f t="shared" si="9"/>
        <v>-</v>
      </c>
    </row>
    <row r="120" spans="1:18" ht="14.4">
      <c r="A120" s="26" t="s">
        <v>565</v>
      </c>
      <c r="B120" s="27">
        <v>14041</v>
      </c>
      <c r="C120" s="13">
        <v>33674140413</v>
      </c>
      <c r="D120" s="28" t="s">
        <v>499</v>
      </c>
      <c r="E120" s="14">
        <v>12</v>
      </c>
      <c r="F120" s="15">
        <v>0.15753716602470003</v>
      </c>
      <c r="G120" s="16">
        <v>11.700000000000001</v>
      </c>
      <c r="H120" s="29" t="s">
        <v>604</v>
      </c>
      <c r="I120" s="30"/>
      <c r="J120" s="38">
        <f t="shared" si="6"/>
        <v>0</v>
      </c>
      <c r="M120" s="10" t="str">
        <f t="shared" si="7"/>
        <v>-</v>
      </c>
      <c r="N120" s="10" t="str">
        <f t="shared" si="10"/>
        <v>-</v>
      </c>
      <c r="O120" s="11" t="str">
        <f t="shared" si="8"/>
        <v>-</v>
      </c>
      <c r="P120" s="12" t="str">
        <f t="shared" si="11"/>
        <v>-</v>
      </c>
      <c r="R120" s="12" t="str">
        <f t="shared" si="9"/>
        <v>-</v>
      </c>
    </row>
    <row r="121" spans="1:18" ht="14.4">
      <c r="A121" s="26" t="s">
        <v>583</v>
      </c>
      <c r="B121" s="27">
        <v>40110</v>
      </c>
      <c r="C121" s="13">
        <v>33674401101</v>
      </c>
      <c r="D121" s="28" t="s">
        <v>530</v>
      </c>
      <c r="E121" s="14">
        <v>12</v>
      </c>
      <c r="F121" s="15">
        <v>7.1046172913100003E-2</v>
      </c>
      <c r="G121" s="16">
        <v>5.13</v>
      </c>
      <c r="H121" s="29" t="s">
        <v>604</v>
      </c>
      <c r="I121" s="30"/>
      <c r="J121" s="38">
        <f t="shared" si="6"/>
        <v>0</v>
      </c>
      <c r="M121" s="10" t="str">
        <f t="shared" si="7"/>
        <v>-</v>
      </c>
      <c r="N121" s="10" t="str">
        <f t="shared" si="10"/>
        <v>-</v>
      </c>
      <c r="O121" s="11" t="str">
        <f t="shared" si="8"/>
        <v>-</v>
      </c>
      <c r="P121" s="12" t="str">
        <f t="shared" si="11"/>
        <v>-</v>
      </c>
      <c r="R121" s="12" t="str">
        <f t="shared" si="9"/>
        <v>-</v>
      </c>
    </row>
    <row r="122" spans="1:18" ht="14.4">
      <c r="A122" s="26" t="s">
        <v>578</v>
      </c>
      <c r="B122" s="27">
        <v>40310</v>
      </c>
      <c r="C122" s="13">
        <v>33674403105</v>
      </c>
      <c r="D122" s="28" t="s">
        <v>539</v>
      </c>
      <c r="E122" s="14">
        <v>12</v>
      </c>
      <c r="F122" s="15">
        <v>0.12973648966740001</v>
      </c>
      <c r="G122" s="16">
        <v>6.4125000000000005</v>
      </c>
      <c r="H122" s="29" t="s">
        <v>604</v>
      </c>
      <c r="I122" s="30"/>
      <c r="J122" s="38">
        <f t="shared" si="6"/>
        <v>0</v>
      </c>
      <c r="M122" s="10" t="str">
        <f t="shared" si="7"/>
        <v>-</v>
      </c>
      <c r="N122" s="10" t="str">
        <f t="shared" si="10"/>
        <v>-</v>
      </c>
      <c r="O122" s="11" t="str">
        <f t="shared" si="8"/>
        <v>-</v>
      </c>
      <c r="P122" s="12" t="str">
        <f t="shared" si="11"/>
        <v>-</v>
      </c>
      <c r="R122" s="12" t="str">
        <f t="shared" si="9"/>
        <v>-</v>
      </c>
    </row>
    <row r="123" spans="1:18" ht="14.4">
      <c r="A123" s="26" t="s">
        <v>578</v>
      </c>
      <c r="B123" s="27">
        <v>40312</v>
      </c>
      <c r="C123" s="13">
        <v>33674403129</v>
      </c>
      <c r="D123" s="28" t="s">
        <v>541</v>
      </c>
      <c r="E123" s="14">
        <v>12</v>
      </c>
      <c r="F123" s="15">
        <v>0.18739715174180005</v>
      </c>
      <c r="G123" s="16">
        <v>10.26</v>
      </c>
      <c r="H123" s="29" t="s">
        <v>604</v>
      </c>
      <c r="I123" s="30"/>
      <c r="J123" s="38">
        <f t="shared" si="6"/>
        <v>0</v>
      </c>
      <c r="M123" s="10" t="str">
        <f t="shared" si="7"/>
        <v>-</v>
      </c>
      <c r="N123" s="10" t="str">
        <f t="shared" si="10"/>
        <v>-</v>
      </c>
      <c r="O123" s="11" t="str">
        <f t="shared" si="8"/>
        <v>-</v>
      </c>
      <c r="P123" s="12" t="str">
        <f t="shared" si="11"/>
        <v>-</v>
      </c>
      <c r="R123" s="12" t="str">
        <f t="shared" si="9"/>
        <v>-</v>
      </c>
    </row>
    <row r="124" spans="1:18" ht="14.4">
      <c r="A124" s="26" t="s">
        <v>573</v>
      </c>
      <c r="B124" s="27">
        <v>14927</v>
      </c>
      <c r="C124" s="13">
        <v>33674149270</v>
      </c>
      <c r="D124" s="28" t="s">
        <v>48</v>
      </c>
      <c r="E124" s="14">
        <v>12</v>
      </c>
      <c r="F124" s="15">
        <v>0.26873987145390005</v>
      </c>
      <c r="G124" s="16">
        <v>19.057500000000005</v>
      </c>
      <c r="H124" s="29" t="s">
        <v>604</v>
      </c>
      <c r="I124" s="30"/>
      <c r="J124" s="38">
        <f t="shared" si="6"/>
        <v>0</v>
      </c>
      <c r="M124" s="10" t="str">
        <f t="shared" si="7"/>
        <v>-</v>
      </c>
      <c r="N124" s="10" t="str">
        <f t="shared" si="10"/>
        <v>-</v>
      </c>
      <c r="O124" s="11" t="str">
        <f t="shared" si="8"/>
        <v>-</v>
      </c>
      <c r="P124" s="12" t="str">
        <f t="shared" si="11"/>
        <v>-</v>
      </c>
      <c r="R124" s="12" t="str">
        <f t="shared" si="9"/>
        <v>-</v>
      </c>
    </row>
    <row r="125" spans="1:18" ht="14.4">
      <c r="A125" s="26" t="s">
        <v>573</v>
      </c>
      <c r="B125" s="27">
        <v>15898</v>
      </c>
      <c r="C125" s="13">
        <v>33674158982</v>
      </c>
      <c r="D125" s="28" t="s">
        <v>55</v>
      </c>
      <c r="E125" s="14">
        <v>12</v>
      </c>
      <c r="F125" s="15">
        <v>0.31816329608910005</v>
      </c>
      <c r="G125" s="16">
        <v>12.408749999999998</v>
      </c>
      <c r="H125" s="29" t="s">
        <v>604</v>
      </c>
      <c r="I125" s="30"/>
      <c r="J125" s="38">
        <f t="shared" si="6"/>
        <v>0</v>
      </c>
      <c r="M125" s="10" t="str">
        <f t="shared" si="7"/>
        <v>-</v>
      </c>
      <c r="N125" s="10" t="str">
        <f t="shared" si="10"/>
        <v>-</v>
      </c>
      <c r="O125" s="11" t="str">
        <f t="shared" si="8"/>
        <v>-</v>
      </c>
      <c r="P125" s="12" t="str">
        <f t="shared" si="11"/>
        <v>-</v>
      </c>
      <c r="R125" s="12" t="str">
        <f t="shared" si="9"/>
        <v>-</v>
      </c>
    </row>
    <row r="126" spans="1:18" ht="14.4">
      <c r="A126" s="26" t="s">
        <v>578</v>
      </c>
      <c r="B126" s="27">
        <v>15142</v>
      </c>
      <c r="C126" s="13">
        <v>33674151426</v>
      </c>
      <c r="D126" s="28" t="s">
        <v>81</v>
      </c>
      <c r="E126" s="14">
        <v>12</v>
      </c>
      <c r="F126" s="15">
        <v>0.19048611578150001</v>
      </c>
      <c r="G126" s="16">
        <v>20.868750000000002</v>
      </c>
      <c r="H126" s="29" t="s">
        <v>604</v>
      </c>
      <c r="I126" s="30"/>
      <c r="J126" s="38">
        <f t="shared" si="6"/>
        <v>0</v>
      </c>
      <c r="M126" s="10" t="str">
        <f t="shared" si="7"/>
        <v>-</v>
      </c>
      <c r="N126" s="10" t="str">
        <f t="shared" si="10"/>
        <v>-</v>
      </c>
      <c r="O126" s="11" t="str">
        <f t="shared" si="8"/>
        <v>-</v>
      </c>
      <c r="P126" s="12" t="str">
        <f t="shared" si="11"/>
        <v>-</v>
      </c>
      <c r="R126" s="12" t="str">
        <f t="shared" si="9"/>
        <v>-</v>
      </c>
    </row>
    <row r="127" spans="1:18" ht="14.4">
      <c r="A127" s="26" t="s">
        <v>582</v>
      </c>
      <c r="B127" s="27">
        <v>12322</v>
      </c>
      <c r="C127" s="13">
        <v>33674123225</v>
      </c>
      <c r="D127" s="28" t="s">
        <v>133</v>
      </c>
      <c r="E127" s="14">
        <v>12</v>
      </c>
      <c r="F127" s="15">
        <v>0.31558915938935</v>
      </c>
      <c r="G127" s="16">
        <v>21.048750000000002</v>
      </c>
      <c r="H127" s="29" t="s">
        <v>604</v>
      </c>
      <c r="I127" s="30"/>
      <c r="J127" s="38">
        <f t="shared" si="6"/>
        <v>0</v>
      </c>
      <c r="M127" s="10" t="str">
        <f t="shared" si="7"/>
        <v>-</v>
      </c>
      <c r="N127" s="10" t="str">
        <f t="shared" si="10"/>
        <v>-</v>
      </c>
      <c r="O127" s="11" t="str">
        <f t="shared" si="8"/>
        <v>-</v>
      </c>
      <c r="P127" s="12" t="str">
        <f t="shared" si="11"/>
        <v>-</v>
      </c>
      <c r="R127" s="12" t="str">
        <f t="shared" si="9"/>
        <v>-</v>
      </c>
    </row>
    <row r="128" spans="1:18" ht="14.4">
      <c r="A128" s="26" t="s">
        <v>585</v>
      </c>
      <c r="B128" s="27">
        <v>79200</v>
      </c>
      <c r="C128" s="13">
        <v>33674792001</v>
      </c>
      <c r="D128" s="28" t="s">
        <v>137</v>
      </c>
      <c r="E128" s="14">
        <v>12</v>
      </c>
      <c r="F128" s="15">
        <v>9.5243057890750007E-2</v>
      </c>
      <c r="G128" s="16">
        <v>10.203749999999999</v>
      </c>
      <c r="H128" s="29" t="s">
        <v>604</v>
      </c>
      <c r="I128" s="30"/>
      <c r="J128" s="38">
        <f t="shared" si="6"/>
        <v>0</v>
      </c>
      <c r="M128" s="10" t="str">
        <f t="shared" si="7"/>
        <v>-</v>
      </c>
      <c r="N128" s="10" t="str">
        <f t="shared" si="10"/>
        <v>-</v>
      </c>
      <c r="O128" s="11" t="str">
        <f t="shared" si="8"/>
        <v>-</v>
      </c>
      <c r="P128" s="12" t="str">
        <f t="shared" si="11"/>
        <v>-</v>
      </c>
      <c r="R128" s="12" t="str">
        <f t="shared" si="9"/>
        <v>-</v>
      </c>
    </row>
    <row r="129" spans="1:18" ht="14.4">
      <c r="A129" s="26" t="s">
        <v>578</v>
      </c>
      <c r="B129" s="27">
        <v>5802</v>
      </c>
      <c r="C129" s="13">
        <v>763948058020</v>
      </c>
      <c r="D129" s="28" t="s">
        <v>168</v>
      </c>
      <c r="E129" s="14">
        <v>12</v>
      </c>
      <c r="F129" s="15">
        <v>0.19820852588075002</v>
      </c>
      <c r="G129" s="16">
        <v>18.089999999999996</v>
      </c>
      <c r="H129" s="29" t="s">
        <v>604</v>
      </c>
      <c r="I129" s="30"/>
      <c r="J129" s="38">
        <f t="shared" si="6"/>
        <v>0</v>
      </c>
      <c r="M129" s="10" t="str">
        <f t="shared" si="7"/>
        <v>-</v>
      </c>
      <c r="N129" s="10" t="str">
        <f t="shared" si="10"/>
        <v>-</v>
      </c>
      <c r="O129" s="11" t="str">
        <f t="shared" si="8"/>
        <v>-</v>
      </c>
      <c r="P129" s="12" t="str">
        <f t="shared" si="11"/>
        <v>-</v>
      </c>
      <c r="R129" s="12" t="str">
        <f t="shared" si="9"/>
        <v>-</v>
      </c>
    </row>
    <row r="130" spans="1:18" ht="14.4">
      <c r="A130" s="26" t="s">
        <v>569</v>
      </c>
      <c r="B130" s="27">
        <v>10485</v>
      </c>
      <c r="C130" s="13">
        <v>33674104859</v>
      </c>
      <c r="D130" s="28" t="s">
        <v>222</v>
      </c>
      <c r="E130" s="14">
        <v>12</v>
      </c>
      <c r="F130" s="15">
        <v>0.24866160519585004</v>
      </c>
      <c r="G130" s="16">
        <v>15.299999999999999</v>
      </c>
      <c r="H130" s="29" t="s">
        <v>604</v>
      </c>
      <c r="I130" s="30"/>
      <c r="J130" s="38">
        <f t="shared" si="6"/>
        <v>0</v>
      </c>
      <c r="M130" s="10" t="str">
        <f t="shared" si="7"/>
        <v>-</v>
      </c>
      <c r="N130" s="10" t="str">
        <f t="shared" si="10"/>
        <v>-</v>
      </c>
      <c r="O130" s="11" t="str">
        <f t="shared" si="8"/>
        <v>-</v>
      </c>
      <c r="P130" s="12" t="str">
        <f t="shared" si="11"/>
        <v>-</v>
      </c>
      <c r="R130" s="12" t="str">
        <f t="shared" si="9"/>
        <v>-</v>
      </c>
    </row>
    <row r="131" spans="1:18" ht="14.4">
      <c r="A131" s="26" t="s">
        <v>586</v>
      </c>
      <c r="B131" s="27">
        <v>12350</v>
      </c>
      <c r="C131" s="13">
        <v>33674123508</v>
      </c>
      <c r="D131" s="28" t="s">
        <v>229</v>
      </c>
      <c r="E131" s="14">
        <v>12</v>
      </c>
      <c r="F131" s="15">
        <v>0.10502477734979999</v>
      </c>
      <c r="G131" s="16">
        <v>7.6499999999999995</v>
      </c>
      <c r="H131" s="29" t="s">
        <v>604</v>
      </c>
      <c r="I131" s="30"/>
      <c r="J131" s="38">
        <f t="shared" ref="J131:J194" si="12">I131*G131</f>
        <v>0</v>
      </c>
      <c r="M131" s="10" t="str">
        <f t="shared" ref="M131:M194" si="13">IFERROR(IF($M$2*F131=0, "-", $M$2*F131), "-")</f>
        <v>-</v>
      </c>
      <c r="N131" s="10" t="str">
        <f t="shared" si="10"/>
        <v>-</v>
      </c>
      <c r="O131" s="11" t="str">
        <f t="shared" ref="O131:O194" si="14">IF(I131&gt;0,I131*F131, "-")</f>
        <v>-</v>
      </c>
      <c r="P131" s="12" t="str">
        <f t="shared" si="11"/>
        <v>-</v>
      </c>
      <c r="R131" s="12" t="str">
        <f t="shared" ref="R131:R194" si="15">IFERROR(IF(P131+J131=0, "-", IF(P131&gt;0, P131+J131, "-")), "-")</f>
        <v>-</v>
      </c>
    </row>
    <row r="132" spans="1:18" ht="14.4">
      <c r="A132" s="26" t="s">
        <v>580</v>
      </c>
      <c r="B132" s="27">
        <v>14810</v>
      </c>
      <c r="C132" s="13">
        <v>33674148105</v>
      </c>
      <c r="D132" s="28" t="s">
        <v>234</v>
      </c>
      <c r="E132" s="14">
        <v>12</v>
      </c>
      <c r="F132" s="15">
        <v>6.2808935473900013E-2</v>
      </c>
      <c r="G132" s="16">
        <v>14.669999999999998</v>
      </c>
      <c r="H132" s="29" t="s">
        <v>604</v>
      </c>
      <c r="I132" s="30"/>
      <c r="J132" s="38">
        <f t="shared" si="12"/>
        <v>0</v>
      </c>
      <c r="M132" s="10" t="str">
        <f t="shared" si="13"/>
        <v>-</v>
      </c>
      <c r="N132" s="10" t="str">
        <f t="shared" ref="N132:N195" si="16">IFERROR(IF(M132&gt;0,G132+M132,"-"),"-")</f>
        <v>-</v>
      </c>
      <c r="O132" s="11" t="str">
        <f t="shared" si="14"/>
        <v>-</v>
      </c>
      <c r="P132" s="12" t="str">
        <f t="shared" ref="P132:P195" si="17">IFERROR(IF($M$2&gt;0, $M$2*O132, "-"), "-")</f>
        <v>-</v>
      </c>
      <c r="R132" s="12" t="str">
        <f t="shared" si="15"/>
        <v>-</v>
      </c>
    </row>
    <row r="133" spans="1:18" ht="14.4">
      <c r="A133" s="26" t="s">
        <v>580</v>
      </c>
      <c r="B133" s="27">
        <v>14850</v>
      </c>
      <c r="C133" s="13">
        <v>33674148501</v>
      </c>
      <c r="D133" s="28" t="s">
        <v>235</v>
      </c>
      <c r="E133" s="14">
        <v>12</v>
      </c>
      <c r="F133" s="15">
        <v>9.4728230550800027E-2</v>
      </c>
      <c r="G133" s="16">
        <v>26.786249999999995</v>
      </c>
      <c r="H133" s="29" t="s">
        <v>604</v>
      </c>
      <c r="I133" s="30"/>
      <c r="J133" s="38">
        <f t="shared" si="12"/>
        <v>0</v>
      </c>
      <c r="M133" s="10" t="str">
        <f t="shared" si="13"/>
        <v>-</v>
      </c>
      <c r="N133" s="10" t="str">
        <f t="shared" si="16"/>
        <v>-</v>
      </c>
      <c r="O133" s="11" t="str">
        <f t="shared" si="14"/>
        <v>-</v>
      </c>
      <c r="P133" s="12" t="str">
        <f t="shared" si="17"/>
        <v>-</v>
      </c>
      <c r="R133" s="12" t="str">
        <f t="shared" si="15"/>
        <v>-</v>
      </c>
    </row>
    <row r="134" spans="1:18" ht="14.4">
      <c r="A134" s="26" t="s">
        <v>578</v>
      </c>
      <c r="B134" s="27">
        <v>413</v>
      </c>
      <c r="C134" s="13">
        <v>33674004135</v>
      </c>
      <c r="D134" s="28" t="s">
        <v>237</v>
      </c>
      <c r="E134" s="14">
        <v>12</v>
      </c>
      <c r="F134" s="15">
        <v>9.5757885230700002E-2</v>
      </c>
      <c r="G134" s="16">
        <v>7.83</v>
      </c>
      <c r="H134" s="29" t="s">
        <v>604</v>
      </c>
      <c r="I134" s="30"/>
      <c r="J134" s="38">
        <f t="shared" si="12"/>
        <v>0</v>
      </c>
      <c r="M134" s="10" t="str">
        <f t="shared" si="13"/>
        <v>-</v>
      </c>
      <c r="N134" s="10" t="str">
        <f t="shared" si="16"/>
        <v>-</v>
      </c>
      <c r="O134" s="11" t="str">
        <f t="shared" si="14"/>
        <v>-</v>
      </c>
      <c r="P134" s="12" t="str">
        <f t="shared" si="17"/>
        <v>-</v>
      </c>
      <c r="R134" s="12" t="str">
        <f t="shared" si="15"/>
        <v>-</v>
      </c>
    </row>
    <row r="135" spans="1:18" ht="14.4">
      <c r="A135" s="26" t="s">
        <v>580</v>
      </c>
      <c r="B135" s="27">
        <v>40451</v>
      </c>
      <c r="C135" s="13">
        <v>33674404515</v>
      </c>
      <c r="D135" s="28" t="s">
        <v>268</v>
      </c>
      <c r="E135" s="14">
        <v>12</v>
      </c>
      <c r="F135" s="15">
        <v>9.1639266511100007E-2</v>
      </c>
      <c r="G135" s="16">
        <v>5.1074999999999999</v>
      </c>
      <c r="H135" s="29" t="s">
        <v>604</v>
      </c>
      <c r="I135" s="30"/>
      <c r="J135" s="38">
        <f t="shared" si="12"/>
        <v>0</v>
      </c>
      <c r="M135" s="10" t="str">
        <f t="shared" si="13"/>
        <v>-</v>
      </c>
      <c r="N135" s="10" t="str">
        <f t="shared" si="16"/>
        <v>-</v>
      </c>
      <c r="O135" s="11" t="str">
        <f t="shared" si="14"/>
        <v>-</v>
      </c>
      <c r="P135" s="12" t="str">
        <f t="shared" si="17"/>
        <v>-</v>
      </c>
      <c r="R135" s="12" t="str">
        <f t="shared" si="15"/>
        <v>-</v>
      </c>
    </row>
    <row r="136" spans="1:18" ht="14.4">
      <c r="A136" s="26" t="s">
        <v>587</v>
      </c>
      <c r="B136" s="27">
        <v>13000</v>
      </c>
      <c r="C136" s="13">
        <v>33674130001</v>
      </c>
      <c r="D136" s="28" t="s">
        <v>288</v>
      </c>
      <c r="E136" s="14">
        <v>12</v>
      </c>
      <c r="F136" s="15">
        <v>0.1204695975483</v>
      </c>
      <c r="G136" s="16">
        <v>6.3787499999999993</v>
      </c>
      <c r="H136" s="29" t="s">
        <v>604</v>
      </c>
      <c r="I136" s="30"/>
      <c r="J136" s="38">
        <f t="shared" si="12"/>
        <v>0</v>
      </c>
      <c r="M136" s="10" t="str">
        <f t="shared" si="13"/>
        <v>-</v>
      </c>
      <c r="N136" s="10" t="str">
        <f t="shared" si="16"/>
        <v>-</v>
      </c>
      <c r="O136" s="11" t="str">
        <f t="shared" si="14"/>
        <v>-</v>
      </c>
      <c r="P136" s="12" t="str">
        <f t="shared" si="17"/>
        <v>-</v>
      </c>
      <c r="R136" s="12" t="str">
        <f t="shared" si="15"/>
        <v>-</v>
      </c>
    </row>
    <row r="137" spans="1:18" ht="14.4">
      <c r="A137" s="26" t="s">
        <v>578</v>
      </c>
      <c r="B137" s="27">
        <v>13700</v>
      </c>
      <c r="C137" s="13">
        <v>33674137000</v>
      </c>
      <c r="D137" s="28" t="s">
        <v>306</v>
      </c>
      <c r="E137" s="14">
        <v>12</v>
      </c>
      <c r="F137" s="15">
        <v>9.1124439171149998E-2</v>
      </c>
      <c r="G137" s="16">
        <v>10.439999999999998</v>
      </c>
      <c r="H137" s="29" t="s">
        <v>604</v>
      </c>
      <c r="I137" s="30"/>
      <c r="J137" s="38">
        <f t="shared" si="12"/>
        <v>0</v>
      </c>
      <c r="M137" s="10" t="str">
        <f t="shared" si="13"/>
        <v>-</v>
      </c>
      <c r="N137" s="10" t="str">
        <f t="shared" si="16"/>
        <v>-</v>
      </c>
      <c r="O137" s="11" t="str">
        <f t="shared" si="14"/>
        <v>-</v>
      </c>
      <c r="P137" s="12" t="str">
        <f t="shared" si="17"/>
        <v>-</v>
      </c>
      <c r="R137" s="12" t="str">
        <f t="shared" si="15"/>
        <v>-</v>
      </c>
    </row>
    <row r="138" spans="1:18" ht="14.4">
      <c r="A138" s="26" t="s">
        <v>571</v>
      </c>
      <c r="B138" s="27">
        <v>41041</v>
      </c>
      <c r="C138" s="13">
        <v>33674410417</v>
      </c>
      <c r="D138" s="28" t="s">
        <v>330</v>
      </c>
      <c r="E138" s="14">
        <v>12</v>
      </c>
      <c r="F138" s="15">
        <v>9.4728230550800027E-2</v>
      </c>
      <c r="G138" s="16">
        <v>6.3787499999999993</v>
      </c>
      <c r="H138" s="29" t="s">
        <v>604</v>
      </c>
      <c r="I138" s="30"/>
      <c r="J138" s="38">
        <f t="shared" si="12"/>
        <v>0</v>
      </c>
      <c r="M138" s="10" t="str">
        <f t="shared" si="13"/>
        <v>-</v>
      </c>
      <c r="N138" s="10" t="str">
        <f t="shared" si="16"/>
        <v>-</v>
      </c>
      <c r="O138" s="11" t="str">
        <f t="shared" si="14"/>
        <v>-</v>
      </c>
      <c r="P138" s="12" t="str">
        <f t="shared" si="17"/>
        <v>-</v>
      </c>
      <c r="R138" s="12" t="str">
        <f t="shared" si="15"/>
        <v>-</v>
      </c>
    </row>
    <row r="139" spans="1:18" ht="14.4">
      <c r="A139" s="26" t="s">
        <v>569</v>
      </c>
      <c r="B139" s="27">
        <v>110</v>
      </c>
      <c r="C139" s="13">
        <v>33674001103</v>
      </c>
      <c r="D139" s="28" t="s">
        <v>337</v>
      </c>
      <c r="E139" s="14">
        <v>12</v>
      </c>
      <c r="F139" s="15">
        <v>0.10245064065005</v>
      </c>
      <c r="G139" s="16">
        <v>7.9762500000000003</v>
      </c>
      <c r="H139" s="29" t="s">
        <v>604</v>
      </c>
      <c r="I139" s="30"/>
      <c r="J139" s="38">
        <f t="shared" si="12"/>
        <v>0</v>
      </c>
      <c r="M139" s="10" t="str">
        <f t="shared" si="13"/>
        <v>-</v>
      </c>
      <c r="N139" s="10" t="str">
        <f t="shared" si="16"/>
        <v>-</v>
      </c>
      <c r="O139" s="11" t="str">
        <f t="shared" si="14"/>
        <v>-</v>
      </c>
      <c r="P139" s="12" t="str">
        <f t="shared" si="17"/>
        <v>-</v>
      </c>
      <c r="R139" s="12" t="str">
        <f t="shared" si="15"/>
        <v>-</v>
      </c>
    </row>
    <row r="140" spans="1:18" ht="14.4">
      <c r="A140" s="26" t="s">
        <v>573</v>
      </c>
      <c r="B140" s="27">
        <v>14550</v>
      </c>
      <c r="C140" s="13">
        <v>33674145500</v>
      </c>
      <c r="D140" s="28" t="s">
        <v>344</v>
      </c>
      <c r="E140" s="14">
        <v>12</v>
      </c>
      <c r="F140" s="15">
        <v>8.2887201731950008E-2</v>
      </c>
      <c r="G140" s="16">
        <v>9.36</v>
      </c>
      <c r="H140" s="29" t="s">
        <v>604</v>
      </c>
      <c r="I140" s="30"/>
      <c r="J140" s="38">
        <f t="shared" si="12"/>
        <v>0</v>
      </c>
      <c r="M140" s="10" t="str">
        <f t="shared" si="13"/>
        <v>-</v>
      </c>
      <c r="N140" s="10" t="str">
        <f t="shared" si="16"/>
        <v>-</v>
      </c>
      <c r="O140" s="11" t="str">
        <f t="shared" si="14"/>
        <v>-</v>
      </c>
      <c r="P140" s="12" t="str">
        <f t="shared" si="17"/>
        <v>-</v>
      </c>
      <c r="R140" s="12" t="str">
        <f t="shared" si="15"/>
        <v>-</v>
      </c>
    </row>
    <row r="141" spans="1:18" ht="14.4">
      <c r="A141" s="26" t="s">
        <v>587</v>
      </c>
      <c r="B141" s="27">
        <v>79270</v>
      </c>
      <c r="C141" s="13">
        <v>33674792704</v>
      </c>
      <c r="D141" s="28" t="s">
        <v>347</v>
      </c>
      <c r="E141" s="14">
        <v>12</v>
      </c>
      <c r="F141" s="15">
        <v>7.9283410352300007E-2</v>
      </c>
      <c r="G141" s="16">
        <v>8.932500000000001</v>
      </c>
      <c r="H141" s="29" t="s">
        <v>604</v>
      </c>
      <c r="I141" s="30"/>
      <c r="J141" s="38">
        <f t="shared" si="12"/>
        <v>0</v>
      </c>
      <c r="M141" s="10" t="str">
        <f t="shared" si="13"/>
        <v>-</v>
      </c>
      <c r="N141" s="10" t="str">
        <f t="shared" si="16"/>
        <v>-</v>
      </c>
      <c r="O141" s="11" t="str">
        <f t="shared" si="14"/>
        <v>-</v>
      </c>
      <c r="P141" s="12" t="str">
        <f t="shared" si="17"/>
        <v>-</v>
      </c>
      <c r="R141" s="12" t="str">
        <f t="shared" si="15"/>
        <v>-</v>
      </c>
    </row>
    <row r="142" spans="1:18" ht="14.4">
      <c r="A142" s="26" t="s">
        <v>578</v>
      </c>
      <c r="B142" s="27">
        <v>14521</v>
      </c>
      <c r="C142" s="13">
        <v>33674145210</v>
      </c>
      <c r="D142" s="28" t="s">
        <v>386</v>
      </c>
      <c r="E142" s="14">
        <v>12</v>
      </c>
      <c r="F142" s="15">
        <v>0.12510304360784999</v>
      </c>
      <c r="G142" s="16">
        <v>7.83</v>
      </c>
      <c r="H142" s="29" t="s">
        <v>604</v>
      </c>
      <c r="I142" s="30"/>
      <c r="J142" s="38">
        <f t="shared" si="12"/>
        <v>0</v>
      </c>
      <c r="M142" s="10" t="str">
        <f t="shared" si="13"/>
        <v>-</v>
      </c>
      <c r="N142" s="10" t="str">
        <f t="shared" si="16"/>
        <v>-</v>
      </c>
      <c r="O142" s="11" t="str">
        <f t="shared" si="14"/>
        <v>-</v>
      </c>
      <c r="P142" s="12" t="str">
        <f t="shared" si="17"/>
        <v>-</v>
      </c>
      <c r="R142" s="12" t="str">
        <f t="shared" si="15"/>
        <v>-</v>
      </c>
    </row>
    <row r="143" spans="1:18" ht="14.4">
      <c r="A143" s="26" t="s">
        <v>568</v>
      </c>
      <c r="B143" s="27">
        <v>14160</v>
      </c>
      <c r="C143" s="13">
        <v>33674141601</v>
      </c>
      <c r="D143" s="28" t="s">
        <v>403</v>
      </c>
      <c r="E143" s="14">
        <v>12</v>
      </c>
      <c r="F143" s="15">
        <v>9.1124439171149998E-2</v>
      </c>
      <c r="G143" s="16">
        <v>5.34375</v>
      </c>
      <c r="H143" s="29" t="s">
        <v>604</v>
      </c>
      <c r="I143" s="30"/>
      <c r="J143" s="38">
        <f t="shared" si="12"/>
        <v>0</v>
      </c>
      <c r="M143" s="10" t="str">
        <f t="shared" si="13"/>
        <v>-</v>
      </c>
      <c r="N143" s="10" t="str">
        <f t="shared" si="16"/>
        <v>-</v>
      </c>
      <c r="O143" s="11" t="str">
        <f t="shared" si="14"/>
        <v>-</v>
      </c>
      <c r="P143" s="12" t="str">
        <f t="shared" si="17"/>
        <v>-</v>
      </c>
      <c r="R143" s="12" t="str">
        <f t="shared" si="15"/>
        <v>-</v>
      </c>
    </row>
    <row r="144" spans="1:18" ht="14.4">
      <c r="A144" s="26" t="s">
        <v>568</v>
      </c>
      <c r="B144" s="27">
        <v>6800</v>
      </c>
      <c r="C144" s="13">
        <v>33674068007</v>
      </c>
      <c r="D144" s="28" t="s">
        <v>414</v>
      </c>
      <c r="E144" s="14">
        <v>12</v>
      </c>
      <c r="F144" s="15">
        <v>8.5461338431700007E-2</v>
      </c>
      <c r="G144" s="16">
        <v>13.252499999999998</v>
      </c>
      <c r="H144" s="29" t="s">
        <v>604</v>
      </c>
      <c r="I144" s="30"/>
      <c r="J144" s="38">
        <f t="shared" si="12"/>
        <v>0</v>
      </c>
      <c r="M144" s="10" t="str">
        <f t="shared" si="13"/>
        <v>-</v>
      </c>
      <c r="N144" s="10" t="str">
        <f t="shared" si="16"/>
        <v>-</v>
      </c>
      <c r="O144" s="11" t="str">
        <f t="shared" si="14"/>
        <v>-</v>
      </c>
      <c r="P144" s="12" t="str">
        <f t="shared" si="17"/>
        <v>-</v>
      </c>
      <c r="R144" s="12" t="str">
        <f t="shared" si="15"/>
        <v>-</v>
      </c>
    </row>
    <row r="145" spans="1:18" ht="14.4">
      <c r="A145" s="26" t="s">
        <v>568</v>
      </c>
      <c r="B145" s="27">
        <v>13950</v>
      </c>
      <c r="C145" s="13">
        <v>33674139509</v>
      </c>
      <c r="D145" s="28" t="s">
        <v>427</v>
      </c>
      <c r="E145" s="14">
        <v>12</v>
      </c>
      <c r="F145" s="15">
        <v>6.0749626114100008E-2</v>
      </c>
      <c r="G145" s="16">
        <v>32.625</v>
      </c>
      <c r="H145" s="29" t="s">
        <v>604</v>
      </c>
      <c r="I145" s="30"/>
      <c r="J145" s="38">
        <f t="shared" si="12"/>
        <v>0</v>
      </c>
      <c r="M145" s="10" t="str">
        <f t="shared" si="13"/>
        <v>-</v>
      </c>
      <c r="N145" s="10" t="str">
        <f t="shared" si="16"/>
        <v>-</v>
      </c>
      <c r="O145" s="11" t="str">
        <f t="shared" si="14"/>
        <v>-</v>
      </c>
      <c r="P145" s="12" t="str">
        <f t="shared" si="17"/>
        <v>-</v>
      </c>
      <c r="R145" s="12" t="str">
        <f t="shared" si="15"/>
        <v>-</v>
      </c>
    </row>
    <row r="146" spans="1:18" ht="14.4">
      <c r="A146" s="26" t="s">
        <v>580</v>
      </c>
      <c r="B146" s="27">
        <v>16100</v>
      </c>
      <c r="C146" s="13">
        <v>33674161005</v>
      </c>
      <c r="D146" s="28" t="s">
        <v>435</v>
      </c>
      <c r="E146" s="14">
        <v>12</v>
      </c>
      <c r="F146" s="15">
        <v>9.0609611831200018E-2</v>
      </c>
      <c r="G146" s="16">
        <v>7.6499999999999995</v>
      </c>
      <c r="H146" s="29" t="s">
        <v>604</v>
      </c>
      <c r="I146" s="30"/>
      <c r="J146" s="38">
        <f t="shared" si="12"/>
        <v>0</v>
      </c>
      <c r="M146" s="10" t="str">
        <f t="shared" si="13"/>
        <v>-</v>
      </c>
      <c r="N146" s="10" t="str">
        <f t="shared" si="16"/>
        <v>-</v>
      </c>
      <c r="O146" s="11" t="str">
        <f t="shared" si="14"/>
        <v>-</v>
      </c>
      <c r="P146" s="12" t="str">
        <f t="shared" si="17"/>
        <v>-</v>
      </c>
      <c r="R146" s="12" t="str">
        <f t="shared" si="15"/>
        <v>-</v>
      </c>
    </row>
    <row r="147" spans="1:18" ht="14.4">
      <c r="A147" s="26" t="s">
        <v>588</v>
      </c>
      <c r="B147" s="27">
        <v>14162</v>
      </c>
      <c r="C147" s="13">
        <v>33674141625</v>
      </c>
      <c r="D147" s="28" t="s">
        <v>444</v>
      </c>
      <c r="E147" s="14">
        <v>12</v>
      </c>
      <c r="F147" s="15">
        <v>9.1639266511100007E-2</v>
      </c>
      <c r="G147" s="16">
        <v>3.8249999999999997</v>
      </c>
      <c r="H147" s="29" t="s">
        <v>604</v>
      </c>
      <c r="I147" s="30"/>
      <c r="J147" s="38">
        <f t="shared" si="12"/>
        <v>0</v>
      </c>
      <c r="M147" s="10" t="str">
        <f t="shared" si="13"/>
        <v>-</v>
      </c>
      <c r="N147" s="10" t="str">
        <f t="shared" si="16"/>
        <v>-</v>
      </c>
      <c r="O147" s="11" t="str">
        <f t="shared" si="14"/>
        <v>-</v>
      </c>
      <c r="P147" s="12" t="str">
        <f t="shared" si="17"/>
        <v>-</v>
      </c>
      <c r="R147" s="12" t="str">
        <f t="shared" si="15"/>
        <v>-</v>
      </c>
    </row>
    <row r="148" spans="1:18" ht="14.4">
      <c r="A148" s="26" t="s">
        <v>578</v>
      </c>
      <c r="B148" s="27">
        <v>12961</v>
      </c>
      <c r="C148" s="13">
        <v>33674129616</v>
      </c>
      <c r="D148" s="28" t="s">
        <v>468</v>
      </c>
      <c r="E148" s="14">
        <v>12</v>
      </c>
      <c r="F148" s="15">
        <v>0.10862856872945002</v>
      </c>
      <c r="G148" s="16">
        <v>10.608750000000001</v>
      </c>
      <c r="H148" s="29" t="s">
        <v>604</v>
      </c>
      <c r="I148" s="30"/>
      <c r="J148" s="38">
        <f t="shared" si="12"/>
        <v>0</v>
      </c>
      <c r="M148" s="10" t="str">
        <f t="shared" si="13"/>
        <v>-</v>
      </c>
      <c r="N148" s="10" t="str">
        <f t="shared" si="16"/>
        <v>-</v>
      </c>
      <c r="O148" s="11" t="str">
        <f t="shared" si="14"/>
        <v>-</v>
      </c>
      <c r="P148" s="12" t="str">
        <f t="shared" si="17"/>
        <v>-</v>
      </c>
      <c r="R148" s="12" t="str">
        <f t="shared" si="15"/>
        <v>-</v>
      </c>
    </row>
    <row r="149" spans="1:18" ht="14.4">
      <c r="A149" s="26" t="s">
        <v>570</v>
      </c>
      <c r="B149" s="27">
        <v>17000</v>
      </c>
      <c r="C149" s="13">
        <v>33674170007</v>
      </c>
      <c r="D149" s="28" t="s">
        <v>487</v>
      </c>
      <c r="E149" s="14">
        <v>12</v>
      </c>
      <c r="F149" s="15">
        <v>0.11120270542920001</v>
      </c>
      <c r="G149" s="16">
        <v>6.6825000000000001</v>
      </c>
      <c r="H149" s="29" t="s">
        <v>604</v>
      </c>
      <c r="I149" s="30"/>
      <c r="J149" s="38">
        <f t="shared" si="12"/>
        <v>0</v>
      </c>
      <c r="M149" s="10" t="str">
        <f t="shared" si="13"/>
        <v>-</v>
      </c>
      <c r="N149" s="10" t="str">
        <f t="shared" si="16"/>
        <v>-</v>
      </c>
      <c r="O149" s="11" t="str">
        <f t="shared" si="14"/>
        <v>-</v>
      </c>
      <c r="P149" s="12" t="str">
        <f t="shared" si="17"/>
        <v>-</v>
      </c>
      <c r="R149" s="12" t="str">
        <f t="shared" si="15"/>
        <v>-</v>
      </c>
    </row>
    <row r="150" spans="1:18" ht="14.4">
      <c r="A150" s="26" t="s">
        <v>591</v>
      </c>
      <c r="B150" s="27">
        <v>17700</v>
      </c>
      <c r="C150" s="13">
        <v>33674177006</v>
      </c>
      <c r="D150" s="28" t="s">
        <v>528</v>
      </c>
      <c r="E150" s="14">
        <v>12</v>
      </c>
      <c r="F150" s="15">
        <v>0.13334028104705001</v>
      </c>
      <c r="G150" s="16">
        <v>6.6825000000000001</v>
      </c>
      <c r="H150" s="29" t="s">
        <v>604</v>
      </c>
      <c r="I150" s="30"/>
      <c r="J150" s="38">
        <f t="shared" si="12"/>
        <v>0</v>
      </c>
      <c r="M150" s="10" t="str">
        <f t="shared" si="13"/>
        <v>-</v>
      </c>
      <c r="N150" s="10" t="str">
        <f t="shared" si="16"/>
        <v>-</v>
      </c>
      <c r="O150" s="11" t="str">
        <f t="shared" si="14"/>
        <v>-</v>
      </c>
      <c r="P150" s="12" t="str">
        <f t="shared" si="17"/>
        <v>-</v>
      </c>
      <c r="R150" s="12" t="str">
        <f t="shared" si="15"/>
        <v>-</v>
      </c>
    </row>
    <row r="151" spans="1:18" ht="14.4">
      <c r="A151" s="26" t="s">
        <v>578</v>
      </c>
      <c r="B151" s="27">
        <v>13607</v>
      </c>
      <c r="C151" s="13">
        <v>33674136072</v>
      </c>
      <c r="D151" s="28" t="s">
        <v>536</v>
      </c>
      <c r="E151" s="14">
        <v>12</v>
      </c>
      <c r="F151" s="15">
        <v>0.51740147664975011</v>
      </c>
      <c r="G151" s="16">
        <v>16.098749999999999</v>
      </c>
      <c r="H151" s="29" t="s">
        <v>604</v>
      </c>
      <c r="I151" s="30"/>
      <c r="J151" s="38">
        <f t="shared" si="12"/>
        <v>0</v>
      </c>
      <c r="M151" s="10" t="str">
        <f t="shared" si="13"/>
        <v>-</v>
      </c>
      <c r="N151" s="10" t="str">
        <f t="shared" si="16"/>
        <v>-</v>
      </c>
      <c r="O151" s="11" t="str">
        <f t="shared" si="14"/>
        <v>-</v>
      </c>
      <c r="P151" s="12" t="str">
        <f t="shared" si="17"/>
        <v>-</v>
      </c>
      <c r="R151" s="12" t="str">
        <f t="shared" si="15"/>
        <v>-</v>
      </c>
    </row>
    <row r="152" spans="1:18" ht="14.4">
      <c r="A152" s="26" t="s">
        <v>578</v>
      </c>
      <c r="B152" s="27">
        <v>13701</v>
      </c>
      <c r="C152" s="13">
        <v>33674137017</v>
      </c>
      <c r="D152" s="28" t="s">
        <v>563</v>
      </c>
      <c r="E152" s="14">
        <v>12</v>
      </c>
      <c r="F152" s="15">
        <v>0.46180012393514996</v>
      </c>
      <c r="G152" s="16">
        <v>13.061249999999999</v>
      </c>
      <c r="H152" s="29" t="s">
        <v>604</v>
      </c>
      <c r="I152" s="30"/>
      <c r="J152" s="38">
        <f t="shared" si="12"/>
        <v>0</v>
      </c>
      <c r="M152" s="10" t="str">
        <f t="shared" si="13"/>
        <v>-</v>
      </c>
      <c r="N152" s="10" t="str">
        <f t="shared" si="16"/>
        <v>-</v>
      </c>
      <c r="O152" s="11" t="str">
        <f t="shared" si="14"/>
        <v>-</v>
      </c>
      <c r="P152" s="12" t="str">
        <f t="shared" si="17"/>
        <v>-</v>
      </c>
      <c r="R152" s="12" t="str">
        <f t="shared" si="15"/>
        <v>-</v>
      </c>
    </row>
    <row r="153" spans="1:18" ht="14.4">
      <c r="A153" s="26" t="s">
        <v>580</v>
      </c>
      <c r="B153" s="27">
        <v>7236</v>
      </c>
      <c r="C153" s="13">
        <v>763948072361</v>
      </c>
      <c r="D153" s="28" t="s">
        <v>109</v>
      </c>
      <c r="E153" s="14">
        <v>12</v>
      </c>
      <c r="F153" s="15">
        <v>9.4385012324166684E-2</v>
      </c>
      <c r="G153" s="16">
        <v>17.111250000000002</v>
      </c>
      <c r="H153" s="29" t="s">
        <v>604</v>
      </c>
      <c r="I153" s="30"/>
      <c r="J153" s="38">
        <f t="shared" si="12"/>
        <v>0</v>
      </c>
      <c r="M153" s="10" t="str">
        <f t="shared" si="13"/>
        <v>-</v>
      </c>
      <c r="N153" s="10" t="str">
        <f t="shared" si="16"/>
        <v>-</v>
      </c>
      <c r="O153" s="11" t="str">
        <f t="shared" si="14"/>
        <v>-</v>
      </c>
      <c r="P153" s="12" t="str">
        <f t="shared" si="17"/>
        <v>-</v>
      </c>
      <c r="R153" s="12" t="str">
        <f t="shared" si="15"/>
        <v>-</v>
      </c>
    </row>
    <row r="154" spans="1:18" ht="14.4">
      <c r="A154" s="26" t="s">
        <v>573</v>
      </c>
      <c r="B154" s="27">
        <v>13716</v>
      </c>
      <c r="C154" s="13">
        <v>33674137161</v>
      </c>
      <c r="D154" s="28" t="s">
        <v>63</v>
      </c>
      <c r="E154" s="14">
        <v>12</v>
      </c>
      <c r="F154" s="15">
        <v>0.26616573475415001</v>
      </c>
      <c r="G154" s="16">
        <v>18.798750000000002</v>
      </c>
      <c r="H154" s="29" t="s">
        <v>602</v>
      </c>
      <c r="I154" s="30"/>
      <c r="J154" s="38">
        <f t="shared" si="12"/>
        <v>0</v>
      </c>
      <c r="M154" s="10" t="str">
        <f t="shared" si="13"/>
        <v>-</v>
      </c>
      <c r="N154" s="10" t="str">
        <f t="shared" si="16"/>
        <v>-</v>
      </c>
      <c r="O154" s="11" t="str">
        <f t="shared" si="14"/>
        <v>-</v>
      </c>
      <c r="P154" s="12" t="str">
        <f t="shared" si="17"/>
        <v>-</v>
      </c>
      <c r="R154" s="12" t="str">
        <f t="shared" si="15"/>
        <v>-</v>
      </c>
    </row>
    <row r="155" spans="1:18" ht="14.4">
      <c r="A155" s="26" t="s">
        <v>573</v>
      </c>
      <c r="B155" s="27">
        <v>15899</v>
      </c>
      <c r="C155" s="13">
        <v>33674158999</v>
      </c>
      <c r="D155" s="28" t="s">
        <v>83</v>
      </c>
      <c r="E155" s="14">
        <v>12</v>
      </c>
      <c r="F155" s="15">
        <v>0.32691536086825002</v>
      </c>
      <c r="G155" s="16">
        <v>12.408749999999998</v>
      </c>
      <c r="H155" s="29" t="s">
        <v>602</v>
      </c>
      <c r="I155" s="30"/>
      <c r="J155" s="38">
        <f t="shared" si="12"/>
        <v>0</v>
      </c>
      <c r="M155" s="10" t="str">
        <f t="shared" si="13"/>
        <v>-</v>
      </c>
      <c r="N155" s="10" t="str">
        <f t="shared" si="16"/>
        <v>-</v>
      </c>
      <c r="O155" s="11" t="str">
        <f t="shared" si="14"/>
        <v>-</v>
      </c>
      <c r="P155" s="12" t="str">
        <f t="shared" si="17"/>
        <v>-</v>
      </c>
      <c r="R155" s="12" t="str">
        <f t="shared" si="15"/>
        <v>-</v>
      </c>
    </row>
    <row r="156" spans="1:18" ht="14.4">
      <c r="A156" s="26" t="s">
        <v>573</v>
      </c>
      <c r="B156" s="27">
        <v>15897</v>
      </c>
      <c r="C156" s="13">
        <v>33674158975</v>
      </c>
      <c r="D156" s="28" t="s">
        <v>90</v>
      </c>
      <c r="E156" s="14">
        <v>12</v>
      </c>
      <c r="F156" s="15">
        <v>0.32022260544890008</v>
      </c>
      <c r="G156" s="16">
        <v>12.408749999999998</v>
      </c>
      <c r="H156" s="29" t="s">
        <v>602</v>
      </c>
      <c r="I156" s="30"/>
      <c r="J156" s="38">
        <f t="shared" si="12"/>
        <v>0</v>
      </c>
      <c r="M156" s="10" t="str">
        <f t="shared" si="13"/>
        <v>-</v>
      </c>
      <c r="N156" s="10" t="str">
        <f t="shared" si="16"/>
        <v>-</v>
      </c>
      <c r="O156" s="11" t="str">
        <f t="shared" si="14"/>
        <v>-</v>
      </c>
      <c r="P156" s="12" t="str">
        <f t="shared" si="17"/>
        <v>-</v>
      </c>
      <c r="R156" s="12" t="str">
        <f t="shared" si="15"/>
        <v>-</v>
      </c>
    </row>
    <row r="157" spans="1:18" ht="14.4">
      <c r="A157" s="26" t="s">
        <v>573</v>
      </c>
      <c r="B157" s="27">
        <v>13710</v>
      </c>
      <c r="C157" s="13">
        <v>33674137109</v>
      </c>
      <c r="D157" s="28" t="s">
        <v>94</v>
      </c>
      <c r="E157" s="14">
        <v>12</v>
      </c>
      <c r="F157" s="15">
        <v>0.27903641825289999</v>
      </c>
      <c r="G157" s="16">
        <v>18.798750000000002</v>
      </c>
      <c r="H157" s="29" t="s">
        <v>602</v>
      </c>
      <c r="I157" s="30"/>
      <c r="J157" s="38">
        <f t="shared" si="12"/>
        <v>0</v>
      </c>
      <c r="M157" s="10" t="str">
        <f t="shared" si="13"/>
        <v>-</v>
      </c>
      <c r="N157" s="10" t="str">
        <f t="shared" si="16"/>
        <v>-</v>
      </c>
      <c r="O157" s="11" t="str">
        <f t="shared" si="14"/>
        <v>-</v>
      </c>
      <c r="P157" s="12" t="str">
        <f t="shared" si="17"/>
        <v>-</v>
      </c>
      <c r="R157" s="12" t="str">
        <f t="shared" si="15"/>
        <v>-</v>
      </c>
    </row>
    <row r="158" spans="1:18" ht="14.4">
      <c r="A158" s="26" t="s">
        <v>584</v>
      </c>
      <c r="B158" s="27">
        <v>214008</v>
      </c>
      <c r="C158" s="13">
        <v>354022109815</v>
      </c>
      <c r="D158" s="28" t="s">
        <v>127</v>
      </c>
      <c r="E158" s="14">
        <v>12</v>
      </c>
      <c r="F158" s="15">
        <v>9.009478449125001E-2</v>
      </c>
      <c r="G158" s="16">
        <v>9.0787499999999994</v>
      </c>
      <c r="H158" s="29" t="s">
        <v>602</v>
      </c>
      <c r="I158" s="30"/>
      <c r="J158" s="38">
        <f t="shared" si="12"/>
        <v>0</v>
      </c>
      <c r="M158" s="10" t="str">
        <f t="shared" si="13"/>
        <v>-</v>
      </c>
      <c r="N158" s="10" t="str">
        <f t="shared" si="16"/>
        <v>-</v>
      </c>
      <c r="O158" s="11" t="str">
        <f t="shared" si="14"/>
        <v>-</v>
      </c>
      <c r="P158" s="12" t="str">
        <f t="shared" si="17"/>
        <v>-</v>
      </c>
      <c r="R158" s="12" t="str">
        <f t="shared" si="15"/>
        <v>-</v>
      </c>
    </row>
    <row r="159" spans="1:18" ht="14.4">
      <c r="A159" s="26" t="s">
        <v>584</v>
      </c>
      <c r="B159" s="27">
        <v>214010</v>
      </c>
      <c r="C159" s="13">
        <v>354022107514</v>
      </c>
      <c r="D159" s="28" t="s">
        <v>128</v>
      </c>
      <c r="E159" s="14">
        <v>12</v>
      </c>
      <c r="F159" s="15">
        <v>7.9798237692250015E-2</v>
      </c>
      <c r="G159" s="16">
        <v>10.83375</v>
      </c>
      <c r="H159" s="29" t="s">
        <v>602</v>
      </c>
      <c r="I159" s="30"/>
      <c r="J159" s="38">
        <f t="shared" si="12"/>
        <v>0</v>
      </c>
      <c r="M159" s="10" t="str">
        <f t="shared" si="13"/>
        <v>-</v>
      </c>
      <c r="N159" s="10" t="str">
        <f t="shared" si="16"/>
        <v>-</v>
      </c>
      <c r="O159" s="11" t="str">
        <f t="shared" si="14"/>
        <v>-</v>
      </c>
      <c r="P159" s="12" t="str">
        <f t="shared" si="17"/>
        <v>-</v>
      </c>
      <c r="R159" s="12" t="str">
        <f t="shared" si="15"/>
        <v>-</v>
      </c>
    </row>
    <row r="160" spans="1:18" ht="14.4">
      <c r="A160" s="26" t="s">
        <v>568</v>
      </c>
      <c r="B160" s="27">
        <v>14242</v>
      </c>
      <c r="C160" s="13">
        <v>33674142424</v>
      </c>
      <c r="D160" s="28" t="s">
        <v>413</v>
      </c>
      <c r="E160" s="14">
        <v>12</v>
      </c>
      <c r="F160" s="15">
        <v>8.3402029071900016E-2</v>
      </c>
      <c r="G160" s="16">
        <v>7.5600000000000005</v>
      </c>
      <c r="H160" s="29" t="s">
        <v>602</v>
      </c>
      <c r="I160" s="30"/>
      <c r="J160" s="38">
        <f t="shared" si="12"/>
        <v>0</v>
      </c>
      <c r="M160" s="10" t="str">
        <f t="shared" si="13"/>
        <v>-</v>
      </c>
      <c r="N160" s="10" t="str">
        <f t="shared" si="16"/>
        <v>-</v>
      </c>
      <c r="O160" s="11" t="str">
        <f t="shared" si="14"/>
        <v>-</v>
      </c>
      <c r="P160" s="12" t="str">
        <f t="shared" si="17"/>
        <v>-</v>
      </c>
      <c r="R160" s="12" t="str">
        <f t="shared" si="15"/>
        <v>-</v>
      </c>
    </row>
    <row r="161" spans="1:18" ht="14.4">
      <c r="A161" s="26" t="s">
        <v>578</v>
      </c>
      <c r="B161" s="27">
        <v>6973</v>
      </c>
      <c r="C161" s="13">
        <v>33674069738</v>
      </c>
      <c r="D161" s="28" t="s">
        <v>466</v>
      </c>
      <c r="E161" s="14">
        <v>12</v>
      </c>
      <c r="F161" s="15">
        <v>0.22549437489810001</v>
      </c>
      <c r="G161" s="16">
        <v>12.116250000000001</v>
      </c>
      <c r="H161" s="29" t="s">
        <v>602</v>
      </c>
      <c r="I161" s="30"/>
      <c r="J161" s="38">
        <f t="shared" si="12"/>
        <v>0</v>
      </c>
      <c r="M161" s="10" t="str">
        <f t="shared" si="13"/>
        <v>-</v>
      </c>
      <c r="N161" s="10" t="str">
        <f t="shared" si="16"/>
        <v>-</v>
      </c>
      <c r="O161" s="11" t="str">
        <f t="shared" si="14"/>
        <v>-</v>
      </c>
      <c r="P161" s="12" t="str">
        <f t="shared" si="17"/>
        <v>-</v>
      </c>
      <c r="R161" s="12" t="str">
        <f t="shared" si="15"/>
        <v>-</v>
      </c>
    </row>
    <row r="162" spans="1:18" ht="14.4">
      <c r="A162" s="26" t="s">
        <v>566</v>
      </c>
      <c r="B162" s="27">
        <v>5186</v>
      </c>
      <c r="C162" s="13">
        <v>763948051861</v>
      </c>
      <c r="D162" s="28" t="s">
        <v>20</v>
      </c>
      <c r="E162" s="14">
        <v>12</v>
      </c>
      <c r="F162" s="15">
        <v>5.0624688428416664E-2</v>
      </c>
      <c r="G162" s="16">
        <v>15.794999999999998</v>
      </c>
      <c r="H162" s="29" t="s">
        <v>602</v>
      </c>
      <c r="I162" s="30"/>
      <c r="J162" s="38">
        <f t="shared" si="12"/>
        <v>0</v>
      </c>
      <c r="M162" s="10" t="str">
        <f t="shared" si="13"/>
        <v>-</v>
      </c>
      <c r="N162" s="10" t="str">
        <f t="shared" si="16"/>
        <v>-</v>
      </c>
      <c r="O162" s="11" t="str">
        <f t="shared" si="14"/>
        <v>-</v>
      </c>
      <c r="P162" s="12" t="str">
        <f t="shared" si="17"/>
        <v>-</v>
      </c>
      <c r="R162" s="12" t="str">
        <f t="shared" si="15"/>
        <v>-</v>
      </c>
    </row>
    <row r="163" spans="1:18" ht="14.4">
      <c r="A163" s="26" t="s">
        <v>569</v>
      </c>
      <c r="B163" s="27" t="s">
        <v>13</v>
      </c>
      <c r="C163" s="13">
        <v>763948078424</v>
      </c>
      <c r="D163" s="28" t="s">
        <v>23</v>
      </c>
      <c r="E163" s="14">
        <v>12</v>
      </c>
      <c r="F163" s="15">
        <v>0.16302865765083335</v>
      </c>
      <c r="G163" s="16">
        <v>7.6837500000000007</v>
      </c>
      <c r="H163" s="29" t="s">
        <v>602</v>
      </c>
      <c r="I163" s="30"/>
      <c r="J163" s="38">
        <f t="shared" si="12"/>
        <v>0</v>
      </c>
      <c r="M163" s="10" t="str">
        <f t="shared" si="13"/>
        <v>-</v>
      </c>
      <c r="N163" s="10" t="str">
        <f t="shared" si="16"/>
        <v>-</v>
      </c>
      <c r="O163" s="11" t="str">
        <f t="shared" si="14"/>
        <v>-</v>
      </c>
      <c r="P163" s="12" t="str">
        <f t="shared" si="17"/>
        <v>-</v>
      </c>
      <c r="R163" s="12" t="str">
        <f t="shared" si="15"/>
        <v>-</v>
      </c>
    </row>
    <row r="164" spans="1:18" ht="14.4">
      <c r="A164" s="26" t="s">
        <v>573</v>
      </c>
      <c r="B164" s="27">
        <v>10100</v>
      </c>
      <c r="C164" s="13">
        <v>33674101001</v>
      </c>
      <c r="D164" s="28" t="s">
        <v>29</v>
      </c>
      <c r="E164" s="14">
        <v>12</v>
      </c>
      <c r="F164" s="15">
        <v>0.11377684212895001</v>
      </c>
      <c r="G164" s="16">
        <v>6.3787499999999993</v>
      </c>
      <c r="H164" s="29" t="s">
        <v>602</v>
      </c>
      <c r="I164" s="30"/>
      <c r="J164" s="38">
        <f t="shared" si="12"/>
        <v>0</v>
      </c>
      <c r="M164" s="10" t="str">
        <f t="shared" si="13"/>
        <v>-</v>
      </c>
      <c r="N164" s="10" t="str">
        <f t="shared" si="16"/>
        <v>-</v>
      </c>
      <c r="O164" s="11" t="str">
        <f t="shared" si="14"/>
        <v>-</v>
      </c>
      <c r="P164" s="12" t="str">
        <f t="shared" si="17"/>
        <v>-</v>
      </c>
      <c r="R164" s="12" t="str">
        <f t="shared" si="15"/>
        <v>-</v>
      </c>
    </row>
    <row r="165" spans="1:18" ht="14.4">
      <c r="A165" s="26" t="s">
        <v>573</v>
      </c>
      <c r="B165" s="27">
        <v>2011</v>
      </c>
      <c r="C165" s="13">
        <v>33674020111</v>
      </c>
      <c r="D165" s="28" t="s">
        <v>30</v>
      </c>
      <c r="E165" s="14">
        <v>12</v>
      </c>
      <c r="F165" s="15">
        <v>0.10965822340935</v>
      </c>
      <c r="G165" s="16">
        <v>7.6499999999999995</v>
      </c>
      <c r="H165" s="29" t="s">
        <v>602</v>
      </c>
      <c r="I165" s="30"/>
      <c r="J165" s="38">
        <f t="shared" si="12"/>
        <v>0</v>
      </c>
      <c r="M165" s="10" t="str">
        <f t="shared" si="13"/>
        <v>-</v>
      </c>
      <c r="N165" s="10" t="str">
        <f t="shared" si="16"/>
        <v>-</v>
      </c>
      <c r="O165" s="11" t="str">
        <f t="shared" si="14"/>
        <v>-</v>
      </c>
      <c r="P165" s="12" t="str">
        <f t="shared" si="17"/>
        <v>-</v>
      </c>
      <c r="R165" s="12" t="str">
        <f t="shared" si="15"/>
        <v>-</v>
      </c>
    </row>
    <row r="166" spans="1:18" ht="14.4">
      <c r="A166" s="26" t="s">
        <v>573</v>
      </c>
      <c r="B166" s="27">
        <v>15817</v>
      </c>
      <c r="C166" s="13">
        <v>33674158173</v>
      </c>
      <c r="D166" s="28" t="s">
        <v>31</v>
      </c>
      <c r="E166" s="14">
        <v>12</v>
      </c>
      <c r="F166" s="15">
        <v>0.37376464880370003</v>
      </c>
      <c r="G166" s="16">
        <v>12.408749999999998</v>
      </c>
      <c r="H166" s="29" t="s">
        <v>602</v>
      </c>
      <c r="I166" s="30"/>
      <c r="J166" s="38">
        <f t="shared" si="12"/>
        <v>0</v>
      </c>
      <c r="M166" s="10" t="str">
        <f t="shared" si="13"/>
        <v>-</v>
      </c>
      <c r="N166" s="10" t="str">
        <f t="shared" si="16"/>
        <v>-</v>
      </c>
      <c r="O166" s="11" t="str">
        <f t="shared" si="14"/>
        <v>-</v>
      </c>
      <c r="P166" s="12" t="str">
        <f t="shared" si="17"/>
        <v>-</v>
      </c>
      <c r="R166" s="12" t="str">
        <f t="shared" si="15"/>
        <v>-</v>
      </c>
    </row>
    <row r="167" spans="1:18" ht="14.4">
      <c r="A167" s="26" t="s">
        <v>567</v>
      </c>
      <c r="B167" s="27">
        <v>15838</v>
      </c>
      <c r="C167" s="13">
        <v>33674158388</v>
      </c>
      <c r="D167" s="28" t="s">
        <v>33</v>
      </c>
      <c r="E167" s="14">
        <v>12</v>
      </c>
      <c r="F167" s="15">
        <v>0.16011130272445004</v>
      </c>
      <c r="G167" s="16">
        <v>14.951249999999998</v>
      </c>
      <c r="H167" s="29" t="s">
        <v>602</v>
      </c>
      <c r="I167" s="30"/>
      <c r="J167" s="38">
        <f t="shared" si="12"/>
        <v>0</v>
      </c>
      <c r="M167" s="10" t="str">
        <f t="shared" si="13"/>
        <v>-</v>
      </c>
      <c r="N167" s="10" t="str">
        <f t="shared" si="16"/>
        <v>-</v>
      </c>
      <c r="O167" s="11" t="str">
        <f t="shared" si="14"/>
        <v>-</v>
      </c>
      <c r="P167" s="12" t="str">
        <f t="shared" si="17"/>
        <v>-</v>
      </c>
      <c r="R167" s="12" t="str">
        <f t="shared" si="15"/>
        <v>-</v>
      </c>
    </row>
    <row r="168" spans="1:18" ht="14.4">
      <c r="A168" s="26" t="s">
        <v>575</v>
      </c>
      <c r="B168" s="27">
        <v>12371</v>
      </c>
      <c r="C168" s="13">
        <v>33674123713</v>
      </c>
      <c r="D168" s="28" t="s">
        <v>41</v>
      </c>
      <c r="E168" s="14">
        <v>12</v>
      </c>
      <c r="F168" s="15">
        <v>0.17401164090310003</v>
      </c>
      <c r="G168" s="16">
        <v>13.64625</v>
      </c>
      <c r="H168" s="29" t="s">
        <v>602</v>
      </c>
      <c r="I168" s="30"/>
      <c r="J168" s="38">
        <f t="shared" si="12"/>
        <v>0</v>
      </c>
      <c r="M168" s="10" t="str">
        <f t="shared" si="13"/>
        <v>-</v>
      </c>
      <c r="N168" s="10" t="str">
        <f t="shared" si="16"/>
        <v>-</v>
      </c>
      <c r="O168" s="11" t="str">
        <f t="shared" si="14"/>
        <v>-</v>
      </c>
      <c r="P168" s="12" t="str">
        <f t="shared" si="17"/>
        <v>-</v>
      </c>
      <c r="R168" s="12" t="str">
        <f t="shared" si="15"/>
        <v>-</v>
      </c>
    </row>
    <row r="169" spans="1:18" ht="14.4">
      <c r="A169" s="26" t="s">
        <v>573</v>
      </c>
      <c r="B169" s="27">
        <v>10484</v>
      </c>
      <c r="C169" s="13">
        <v>33674104842</v>
      </c>
      <c r="D169" s="28" t="s">
        <v>46</v>
      </c>
      <c r="E169" s="14">
        <v>12</v>
      </c>
      <c r="F169" s="15">
        <v>0.37788326752329998</v>
      </c>
      <c r="G169" s="16">
        <v>14.827500000000001</v>
      </c>
      <c r="H169" s="29" t="s">
        <v>602</v>
      </c>
      <c r="I169" s="30"/>
      <c r="J169" s="38">
        <f t="shared" si="12"/>
        <v>0</v>
      </c>
      <c r="M169" s="10" t="str">
        <f t="shared" si="13"/>
        <v>-</v>
      </c>
      <c r="N169" s="10" t="str">
        <f t="shared" si="16"/>
        <v>-</v>
      </c>
      <c r="O169" s="11" t="str">
        <f t="shared" si="14"/>
        <v>-</v>
      </c>
      <c r="P169" s="12" t="str">
        <f t="shared" si="17"/>
        <v>-</v>
      </c>
      <c r="R169" s="12" t="str">
        <f t="shared" si="15"/>
        <v>-</v>
      </c>
    </row>
    <row r="170" spans="1:18" ht="14.4">
      <c r="A170" s="26" t="s">
        <v>573</v>
      </c>
      <c r="B170" s="27">
        <v>14928</v>
      </c>
      <c r="C170" s="13">
        <v>33674149287</v>
      </c>
      <c r="D170" s="28" t="s">
        <v>49</v>
      </c>
      <c r="E170" s="14">
        <v>12</v>
      </c>
      <c r="F170" s="15">
        <v>0.48651183625275007</v>
      </c>
      <c r="G170" s="16">
        <v>34.03125</v>
      </c>
      <c r="H170" s="29" t="s">
        <v>602</v>
      </c>
      <c r="I170" s="30"/>
      <c r="J170" s="38">
        <f t="shared" si="12"/>
        <v>0</v>
      </c>
      <c r="M170" s="10" t="str">
        <f t="shared" si="13"/>
        <v>-</v>
      </c>
      <c r="N170" s="10" t="str">
        <f t="shared" si="16"/>
        <v>-</v>
      </c>
      <c r="O170" s="11" t="str">
        <f t="shared" si="14"/>
        <v>-</v>
      </c>
      <c r="P170" s="12" t="str">
        <f t="shared" si="17"/>
        <v>-</v>
      </c>
      <c r="R170" s="12" t="str">
        <f t="shared" si="15"/>
        <v>-</v>
      </c>
    </row>
    <row r="171" spans="1:18" ht="14.4">
      <c r="A171" s="26" t="s">
        <v>573</v>
      </c>
      <c r="B171" s="27">
        <v>14931</v>
      </c>
      <c r="C171" s="13">
        <v>33674149317</v>
      </c>
      <c r="D171" s="28" t="s">
        <v>50</v>
      </c>
      <c r="E171" s="14">
        <v>12</v>
      </c>
      <c r="F171" s="15">
        <v>0.26676636665075837</v>
      </c>
      <c r="G171" s="16">
        <v>19.057500000000005</v>
      </c>
      <c r="H171" s="29" t="s">
        <v>602</v>
      </c>
      <c r="I171" s="30"/>
      <c r="J171" s="38">
        <f t="shared" si="12"/>
        <v>0</v>
      </c>
      <c r="M171" s="10" t="str">
        <f t="shared" si="13"/>
        <v>-</v>
      </c>
      <c r="N171" s="10" t="str">
        <f t="shared" si="16"/>
        <v>-</v>
      </c>
      <c r="O171" s="11" t="str">
        <f t="shared" si="14"/>
        <v>-</v>
      </c>
      <c r="P171" s="12" t="str">
        <f t="shared" si="17"/>
        <v>-</v>
      </c>
      <c r="R171" s="12" t="str">
        <f t="shared" si="15"/>
        <v>-</v>
      </c>
    </row>
    <row r="172" spans="1:18" ht="14.4">
      <c r="A172" s="26" t="s">
        <v>573</v>
      </c>
      <c r="B172" s="27">
        <v>14932</v>
      </c>
      <c r="C172" s="13">
        <v>33674149324</v>
      </c>
      <c r="D172" s="28" t="s">
        <v>51</v>
      </c>
      <c r="E172" s="14">
        <v>12</v>
      </c>
      <c r="F172" s="15">
        <v>0.48239321753315001</v>
      </c>
      <c r="G172" s="16">
        <v>34.03125</v>
      </c>
      <c r="H172" s="29" t="s">
        <v>602</v>
      </c>
      <c r="I172" s="30"/>
      <c r="J172" s="38">
        <f t="shared" si="12"/>
        <v>0</v>
      </c>
      <c r="M172" s="10" t="str">
        <f t="shared" si="13"/>
        <v>-</v>
      </c>
      <c r="N172" s="10" t="str">
        <f t="shared" si="16"/>
        <v>-</v>
      </c>
      <c r="O172" s="11" t="str">
        <f t="shared" si="14"/>
        <v>-</v>
      </c>
      <c r="P172" s="12" t="str">
        <f t="shared" si="17"/>
        <v>-</v>
      </c>
      <c r="R172" s="12" t="str">
        <f t="shared" si="15"/>
        <v>-</v>
      </c>
    </row>
    <row r="173" spans="1:18" ht="14.4">
      <c r="A173" s="26" t="s">
        <v>573</v>
      </c>
      <c r="B173" s="27">
        <v>14283</v>
      </c>
      <c r="C173" s="13">
        <v>33674142837</v>
      </c>
      <c r="D173" s="28" t="s">
        <v>58</v>
      </c>
      <c r="E173" s="14">
        <v>12</v>
      </c>
      <c r="F173" s="15">
        <v>0.26719538943405002</v>
      </c>
      <c r="G173" s="16">
        <v>17.89875</v>
      </c>
      <c r="H173" s="29" t="s">
        <v>602</v>
      </c>
      <c r="I173" s="30"/>
      <c r="J173" s="38">
        <f t="shared" si="12"/>
        <v>0</v>
      </c>
      <c r="M173" s="10" t="str">
        <f t="shared" si="13"/>
        <v>-</v>
      </c>
      <c r="N173" s="10" t="str">
        <f t="shared" si="16"/>
        <v>-</v>
      </c>
      <c r="O173" s="11" t="str">
        <f t="shared" si="14"/>
        <v>-</v>
      </c>
      <c r="P173" s="12" t="str">
        <f t="shared" si="17"/>
        <v>-</v>
      </c>
      <c r="R173" s="12" t="str">
        <f t="shared" si="15"/>
        <v>-</v>
      </c>
    </row>
    <row r="174" spans="1:18" ht="14.4">
      <c r="A174" s="26" t="s">
        <v>573</v>
      </c>
      <c r="B174" s="27">
        <v>14067</v>
      </c>
      <c r="C174" s="13">
        <v>33674140673</v>
      </c>
      <c r="D174" s="28" t="s">
        <v>60</v>
      </c>
      <c r="E174" s="14">
        <v>12</v>
      </c>
      <c r="F174" s="15">
        <v>0.72024344859005007</v>
      </c>
      <c r="G174" s="16">
        <v>17.37</v>
      </c>
      <c r="H174" s="29" t="s">
        <v>602</v>
      </c>
      <c r="I174" s="30"/>
      <c r="J174" s="38">
        <f t="shared" si="12"/>
        <v>0</v>
      </c>
      <c r="M174" s="10" t="str">
        <f t="shared" si="13"/>
        <v>-</v>
      </c>
      <c r="N174" s="10" t="str">
        <f t="shared" si="16"/>
        <v>-</v>
      </c>
      <c r="O174" s="11" t="str">
        <f t="shared" si="14"/>
        <v>-</v>
      </c>
      <c r="P174" s="12" t="str">
        <f t="shared" si="17"/>
        <v>-</v>
      </c>
      <c r="R174" s="12" t="str">
        <f t="shared" si="15"/>
        <v>-</v>
      </c>
    </row>
    <row r="175" spans="1:18" ht="14.4">
      <c r="A175" s="26" t="s">
        <v>573</v>
      </c>
      <c r="B175" s="27">
        <v>14031</v>
      </c>
      <c r="C175" s="13">
        <v>33674140314</v>
      </c>
      <c r="D175" s="28" t="s">
        <v>65</v>
      </c>
      <c r="E175" s="14">
        <v>12</v>
      </c>
      <c r="F175" s="15">
        <v>0.64250452025759996</v>
      </c>
      <c r="G175" s="16">
        <v>15.120000000000001</v>
      </c>
      <c r="H175" s="29" t="s">
        <v>602</v>
      </c>
      <c r="I175" s="30"/>
      <c r="J175" s="38">
        <f t="shared" si="12"/>
        <v>0</v>
      </c>
      <c r="M175" s="10" t="str">
        <f t="shared" si="13"/>
        <v>-</v>
      </c>
      <c r="N175" s="10" t="str">
        <f t="shared" si="16"/>
        <v>-</v>
      </c>
      <c r="O175" s="11" t="str">
        <f t="shared" si="14"/>
        <v>-</v>
      </c>
      <c r="P175" s="12" t="str">
        <f t="shared" si="17"/>
        <v>-</v>
      </c>
      <c r="R175" s="12" t="str">
        <f t="shared" si="15"/>
        <v>-</v>
      </c>
    </row>
    <row r="176" spans="1:18" ht="14.4">
      <c r="A176" s="26" t="s">
        <v>573</v>
      </c>
      <c r="B176" s="27">
        <v>14066</v>
      </c>
      <c r="C176" s="13">
        <v>33674140666</v>
      </c>
      <c r="D176" s="28" t="s">
        <v>66</v>
      </c>
      <c r="E176" s="14">
        <v>12</v>
      </c>
      <c r="F176" s="15">
        <v>0.73929206016820004</v>
      </c>
      <c r="G176" s="16">
        <v>17.37</v>
      </c>
      <c r="H176" s="29" t="s">
        <v>602</v>
      </c>
      <c r="I176" s="30"/>
      <c r="J176" s="38">
        <f t="shared" si="12"/>
        <v>0</v>
      </c>
      <c r="M176" s="10" t="str">
        <f t="shared" si="13"/>
        <v>-</v>
      </c>
      <c r="N176" s="10" t="str">
        <f t="shared" si="16"/>
        <v>-</v>
      </c>
      <c r="O176" s="11" t="str">
        <f t="shared" si="14"/>
        <v>-</v>
      </c>
      <c r="P176" s="12" t="str">
        <f t="shared" si="17"/>
        <v>-</v>
      </c>
      <c r="R176" s="12" t="str">
        <f t="shared" si="15"/>
        <v>-</v>
      </c>
    </row>
    <row r="177" spans="1:18" ht="14.4">
      <c r="A177" s="26" t="s">
        <v>573</v>
      </c>
      <c r="B177" s="27">
        <v>12112</v>
      </c>
      <c r="C177" s="13">
        <v>33674121122</v>
      </c>
      <c r="D177" s="28" t="s">
        <v>68</v>
      </c>
      <c r="E177" s="14">
        <v>12</v>
      </c>
      <c r="F177" s="15">
        <v>0.16525957612395001</v>
      </c>
      <c r="G177" s="16">
        <v>12.993750000000002</v>
      </c>
      <c r="H177" s="29" t="s">
        <v>602</v>
      </c>
      <c r="I177" s="30"/>
      <c r="J177" s="38">
        <f t="shared" si="12"/>
        <v>0</v>
      </c>
      <c r="M177" s="10" t="str">
        <f t="shared" si="13"/>
        <v>-</v>
      </c>
      <c r="N177" s="10" t="str">
        <f t="shared" si="16"/>
        <v>-</v>
      </c>
      <c r="O177" s="11" t="str">
        <f t="shared" si="14"/>
        <v>-</v>
      </c>
      <c r="P177" s="12" t="str">
        <f t="shared" si="17"/>
        <v>-</v>
      </c>
      <c r="R177" s="12" t="str">
        <f t="shared" si="15"/>
        <v>-</v>
      </c>
    </row>
    <row r="178" spans="1:18" ht="14.4">
      <c r="A178" s="26" t="s">
        <v>573</v>
      </c>
      <c r="B178" s="27">
        <v>12111</v>
      </c>
      <c r="C178" s="13">
        <v>33674121115</v>
      </c>
      <c r="D178" s="28" t="s">
        <v>69</v>
      </c>
      <c r="E178" s="14">
        <v>12</v>
      </c>
      <c r="F178" s="15">
        <v>0.18482301504205001</v>
      </c>
      <c r="G178" s="16">
        <v>12.993750000000002</v>
      </c>
      <c r="H178" s="29" t="s">
        <v>602</v>
      </c>
      <c r="I178" s="30"/>
      <c r="J178" s="38">
        <f t="shared" si="12"/>
        <v>0</v>
      </c>
      <c r="M178" s="10" t="str">
        <f t="shared" si="13"/>
        <v>-</v>
      </c>
      <c r="N178" s="10" t="str">
        <f t="shared" si="16"/>
        <v>-</v>
      </c>
      <c r="O178" s="11" t="str">
        <f t="shared" si="14"/>
        <v>-</v>
      </c>
      <c r="P178" s="12" t="str">
        <f t="shared" si="17"/>
        <v>-</v>
      </c>
      <c r="R178" s="12" t="str">
        <f t="shared" si="15"/>
        <v>-</v>
      </c>
    </row>
    <row r="179" spans="1:18" ht="14.4">
      <c r="A179" s="26" t="s">
        <v>573</v>
      </c>
      <c r="B179" s="27">
        <v>13901</v>
      </c>
      <c r="C179" s="13">
        <v>33674139011</v>
      </c>
      <c r="D179" s="28" t="s">
        <v>85</v>
      </c>
      <c r="E179" s="14">
        <v>12</v>
      </c>
      <c r="F179" s="15">
        <v>0.25689884263504997</v>
      </c>
      <c r="G179" s="16">
        <v>15.401250000000001</v>
      </c>
      <c r="H179" s="29" t="s">
        <v>602</v>
      </c>
      <c r="I179" s="30"/>
      <c r="J179" s="38">
        <f t="shared" si="12"/>
        <v>0</v>
      </c>
      <c r="M179" s="10" t="str">
        <f t="shared" si="13"/>
        <v>-</v>
      </c>
      <c r="N179" s="10" t="str">
        <f t="shared" si="16"/>
        <v>-</v>
      </c>
      <c r="O179" s="11" t="str">
        <f t="shared" si="14"/>
        <v>-</v>
      </c>
      <c r="P179" s="12" t="str">
        <f t="shared" si="17"/>
        <v>-</v>
      </c>
      <c r="R179" s="12" t="str">
        <f t="shared" si="15"/>
        <v>-</v>
      </c>
    </row>
    <row r="180" spans="1:18" ht="14.4">
      <c r="A180" s="26" t="s">
        <v>573</v>
      </c>
      <c r="B180" s="27">
        <v>14210</v>
      </c>
      <c r="C180" s="13">
        <v>33674142103</v>
      </c>
      <c r="D180" s="28" t="s">
        <v>86</v>
      </c>
      <c r="E180" s="14">
        <v>12</v>
      </c>
      <c r="F180" s="15">
        <v>0.32073743278885003</v>
      </c>
      <c r="G180" s="16">
        <v>18.798750000000002</v>
      </c>
      <c r="H180" s="29" t="s">
        <v>602</v>
      </c>
      <c r="I180" s="30"/>
      <c r="J180" s="38">
        <f t="shared" si="12"/>
        <v>0</v>
      </c>
      <c r="M180" s="10" t="str">
        <f t="shared" si="13"/>
        <v>-</v>
      </c>
      <c r="N180" s="10" t="str">
        <f t="shared" si="16"/>
        <v>-</v>
      </c>
      <c r="O180" s="11" t="str">
        <f t="shared" si="14"/>
        <v>-</v>
      </c>
      <c r="P180" s="12" t="str">
        <f t="shared" si="17"/>
        <v>-</v>
      </c>
      <c r="R180" s="12" t="str">
        <f t="shared" si="15"/>
        <v>-</v>
      </c>
    </row>
    <row r="181" spans="1:18" ht="14.4">
      <c r="A181" s="26" t="s">
        <v>573</v>
      </c>
      <c r="B181" s="27">
        <v>14068</v>
      </c>
      <c r="C181" s="13">
        <v>33674140680</v>
      </c>
      <c r="D181" s="28" t="s">
        <v>89</v>
      </c>
      <c r="E181" s="14">
        <v>12</v>
      </c>
      <c r="F181" s="15">
        <v>0.72281758528980011</v>
      </c>
      <c r="G181" s="16">
        <v>17.37</v>
      </c>
      <c r="H181" s="29" t="s">
        <v>602</v>
      </c>
      <c r="I181" s="30"/>
      <c r="J181" s="38">
        <f t="shared" si="12"/>
        <v>0</v>
      </c>
      <c r="M181" s="10" t="str">
        <f t="shared" si="13"/>
        <v>-</v>
      </c>
      <c r="N181" s="10" t="str">
        <f t="shared" si="16"/>
        <v>-</v>
      </c>
      <c r="O181" s="11" t="str">
        <f t="shared" si="14"/>
        <v>-</v>
      </c>
      <c r="P181" s="12" t="str">
        <f t="shared" si="17"/>
        <v>-</v>
      </c>
      <c r="R181" s="12" t="str">
        <f t="shared" si="15"/>
        <v>-</v>
      </c>
    </row>
    <row r="182" spans="1:18" ht="14.4">
      <c r="A182" s="26" t="s">
        <v>579</v>
      </c>
      <c r="B182" s="27">
        <v>14618</v>
      </c>
      <c r="C182" s="13">
        <v>33674146187</v>
      </c>
      <c r="D182" s="28" t="s">
        <v>97</v>
      </c>
      <c r="E182" s="14">
        <v>12</v>
      </c>
      <c r="F182" s="15">
        <v>0.21983127415865</v>
      </c>
      <c r="G182" s="16">
        <v>8.8650000000000002</v>
      </c>
      <c r="H182" s="29" t="s">
        <v>602</v>
      </c>
      <c r="I182" s="30"/>
      <c r="J182" s="38">
        <f t="shared" si="12"/>
        <v>0</v>
      </c>
      <c r="M182" s="10" t="str">
        <f t="shared" si="13"/>
        <v>-</v>
      </c>
      <c r="N182" s="10" t="str">
        <f t="shared" si="16"/>
        <v>-</v>
      </c>
      <c r="O182" s="11" t="str">
        <f t="shared" si="14"/>
        <v>-</v>
      </c>
      <c r="P182" s="12" t="str">
        <f t="shared" si="17"/>
        <v>-</v>
      </c>
      <c r="R182" s="12" t="str">
        <f t="shared" si="15"/>
        <v>-</v>
      </c>
    </row>
    <row r="183" spans="1:18" ht="14.4">
      <c r="A183" s="26" t="s">
        <v>570</v>
      </c>
      <c r="B183" s="27">
        <v>10150</v>
      </c>
      <c r="C183" s="13">
        <v>33674101506</v>
      </c>
      <c r="D183" s="28" t="s">
        <v>101</v>
      </c>
      <c r="E183" s="14">
        <v>12</v>
      </c>
      <c r="F183" s="15">
        <v>0.10039133129025</v>
      </c>
      <c r="G183" s="16">
        <v>8.0212500000000002</v>
      </c>
      <c r="H183" s="29" t="s">
        <v>602</v>
      </c>
      <c r="I183" s="30"/>
      <c r="J183" s="38">
        <f t="shared" si="12"/>
        <v>0</v>
      </c>
      <c r="M183" s="10" t="str">
        <f t="shared" si="13"/>
        <v>-</v>
      </c>
      <c r="N183" s="10" t="str">
        <f t="shared" si="16"/>
        <v>-</v>
      </c>
      <c r="O183" s="11" t="str">
        <f t="shared" si="14"/>
        <v>-</v>
      </c>
      <c r="P183" s="12" t="str">
        <f t="shared" si="17"/>
        <v>-</v>
      </c>
      <c r="R183" s="12" t="str">
        <f t="shared" si="15"/>
        <v>-</v>
      </c>
    </row>
    <row r="184" spans="1:18" ht="14.4">
      <c r="A184" s="26" t="s">
        <v>575</v>
      </c>
      <c r="B184" s="27">
        <v>60038</v>
      </c>
      <c r="C184" s="13">
        <v>20065600380</v>
      </c>
      <c r="D184" s="28" t="s">
        <v>106</v>
      </c>
      <c r="E184" s="14">
        <v>12</v>
      </c>
      <c r="F184" s="15">
        <v>0.11738063350860001</v>
      </c>
      <c r="G184" s="16">
        <v>12.273750000000001</v>
      </c>
      <c r="H184" s="29" t="s">
        <v>602</v>
      </c>
      <c r="I184" s="30"/>
      <c r="J184" s="38">
        <f t="shared" si="12"/>
        <v>0</v>
      </c>
      <c r="M184" s="10" t="str">
        <f t="shared" si="13"/>
        <v>-</v>
      </c>
      <c r="N184" s="10" t="str">
        <f t="shared" si="16"/>
        <v>-</v>
      </c>
      <c r="O184" s="11" t="str">
        <f t="shared" si="14"/>
        <v>-</v>
      </c>
      <c r="P184" s="12" t="str">
        <f t="shared" si="17"/>
        <v>-</v>
      </c>
      <c r="R184" s="12" t="str">
        <f t="shared" si="15"/>
        <v>-</v>
      </c>
    </row>
    <row r="185" spans="1:18" ht="14.4">
      <c r="A185" s="26" t="s">
        <v>575</v>
      </c>
      <c r="B185" s="27">
        <v>45181</v>
      </c>
      <c r="C185" s="13">
        <v>33674451816</v>
      </c>
      <c r="D185" s="28" t="s">
        <v>107</v>
      </c>
      <c r="E185" s="14">
        <v>12</v>
      </c>
      <c r="F185" s="15">
        <v>6.8986863553300012E-2</v>
      </c>
      <c r="G185" s="16">
        <v>14.355</v>
      </c>
      <c r="H185" s="29" t="s">
        <v>602</v>
      </c>
      <c r="I185" s="30"/>
      <c r="J185" s="38">
        <f t="shared" si="12"/>
        <v>0</v>
      </c>
      <c r="M185" s="10" t="str">
        <f t="shared" si="13"/>
        <v>-</v>
      </c>
      <c r="N185" s="10" t="str">
        <f t="shared" si="16"/>
        <v>-</v>
      </c>
      <c r="O185" s="11" t="str">
        <f t="shared" si="14"/>
        <v>-</v>
      </c>
      <c r="P185" s="12" t="str">
        <f t="shared" si="17"/>
        <v>-</v>
      </c>
      <c r="R185" s="12" t="str">
        <f t="shared" si="15"/>
        <v>-</v>
      </c>
    </row>
    <row r="186" spans="1:18" ht="14.4">
      <c r="A186" s="26" t="s">
        <v>565</v>
      </c>
      <c r="B186" s="27">
        <v>13983</v>
      </c>
      <c r="C186" s="13">
        <v>33674139837</v>
      </c>
      <c r="D186" s="28" t="s">
        <v>113</v>
      </c>
      <c r="E186" s="14">
        <v>12</v>
      </c>
      <c r="F186" s="15">
        <v>0.45665185053565005</v>
      </c>
      <c r="G186" s="16">
        <v>12.813750000000001</v>
      </c>
      <c r="H186" s="29" t="s">
        <v>602</v>
      </c>
      <c r="I186" s="30"/>
      <c r="J186" s="38">
        <f t="shared" si="12"/>
        <v>0</v>
      </c>
      <c r="M186" s="10" t="str">
        <f t="shared" si="13"/>
        <v>-</v>
      </c>
      <c r="N186" s="10" t="str">
        <f t="shared" si="16"/>
        <v>-</v>
      </c>
      <c r="O186" s="11" t="str">
        <f t="shared" si="14"/>
        <v>-</v>
      </c>
      <c r="P186" s="12" t="str">
        <f t="shared" si="17"/>
        <v>-</v>
      </c>
      <c r="R186" s="12" t="str">
        <f t="shared" si="15"/>
        <v>-</v>
      </c>
    </row>
    <row r="187" spans="1:18" ht="14.4">
      <c r="A187" s="26" t="s">
        <v>571</v>
      </c>
      <c r="B187" s="27">
        <v>40520</v>
      </c>
      <c r="C187" s="13">
        <v>33674405208</v>
      </c>
      <c r="D187" s="28" t="s">
        <v>118</v>
      </c>
      <c r="E187" s="14">
        <v>12</v>
      </c>
      <c r="F187" s="15">
        <v>0.10245064065005</v>
      </c>
      <c r="G187" s="16">
        <v>10.203749999999999</v>
      </c>
      <c r="H187" s="29" t="s">
        <v>602</v>
      </c>
      <c r="I187" s="30"/>
      <c r="J187" s="38">
        <f t="shared" si="12"/>
        <v>0</v>
      </c>
      <c r="M187" s="10" t="str">
        <f t="shared" si="13"/>
        <v>-</v>
      </c>
      <c r="N187" s="10" t="str">
        <f t="shared" si="16"/>
        <v>-</v>
      </c>
      <c r="O187" s="11" t="str">
        <f t="shared" si="14"/>
        <v>-</v>
      </c>
      <c r="P187" s="12" t="str">
        <f t="shared" si="17"/>
        <v>-</v>
      </c>
      <c r="R187" s="12" t="str">
        <f t="shared" si="15"/>
        <v>-</v>
      </c>
    </row>
    <row r="188" spans="1:18" ht="14.4">
      <c r="A188" s="26" t="s">
        <v>571</v>
      </c>
      <c r="B188" s="27">
        <v>40521</v>
      </c>
      <c r="C188" s="13">
        <v>33674405215</v>
      </c>
      <c r="D188" s="28" t="s">
        <v>119</v>
      </c>
      <c r="E188" s="14">
        <v>12</v>
      </c>
      <c r="F188" s="15">
        <v>0.15959647538450003</v>
      </c>
      <c r="G188" s="16">
        <v>15.311249999999999</v>
      </c>
      <c r="H188" s="29" t="s">
        <v>602</v>
      </c>
      <c r="I188" s="30"/>
      <c r="J188" s="38">
        <f t="shared" si="12"/>
        <v>0</v>
      </c>
      <c r="M188" s="10" t="str">
        <f t="shared" si="13"/>
        <v>-</v>
      </c>
      <c r="N188" s="10" t="str">
        <f t="shared" si="16"/>
        <v>-</v>
      </c>
      <c r="O188" s="11" t="str">
        <f t="shared" si="14"/>
        <v>-</v>
      </c>
      <c r="P188" s="12" t="str">
        <f t="shared" si="17"/>
        <v>-</v>
      </c>
      <c r="R188" s="12" t="str">
        <f t="shared" si="15"/>
        <v>-</v>
      </c>
    </row>
    <row r="189" spans="1:18" ht="14.4">
      <c r="A189" s="26" t="s">
        <v>571</v>
      </c>
      <c r="B189" s="27">
        <v>40511</v>
      </c>
      <c r="C189" s="13">
        <v>33674405116</v>
      </c>
      <c r="D189" s="28" t="s">
        <v>120</v>
      </c>
      <c r="E189" s="14">
        <v>12</v>
      </c>
      <c r="F189" s="15">
        <v>0.10348029532995001</v>
      </c>
      <c r="G189" s="16">
        <v>10.203749999999999</v>
      </c>
      <c r="H189" s="29" t="s">
        <v>602</v>
      </c>
      <c r="I189" s="30"/>
      <c r="J189" s="38">
        <f t="shared" si="12"/>
        <v>0</v>
      </c>
      <c r="M189" s="10" t="str">
        <f t="shared" si="13"/>
        <v>-</v>
      </c>
      <c r="N189" s="10" t="str">
        <f t="shared" si="16"/>
        <v>-</v>
      </c>
      <c r="O189" s="11" t="str">
        <f t="shared" si="14"/>
        <v>-</v>
      </c>
      <c r="P189" s="12" t="str">
        <f t="shared" si="17"/>
        <v>-</v>
      </c>
      <c r="R189" s="12" t="str">
        <f t="shared" si="15"/>
        <v>-</v>
      </c>
    </row>
    <row r="190" spans="1:18" ht="14.4">
      <c r="A190" s="26" t="s">
        <v>573</v>
      </c>
      <c r="B190" s="27">
        <v>15044</v>
      </c>
      <c r="C190" s="13">
        <v>33674150443</v>
      </c>
      <c r="D190" s="28" t="s">
        <v>124</v>
      </c>
      <c r="E190" s="14">
        <v>12</v>
      </c>
      <c r="F190" s="15">
        <v>0.10553960468975</v>
      </c>
      <c r="G190" s="16">
        <v>16.762500000000003</v>
      </c>
      <c r="H190" s="29" t="s">
        <v>602</v>
      </c>
      <c r="I190" s="30"/>
      <c r="J190" s="38">
        <f t="shared" si="12"/>
        <v>0</v>
      </c>
      <c r="M190" s="10" t="str">
        <f t="shared" si="13"/>
        <v>-</v>
      </c>
      <c r="N190" s="10" t="str">
        <f t="shared" si="16"/>
        <v>-</v>
      </c>
      <c r="O190" s="11" t="str">
        <f t="shared" si="14"/>
        <v>-</v>
      </c>
      <c r="P190" s="12" t="str">
        <f t="shared" si="17"/>
        <v>-</v>
      </c>
      <c r="R190" s="12" t="str">
        <f t="shared" si="15"/>
        <v>-</v>
      </c>
    </row>
    <row r="191" spans="1:18" ht="14.4">
      <c r="A191" s="26" t="s">
        <v>583</v>
      </c>
      <c r="B191" s="27">
        <v>60500</v>
      </c>
      <c r="C191" s="13">
        <v>33674605004</v>
      </c>
      <c r="D191" s="28" t="s">
        <v>125</v>
      </c>
      <c r="E191" s="14">
        <v>12</v>
      </c>
      <c r="F191" s="15">
        <v>7.1561000253050011E-2</v>
      </c>
      <c r="G191" s="16">
        <v>12.757499999999999</v>
      </c>
      <c r="H191" s="29" t="s">
        <v>602</v>
      </c>
      <c r="I191" s="30"/>
      <c r="J191" s="38">
        <f t="shared" si="12"/>
        <v>0</v>
      </c>
      <c r="M191" s="10" t="str">
        <f t="shared" si="13"/>
        <v>-</v>
      </c>
      <c r="N191" s="10" t="str">
        <f t="shared" si="16"/>
        <v>-</v>
      </c>
      <c r="O191" s="11" t="str">
        <f t="shared" si="14"/>
        <v>-</v>
      </c>
      <c r="P191" s="12" t="str">
        <f t="shared" si="17"/>
        <v>-</v>
      </c>
      <c r="R191" s="12" t="str">
        <f t="shared" si="15"/>
        <v>-</v>
      </c>
    </row>
    <row r="192" spans="1:18" ht="14.4">
      <c r="A192" s="26" t="s">
        <v>580</v>
      </c>
      <c r="B192" s="27">
        <v>15353</v>
      </c>
      <c r="C192" s="13">
        <v>33674153536</v>
      </c>
      <c r="D192" s="28" t="s">
        <v>129</v>
      </c>
      <c r="E192" s="14">
        <v>12</v>
      </c>
      <c r="F192" s="15">
        <v>0.10965822340935</v>
      </c>
      <c r="G192" s="16">
        <v>14.028750000000002</v>
      </c>
      <c r="H192" s="29" t="s">
        <v>602</v>
      </c>
      <c r="I192" s="30"/>
      <c r="J192" s="38">
        <f t="shared" si="12"/>
        <v>0</v>
      </c>
      <c r="M192" s="10" t="str">
        <f t="shared" si="13"/>
        <v>-</v>
      </c>
      <c r="N192" s="10" t="str">
        <f t="shared" si="16"/>
        <v>-</v>
      </c>
      <c r="O192" s="11" t="str">
        <f t="shared" si="14"/>
        <v>-</v>
      </c>
      <c r="P192" s="12" t="str">
        <f t="shared" si="17"/>
        <v>-</v>
      </c>
      <c r="R192" s="12" t="str">
        <f t="shared" si="15"/>
        <v>-</v>
      </c>
    </row>
    <row r="193" spans="1:18" ht="14.4">
      <c r="A193" s="26" t="s">
        <v>578</v>
      </c>
      <c r="B193" s="27">
        <v>12440</v>
      </c>
      <c r="C193" s="13">
        <v>33674124406</v>
      </c>
      <c r="D193" s="28" t="s">
        <v>132</v>
      </c>
      <c r="E193" s="14">
        <v>12</v>
      </c>
      <c r="F193" s="15">
        <v>0.13385510838700002</v>
      </c>
      <c r="G193" s="16">
        <v>9.1349999999999998</v>
      </c>
      <c r="H193" s="29" t="s">
        <v>602</v>
      </c>
      <c r="I193" s="30"/>
      <c r="J193" s="38">
        <f t="shared" si="12"/>
        <v>0</v>
      </c>
      <c r="M193" s="10" t="str">
        <f t="shared" si="13"/>
        <v>-</v>
      </c>
      <c r="N193" s="10" t="str">
        <f t="shared" si="16"/>
        <v>-</v>
      </c>
      <c r="O193" s="11" t="str">
        <f t="shared" si="14"/>
        <v>-</v>
      </c>
      <c r="P193" s="12" t="str">
        <f t="shared" si="17"/>
        <v>-</v>
      </c>
      <c r="R193" s="12" t="str">
        <f t="shared" si="15"/>
        <v>-</v>
      </c>
    </row>
    <row r="194" spans="1:18" ht="14.4">
      <c r="A194" s="26" t="s">
        <v>571</v>
      </c>
      <c r="B194" s="27">
        <v>15380</v>
      </c>
      <c r="C194" s="13">
        <v>33674153802</v>
      </c>
      <c r="D194" s="28" t="s">
        <v>135</v>
      </c>
      <c r="E194" s="14">
        <v>12</v>
      </c>
      <c r="F194" s="15">
        <v>0.11583615148875002</v>
      </c>
      <c r="G194" s="16">
        <v>7.6499999999999995</v>
      </c>
      <c r="H194" s="29" t="s">
        <v>602</v>
      </c>
      <c r="I194" s="30"/>
      <c r="J194" s="38">
        <f t="shared" si="12"/>
        <v>0</v>
      </c>
      <c r="M194" s="10" t="str">
        <f t="shared" si="13"/>
        <v>-</v>
      </c>
      <c r="N194" s="10" t="str">
        <f t="shared" si="16"/>
        <v>-</v>
      </c>
      <c r="O194" s="11" t="str">
        <f t="shared" si="14"/>
        <v>-</v>
      </c>
      <c r="P194" s="12" t="str">
        <f t="shared" si="17"/>
        <v>-</v>
      </c>
      <c r="R194" s="12" t="str">
        <f t="shared" si="15"/>
        <v>-</v>
      </c>
    </row>
    <row r="195" spans="1:18" ht="14.4">
      <c r="A195" s="26" t="s">
        <v>567</v>
      </c>
      <c r="B195" s="27">
        <v>41101</v>
      </c>
      <c r="C195" s="13">
        <v>33674411018</v>
      </c>
      <c r="D195" s="28" t="s">
        <v>139</v>
      </c>
      <c r="E195" s="14">
        <v>12</v>
      </c>
      <c r="F195" s="15">
        <v>9.1124439171149998E-2</v>
      </c>
      <c r="G195" s="16">
        <v>5.1074999999999999</v>
      </c>
      <c r="H195" s="29" t="s">
        <v>602</v>
      </c>
      <c r="I195" s="30"/>
      <c r="J195" s="38">
        <f t="shared" ref="J195:J257" si="18">I195*G195</f>
        <v>0</v>
      </c>
      <c r="M195" s="10" t="str">
        <f t="shared" ref="M195:M257" si="19">IFERROR(IF($M$2*F195=0, "-", $M$2*F195), "-")</f>
        <v>-</v>
      </c>
      <c r="N195" s="10" t="str">
        <f t="shared" si="16"/>
        <v>-</v>
      </c>
      <c r="O195" s="11" t="str">
        <f t="shared" ref="O195:O257" si="20">IF(I195&gt;0,I195*F195, "-")</f>
        <v>-</v>
      </c>
      <c r="P195" s="12" t="str">
        <f t="shared" si="17"/>
        <v>-</v>
      </c>
      <c r="R195" s="12" t="str">
        <f t="shared" ref="R195:R257" si="21">IFERROR(IF(P195+J195=0, "-", IF(P195&gt;0, P195+J195, "-")), "-")</f>
        <v>-</v>
      </c>
    </row>
    <row r="196" spans="1:18" ht="14.4">
      <c r="A196" s="26" t="s">
        <v>586</v>
      </c>
      <c r="B196" s="27">
        <v>64400</v>
      </c>
      <c r="C196" s="13">
        <v>33674644003</v>
      </c>
      <c r="D196" s="28" t="s">
        <v>140</v>
      </c>
      <c r="E196" s="14">
        <v>12</v>
      </c>
      <c r="F196" s="15">
        <v>8.9065129811350008E-2</v>
      </c>
      <c r="G196" s="16">
        <v>10.203749999999999</v>
      </c>
      <c r="H196" s="29" t="s">
        <v>602</v>
      </c>
      <c r="I196" s="30"/>
      <c r="J196" s="38">
        <f t="shared" si="18"/>
        <v>0</v>
      </c>
      <c r="M196" s="10" t="str">
        <f t="shared" si="19"/>
        <v>-</v>
      </c>
      <c r="N196" s="10" t="str">
        <f t="shared" ref="N196:N258" si="22">IFERROR(IF(M196&gt;0,G196+M196,"-"),"-")</f>
        <v>-</v>
      </c>
      <c r="O196" s="11" t="str">
        <f t="shared" si="20"/>
        <v>-</v>
      </c>
      <c r="P196" s="12" t="str">
        <f t="shared" ref="P196:P258" si="23">IFERROR(IF($M$2&gt;0, $M$2*O196, "-"), "-")</f>
        <v>-</v>
      </c>
      <c r="R196" s="12" t="str">
        <f t="shared" si="21"/>
        <v>-</v>
      </c>
    </row>
    <row r="197" spans="1:18" ht="14.4">
      <c r="A197" s="26" t="s">
        <v>572</v>
      </c>
      <c r="B197" s="27">
        <v>8771</v>
      </c>
      <c r="C197" s="13">
        <v>763948087716</v>
      </c>
      <c r="D197" s="28" t="s">
        <v>143</v>
      </c>
      <c r="E197" s="14">
        <v>12</v>
      </c>
      <c r="F197" s="15">
        <v>0.22034610149860004</v>
      </c>
      <c r="G197" s="16">
        <v>10.192499999999999</v>
      </c>
      <c r="H197" s="29" t="s">
        <v>602</v>
      </c>
      <c r="I197" s="30"/>
      <c r="J197" s="38">
        <f t="shared" si="18"/>
        <v>0</v>
      </c>
      <c r="M197" s="10" t="str">
        <f t="shared" si="19"/>
        <v>-</v>
      </c>
      <c r="N197" s="10" t="str">
        <f t="shared" si="22"/>
        <v>-</v>
      </c>
      <c r="O197" s="11" t="str">
        <f t="shared" si="20"/>
        <v>-</v>
      </c>
      <c r="P197" s="12" t="str">
        <f t="shared" si="23"/>
        <v>-</v>
      </c>
      <c r="R197" s="12" t="str">
        <f t="shared" si="21"/>
        <v>-</v>
      </c>
    </row>
    <row r="198" spans="1:18" ht="14.4">
      <c r="A198" s="26" t="s">
        <v>587</v>
      </c>
      <c r="B198" s="27">
        <v>11250</v>
      </c>
      <c r="C198" s="13">
        <v>33674112502</v>
      </c>
      <c r="D198" s="28" t="s">
        <v>146</v>
      </c>
      <c r="E198" s="14">
        <v>12</v>
      </c>
      <c r="F198" s="15">
        <v>0.11171753276915002</v>
      </c>
      <c r="G198" s="16">
        <v>6.3787499999999993</v>
      </c>
      <c r="H198" s="29" t="s">
        <v>602</v>
      </c>
      <c r="I198" s="30"/>
      <c r="J198" s="38">
        <f t="shared" si="18"/>
        <v>0</v>
      </c>
      <c r="M198" s="10" t="str">
        <f t="shared" si="19"/>
        <v>-</v>
      </c>
      <c r="N198" s="10" t="str">
        <f t="shared" si="22"/>
        <v>-</v>
      </c>
      <c r="O198" s="11" t="str">
        <f t="shared" si="20"/>
        <v>-</v>
      </c>
      <c r="P198" s="12" t="str">
        <f t="shared" si="23"/>
        <v>-</v>
      </c>
      <c r="R198" s="12" t="str">
        <f t="shared" si="21"/>
        <v>-</v>
      </c>
    </row>
    <row r="199" spans="1:18" ht="14.4">
      <c r="A199" s="26" t="s">
        <v>570</v>
      </c>
      <c r="B199" s="27">
        <v>11300</v>
      </c>
      <c r="C199" s="13">
        <v>33674113004</v>
      </c>
      <c r="D199" s="28" t="s">
        <v>161</v>
      </c>
      <c r="E199" s="14">
        <v>12</v>
      </c>
      <c r="F199" s="15">
        <v>8.4946511091749999E-2</v>
      </c>
      <c r="G199" s="16">
        <v>6.6825000000000001</v>
      </c>
      <c r="H199" s="29" t="s">
        <v>602</v>
      </c>
      <c r="I199" s="30"/>
      <c r="J199" s="38">
        <f t="shared" si="18"/>
        <v>0</v>
      </c>
      <c r="M199" s="10" t="str">
        <f t="shared" si="19"/>
        <v>-</v>
      </c>
      <c r="N199" s="10" t="str">
        <f t="shared" si="22"/>
        <v>-</v>
      </c>
      <c r="O199" s="11" t="str">
        <f t="shared" si="20"/>
        <v>-</v>
      </c>
      <c r="P199" s="12" t="str">
        <f t="shared" si="23"/>
        <v>-</v>
      </c>
      <c r="R199" s="12" t="str">
        <f t="shared" si="21"/>
        <v>-</v>
      </c>
    </row>
    <row r="200" spans="1:18" ht="14.4">
      <c r="A200" s="26" t="s">
        <v>578</v>
      </c>
      <c r="B200" s="27">
        <v>11450</v>
      </c>
      <c r="C200" s="13">
        <v>33674114506</v>
      </c>
      <c r="D200" s="28" t="s">
        <v>163</v>
      </c>
      <c r="E200" s="14">
        <v>12</v>
      </c>
      <c r="F200" s="15">
        <v>0.12510304360784999</v>
      </c>
      <c r="G200" s="16">
        <v>7.83</v>
      </c>
      <c r="H200" s="29" t="s">
        <v>602</v>
      </c>
      <c r="I200" s="30"/>
      <c r="J200" s="38">
        <f t="shared" si="18"/>
        <v>0</v>
      </c>
      <c r="M200" s="10" t="str">
        <f t="shared" si="19"/>
        <v>-</v>
      </c>
      <c r="N200" s="10" t="str">
        <f t="shared" si="22"/>
        <v>-</v>
      </c>
      <c r="O200" s="11" t="str">
        <f t="shared" si="20"/>
        <v>-</v>
      </c>
      <c r="P200" s="12" t="str">
        <f t="shared" si="23"/>
        <v>-</v>
      </c>
      <c r="R200" s="12" t="str">
        <f t="shared" si="21"/>
        <v>-</v>
      </c>
    </row>
    <row r="201" spans="1:18" ht="14.4">
      <c r="A201" s="26" t="s">
        <v>587</v>
      </c>
      <c r="B201" s="27">
        <v>11500</v>
      </c>
      <c r="C201" s="13">
        <v>33674115008</v>
      </c>
      <c r="D201" s="28" t="s">
        <v>165</v>
      </c>
      <c r="E201" s="14">
        <v>12</v>
      </c>
      <c r="F201" s="15">
        <v>0.10142098597014999</v>
      </c>
      <c r="G201" s="16">
        <v>6.3787499999999993</v>
      </c>
      <c r="H201" s="29" t="s">
        <v>602</v>
      </c>
      <c r="I201" s="30"/>
      <c r="J201" s="38">
        <f t="shared" si="18"/>
        <v>0</v>
      </c>
      <c r="M201" s="10" t="str">
        <f t="shared" si="19"/>
        <v>-</v>
      </c>
      <c r="N201" s="10" t="str">
        <f t="shared" si="22"/>
        <v>-</v>
      </c>
      <c r="O201" s="11" t="str">
        <f t="shared" si="20"/>
        <v>-</v>
      </c>
      <c r="P201" s="12" t="str">
        <f t="shared" si="23"/>
        <v>-</v>
      </c>
      <c r="R201" s="12" t="str">
        <f t="shared" si="21"/>
        <v>-</v>
      </c>
    </row>
    <row r="202" spans="1:18" ht="14.4">
      <c r="A202" s="26" t="s">
        <v>587</v>
      </c>
      <c r="B202" s="27">
        <v>11508</v>
      </c>
      <c r="C202" s="13">
        <v>33674115084</v>
      </c>
      <c r="D202" s="28" t="s">
        <v>166</v>
      </c>
      <c r="E202" s="14">
        <v>12</v>
      </c>
      <c r="F202" s="15">
        <v>0.17401164090310003</v>
      </c>
      <c r="G202" s="16">
        <v>8.932500000000001</v>
      </c>
      <c r="H202" s="29" t="s">
        <v>602</v>
      </c>
      <c r="I202" s="30"/>
      <c r="J202" s="38">
        <f t="shared" si="18"/>
        <v>0</v>
      </c>
      <c r="M202" s="10" t="str">
        <f t="shared" si="19"/>
        <v>-</v>
      </c>
      <c r="N202" s="10" t="str">
        <f t="shared" si="22"/>
        <v>-</v>
      </c>
      <c r="O202" s="11" t="str">
        <f t="shared" si="20"/>
        <v>-</v>
      </c>
      <c r="P202" s="12" t="str">
        <f t="shared" si="23"/>
        <v>-</v>
      </c>
      <c r="R202" s="12" t="str">
        <f t="shared" si="21"/>
        <v>-</v>
      </c>
    </row>
    <row r="203" spans="1:18" ht="14.4">
      <c r="A203" s="26" t="s">
        <v>565</v>
      </c>
      <c r="B203" s="27">
        <v>11600</v>
      </c>
      <c r="C203" s="13">
        <v>33674116005</v>
      </c>
      <c r="D203" s="28" t="s">
        <v>171</v>
      </c>
      <c r="E203" s="14">
        <v>12</v>
      </c>
      <c r="F203" s="15">
        <v>9.0609611831200018E-2</v>
      </c>
      <c r="G203" s="16">
        <v>8.0212500000000002</v>
      </c>
      <c r="H203" s="29" t="s">
        <v>602</v>
      </c>
      <c r="I203" s="30"/>
      <c r="J203" s="38">
        <f t="shared" si="18"/>
        <v>0</v>
      </c>
      <c r="M203" s="10" t="str">
        <f t="shared" si="19"/>
        <v>-</v>
      </c>
      <c r="N203" s="10" t="str">
        <f t="shared" si="22"/>
        <v>-</v>
      </c>
      <c r="O203" s="11" t="str">
        <f t="shared" si="20"/>
        <v>-</v>
      </c>
      <c r="P203" s="12" t="str">
        <f t="shared" si="23"/>
        <v>-</v>
      </c>
      <c r="R203" s="12" t="str">
        <f t="shared" si="21"/>
        <v>-</v>
      </c>
    </row>
    <row r="204" spans="1:18" ht="14.4">
      <c r="A204" s="26" t="s">
        <v>576</v>
      </c>
      <c r="B204" s="27">
        <v>15659</v>
      </c>
      <c r="C204" s="13">
        <v>33674156599</v>
      </c>
      <c r="D204" s="28" t="s">
        <v>188</v>
      </c>
      <c r="E204" s="14">
        <v>6</v>
      </c>
      <c r="F204" s="15">
        <v>1.17741012646565</v>
      </c>
      <c r="G204" s="16">
        <v>18.427500000000002</v>
      </c>
      <c r="H204" s="29" t="s">
        <v>602</v>
      </c>
      <c r="I204" s="30"/>
      <c r="J204" s="38">
        <f t="shared" si="18"/>
        <v>0</v>
      </c>
      <c r="M204" s="10" t="str">
        <f t="shared" si="19"/>
        <v>-</v>
      </c>
      <c r="N204" s="10" t="str">
        <f t="shared" si="22"/>
        <v>-</v>
      </c>
      <c r="O204" s="11" t="str">
        <f t="shared" si="20"/>
        <v>-</v>
      </c>
      <c r="P204" s="12" t="str">
        <f t="shared" si="23"/>
        <v>-</v>
      </c>
      <c r="R204" s="12" t="str">
        <f t="shared" si="21"/>
        <v>-</v>
      </c>
    </row>
    <row r="205" spans="1:18" ht="14.4">
      <c r="A205" s="26" t="s">
        <v>569</v>
      </c>
      <c r="B205" s="27">
        <v>15020</v>
      </c>
      <c r="C205" s="13">
        <v>33674150207</v>
      </c>
      <c r="D205" s="28" t="s">
        <v>217</v>
      </c>
      <c r="E205" s="14">
        <v>12</v>
      </c>
      <c r="F205" s="15">
        <v>0.10039133129025</v>
      </c>
      <c r="G205" s="16">
        <v>7.6499999999999995</v>
      </c>
      <c r="H205" s="29" t="s">
        <v>602</v>
      </c>
      <c r="I205" s="30"/>
      <c r="J205" s="38">
        <f t="shared" si="18"/>
        <v>0</v>
      </c>
      <c r="M205" s="10" t="str">
        <f t="shared" si="19"/>
        <v>-</v>
      </c>
      <c r="N205" s="10" t="str">
        <f t="shared" si="22"/>
        <v>-</v>
      </c>
      <c r="O205" s="11" t="str">
        <f t="shared" si="20"/>
        <v>-</v>
      </c>
      <c r="P205" s="12" t="str">
        <f t="shared" si="23"/>
        <v>-</v>
      </c>
      <c r="R205" s="12" t="str">
        <f t="shared" si="21"/>
        <v>-</v>
      </c>
    </row>
    <row r="206" spans="1:18" ht="14.4">
      <c r="A206" s="26" t="s">
        <v>569</v>
      </c>
      <c r="B206" s="27">
        <v>15289</v>
      </c>
      <c r="C206" s="13">
        <v>33674152898</v>
      </c>
      <c r="D206" s="28" t="s">
        <v>221</v>
      </c>
      <c r="E206" s="14">
        <v>12</v>
      </c>
      <c r="F206" s="15">
        <v>6.7442381533450002E-2</v>
      </c>
      <c r="G206" s="16">
        <v>9.5737500000000004</v>
      </c>
      <c r="H206" s="29" t="s">
        <v>602</v>
      </c>
      <c r="I206" s="30"/>
      <c r="J206" s="38">
        <f t="shared" si="18"/>
        <v>0</v>
      </c>
      <c r="M206" s="10" t="str">
        <f t="shared" si="19"/>
        <v>-</v>
      </c>
      <c r="N206" s="10" t="str">
        <f t="shared" si="22"/>
        <v>-</v>
      </c>
      <c r="O206" s="11" t="str">
        <f t="shared" si="20"/>
        <v>-</v>
      </c>
      <c r="P206" s="12" t="str">
        <f t="shared" si="23"/>
        <v>-</v>
      </c>
      <c r="R206" s="12" t="str">
        <f t="shared" si="21"/>
        <v>-</v>
      </c>
    </row>
    <row r="207" spans="1:18" ht="14.4">
      <c r="A207" s="26" t="s">
        <v>569</v>
      </c>
      <c r="B207" s="27">
        <v>15336</v>
      </c>
      <c r="C207" s="13">
        <v>33674153369</v>
      </c>
      <c r="D207" s="28" t="s">
        <v>228</v>
      </c>
      <c r="E207" s="14">
        <v>12</v>
      </c>
      <c r="F207" s="15">
        <v>0.20541610864005</v>
      </c>
      <c r="G207" s="16">
        <v>11.486250000000002</v>
      </c>
      <c r="H207" s="29" t="s">
        <v>602</v>
      </c>
      <c r="I207" s="30"/>
      <c r="J207" s="38">
        <f t="shared" si="18"/>
        <v>0</v>
      </c>
      <c r="M207" s="10" t="str">
        <f t="shared" si="19"/>
        <v>-</v>
      </c>
      <c r="N207" s="10" t="str">
        <f t="shared" si="22"/>
        <v>-</v>
      </c>
      <c r="O207" s="11" t="str">
        <f t="shared" si="20"/>
        <v>-</v>
      </c>
      <c r="P207" s="12" t="str">
        <f t="shared" si="23"/>
        <v>-</v>
      </c>
      <c r="R207" s="12" t="str">
        <f t="shared" si="21"/>
        <v>-</v>
      </c>
    </row>
    <row r="208" spans="1:18" ht="14.4">
      <c r="A208" s="26" t="s">
        <v>568</v>
      </c>
      <c r="B208" s="27">
        <v>9001</v>
      </c>
      <c r="C208" s="13">
        <v>763948090013</v>
      </c>
      <c r="D208" s="28" t="s">
        <v>230</v>
      </c>
      <c r="E208" s="14">
        <v>12</v>
      </c>
      <c r="F208" s="15">
        <v>0.16680405814380003</v>
      </c>
      <c r="G208" s="16">
        <v>10.6875</v>
      </c>
      <c r="H208" s="29" t="s">
        <v>602</v>
      </c>
      <c r="I208" s="30"/>
      <c r="J208" s="38">
        <f t="shared" si="18"/>
        <v>0</v>
      </c>
      <c r="M208" s="10" t="str">
        <f t="shared" si="19"/>
        <v>-</v>
      </c>
      <c r="N208" s="10" t="str">
        <f t="shared" si="22"/>
        <v>-</v>
      </c>
      <c r="O208" s="11" t="str">
        <f t="shared" si="20"/>
        <v>-</v>
      </c>
      <c r="P208" s="12" t="str">
        <f t="shared" si="23"/>
        <v>-</v>
      </c>
      <c r="R208" s="12" t="str">
        <f t="shared" si="21"/>
        <v>-</v>
      </c>
    </row>
    <row r="209" spans="1:18" ht="14.4">
      <c r="A209" s="26" t="s">
        <v>568</v>
      </c>
      <c r="B209" s="27">
        <v>9021</v>
      </c>
      <c r="C209" s="13">
        <v>763948090211</v>
      </c>
      <c r="D209" s="28" t="s">
        <v>231</v>
      </c>
      <c r="E209" s="14">
        <v>12</v>
      </c>
      <c r="F209" s="15">
        <v>0.14054786380635001</v>
      </c>
      <c r="G209" s="16">
        <v>10.6875</v>
      </c>
      <c r="H209" s="29" t="s">
        <v>602</v>
      </c>
      <c r="I209" s="30"/>
      <c r="J209" s="38">
        <f t="shared" si="18"/>
        <v>0</v>
      </c>
      <c r="M209" s="10" t="str">
        <f t="shared" si="19"/>
        <v>-</v>
      </c>
      <c r="N209" s="10" t="str">
        <f t="shared" si="22"/>
        <v>-</v>
      </c>
      <c r="O209" s="11" t="str">
        <f t="shared" si="20"/>
        <v>-</v>
      </c>
      <c r="P209" s="12" t="str">
        <f t="shared" si="23"/>
        <v>-</v>
      </c>
      <c r="R209" s="12" t="str">
        <f t="shared" si="21"/>
        <v>-</v>
      </c>
    </row>
    <row r="210" spans="1:18" ht="14.4">
      <c r="A210" s="26" t="s">
        <v>568</v>
      </c>
      <c r="B210" s="27">
        <v>12915</v>
      </c>
      <c r="C210" s="13">
        <v>33674129159</v>
      </c>
      <c r="D210" s="28" t="s">
        <v>233</v>
      </c>
      <c r="E210" s="14">
        <v>12</v>
      </c>
      <c r="F210" s="15">
        <v>0.1019358133101</v>
      </c>
      <c r="G210" s="16">
        <v>13.004999999999999</v>
      </c>
      <c r="H210" s="29" t="s">
        <v>602</v>
      </c>
      <c r="I210" s="30"/>
      <c r="J210" s="38">
        <f t="shared" si="18"/>
        <v>0</v>
      </c>
      <c r="M210" s="10" t="str">
        <f t="shared" si="19"/>
        <v>-</v>
      </c>
      <c r="N210" s="10" t="str">
        <f t="shared" si="22"/>
        <v>-</v>
      </c>
      <c r="O210" s="11" t="str">
        <f t="shared" si="20"/>
        <v>-</v>
      </c>
      <c r="P210" s="12" t="str">
        <f t="shared" si="23"/>
        <v>-</v>
      </c>
      <c r="R210" s="12" t="str">
        <f t="shared" si="21"/>
        <v>-</v>
      </c>
    </row>
    <row r="211" spans="1:18" ht="14.4">
      <c r="A211" s="26" t="s">
        <v>580</v>
      </c>
      <c r="B211" s="27">
        <v>12380</v>
      </c>
      <c r="C211" s="13">
        <v>33674123805</v>
      </c>
      <c r="D211" s="28" t="s">
        <v>236</v>
      </c>
      <c r="E211" s="14">
        <v>12</v>
      </c>
      <c r="F211" s="15">
        <v>0.11377684212895001</v>
      </c>
      <c r="G211" s="16">
        <v>10.203749999999999</v>
      </c>
      <c r="H211" s="29" t="s">
        <v>602</v>
      </c>
      <c r="I211" s="30"/>
      <c r="J211" s="38">
        <f t="shared" si="18"/>
        <v>0</v>
      </c>
      <c r="M211" s="10" t="str">
        <f t="shared" si="19"/>
        <v>-</v>
      </c>
      <c r="N211" s="10" t="str">
        <f t="shared" si="22"/>
        <v>-</v>
      </c>
      <c r="O211" s="11" t="str">
        <f t="shared" si="20"/>
        <v>-</v>
      </c>
      <c r="P211" s="12" t="str">
        <f t="shared" si="23"/>
        <v>-</v>
      </c>
      <c r="R211" s="12" t="str">
        <f t="shared" si="21"/>
        <v>-</v>
      </c>
    </row>
    <row r="212" spans="1:18" ht="14.4">
      <c r="A212" s="26" t="s">
        <v>578</v>
      </c>
      <c r="B212" s="27">
        <v>14663</v>
      </c>
      <c r="C212" s="13">
        <v>33674146637</v>
      </c>
      <c r="D212" s="28" t="s">
        <v>238</v>
      </c>
      <c r="E212" s="14">
        <v>12</v>
      </c>
      <c r="F212" s="15">
        <v>0.11068787808925001</v>
      </c>
      <c r="G212" s="16">
        <v>7.83</v>
      </c>
      <c r="H212" s="29" t="s">
        <v>602</v>
      </c>
      <c r="I212" s="30"/>
      <c r="J212" s="38">
        <f t="shared" si="18"/>
        <v>0</v>
      </c>
      <c r="M212" s="10" t="str">
        <f t="shared" si="19"/>
        <v>-</v>
      </c>
      <c r="N212" s="10" t="str">
        <f t="shared" si="22"/>
        <v>-</v>
      </c>
      <c r="O212" s="11" t="str">
        <f t="shared" si="20"/>
        <v>-</v>
      </c>
      <c r="P212" s="12" t="str">
        <f t="shared" si="23"/>
        <v>-</v>
      </c>
      <c r="R212" s="12" t="str">
        <f t="shared" si="21"/>
        <v>-</v>
      </c>
    </row>
    <row r="213" spans="1:18" ht="14.4">
      <c r="A213" s="26" t="s">
        <v>578</v>
      </c>
      <c r="B213" s="27">
        <v>12108</v>
      </c>
      <c r="C213" s="13">
        <v>33674121085</v>
      </c>
      <c r="D213" s="28" t="s">
        <v>242</v>
      </c>
      <c r="E213" s="14">
        <v>12</v>
      </c>
      <c r="F213" s="15">
        <v>0.17658577760284999</v>
      </c>
      <c r="G213" s="16">
        <v>19.574999999999999</v>
      </c>
      <c r="H213" s="29" t="s">
        <v>602</v>
      </c>
      <c r="I213" s="30"/>
      <c r="J213" s="38">
        <f t="shared" si="18"/>
        <v>0</v>
      </c>
      <c r="M213" s="10" t="str">
        <f t="shared" si="19"/>
        <v>-</v>
      </c>
      <c r="N213" s="10" t="str">
        <f t="shared" si="22"/>
        <v>-</v>
      </c>
      <c r="O213" s="11" t="str">
        <f t="shared" si="20"/>
        <v>-</v>
      </c>
      <c r="P213" s="12" t="str">
        <f t="shared" si="23"/>
        <v>-</v>
      </c>
      <c r="R213" s="12" t="str">
        <f t="shared" si="21"/>
        <v>-</v>
      </c>
    </row>
    <row r="214" spans="1:18" ht="24">
      <c r="A214" s="26" t="s">
        <v>580</v>
      </c>
      <c r="B214" s="27">
        <v>15418</v>
      </c>
      <c r="C214" s="13">
        <v>33674154182</v>
      </c>
      <c r="D214" s="28" t="s">
        <v>247</v>
      </c>
      <c r="E214" s="14">
        <v>12</v>
      </c>
      <c r="F214" s="15">
        <v>0.18688232440185001</v>
      </c>
      <c r="G214" s="16">
        <v>10.845000000000001</v>
      </c>
      <c r="H214" s="29" t="s">
        <v>602</v>
      </c>
      <c r="I214" s="30"/>
      <c r="J214" s="38">
        <f t="shared" si="18"/>
        <v>0</v>
      </c>
      <c r="M214" s="10" t="str">
        <f t="shared" si="19"/>
        <v>-</v>
      </c>
      <c r="N214" s="10" t="str">
        <f t="shared" si="22"/>
        <v>-</v>
      </c>
      <c r="O214" s="11" t="str">
        <f t="shared" si="20"/>
        <v>-</v>
      </c>
      <c r="P214" s="12" t="str">
        <f t="shared" si="23"/>
        <v>-</v>
      </c>
      <c r="R214" s="12" t="str">
        <f t="shared" si="21"/>
        <v>-</v>
      </c>
    </row>
    <row r="215" spans="1:18" ht="14.4">
      <c r="A215" s="26" t="s">
        <v>568</v>
      </c>
      <c r="B215" s="27">
        <v>12700</v>
      </c>
      <c r="C215" s="13">
        <v>33674127001</v>
      </c>
      <c r="D215" s="28" t="s">
        <v>253</v>
      </c>
      <c r="E215" s="14">
        <v>12</v>
      </c>
      <c r="F215" s="15">
        <v>0.10605443202970001</v>
      </c>
      <c r="G215" s="16">
        <v>6.6825000000000001</v>
      </c>
      <c r="H215" s="29" t="s">
        <v>602</v>
      </c>
      <c r="I215" s="30"/>
      <c r="J215" s="38">
        <f t="shared" si="18"/>
        <v>0</v>
      </c>
      <c r="M215" s="10" t="str">
        <f t="shared" si="19"/>
        <v>-</v>
      </c>
      <c r="N215" s="10" t="str">
        <f t="shared" si="22"/>
        <v>-</v>
      </c>
      <c r="O215" s="11" t="str">
        <f t="shared" si="20"/>
        <v>-</v>
      </c>
      <c r="P215" s="12" t="str">
        <f t="shared" si="23"/>
        <v>-</v>
      </c>
      <c r="R215" s="12" t="str">
        <f t="shared" si="21"/>
        <v>-</v>
      </c>
    </row>
    <row r="216" spans="1:18" ht="14.4">
      <c r="A216" s="26" t="s">
        <v>574</v>
      </c>
      <c r="B216" s="27">
        <v>11924</v>
      </c>
      <c r="C216" s="13">
        <v>33674119242</v>
      </c>
      <c r="D216" s="28" t="s">
        <v>256</v>
      </c>
      <c r="E216" s="14">
        <v>12</v>
      </c>
      <c r="F216" s="15">
        <v>0.31970777810895007</v>
      </c>
      <c r="G216" s="16">
        <v>15.60375</v>
      </c>
      <c r="H216" s="29" t="s">
        <v>602</v>
      </c>
      <c r="I216" s="30"/>
      <c r="J216" s="38">
        <f t="shared" si="18"/>
        <v>0</v>
      </c>
      <c r="M216" s="10" t="str">
        <f t="shared" si="19"/>
        <v>-</v>
      </c>
      <c r="N216" s="10" t="str">
        <f t="shared" si="22"/>
        <v>-</v>
      </c>
      <c r="O216" s="11" t="str">
        <f t="shared" si="20"/>
        <v>-</v>
      </c>
      <c r="P216" s="12" t="str">
        <f t="shared" si="23"/>
        <v>-</v>
      </c>
      <c r="R216" s="12" t="str">
        <f t="shared" si="21"/>
        <v>-</v>
      </c>
    </row>
    <row r="217" spans="1:18" ht="14.4">
      <c r="A217" s="26" t="s">
        <v>568</v>
      </c>
      <c r="B217" s="27">
        <v>350</v>
      </c>
      <c r="C217" s="13">
        <v>33674003503</v>
      </c>
      <c r="D217" s="28" t="s">
        <v>257</v>
      </c>
      <c r="E217" s="14">
        <v>12</v>
      </c>
      <c r="F217" s="15">
        <v>0.10090615863019999</v>
      </c>
      <c r="G217" s="16">
        <v>8.0212500000000002</v>
      </c>
      <c r="H217" s="29" t="s">
        <v>602</v>
      </c>
      <c r="I217" s="30"/>
      <c r="J217" s="38">
        <f t="shared" si="18"/>
        <v>0</v>
      </c>
      <c r="M217" s="10" t="str">
        <f t="shared" si="19"/>
        <v>-</v>
      </c>
      <c r="N217" s="10" t="str">
        <f t="shared" si="22"/>
        <v>-</v>
      </c>
      <c r="O217" s="11" t="str">
        <f t="shared" si="20"/>
        <v>-</v>
      </c>
      <c r="P217" s="12" t="str">
        <f t="shared" si="23"/>
        <v>-</v>
      </c>
      <c r="R217" s="12" t="str">
        <f t="shared" si="21"/>
        <v>-</v>
      </c>
    </row>
    <row r="218" spans="1:18" ht="14.4">
      <c r="A218" s="26" t="s">
        <v>581</v>
      </c>
      <c r="B218" s="27">
        <v>12808</v>
      </c>
      <c r="C218" s="13">
        <v>33674128084</v>
      </c>
      <c r="D218" s="28" t="s">
        <v>258</v>
      </c>
      <c r="E218" s="14">
        <v>12</v>
      </c>
      <c r="F218" s="15">
        <v>0.16011130272445004</v>
      </c>
      <c r="G218" s="16">
        <v>11.486250000000002</v>
      </c>
      <c r="H218" s="29" t="s">
        <v>602</v>
      </c>
      <c r="I218" s="30"/>
      <c r="J218" s="38">
        <f t="shared" si="18"/>
        <v>0</v>
      </c>
      <c r="M218" s="10" t="str">
        <f t="shared" si="19"/>
        <v>-</v>
      </c>
      <c r="N218" s="10" t="str">
        <f t="shared" si="22"/>
        <v>-</v>
      </c>
      <c r="O218" s="11" t="str">
        <f t="shared" si="20"/>
        <v>-</v>
      </c>
      <c r="P218" s="12" t="str">
        <f t="shared" si="23"/>
        <v>-</v>
      </c>
      <c r="R218" s="12" t="str">
        <f t="shared" si="21"/>
        <v>-</v>
      </c>
    </row>
    <row r="219" spans="1:18" ht="14.4">
      <c r="A219" s="26" t="s">
        <v>581</v>
      </c>
      <c r="B219" s="27">
        <v>12850</v>
      </c>
      <c r="C219" s="13">
        <v>33674128503</v>
      </c>
      <c r="D219" s="28" t="s">
        <v>259</v>
      </c>
      <c r="E219" s="14">
        <v>12</v>
      </c>
      <c r="F219" s="15">
        <v>9.3183748530950017E-2</v>
      </c>
      <c r="G219" s="16">
        <v>8.932500000000001</v>
      </c>
      <c r="H219" s="29" t="s">
        <v>602</v>
      </c>
      <c r="I219" s="30"/>
      <c r="J219" s="38">
        <f t="shared" si="18"/>
        <v>0</v>
      </c>
      <c r="M219" s="10" t="str">
        <f t="shared" si="19"/>
        <v>-</v>
      </c>
      <c r="N219" s="10" t="str">
        <f t="shared" si="22"/>
        <v>-</v>
      </c>
      <c r="O219" s="11" t="str">
        <f t="shared" si="20"/>
        <v>-</v>
      </c>
      <c r="P219" s="12" t="str">
        <f t="shared" si="23"/>
        <v>-</v>
      </c>
      <c r="R219" s="12" t="str">
        <f t="shared" si="21"/>
        <v>-</v>
      </c>
    </row>
    <row r="220" spans="1:18" ht="14.4">
      <c r="A220" s="26" t="s">
        <v>568</v>
      </c>
      <c r="B220" s="27">
        <v>8452</v>
      </c>
      <c r="C220" s="13">
        <v>763948084524</v>
      </c>
      <c r="D220" s="28" t="s">
        <v>261</v>
      </c>
      <c r="E220" s="14">
        <v>12</v>
      </c>
      <c r="F220" s="15">
        <v>0.19100094312145</v>
      </c>
      <c r="G220" s="16">
        <v>8.6850000000000005</v>
      </c>
      <c r="H220" s="29" t="s">
        <v>602</v>
      </c>
      <c r="I220" s="30"/>
      <c r="J220" s="38">
        <f t="shared" si="18"/>
        <v>0</v>
      </c>
      <c r="M220" s="10" t="str">
        <f t="shared" si="19"/>
        <v>-</v>
      </c>
      <c r="N220" s="10" t="str">
        <f t="shared" si="22"/>
        <v>-</v>
      </c>
      <c r="O220" s="11" t="str">
        <f t="shared" si="20"/>
        <v>-</v>
      </c>
      <c r="P220" s="12" t="str">
        <f t="shared" si="23"/>
        <v>-</v>
      </c>
      <c r="R220" s="12" t="str">
        <f t="shared" si="21"/>
        <v>-</v>
      </c>
    </row>
    <row r="221" spans="1:18" ht="24">
      <c r="A221" s="26" t="s">
        <v>568</v>
      </c>
      <c r="B221" s="27">
        <v>10295</v>
      </c>
      <c r="C221" s="13">
        <v>33674102954</v>
      </c>
      <c r="D221" s="28" t="s">
        <v>272</v>
      </c>
      <c r="E221" s="14">
        <v>12</v>
      </c>
      <c r="F221" s="15">
        <v>0.10502477734979999</v>
      </c>
      <c r="G221" s="16">
        <v>16.188749999999999</v>
      </c>
      <c r="H221" s="29" t="s">
        <v>602</v>
      </c>
      <c r="I221" s="30"/>
      <c r="J221" s="38">
        <f t="shared" si="18"/>
        <v>0</v>
      </c>
      <c r="M221" s="10" t="str">
        <f t="shared" si="19"/>
        <v>-</v>
      </c>
      <c r="N221" s="10" t="str">
        <f t="shared" si="22"/>
        <v>-</v>
      </c>
      <c r="O221" s="11" t="str">
        <f t="shared" si="20"/>
        <v>-</v>
      </c>
      <c r="P221" s="12" t="str">
        <f t="shared" si="23"/>
        <v>-</v>
      </c>
      <c r="R221" s="12" t="str">
        <f t="shared" si="21"/>
        <v>-</v>
      </c>
    </row>
    <row r="222" spans="1:18" ht="14.4">
      <c r="A222" s="26" t="s">
        <v>573</v>
      </c>
      <c r="B222" s="27">
        <v>14793</v>
      </c>
      <c r="C222" s="13">
        <v>33674147931</v>
      </c>
      <c r="D222" s="28" t="s">
        <v>287</v>
      </c>
      <c r="E222" s="14">
        <v>12</v>
      </c>
      <c r="F222" s="15">
        <v>8.0827892372150004E-2</v>
      </c>
      <c r="G222" s="16">
        <v>10.484999999999999</v>
      </c>
      <c r="H222" s="29" t="s">
        <v>602</v>
      </c>
      <c r="I222" s="30"/>
      <c r="J222" s="38">
        <f t="shared" si="18"/>
        <v>0</v>
      </c>
      <c r="M222" s="10" t="str">
        <f t="shared" si="19"/>
        <v>-</v>
      </c>
      <c r="N222" s="10" t="str">
        <f t="shared" si="22"/>
        <v>-</v>
      </c>
      <c r="O222" s="11" t="str">
        <f t="shared" si="20"/>
        <v>-</v>
      </c>
      <c r="P222" s="12" t="str">
        <f t="shared" si="23"/>
        <v>-</v>
      </c>
      <c r="R222" s="12" t="str">
        <f t="shared" si="21"/>
        <v>-</v>
      </c>
    </row>
    <row r="223" spans="1:18" ht="14.4">
      <c r="A223" s="26" t="s">
        <v>568</v>
      </c>
      <c r="B223" s="27">
        <v>13100</v>
      </c>
      <c r="C223" s="13">
        <v>33674131008</v>
      </c>
      <c r="D223" s="28" t="s">
        <v>293</v>
      </c>
      <c r="E223" s="14">
        <v>12</v>
      </c>
      <c r="F223" s="15">
        <v>0.1328254537071</v>
      </c>
      <c r="G223" s="16">
        <v>6.6825000000000001</v>
      </c>
      <c r="H223" s="29" t="s">
        <v>602</v>
      </c>
      <c r="I223" s="30"/>
      <c r="J223" s="38">
        <f t="shared" si="18"/>
        <v>0</v>
      </c>
      <c r="M223" s="10" t="str">
        <f t="shared" si="19"/>
        <v>-</v>
      </c>
      <c r="N223" s="10" t="str">
        <f t="shared" si="22"/>
        <v>-</v>
      </c>
      <c r="O223" s="11" t="str">
        <f t="shared" si="20"/>
        <v>-</v>
      </c>
      <c r="P223" s="12" t="str">
        <f t="shared" si="23"/>
        <v>-</v>
      </c>
      <c r="R223" s="12" t="str">
        <f t="shared" si="21"/>
        <v>-</v>
      </c>
    </row>
    <row r="224" spans="1:18" ht="14.4">
      <c r="A224" s="26" t="s">
        <v>588</v>
      </c>
      <c r="B224" s="27">
        <v>15351</v>
      </c>
      <c r="C224" s="13">
        <v>33674153512</v>
      </c>
      <c r="D224" s="28" t="s">
        <v>296</v>
      </c>
      <c r="E224" s="14">
        <v>12</v>
      </c>
      <c r="F224" s="15">
        <v>0.12510304360784999</v>
      </c>
      <c r="G224" s="16">
        <v>22.96125</v>
      </c>
      <c r="H224" s="29" t="s">
        <v>602</v>
      </c>
      <c r="I224" s="30"/>
      <c r="J224" s="38">
        <f t="shared" si="18"/>
        <v>0</v>
      </c>
      <c r="M224" s="10" t="str">
        <f t="shared" si="19"/>
        <v>-</v>
      </c>
      <c r="N224" s="10" t="str">
        <f t="shared" si="22"/>
        <v>-</v>
      </c>
      <c r="O224" s="11" t="str">
        <f t="shared" si="20"/>
        <v>-</v>
      </c>
      <c r="P224" s="12" t="str">
        <f t="shared" si="23"/>
        <v>-</v>
      </c>
      <c r="R224" s="12" t="str">
        <f t="shared" si="21"/>
        <v>-</v>
      </c>
    </row>
    <row r="225" spans="1:18" ht="14.4">
      <c r="A225" s="26" t="s">
        <v>588</v>
      </c>
      <c r="B225" s="27">
        <v>61600</v>
      </c>
      <c r="C225" s="13">
        <v>33674616000</v>
      </c>
      <c r="D225" s="28" t="s">
        <v>297</v>
      </c>
      <c r="E225" s="14">
        <v>12</v>
      </c>
      <c r="F225" s="15">
        <v>7.5679618972650006E-2</v>
      </c>
      <c r="G225" s="16">
        <v>12.757499999999999</v>
      </c>
      <c r="H225" s="29" t="s">
        <v>602</v>
      </c>
      <c r="I225" s="30"/>
      <c r="J225" s="38">
        <f t="shared" si="18"/>
        <v>0</v>
      </c>
      <c r="M225" s="10" t="str">
        <f t="shared" si="19"/>
        <v>-</v>
      </c>
      <c r="N225" s="10" t="str">
        <f t="shared" si="22"/>
        <v>-</v>
      </c>
      <c r="O225" s="11" t="str">
        <f t="shared" si="20"/>
        <v>-</v>
      </c>
      <c r="P225" s="12" t="str">
        <f t="shared" si="23"/>
        <v>-</v>
      </c>
      <c r="R225" s="12" t="str">
        <f t="shared" si="21"/>
        <v>-</v>
      </c>
    </row>
    <row r="226" spans="1:18" ht="14.4">
      <c r="A226" s="26" t="s">
        <v>571</v>
      </c>
      <c r="B226" s="27">
        <v>13400</v>
      </c>
      <c r="C226" s="13">
        <v>33674134009</v>
      </c>
      <c r="D226" s="28" t="s">
        <v>302</v>
      </c>
      <c r="E226" s="14">
        <v>12</v>
      </c>
      <c r="F226" s="15">
        <v>7.8768583012350013E-2</v>
      </c>
      <c r="G226" s="16">
        <v>10.203749999999999</v>
      </c>
      <c r="H226" s="29" t="s">
        <v>602</v>
      </c>
      <c r="I226" s="30"/>
      <c r="J226" s="38">
        <f t="shared" si="18"/>
        <v>0</v>
      </c>
      <c r="M226" s="10" t="str">
        <f t="shared" si="19"/>
        <v>-</v>
      </c>
      <c r="N226" s="10" t="str">
        <f t="shared" si="22"/>
        <v>-</v>
      </c>
      <c r="O226" s="11" t="str">
        <f t="shared" si="20"/>
        <v>-</v>
      </c>
      <c r="P226" s="12" t="str">
        <f t="shared" si="23"/>
        <v>-</v>
      </c>
      <c r="R226" s="12" t="str">
        <f t="shared" si="21"/>
        <v>-</v>
      </c>
    </row>
    <row r="227" spans="1:18" ht="14.4">
      <c r="A227" s="26" t="s">
        <v>585</v>
      </c>
      <c r="B227" s="27">
        <v>41021</v>
      </c>
      <c r="C227" s="13">
        <v>33674410219</v>
      </c>
      <c r="D227" s="28" t="s">
        <v>314</v>
      </c>
      <c r="E227" s="14">
        <v>12</v>
      </c>
      <c r="F227" s="15">
        <v>9.1124439171149998E-2</v>
      </c>
      <c r="G227" s="16">
        <v>6.3787499999999993</v>
      </c>
      <c r="H227" s="29" t="s">
        <v>602</v>
      </c>
      <c r="I227" s="30"/>
      <c r="J227" s="38">
        <f t="shared" si="18"/>
        <v>0</v>
      </c>
      <c r="M227" s="10" t="str">
        <f t="shared" si="19"/>
        <v>-</v>
      </c>
      <c r="N227" s="10" t="str">
        <f t="shared" si="22"/>
        <v>-</v>
      </c>
      <c r="O227" s="11" t="str">
        <f t="shared" si="20"/>
        <v>-</v>
      </c>
      <c r="P227" s="12" t="str">
        <f t="shared" si="23"/>
        <v>-</v>
      </c>
      <c r="R227" s="12" t="str">
        <f t="shared" si="21"/>
        <v>-</v>
      </c>
    </row>
    <row r="228" spans="1:18" ht="14.4">
      <c r="A228" s="26" t="s">
        <v>585</v>
      </c>
      <c r="B228" s="27">
        <v>63700</v>
      </c>
      <c r="C228" s="13">
        <v>33674637005</v>
      </c>
      <c r="D228" s="28" t="s">
        <v>315</v>
      </c>
      <c r="E228" s="14">
        <v>12</v>
      </c>
      <c r="F228" s="15">
        <v>8.2372374392E-2</v>
      </c>
      <c r="G228" s="16">
        <v>14.028750000000002</v>
      </c>
      <c r="H228" s="29" t="s">
        <v>602</v>
      </c>
      <c r="I228" s="30"/>
      <c r="J228" s="38">
        <f t="shared" si="18"/>
        <v>0</v>
      </c>
      <c r="M228" s="10" t="str">
        <f t="shared" si="19"/>
        <v>-</v>
      </c>
      <c r="N228" s="10" t="str">
        <f t="shared" si="22"/>
        <v>-</v>
      </c>
      <c r="O228" s="11" t="str">
        <f t="shared" si="20"/>
        <v>-</v>
      </c>
      <c r="P228" s="12" t="str">
        <f t="shared" si="23"/>
        <v>-</v>
      </c>
      <c r="R228" s="12" t="str">
        <f t="shared" si="21"/>
        <v>-</v>
      </c>
    </row>
    <row r="229" spans="1:18" ht="14.4">
      <c r="A229" s="26" t="s">
        <v>587</v>
      </c>
      <c r="B229" s="27">
        <v>14100</v>
      </c>
      <c r="C229" s="13">
        <v>33674141007</v>
      </c>
      <c r="D229" s="28" t="s">
        <v>316</v>
      </c>
      <c r="E229" s="14">
        <v>12</v>
      </c>
      <c r="F229" s="15">
        <v>9.3183748530950017E-2</v>
      </c>
      <c r="G229" s="16">
        <v>6.3787499999999993</v>
      </c>
      <c r="H229" s="29" t="s">
        <v>602</v>
      </c>
      <c r="I229" s="30"/>
      <c r="J229" s="38">
        <f t="shared" si="18"/>
        <v>0</v>
      </c>
      <c r="M229" s="10" t="str">
        <f t="shared" si="19"/>
        <v>-</v>
      </c>
      <c r="N229" s="10" t="str">
        <f t="shared" si="22"/>
        <v>-</v>
      </c>
      <c r="O229" s="11" t="str">
        <f t="shared" si="20"/>
        <v>-</v>
      </c>
      <c r="P229" s="12" t="str">
        <f t="shared" si="23"/>
        <v>-</v>
      </c>
      <c r="R229" s="12" t="str">
        <f t="shared" si="21"/>
        <v>-</v>
      </c>
    </row>
    <row r="230" spans="1:18" ht="14.4">
      <c r="A230" s="26" t="s">
        <v>587</v>
      </c>
      <c r="B230" s="27">
        <v>15338</v>
      </c>
      <c r="C230" s="13">
        <v>33674153383</v>
      </c>
      <c r="D230" s="28" t="s">
        <v>317</v>
      </c>
      <c r="E230" s="14">
        <v>12</v>
      </c>
      <c r="F230" s="15">
        <v>0.16011130272445004</v>
      </c>
      <c r="G230" s="16">
        <v>11.486250000000002</v>
      </c>
      <c r="H230" s="29" t="s">
        <v>602</v>
      </c>
      <c r="I230" s="30"/>
      <c r="J230" s="38">
        <f t="shared" si="18"/>
        <v>0</v>
      </c>
      <c r="M230" s="10" t="str">
        <f t="shared" si="19"/>
        <v>-</v>
      </c>
      <c r="N230" s="10" t="str">
        <f t="shared" si="22"/>
        <v>-</v>
      </c>
      <c r="O230" s="11" t="str">
        <f t="shared" si="20"/>
        <v>-</v>
      </c>
      <c r="P230" s="12" t="str">
        <f t="shared" si="23"/>
        <v>-</v>
      </c>
      <c r="R230" s="12" t="str">
        <f t="shared" si="21"/>
        <v>-</v>
      </c>
    </row>
    <row r="231" spans="1:18" ht="14.4">
      <c r="A231" s="26" t="s">
        <v>572</v>
      </c>
      <c r="B231" s="27">
        <v>8239</v>
      </c>
      <c r="C231" s="13">
        <v>763948082391</v>
      </c>
      <c r="D231" s="28" t="s">
        <v>331</v>
      </c>
      <c r="E231" s="14">
        <v>12</v>
      </c>
      <c r="F231" s="15">
        <v>5.0967906655050001E-2</v>
      </c>
      <c r="G231" s="16">
        <v>10.439999999999998</v>
      </c>
      <c r="H231" s="29" t="s">
        <v>602</v>
      </c>
      <c r="I231" s="30"/>
      <c r="J231" s="38">
        <f t="shared" si="18"/>
        <v>0</v>
      </c>
      <c r="M231" s="10" t="str">
        <f t="shared" si="19"/>
        <v>-</v>
      </c>
      <c r="N231" s="10" t="str">
        <f t="shared" si="22"/>
        <v>-</v>
      </c>
      <c r="O231" s="11" t="str">
        <f t="shared" si="20"/>
        <v>-</v>
      </c>
      <c r="P231" s="12" t="str">
        <f t="shared" si="23"/>
        <v>-</v>
      </c>
      <c r="R231" s="12" t="str">
        <f t="shared" si="21"/>
        <v>-</v>
      </c>
    </row>
    <row r="232" spans="1:18" ht="14.4">
      <c r="A232" s="26" t="s">
        <v>587</v>
      </c>
      <c r="B232" s="27">
        <v>15335</v>
      </c>
      <c r="C232" s="13">
        <v>33674153352</v>
      </c>
      <c r="D232" s="28" t="s">
        <v>346</v>
      </c>
      <c r="E232" s="14">
        <v>12</v>
      </c>
      <c r="F232" s="15">
        <v>0.13436993572695002</v>
      </c>
      <c r="G232" s="16">
        <v>15.311249999999999</v>
      </c>
      <c r="H232" s="29" t="s">
        <v>602</v>
      </c>
      <c r="I232" s="30"/>
      <c r="J232" s="38">
        <f t="shared" si="18"/>
        <v>0</v>
      </c>
      <c r="M232" s="10" t="str">
        <f t="shared" si="19"/>
        <v>-</v>
      </c>
      <c r="N232" s="10" t="str">
        <f t="shared" si="22"/>
        <v>-</v>
      </c>
      <c r="O232" s="11" t="str">
        <f t="shared" si="20"/>
        <v>-</v>
      </c>
      <c r="P232" s="12" t="str">
        <f t="shared" si="23"/>
        <v>-</v>
      </c>
      <c r="R232" s="12" t="str">
        <f t="shared" si="21"/>
        <v>-</v>
      </c>
    </row>
    <row r="233" spans="1:18" ht="14.4">
      <c r="A233" s="26" t="s">
        <v>571</v>
      </c>
      <c r="B233" s="27" t="s">
        <v>16</v>
      </c>
      <c r="C233" s="13">
        <v>371401923169</v>
      </c>
      <c r="D233" s="28" t="s">
        <v>349</v>
      </c>
      <c r="E233" s="14">
        <v>12</v>
      </c>
      <c r="F233" s="15">
        <v>0.66103830449580003</v>
      </c>
      <c r="G233" s="16">
        <v>7.5262500000000001</v>
      </c>
      <c r="H233" s="29" t="s">
        <v>602</v>
      </c>
      <c r="I233" s="30"/>
      <c r="J233" s="38">
        <f t="shared" si="18"/>
        <v>0</v>
      </c>
      <c r="M233" s="10" t="str">
        <f t="shared" si="19"/>
        <v>-</v>
      </c>
      <c r="N233" s="10" t="str">
        <f t="shared" si="22"/>
        <v>-</v>
      </c>
      <c r="O233" s="11" t="str">
        <f t="shared" si="20"/>
        <v>-</v>
      </c>
      <c r="P233" s="12" t="str">
        <f t="shared" si="23"/>
        <v>-</v>
      </c>
      <c r="R233" s="12" t="str">
        <f t="shared" si="21"/>
        <v>-</v>
      </c>
    </row>
    <row r="234" spans="1:18" ht="14.4">
      <c r="A234" s="26" t="s">
        <v>565</v>
      </c>
      <c r="B234" s="27">
        <v>9556</v>
      </c>
      <c r="C234" s="13">
        <v>763948095568</v>
      </c>
      <c r="D234" s="28" t="s">
        <v>351</v>
      </c>
      <c r="E234" s="14">
        <v>12</v>
      </c>
      <c r="F234" s="15">
        <v>6.4353417493750009E-2</v>
      </c>
      <c r="G234" s="16">
        <v>12.701249999999998</v>
      </c>
      <c r="H234" s="29" t="s">
        <v>602</v>
      </c>
      <c r="I234" s="30"/>
      <c r="J234" s="38">
        <f t="shared" si="18"/>
        <v>0</v>
      </c>
      <c r="M234" s="10" t="str">
        <f t="shared" si="19"/>
        <v>-</v>
      </c>
      <c r="N234" s="10" t="str">
        <f t="shared" si="22"/>
        <v>-</v>
      </c>
      <c r="O234" s="11" t="str">
        <f t="shared" si="20"/>
        <v>-</v>
      </c>
      <c r="P234" s="12" t="str">
        <f t="shared" si="23"/>
        <v>-</v>
      </c>
      <c r="R234" s="12" t="str">
        <f t="shared" si="21"/>
        <v>-</v>
      </c>
    </row>
    <row r="235" spans="1:18" ht="14.4">
      <c r="A235" s="26" t="s">
        <v>590</v>
      </c>
      <c r="B235" s="27">
        <v>15310</v>
      </c>
      <c r="C235" s="13">
        <v>33674153109</v>
      </c>
      <c r="D235" s="28" t="s">
        <v>354</v>
      </c>
      <c r="E235" s="14">
        <v>12</v>
      </c>
      <c r="F235" s="15">
        <v>0.11017305074930002</v>
      </c>
      <c r="G235" s="16">
        <v>12.757499999999999</v>
      </c>
      <c r="H235" s="29" t="s">
        <v>602</v>
      </c>
      <c r="I235" s="30"/>
      <c r="J235" s="38">
        <f t="shared" si="18"/>
        <v>0</v>
      </c>
      <c r="M235" s="10" t="str">
        <f t="shared" si="19"/>
        <v>-</v>
      </c>
      <c r="N235" s="10" t="str">
        <f t="shared" si="22"/>
        <v>-</v>
      </c>
      <c r="O235" s="11" t="str">
        <f t="shared" si="20"/>
        <v>-</v>
      </c>
      <c r="P235" s="12" t="str">
        <f t="shared" si="23"/>
        <v>-</v>
      </c>
      <c r="R235" s="12" t="str">
        <f t="shared" si="21"/>
        <v>-</v>
      </c>
    </row>
    <row r="236" spans="1:18" ht="14.4">
      <c r="A236" s="26" t="s">
        <v>592</v>
      </c>
      <c r="B236" s="27">
        <v>14601</v>
      </c>
      <c r="C236" s="13">
        <v>33674146019</v>
      </c>
      <c r="D236" s="28" t="s">
        <v>357</v>
      </c>
      <c r="E236" s="14">
        <v>12</v>
      </c>
      <c r="F236" s="15">
        <v>0.43399944757785008</v>
      </c>
      <c r="G236" s="16">
        <v>11.936249999999999</v>
      </c>
      <c r="H236" s="29" t="s">
        <v>602</v>
      </c>
      <c r="I236" s="30"/>
      <c r="J236" s="38">
        <f t="shared" si="18"/>
        <v>0</v>
      </c>
      <c r="M236" s="10" t="str">
        <f t="shared" si="19"/>
        <v>-</v>
      </c>
      <c r="N236" s="10" t="str">
        <f t="shared" si="22"/>
        <v>-</v>
      </c>
      <c r="O236" s="11" t="str">
        <f t="shared" si="20"/>
        <v>-</v>
      </c>
      <c r="P236" s="12" t="str">
        <f t="shared" si="23"/>
        <v>-</v>
      </c>
      <c r="R236" s="12" t="str">
        <f t="shared" si="21"/>
        <v>-</v>
      </c>
    </row>
    <row r="237" spans="1:18" ht="14.4">
      <c r="A237" s="26" t="s">
        <v>568</v>
      </c>
      <c r="B237" s="27">
        <v>14800</v>
      </c>
      <c r="C237" s="13">
        <v>33674148006</v>
      </c>
      <c r="D237" s="28" t="s">
        <v>359</v>
      </c>
      <c r="E237" s="14">
        <v>12</v>
      </c>
      <c r="F237" s="15">
        <v>0.12252890690809999</v>
      </c>
      <c r="G237" s="16">
        <v>9.1012500000000003</v>
      </c>
      <c r="H237" s="29" t="s">
        <v>602</v>
      </c>
      <c r="I237" s="30"/>
      <c r="J237" s="38">
        <f t="shared" si="18"/>
        <v>0</v>
      </c>
      <c r="M237" s="10" t="str">
        <f t="shared" si="19"/>
        <v>-</v>
      </c>
      <c r="N237" s="10" t="str">
        <f t="shared" si="22"/>
        <v>-</v>
      </c>
      <c r="O237" s="11" t="str">
        <f t="shared" si="20"/>
        <v>-</v>
      </c>
      <c r="P237" s="12" t="str">
        <f t="shared" si="23"/>
        <v>-</v>
      </c>
      <c r="R237" s="12" t="str">
        <f t="shared" si="21"/>
        <v>-</v>
      </c>
    </row>
    <row r="238" spans="1:18" ht="14.4">
      <c r="A238" s="26" t="s">
        <v>591</v>
      </c>
      <c r="B238" s="27">
        <v>49111</v>
      </c>
      <c r="C238" s="13">
        <v>33674491119</v>
      </c>
      <c r="D238" s="28" t="s">
        <v>368</v>
      </c>
      <c r="E238" s="14">
        <v>12</v>
      </c>
      <c r="F238" s="15">
        <v>6.3323762813850007E-2</v>
      </c>
      <c r="G238" s="16">
        <v>5.34375</v>
      </c>
      <c r="H238" s="29" t="s">
        <v>602</v>
      </c>
      <c r="I238" s="30"/>
      <c r="J238" s="38">
        <f t="shared" si="18"/>
        <v>0</v>
      </c>
      <c r="M238" s="10" t="str">
        <f t="shared" si="19"/>
        <v>-</v>
      </c>
      <c r="N238" s="10" t="str">
        <f t="shared" si="22"/>
        <v>-</v>
      </c>
      <c r="O238" s="11" t="str">
        <f t="shared" si="20"/>
        <v>-</v>
      </c>
      <c r="P238" s="12" t="str">
        <f t="shared" si="23"/>
        <v>-</v>
      </c>
      <c r="R238" s="12" t="str">
        <f t="shared" si="21"/>
        <v>-</v>
      </c>
    </row>
    <row r="239" spans="1:18" ht="14.4">
      <c r="A239" s="26" t="s">
        <v>578</v>
      </c>
      <c r="B239" s="27">
        <v>15100</v>
      </c>
      <c r="C239" s="13">
        <v>33674151006</v>
      </c>
      <c r="D239" s="28" t="s">
        <v>374</v>
      </c>
      <c r="E239" s="14">
        <v>12</v>
      </c>
      <c r="F239" s="15">
        <v>0.11326201478900001</v>
      </c>
      <c r="G239" s="16">
        <v>7.83</v>
      </c>
      <c r="H239" s="29" t="s">
        <v>602</v>
      </c>
      <c r="I239" s="30"/>
      <c r="J239" s="38">
        <f t="shared" si="18"/>
        <v>0</v>
      </c>
      <c r="M239" s="10" t="str">
        <f t="shared" si="19"/>
        <v>-</v>
      </c>
      <c r="N239" s="10" t="str">
        <f t="shared" si="22"/>
        <v>-</v>
      </c>
      <c r="O239" s="11" t="str">
        <f t="shared" si="20"/>
        <v>-</v>
      </c>
      <c r="P239" s="12" t="str">
        <f t="shared" si="23"/>
        <v>-</v>
      </c>
      <c r="R239" s="12" t="str">
        <f t="shared" si="21"/>
        <v>-</v>
      </c>
    </row>
    <row r="240" spans="1:18" ht="14.4">
      <c r="A240" s="26" t="s">
        <v>593</v>
      </c>
      <c r="B240" s="27">
        <v>12197</v>
      </c>
      <c r="C240" s="13">
        <v>33674121979</v>
      </c>
      <c r="D240" s="28" t="s">
        <v>385</v>
      </c>
      <c r="E240" s="14">
        <v>12</v>
      </c>
      <c r="F240" s="15">
        <v>0.12870683498750002</v>
      </c>
      <c r="G240" s="16">
        <v>17.583750000000002</v>
      </c>
      <c r="H240" s="29" t="s">
        <v>602</v>
      </c>
      <c r="I240" s="30"/>
      <c r="J240" s="38">
        <f t="shared" si="18"/>
        <v>0</v>
      </c>
      <c r="M240" s="10" t="str">
        <f t="shared" si="19"/>
        <v>-</v>
      </c>
      <c r="N240" s="10" t="str">
        <f t="shared" si="22"/>
        <v>-</v>
      </c>
      <c r="O240" s="11" t="str">
        <f t="shared" si="20"/>
        <v>-</v>
      </c>
      <c r="P240" s="12" t="str">
        <f t="shared" si="23"/>
        <v>-</v>
      </c>
      <c r="R240" s="12" t="str">
        <f t="shared" si="21"/>
        <v>-</v>
      </c>
    </row>
    <row r="241" spans="1:18" ht="14.4">
      <c r="A241" s="26" t="s">
        <v>578</v>
      </c>
      <c r="B241" s="27">
        <v>15480</v>
      </c>
      <c r="C241" s="13">
        <v>33674154809</v>
      </c>
      <c r="D241" s="28" t="s">
        <v>387</v>
      </c>
      <c r="E241" s="14">
        <v>12</v>
      </c>
      <c r="F241" s="15">
        <v>7.61944463126E-2</v>
      </c>
      <c r="G241" s="16">
        <v>15.66</v>
      </c>
      <c r="H241" s="29" t="s">
        <v>602</v>
      </c>
      <c r="I241" s="30"/>
      <c r="J241" s="38">
        <f t="shared" si="18"/>
        <v>0</v>
      </c>
      <c r="M241" s="10" t="str">
        <f t="shared" si="19"/>
        <v>-</v>
      </c>
      <c r="N241" s="10" t="str">
        <f t="shared" si="22"/>
        <v>-</v>
      </c>
      <c r="O241" s="11" t="str">
        <f t="shared" si="20"/>
        <v>-</v>
      </c>
      <c r="P241" s="12" t="str">
        <f t="shared" si="23"/>
        <v>-</v>
      </c>
      <c r="R241" s="12" t="str">
        <f t="shared" si="21"/>
        <v>-</v>
      </c>
    </row>
    <row r="242" spans="1:18" ht="14.4">
      <c r="A242" s="26" t="s">
        <v>573</v>
      </c>
      <c r="B242" s="27">
        <v>14794</v>
      </c>
      <c r="C242" s="13">
        <v>33674147948</v>
      </c>
      <c r="D242" s="28" t="s">
        <v>390</v>
      </c>
      <c r="E242" s="14">
        <v>12</v>
      </c>
      <c r="F242" s="15">
        <v>8.0827892372150004E-2</v>
      </c>
      <c r="G242" s="16">
        <v>10.484999999999999</v>
      </c>
      <c r="H242" s="29" t="s">
        <v>602</v>
      </c>
      <c r="I242" s="30"/>
      <c r="J242" s="38">
        <f t="shared" si="18"/>
        <v>0</v>
      </c>
      <c r="M242" s="10" t="str">
        <f t="shared" si="19"/>
        <v>-</v>
      </c>
      <c r="N242" s="10" t="str">
        <f t="shared" si="22"/>
        <v>-</v>
      </c>
      <c r="O242" s="11" t="str">
        <f t="shared" si="20"/>
        <v>-</v>
      </c>
      <c r="P242" s="12" t="str">
        <f t="shared" si="23"/>
        <v>-</v>
      </c>
      <c r="R242" s="12" t="str">
        <f t="shared" si="21"/>
        <v>-</v>
      </c>
    </row>
    <row r="243" spans="1:18" ht="14.4">
      <c r="A243" s="26" t="s">
        <v>571</v>
      </c>
      <c r="B243" s="27">
        <v>40491</v>
      </c>
      <c r="C243" s="13">
        <v>33674404911</v>
      </c>
      <c r="D243" s="28" t="s">
        <v>397</v>
      </c>
      <c r="E243" s="14">
        <v>12</v>
      </c>
      <c r="F243" s="15">
        <v>0.10553960468975</v>
      </c>
      <c r="G243" s="16">
        <v>10.203749999999999</v>
      </c>
      <c r="H243" s="29" t="s">
        <v>602</v>
      </c>
      <c r="I243" s="30"/>
      <c r="J243" s="38">
        <f t="shared" si="18"/>
        <v>0</v>
      </c>
      <c r="M243" s="10" t="str">
        <f t="shared" si="19"/>
        <v>-</v>
      </c>
      <c r="N243" s="10" t="str">
        <f t="shared" si="22"/>
        <v>-</v>
      </c>
      <c r="O243" s="11" t="str">
        <f t="shared" si="20"/>
        <v>-</v>
      </c>
      <c r="P243" s="12" t="str">
        <f t="shared" si="23"/>
        <v>-</v>
      </c>
      <c r="R243" s="12" t="str">
        <f t="shared" si="21"/>
        <v>-</v>
      </c>
    </row>
    <row r="244" spans="1:18" ht="14.4">
      <c r="A244" s="26" t="s">
        <v>568</v>
      </c>
      <c r="B244" s="27">
        <v>56435</v>
      </c>
      <c r="C244" s="13">
        <v>763948564354</v>
      </c>
      <c r="D244" s="28" t="s">
        <v>401</v>
      </c>
      <c r="E244" s="14">
        <v>12</v>
      </c>
      <c r="F244" s="15">
        <v>6.8643645326666683E-2</v>
      </c>
      <c r="G244" s="16">
        <v>22.331250000000001</v>
      </c>
      <c r="H244" s="29" t="s">
        <v>602</v>
      </c>
      <c r="I244" s="30"/>
      <c r="J244" s="38">
        <f t="shared" si="18"/>
        <v>0</v>
      </c>
      <c r="M244" s="10" t="str">
        <f t="shared" si="19"/>
        <v>-</v>
      </c>
      <c r="N244" s="10" t="str">
        <f t="shared" si="22"/>
        <v>-</v>
      </c>
      <c r="O244" s="11" t="str">
        <f t="shared" si="20"/>
        <v>-</v>
      </c>
      <c r="P244" s="12" t="str">
        <f t="shared" si="23"/>
        <v>-</v>
      </c>
      <c r="R244" s="12" t="str">
        <f t="shared" si="21"/>
        <v>-</v>
      </c>
    </row>
    <row r="245" spans="1:18" ht="14.4">
      <c r="A245" s="26" t="s">
        <v>582</v>
      </c>
      <c r="B245" s="27">
        <v>41071</v>
      </c>
      <c r="C245" s="13">
        <v>33674410714</v>
      </c>
      <c r="D245" s="28" t="s">
        <v>407</v>
      </c>
      <c r="E245" s="14">
        <v>12</v>
      </c>
      <c r="F245" s="15">
        <v>0.11480649680885002</v>
      </c>
      <c r="G245" s="16">
        <v>5.1074999999999999</v>
      </c>
      <c r="H245" s="29" t="s">
        <v>602</v>
      </c>
      <c r="I245" s="30"/>
      <c r="J245" s="38">
        <f t="shared" si="18"/>
        <v>0</v>
      </c>
      <c r="M245" s="10" t="str">
        <f t="shared" si="19"/>
        <v>-</v>
      </c>
      <c r="N245" s="10" t="str">
        <f t="shared" si="22"/>
        <v>-</v>
      </c>
      <c r="O245" s="11" t="str">
        <f t="shared" si="20"/>
        <v>-</v>
      </c>
      <c r="P245" s="12" t="str">
        <f t="shared" si="23"/>
        <v>-</v>
      </c>
      <c r="R245" s="12" t="str">
        <f t="shared" si="21"/>
        <v>-</v>
      </c>
    </row>
    <row r="246" spans="1:18" ht="14.4">
      <c r="A246" s="26" t="s">
        <v>574</v>
      </c>
      <c r="B246" s="27">
        <v>45130</v>
      </c>
      <c r="C246" s="13">
        <v>33674451304</v>
      </c>
      <c r="D246" s="28" t="s">
        <v>408</v>
      </c>
      <c r="E246" s="14">
        <v>12</v>
      </c>
      <c r="F246" s="15">
        <v>0.32125226012879998</v>
      </c>
      <c r="G246" s="16">
        <v>17.471249999999998</v>
      </c>
      <c r="H246" s="29" t="s">
        <v>602</v>
      </c>
      <c r="I246" s="30"/>
      <c r="J246" s="38">
        <f t="shared" si="18"/>
        <v>0</v>
      </c>
      <c r="M246" s="10" t="str">
        <f t="shared" si="19"/>
        <v>-</v>
      </c>
      <c r="N246" s="10" t="str">
        <f t="shared" si="22"/>
        <v>-</v>
      </c>
      <c r="O246" s="11" t="str">
        <f t="shared" si="20"/>
        <v>-</v>
      </c>
      <c r="P246" s="12" t="str">
        <f t="shared" si="23"/>
        <v>-</v>
      </c>
      <c r="R246" s="12" t="str">
        <f t="shared" si="21"/>
        <v>-</v>
      </c>
    </row>
    <row r="247" spans="1:18" ht="14.4">
      <c r="A247" s="26" t="s">
        <v>568</v>
      </c>
      <c r="B247" s="27">
        <v>15651</v>
      </c>
      <c r="C247" s="13">
        <v>33674156513</v>
      </c>
      <c r="D247" s="28" t="s">
        <v>410</v>
      </c>
      <c r="E247" s="14">
        <v>12</v>
      </c>
      <c r="F247" s="15">
        <v>0.13436993572695002</v>
      </c>
      <c r="G247" s="16">
        <v>26.201250000000002</v>
      </c>
      <c r="H247" s="29" t="s">
        <v>602</v>
      </c>
      <c r="I247" s="30"/>
      <c r="J247" s="38">
        <f t="shared" si="18"/>
        <v>0</v>
      </c>
      <c r="M247" s="10" t="str">
        <f t="shared" si="19"/>
        <v>-</v>
      </c>
      <c r="N247" s="10" t="str">
        <f t="shared" si="22"/>
        <v>-</v>
      </c>
      <c r="O247" s="11" t="str">
        <f t="shared" si="20"/>
        <v>-</v>
      </c>
      <c r="P247" s="12" t="str">
        <f t="shared" si="23"/>
        <v>-</v>
      </c>
      <c r="R247" s="12" t="str">
        <f t="shared" si="21"/>
        <v>-</v>
      </c>
    </row>
    <row r="248" spans="1:18" ht="14.4">
      <c r="A248" s="26" t="s">
        <v>568</v>
      </c>
      <c r="B248" s="27">
        <v>15024</v>
      </c>
      <c r="C248" s="13">
        <v>33674150245</v>
      </c>
      <c r="D248" s="28" t="s">
        <v>417</v>
      </c>
      <c r="E248" s="14">
        <v>12</v>
      </c>
      <c r="F248" s="15">
        <v>0.10245064065005</v>
      </c>
      <c r="G248" s="16">
        <v>23.467500000000001</v>
      </c>
      <c r="H248" s="29" t="s">
        <v>602</v>
      </c>
      <c r="I248" s="30"/>
      <c r="J248" s="38">
        <f t="shared" si="18"/>
        <v>0</v>
      </c>
      <c r="M248" s="10" t="str">
        <f t="shared" si="19"/>
        <v>-</v>
      </c>
      <c r="N248" s="10" t="str">
        <f t="shared" si="22"/>
        <v>-</v>
      </c>
      <c r="O248" s="11" t="str">
        <f t="shared" si="20"/>
        <v>-</v>
      </c>
      <c r="P248" s="12" t="str">
        <f t="shared" si="23"/>
        <v>-</v>
      </c>
      <c r="R248" s="12" t="str">
        <f t="shared" si="21"/>
        <v>-</v>
      </c>
    </row>
    <row r="249" spans="1:18" ht="14.4">
      <c r="A249" s="26" t="s">
        <v>568</v>
      </c>
      <c r="B249" s="27">
        <v>15752</v>
      </c>
      <c r="C249" s="13">
        <v>33674157527</v>
      </c>
      <c r="D249" s="28" t="s">
        <v>418</v>
      </c>
      <c r="E249" s="14">
        <v>12</v>
      </c>
      <c r="F249" s="15">
        <v>3.4321822663333341E-2</v>
      </c>
      <c r="G249" s="16">
        <v>13.623749999999999</v>
      </c>
      <c r="H249" s="29" t="s">
        <v>602</v>
      </c>
      <c r="I249" s="30"/>
      <c r="J249" s="38">
        <f t="shared" si="18"/>
        <v>0</v>
      </c>
      <c r="M249" s="10" t="str">
        <f t="shared" si="19"/>
        <v>-</v>
      </c>
      <c r="N249" s="10" t="str">
        <f t="shared" si="22"/>
        <v>-</v>
      </c>
      <c r="O249" s="11" t="str">
        <f t="shared" si="20"/>
        <v>-</v>
      </c>
      <c r="P249" s="12" t="str">
        <f t="shared" si="23"/>
        <v>-</v>
      </c>
      <c r="R249" s="12" t="str">
        <f t="shared" si="21"/>
        <v>-</v>
      </c>
    </row>
    <row r="250" spans="1:18" ht="14.4">
      <c r="A250" s="26" t="s">
        <v>568</v>
      </c>
      <c r="B250" s="27">
        <v>4293</v>
      </c>
      <c r="C250" s="13">
        <v>763948042937</v>
      </c>
      <c r="D250" s="28" t="s">
        <v>421</v>
      </c>
      <c r="E250" s="14">
        <v>12</v>
      </c>
      <c r="F250" s="15">
        <v>3.6552741136449997E-2</v>
      </c>
      <c r="G250" s="16">
        <v>10.22625</v>
      </c>
      <c r="H250" s="29" t="s">
        <v>602</v>
      </c>
      <c r="I250" s="30"/>
      <c r="J250" s="38">
        <f t="shared" si="18"/>
        <v>0</v>
      </c>
      <c r="M250" s="10" t="str">
        <f t="shared" si="19"/>
        <v>-</v>
      </c>
      <c r="N250" s="10" t="str">
        <f t="shared" si="22"/>
        <v>-</v>
      </c>
      <c r="O250" s="11" t="str">
        <f t="shared" si="20"/>
        <v>-</v>
      </c>
      <c r="P250" s="12" t="str">
        <f t="shared" si="23"/>
        <v>-</v>
      </c>
      <c r="R250" s="12" t="str">
        <f t="shared" si="21"/>
        <v>-</v>
      </c>
    </row>
    <row r="251" spans="1:18" ht="14.4">
      <c r="A251" s="26" t="s">
        <v>568</v>
      </c>
      <c r="B251" s="27">
        <v>4363</v>
      </c>
      <c r="C251" s="13">
        <v>763948043637</v>
      </c>
      <c r="D251" s="28" t="s">
        <v>424</v>
      </c>
      <c r="E251" s="14">
        <v>12</v>
      </c>
      <c r="F251" s="15">
        <v>3.7067568476399998E-2</v>
      </c>
      <c r="G251" s="16">
        <v>12.408749999999998</v>
      </c>
      <c r="H251" s="29" t="s">
        <v>602</v>
      </c>
      <c r="I251" s="30"/>
      <c r="J251" s="38">
        <f t="shared" si="18"/>
        <v>0</v>
      </c>
      <c r="M251" s="10" t="str">
        <f t="shared" si="19"/>
        <v>-</v>
      </c>
      <c r="N251" s="10" t="str">
        <f t="shared" si="22"/>
        <v>-</v>
      </c>
      <c r="O251" s="11" t="str">
        <f t="shared" si="20"/>
        <v>-</v>
      </c>
      <c r="P251" s="12" t="str">
        <f t="shared" si="23"/>
        <v>-</v>
      </c>
      <c r="R251" s="12" t="str">
        <f t="shared" si="21"/>
        <v>-</v>
      </c>
    </row>
    <row r="252" spans="1:18" ht="14.4">
      <c r="A252" s="26" t="s">
        <v>568</v>
      </c>
      <c r="B252" s="27">
        <v>10228</v>
      </c>
      <c r="C252" s="13">
        <v>763948102280</v>
      </c>
      <c r="D252" s="28" t="s">
        <v>428</v>
      </c>
      <c r="E252" s="14">
        <v>12</v>
      </c>
      <c r="F252" s="15">
        <v>3.4321822663333341E-2</v>
      </c>
      <c r="G252" s="16">
        <v>12.993750000000002</v>
      </c>
      <c r="H252" s="29" t="s">
        <v>602</v>
      </c>
      <c r="I252" s="30"/>
      <c r="J252" s="38">
        <f t="shared" si="18"/>
        <v>0</v>
      </c>
      <c r="M252" s="10" t="str">
        <f t="shared" si="19"/>
        <v>-</v>
      </c>
      <c r="N252" s="10" t="str">
        <f t="shared" si="22"/>
        <v>-</v>
      </c>
      <c r="O252" s="11" t="str">
        <f t="shared" si="20"/>
        <v>-</v>
      </c>
      <c r="P252" s="12" t="str">
        <f t="shared" si="23"/>
        <v>-</v>
      </c>
      <c r="R252" s="12" t="str">
        <f t="shared" si="21"/>
        <v>-</v>
      </c>
    </row>
    <row r="253" spans="1:18" ht="14.4">
      <c r="A253" s="26" t="s">
        <v>565</v>
      </c>
      <c r="B253" s="27">
        <v>14390</v>
      </c>
      <c r="C253" s="13">
        <v>33674143902</v>
      </c>
      <c r="D253" s="28" t="s">
        <v>433</v>
      </c>
      <c r="E253" s="14">
        <v>12</v>
      </c>
      <c r="F253" s="15">
        <v>0.31970777810895007</v>
      </c>
      <c r="G253" s="16">
        <v>14.444999999999999</v>
      </c>
      <c r="H253" s="29" t="s">
        <v>602</v>
      </c>
      <c r="I253" s="30"/>
      <c r="J253" s="38">
        <f t="shared" si="18"/>
        <v>0</v>
      </c>
      <c r="M253" s="10" t="str">
        <f t="shared" si="19"/>
        <v>-</v>
      </c>
      <c r="N253" s="10" t="str">
        <f t="shared" si="22"/>
        <v>-</v>
      </c>
      <c r="O253" s="11" t="str">
        <f t="shared" si="20"/>
        <v>-</v>
      </c>
      <c r="P253" s="12" t="str">
        <f t="shared" si="23"/>
        <v>-</v>
      </c>
      <c r="R253" s="12" t="str">
        <f t="shared" si="21"/>
        <v>-</v>
      </c>
    </row>
    <row r="254" spans="1:18" ht="14.4">
      <c r="A254" s="26" t="s">
        <v>571</v>
      </c>
      <c r="B254" s="27">
        <v>15321</v>
      </c>
      <c r="C254" s="13">
        <v>33674153215</v>
      </c>
      <c r="D254" s="28" t="s">
        <v>441</v>
      </c>
      <c r="E254" s="14">
        <v>12</v>
      </c>
      <c r="F254" s="15">
        <v>7.3620309612850002E-2</v>
      </c>
      <c r="G254" s="16">
        <v>12.757499999999999</v>
      </c>
      <c r="H254" s="29" t="s">
        <v>602</v>
      </c>
      <c r="I254" s="30"/>
      <c r="J254" s="38">
        <f t="shared" si="18"/>
        <v>0</v>
      </c>
      <c r="M254" s="10" t="str">
        <f t="shared" si="19"/>
        <v>-</v>
      </c>
      <c r="N254" s="10" t="str">
        <f t="shared" si="22"/>
        <v>-</v>
      </c>
      <c r="O254" s="11" t="str">
        <f t="shared" si="20"/>
        <v>-</v>
      </c>
      <c r="P254" s="12" t="str">
        <f t="shared" si="23"/>
        <v>-</v>
      </c>
      <c r="R254" s="12" t="str">
        <f t="shared" si="21"/>
        <v>-</v>
      </c>
    </row>
    <row r="255" spans="1:18" ht="14.4">
      <c r="A255" s="26" t="s">
        <v>571</v>
      </c>
      <c r="B255" s="27">
        <v>16843</v>
      </c>
      <c r="C255" s="13">
        <v>763948168439</v>
      </c>
      <c r="D255" s="28" t="s">
        <v>443</v>
      </c>
      <c r="E255" s="14">
        <v>12</v>
      </c>
      <c r="F255" s="15">
        <v>6.2294108133950005E-2</v>
      </c>
      <c r="G255" s="16">
        <v>8.932500000000001</v>
      </c>
      <c r="H255" s="29" t="s">
        <v>602</v>
      </c>
      <c r="I255" s="30"/>
      <c r="J255" s="38">
        <f t="shared" si="18"/>
        <v>0</v>
      </c>
      <c r="M255" s="10" t="str">
        <f t="shared" si="19"/>
        <v>-</v>
      </c>
      <c r="N255" s="10" t="str">
        <f t="shared" si="22"/>
        <v>-</v>
      </c>
      <c r="O255" s="11" t="str">
        <f t="shared" si="20"/>
        <v>-</v>
      </c>
      <c r="P255" s="12" t="str">
        <f t="shared" si="23"/>
        <v>-</v>
      </c>
      <c r="R255" s="12" t="str">
        <f t="shared" si="21"/>
        <v>-</v>
      </c>
    </row>
    <row r="256" spans="1:18" ht="14.4">
      <c r="A256" s="26" t="s">
        <v>572</v>
      </c>
      <c r="B256" s="27">
        <v>12087</v>
      </c>
      <c r="C256" s="13">
        <v>33674120873</v>
      </c>
      <c r="D256" s="28" t="s">
        <v>454</v>
      </c>
      <c r="E256" s="14">
        <v>12</v>
      </c>
      <c r="F256" s="15">
        <v>8.2372374392E-2</v>
      </c>
      <c r="G256" s="16">
        <v>12.881249999999998</v>
      </c>
      <c r="H256" s="29" t="s">
        <v>602</v>
      </c>
      <c r="I256" s="30"/>
      <c r="J256" s="38">
        <f t="shared" si="18"/>
        <v>0</v>
      </c>
      <c r="M256" s="10" t="str">
        <f t="shared" si="19"/>
        <v>-</v>
      </c>
      <c r="N256" s="10" t="str">
        <f t="shared" si="22"/>
        <v>-</v>
      </c>
      <c r="O256" s="11" t="str">
        <f t="shared" si="20"/>
        <v>-</v>
      </c>
      <c r="P256" s="12" t="str">
        <f t="shared" si="23"/>
        <v>-</v>
      </c>
      <c r="R256" s="12" t="str">
        <f t="shared" si="21"/>
        <v>-</v>
      </c>
    </row>
    <row r="257" spans="1:18" ht="14.4">
      <c r="A257" s="26" t="s">
        <v>572</v>
      </c>
      <c r="B257" s="27">
        <v>12709</v>
      </c>
      <c r="C257" s="13">
        <v>33674127094</v>
      </c>
      <c r="D257" s="28" t="s">
        <v>458</v>
      </c>
      <c r="E257" s="14">
        <v>12</v>
      </c>
      <c r="F257" s="15">
        <v>0.13848855444655003</v>
      </c>
      <c r="G257" s="16">
        <v>4.5449999999999999</v>
      </c>
      <c r="H257" s="29" t="s">
        <v>602</v>
      </c>
      <c r="I257" s="30"/>
      <c r="J257" s="38">
        <f t="shared" si="18"/>
        <v>0</v>
      </c>
      <c r="M257" s="10" t="str">
        <f t="shared" si="19"/>
        <v>-</v>
      </c>
      <c r="N257" s="10" t="str">
        <f t="shared" si="22"/>
        <v>-</v>
      </c>
      <c r="O257" s="11" t="str">
        <f t="shared" si="20"/>
        <v>-</v>
      </c>
      <c r="P257" s="12" t="str">
        <f t="shared" si="23"/>
        <v>-</v>
      </c>
      <c r="R257" s="12" t="str">
        <f t="shared" si="21"/>
        <v>-</v>
      </c>
    </row>
    <row r="258" spans="1:18" ht="14.4">
      <c r="A258" s="26" t="s">
        <v>572</v>
      </c>
      <c r="B258" s="27">
        <v>12963</v>
      </c>
      <c r="C258" s="13">
        <v>33674129630</v>
      </c>
      <c r="D258" s="28" t="s">
        <v>459</v>
      </c>
      <c r="E258" s="14">
        <v>12</v>
      </c>
      <c r="F258" s="15">
        <v>0.12870683498750002</v>
      </c>
      <c r="G258" s="16">
        <v>4.5449999999999999</v>
      </c>
      <c r="H258" s="29" t="s">
        <v>602</v>
      </c>
      <c r="I258" s="30"/>
      <c r="J258" s="38">
        <f t="shared" ref="J258:J321" si="24">I258*G258</f>
        <v>0</v>
      </c>
      <c r="M258" s="10" t="str">
        <f t="shared" ref="M258:M321" si="25">IFERROR(IF($M$2*F258=0, "-", $M$2*F258), "-")</f>
        <v>-</v>
      </c>
      <c r="N258" s="10" t="str">
        <f t="shared" si="22"/>
        <v>-</v>
      </c>
      <c r="O258" s="11" t="str">
        <f t="shared" ref="O258:O321" si="26">IF(I258&gt;0,I258*F258, "-")</f>
        <v>-</v>
      </c>
      <c r="P258" s="12" t="str">
        <f t="shared" si="23"/>
        <v>-</v>
      </c>
      <c r="R258" s="12" t="str">
        <f t="shared" ref="R258:R321" si="27">IFERROR(IF(P258+J258=0, "-", IF(P258&gt;0, P258+J258, "-")), "-")</f>
        <v>-</v>
      </c>
    </row>
    <row r="259" spans="1:18" ht="14.4">
      <c r="A259" s="26" t="s">
        <v>578</v>
      </c>
      <c r="B259" s="27">
        <v>6974</v>
      </c>
      <c r="C259" s="13">
        <v>33674069745</v>
      </c>
      <c r="D259" s="28" t="s">
        <v>464</v>
      </c>
      <c r="E259" s="14">
        <v>12</v>
      </c>
      <c r="F259" s="15">
        <v>0.22497954755815</v>
      </c>
      <c r="G259" s="16">
        <v>12.881249999999998</v>
      </c>
      <c r="H259" s="29" t="s">
        <v>602</v>
      </c>
      <c r="I259" s="30"/>
      <c r="J259" s="38">
        <f t="shared" si="24"/>
        <v>0</v>
      </c>
      <c r="M259" s="10" t="str">
        <f t="shared" si="25"/>
        <v>-</v>
      </c>
      <c r="N259" s="10" t="str">
        <f t="shared" ref="N259:N322" si="28">IFERROR(IF(M259&gt;0,G259+M259,"-"),"-")</f>
        <v>-</v>
      </c>
      <c r="O259" s="11" t="str">
        <f t="shared" si="26"/>
        <v>-</v>
      </c>
      <c r="P259" s="12" t="str">
        <f t="shared" ref="P259:P322" si="29">IFERROR(IF($M$2&gt;0, $M$2*O259, "-"), "-")</f>
        <v>-</v>
      </c>
      <c r="R259" s="12" t="str">
        <f t="shared" si="27"/>
        <v>-</v>
      </c>
    </row>
    <row r="260" spans="1:18" ht="14.4">
      <c r="A260" s="26" t="s">
        <v>578</v>
      </c>
      <c r="B260" s="27">
        <v>12346</v>
      </c>
      <c r="C260" s="13">
        <v>33674123461</v>
      </c>
      <c r="D260" s="28" t="s">
        <v>470</v>
      </c>
      <c r="E260" s="14">
        <v>24</v>
      </c>
      <c r="F260" s="15">
        <v>0.17813025962270002</v>
      </c>
      <c r="G260" s="16">
        <v>9.911249999999999</v>
      </c>
      <c r="H260" s="29" t="s">
        <v>602</v>
      </c>
      <c r="I260" s="30"/>
      <c r="J260" s="38">
        <f t="shared" si="24"/>
        <v>0</v>
      </c>
      <c r="M260" s="10" t="str">
        <f t="shared" si="25"/>
        <v>-</v>
      </c>
      <c r="N260" s="10" t="str">
        <f t="shared" si="28"/>
        <v>-</v>
      </c>
      <c r="O260" s="11" t="str">
        <f t="shared" si="26"/>
        <v>-</v>
      </c>
      <c r="P260" s="12" t="str">
        <f t="shared" si="29"/>
        <v>-</v>
      </c>
      <c r="R260" s="12" t="str">
        <f t="shared" si="27"/>
        <v>-</v>
      </c>
    </row>
    <row r="261" spans="1:18" ht="14.4">
      <c r="A261" s="26" t="s">
        <v>578</v>
      </c>
      <c r="B261" s="27">
        <v>13496</v>
      </c>
      <c r="C261" s="13">
        <v>33674134962</v>
      </c>
      <c r="D261" s="28" t="s">
        <v>473</v>
      </c>
      <c r="E261" s="14">
        <v>24</v>
      </c>
      <c r="F261" s="15">
        <v>0.21777196479885</v>
      </c>
      <c r="G261" s="16">
        <v>14.163749999999999</v>
      </c>
      <c r="H261" s="29" t="s">
        <v>602</v>
      </c>
      <c r="I261" s="30"/>
      <c r="J261" s="38">
        <f t="shared" si="24"/>
        <v>0</v>
      </c>
      <c r="M261" s="10" t="str">
        <f t="shared" si="25"/>
        <v>-</v>
      </c>
      <c r="N261" s="10" t="str">
        <f t="shared" si="28"/>
        <v>-</v>
      </c>
      <c r="O261" s="11" t="str">
        <f t="shared" si="26"/>
        <v>-</v>
      </c>
      <c r="P261" s="12" t="str">
        <f t="shared" si="29"/>
        <v>-</v>
      </c>
      <c r="R261" s="12" t="str">
        <f t="shared" si="27"/>
        <v>-</v>
      </c>
    </row>
    <row r="262" spans="1:18" ht="14.4">
      <c r="A262" s="26" t="s">
        <v>578</v>
      </c>
      <c r="B262" s="27">
        <v>6970</v>
      </c>
      <c r="C262" s="13">
        <v>33674069707</v>
      </c>
      <c r="D262" s="28" t="s">
        <v>474</v>
      </c>
      <c r="E262" s="14">
        <v>12</v>
      </c>
      <c r="F262" s="15">
        <v>0.22309184731166667</v>
      </c>
      <c r="G262" s="16">
        <v>12.116250000000001</v>
      </c>
      <c r="H262" s="29" t="s">
        <v>602</v>
      </c>
      <c r="I262" s="30"/>
      <c r="J262" s="38">
        <f t="shared" si="24"/>
        <v>0</v>
      </c>
      <c r="M262" s="10" t="str">
        <f t="shared" si="25"/>
        <v>-</v>
      </c>
      <c r="N262" s="10" t="str">
        <f t="shared" si="28"/>
        <v>-</v>
      </c>
      <c r="O262" s="11" t="str">
        <f t="shared" si="26"/>
        <v>-</v>
      </c>
      <c r="P262" s="12" t="str">
        <f t="shared" si="29"/>
        <v>-</v>
      </c>
      <c r="R262" s="12" t="str">
        <f t="shared" si="27"/>
        <v>-</v>
      </c>
    </row>
    <row r="263" spans="1:18" ht="14.4">
      <c r="A263" s="26" t="s">
        <v>578</v>
      </c>
      <c r="B263" s="27">
        <v>15332</v>
      </c>
      <c r="C263" s="13">
        <v>33674153321</v>
      </c>
      <c r="D263" s="28" t="s">
        <v>475</v>
      </c>
      <c r="E263" s="14">
        <v>12</v>
      </c>
      <c r="F263" s="15">
        <v>0.42370290077884998</v>
      </c>
      <c r="G263" s="16">
        <v>21.982499999999998</v>
      </c>
      <c r="H263" s="29" t="s">
        <v>602</v>
      </c>
      <c r="I263" s="30"/>
      <c r="J263" s="38">
        <f t="shared" si="24"/>
        <v>0</v>
      </c>
      <c r="M263" s="10" t="str">
        <f t="shared" si="25"/>
        <v>-</v>
      </c>
      <c r="N263" s="10" t="str">
        <f t="shared" si="28"/>
        <v>-</v>
      </c>
      <c r="O263" s="11" t="str">
        <f t="shared" si="26"/>
        <v>-</v>
      </c>
      <c r="P263" s="12" t="str">
        <f t="shared" si="29"/>
        <v>-</v>
      </c>
      <c r="R263" s="12" t="str">
        <f t="shared" si="27"/>
        <v>-</v>
      </c>
    </row>
    <row r="264" spans="1:18" ht="14.4">
      <c r="A264" s="26" t="s">
        <v>578</v>
      </c>
      <c r="B264" s="27">
        <v>6971</v>
      </c>
      <c r="C264" s="13">
        <v>33674069714</v>
      </c>
      <c r="D264" s="28" t="s">
        <v>479</v>
      </c>
      <c r="E264" s="14">
        <v>12</v>
      </c>
      <c r="F264" s="15">
        <v>0.22652402957800002</v>
      </c>
      <c r="G264" s="16">
        <v>12.116250000000001</v>
      </c>
      <c r="H264" s="29" t="s">
        <v>602</v>
      </c>
      <c r="I264" s="30"/>
      <c r="J264" s="38">
        <f t="shared" si="24"/>
        <v>0</v>
      </c>
      <c r="M264" s="10" t="str">
        <f t="shared" si="25"/>
        <v>-</v>
      </c>
      <c r="N264" s="10" t="str">
        <f t="shared" si="28"/>
        <v>-</v>
      </c>
      <c r="O264" s="11" t="str">
        <f t="shared" si="26"/>
        <v>-</v>
      </c>
      <c r="P264" s="12" t="str">
        <f t="shared" si="29"/>
        <v>-</v>
      </c>
      <c r="R264" s="12" t="str">
        <f t="shared" si="27"/>
        <v>-</v>
      </c>
    </row>
    <row r="265" spans="1:18" ht="24">
      <c r="A265" s="26" t="s">
        <v>578</v>
      </c>
      <c r="B265" s="27">
        <v>15023</v>
      </c>
      <c r="C265" s="13">
        <v>33674150238</v>
      </c>
      <c r="D265" s="28" t="s">
        <v>507</v>
      </c>
      <c r="E265" s="14">
        <v>12</v>
      </c>
      <c r="F265" s="15">
        <v>0.18894163376164999</v>
      </c>
      <c r="G265" s="16">
        <v>13.814999999999998</v>
      </c>
      <c r="H265" s="29" t="s">
        <v>602</v>
      </c>
      <c r="I265" s="30"/>
      <c r="J265" s="38">
        <f t="shared" si="24"/>
        <v>0</v>
      </c>
      <c r="M265" s="10" t="str">
        <f t="shared" si="25"/>
        <v>-</v>
      </c>
      <c r="N265" s="10" t="str">
        <f t="shared" si="28"/>
        <v>-</v>
      </c>
      <c r="O265" s="11" t="str">
        <f t="shared" si="26"/>
        <v>-</v>
      </c>
      <c r="P265" s="12" t="str">
        <f t="shared" si="29"/>
        <v>-</v>
      </c>
      <c r="R265" s="12" t="str">
        <f t="shared" si="27"/>
        <v>-</v>
      </c>
    </row>
    <row r="266" spans="1:18" ht="14.4">
      <c r="A266" s="26" t="s">
        <v>569</v>
      </c>
      <c r="B266" s="27">
        <v>17600</v>
      </c>
      <c r="C266" s="13">
        <v>33674176009</v>
      </c>
      <c r="D266" s="28" t="s">
        <v>525</v>
      </c>
      <c r="E266" s="14">
        <v>12</v>
      </c>
      <c r="F266" s="15">
        <v>9.2668921191000009E-2</v>
      </c>
      <c r="G266" s="16">
        <v>6.3787499999999993</v>
      </c>
      <c r="H266" s="29" t="s">
        <v>602</v>
      </c>
      <c r="I266" s="30"/>
      <c r="J266" s="38">
        <f t="shared" si="24"/>
        <v>0</v>
      </c>
      <c r="M266" s="10" t="str">
        <f t="shared" si="25"/>
        <v>-</v>
      </c>
      <c r="N266" s="10" t="str">
        <f t="shared" si="28"/>
        <v>-</v>
      </c>
      <c r="O266" s="11" t="str">
        <f t="shared" si="26"/>
        <v>-</v>
      </c>
      <c r="P266" s="12" t="str">
        <f t="shared" si="29"/>
        <v>-</v>
      </c>
      <c r="R266" s="12" t="str">
        <f t="shared" si="27"/>
        <v>-</v>
      </c>
    </row>
    <row r="267" spans="1:18" ht="24">
      <c r="A267" s="26" t="s">
        <v>591</v>
      </c>
      <c r="B267" s="27">
        <v>6640</v>
      </c>
      <c r="C267" s="13">
        <v>33674066409</v>
      </c>
      <c r="D267" s="28" t="s">
        <v>526</v>
      </c>
      <c r="E267" s="14">
        <v>12</v>
      </c>
      <c r="F267" s="15">
        <v>8.9579957151300016E-2</v>
      </c>
      <c r="G267" s="16">
        <v>15.592499999999999</v>
      </c>
      <c r="H267" s="29" t="s">
        <v>602</v>
      </c>
      <c r="I267" s="30"/>
      <c r="J267" s="38">
        <f t="shared" si="24"/>
        <v>0</v>
      </c>
      <c r="M267" s="10" t="str">
        <f t="shared" si="25"/>
        <v>-</v>
      </c>
      <c r="N267" s="10" t="str">
        <f t="shared" si="28"/>
        <v>-</v>
      </c>
      <c r="O267" s="11" t="str">
        <f t="shared" si="26"/>
        <v>-</v>
      </c>
      <c r="P267" s="12" t="str">
        <f t="shared" si="29"/>
        <v>-</v>
      </c>
      <c r="R267" s="12" t="str">
        <f t="shared" si="27"/>
        <v>-</v>
      </c>
    </row>
    <row r="268" spans="1:18" ht="14.4">
      <c r="A268" s="26" t="s">
        <v>591</v>
      </c>
      <c r="B268" s="27">
        <v>63400</v>
      </c>
      <c r="C268" s="13">
        <v>33674634004</v>
      </c>
      <c r="D268" s="28" t="s">
        <v>527</v>
      </c>
      <c r="E268" s="14">
        <v>12</v>
      </c>
      <c r="F268" s="15">
        <v>0.12098442488825001</v>
      </c>
      <c r="G268" s="16">
        <v>8.0212500000000002</v>
      </c>
      <c r="H268" s="29" t="s">
        <v>602</v>
      </c>
      <c r="I268" s="30"/>
      <c r="J268" s="38">
        <f t="shared" si="24"/>
        <v>0</v>
      </c>
      <c r="M268" s="10" t="str">
        <f t="shared" si="25"/>
        <v>-</v>
      </c>
      <c r="N268" s="10" t="str">
        <f t="shared" si="28"/>
        <v>-</v>
      </c>
      <c r="O268" s="11" t="str">
        <f t="shared" si="26"/>
        <v>-</v>
      </c>
      <c r="P268" s="12" t="str">
        <f t="shared" si="29"/>
        <v>-</v>
      </c>
      <c r="R268" s="12" t="str">
        <f t="shared" si="27"/>
        <v>-</v>
      </c>
    </row>
    <row r="269" spans="1:18" ht="14.4">
      <c r="A269" s="26" t="s">
        <v>571</v>
      </c>
      <c r="B269" s="27">
        <v>40411</v>
      </c>
      <c r="C269" s="13">
        <v>33674404119</v>
      </c>
      <c r="D269" s="28" t="s">
        <v>531</v>
      </c>
      <c r="E269" s="14">
        <v>12</v>
      </c>
      <c r="F269" s="15">
        <v>9.009478449125001E-2</v>
      </c>
      <c r="G269" s="16">
        <v>5.1074999999999999</v>
      </c>
      <c r="H269" s="29" t="s">
        <v>602</v>
      </c>
      <c r="I269" s="30"/>
      <c r="J269" s="38">
        <f t="shared" si="24"/>
        <v>0</v>
      </c>
      <c r="M269" s="10" t="str">
        <f t="shared" si="25"/>
        <v>-</v>
      </c>
      <c r="N269" s="10" t="str">
        <f t="shared" si="28"/>
        <v>-</v>
      </c>
      <c r="O269" s="11" t="str">
        <f t="shared" si="26"/>
        <v>-</v>
      </c>
      <c r="P269" s="12" t="str">
        <f t="shared" si="29"/>
        <v>-</v>
      </c>
      <c r="R269" s="12" t="str">
        <f t="shared" si="27"/>
        <v>-</v>
      </c>
    </row>
    <row r="270" spans="1:18" ht="14.4">
      <c r="A270" s="26" t="s">
        <v>571</v>
      </c>
      <c r="B270" s="27">
        <v>40431</v>
      </c>
      <c r="C270" s="13">
        <v>33674404317</v>
      </c>
      <c r="D270" s="28" t="s">
        <v>533</v>
      </c>
      <c r="E270" s="14">
        <v>12</v>
      </c>
      <c r="F270" s="15">
        <v>9.4213403210850019E-2</v>
      </c>
      <c r="G270" s="16">
        <v>6.3787499999999993</v>
      </c>
      <c r="H270" s="29" t="s">
        <v>602</v>
      </c>
      <c r="I270" s="30"/>
      <c r="J270" s="38">
        <f t="shared" si="24"/>
        <v>0</v>
      </c>
      <c r="M270" s="10" t="str">
        <f t="shared" si="25"/>
        <v>-</v>
      </c>
      <c r="N270" s="10" t="str">
        <f t="shared" si="28"/>
        <v>-</v>
      </c>
      <c r="O270" s="11" t="str">
        <f t="shared" si="26"/>
        <v>-</v>
      </c>
      <c r="P270" s="12" t="str">
        <f t="shared" si="29"/>
        <v>-</v>
      </c>
      <c r="R270" s="12" t="str">
        <f t="shared" si="27"/>
        <v>-</v>
      </c>
    </row>
    <row r="271" spans="1:18" ht="14.4">
      <c r="A271" s="26" t="s">
        <v>578</v>
      </c>
      <c r="B271" s="27">
        <v>40330</v>
      </c>
      <c r="C271" s="13">
        <v>33674403303</v>
      </c>
      <c r="D271" s="28" t="s">
        <v>534</v>
      </c>
      <c r="E271" s="14">
        <v>12</v>
      </c>
      <c r="F271" s="15">
        <v>0.17092267686340001</v>
      </c>
      <c r="G271" s="16">
        <v>8.9775000000000009</v>
      </c>
      <c r="H271" s="29" t="s">
        <v>602</v>
      </c>
      <c r="I271" s="30"/>
      <c r="J271" s="38">
        <f t="shared" si="24"/>
        <v>0</v>
      </c>
      <c r="M271" s="10" t="str">
        <f t="shared" si="25"/>
        <v>-</v>
      </c>
      <c r="N271" s="10" t="str">
        <f t="shared" si="28"/>
        <v>-</v>
      </c>
      <c r="O271" s="11" t="str">
        <f t="shared" si="26"/>
        <v>-</v>
      </c>
      <c r="P271" s="12" t="str">
        <f t="shared" si="29"/>
        <v>-</v>
      </c>
      <c r="R271" s="12" t="str">
        <f t="shared" si="27"/>
        <v>-</v>
      </c>
    </row>
    <row r="272" spans="1:18" ht="14.4">
      <c r="A272" s="26" t="s">
        <v>578</v>
      </c>
      <c r="B272" s="27">
        <v>15590</v>
      </c>
      <c r="C272" s="13">
        <v>33674155905</v>
      </c>
      <c r="D272" s="28" t="s">
        <v>543</v>
      </c>
      <c r="E272" s="14">
        <v>12</v>
      </c>
      <c r="F272" s="15">
        <v>7.0016518233200001E-2</v>
      </c>
      <c r="G272" s="16">
        <v>6.4125000000000005</v>
      </c>
      <c r="H272" s="29" t="s">
        <v>602</v>
      </c>
      <c r="I272" s="30"/>
      <c r="J272" s="38">
        <f t="shared" si="24"/>
        <v>0</v>
      </c>
      <c r="M272" s="10" t="str">
        <f t="shared" si="25"/>
        <v>-</v>
      </c>
      <c r="N272" s="10" t="str">
        <f t="shared" si="28"/>
        <v>-</v>
      </c>
      <c r="O272" s="11" t="str">
        <f t="shared" si="26"/>
        <v>-</v>
      </c>
      <c r="P272" s="12" t="str">
        <f t="shared" si="29"/>
        <v>-</v>
      </c>
      <c r="R272" s="12" t="str">
        <f t="shared" si="27"/>
        <v>-</v>
      </c>
    </row>
    <row r="273" spans="1:18" ht="14.4">
      <c r="A273" s="26" t="s">
        <v>578</v>
      </c>
      <c r="B273" s="27">
        <v>15836</v>
      </c>
      <c r="C273" s="13">
        <v>33674158364</v>
      </c>
      <c r="D273" s="28" t="s">
        <v>546</v>
      </c>
      <c r="E273" s="14">
        <v>12</v>
      </c>
      <c r="F273" s="15">
        <v>0.12716235296765002</v>
      </c>
      <c r="G273" s="16">
        <v>12.813750000000001</v>
      </c>
      <c r="H273" s="29" t="s">
        <v>602</v>
      </c>
      <c r="I273" s="30"/>
      <c r="J273" s="38">
        <f t="shared" si="24"/>
        <v>0</v>
      </c>
      <c r="M273" s="10" t="str">
        <f t="shared" si="25"/>
        <v>-</v>
      </c>
      <c r="N273" s="10" t="str">
        <f t="shared" si="28"/>
        <v>-</v>
      </c>
      <c r="O273" s="11" t="str">
        <f t="shared" si="26"/>
        <v>-</v>
      </c>
      <c r="P273" s="12" t="str">
        <f t="shared" si="29"/>
        <v>-</v>
      </c>
      <c r="R273" s="12" t="str">
        <f t="shared" si="27"/>
        <v>-</v>
      </c>
    </row>
    <row r="274" spans="1:18" ht="14.4">
      <c r="A274" s="26" t="s">
        <v>581</v>
      </c>
      <c r="B274" s="27">
        <v>17850</v>
      </c>
      <c r="C274" s="13">
        <v>33674178508</v>
      </c>
      <c r="D274" s="28" t="s">
        <v>558</v>
      </c>
      <c r="E274" s="14">
        <v>12</v>
      </c>
      <c r="F274" s="15">
        <v>0.10656925936965002</v>
      </c>
      <c r="G274" s="16">
        <v>6.3787499999999993</v>
      </c>
      <c r="H274" s="29" t="s">
        <v>602</v>
      </c>
      <c r="I274" s="30"/>
      <c r="J274" s="38">
        <f t="shared" si="24"/>
        <v>0</v>
      </c>
      <c r="M274" s="10" t="str">
        <f t="shared" si="25"/>
        <v>-</v>
      </c>
      <c r="N274" s="10" t="str">
        <f t="shared" si="28"/>
        <v>-</v>
      </c>
      <c r="O274" s="11" t="str">
        <f t="shared" si="26"/>
        <v>-</v>
      </c>
      <c r="P274" s="12" t="str">
        <f t="shared" si="29"/>
        <v>-</v>
      </c>
      <c r="R274" s="12" t="str">
        <f t="shared" si="27"/>
        <v>-</v>
      </c>
    </row>
    <row r="275" spans="1:18" ht="14.4">
      <c r="A275" s="26" t="s">
        <v>565</v>
      </c>
      <c r="B275" s="27">
        <v>45240</v>
      </c>
      <c r="C275" s="13">
        <v>33674452400</v>
      </c>
      <c r="D275" s="28" t="s">
        <v>18</v>
      </c>
      <c r="E275" s="14">
        <v>12</v>
      </c>
      <c r="F275" s="15">
        <v>4.3245496555800005E-2</v>
      </c>
      <c r="G275" s="16">
        <v>6.6825000000000001</v>
      </c>
      <c r="H275" s="29" t="s">
        <v>602</v>
      </c>
      <c r="I275" s="30"/>
      <c r="J275" s="38">
        <f t="shared" si="24"/>
        <v>0</v>
      </c>
      <c r="M275" s="10" t="str">
        <f t="shared" si="25"/>
        <v>-</v>
      </c>
      <c r="N275" s="10" t="str">
        <f t="shared" si="28"/>
        <v>-</v>
      </c>
      <c r="O275" s="11" t="str">
        <f t="shared" si="26"/>
        <v>-</v>
      </c>
      <c r="P275" s="12" t="str">
        <f t="shared" si="29"/>
        <v>-</v>
      </c>
      <c r="R275" s="12" t="str">
        <f t="shared" si="27"/>
        <v>-</v>
      </c>
    </row>
    <row r="276" spans="1:18" ht="14.4">
      <c r="A276" s="26" t="s">
        <v>565</v>
      </c>
      <c r="B276" s="27">
        <v>45250</v>
      </c>
      <c r="C276" s="13">
        <v>33674452509</v>
      </c>
      <c r="D276" s="28" t="s">
        <v>19</v>
      </c>
      <c r="E276" s="14">
        <v>12</v>
      </c>
      <c r="F276" s="15">
        <v>6.9501690893250007E-2</v>
      </c>
      <c r="G276" s="16">
        <v>12.352499999999999</v>
      </c>
      <c r="H276" s="29" t="s">
        <v>602</v>
      </c>
      <c r="I276" s="30"/>
      <c r="J276" s="38">
        <f t="shared" si="24"/>
        <v>0</v>
      </c>
      <c r="M276" s="10" t="str">
        <f t="shared" si="25"/>
        <v>-</v>
      </c>
      <c r="N276" s="10" t="str">
        <f t="shared" si="28"/>
        <v>-</v>
      </c>
      <c r="O276" s="11" t="str">
        <f t="shared" si="26"/>
        <v>-</v>
      </c>
      <c r="P276" s="12" t="str">
        <f t="shared" si="29"/>
        <v>-</v>
      </c>
      <c r="R276" s="12" t="str">
        <f t="shared" si="27"/>
        <v>-</v>
      </c>
    </row>
    <row r="277" spans="1:18" ht="14.4">
      <c r="A277" s="26" t="s">
        <v>567</v>
      </c>
      <c r="B277" s="27">
        <v>15839</v>
      </c>
      <c r="C277" s="13">
        <v>33674158395</v>
      </c>
      <c r="D277" s="28" t="s">
        <v>34</v>
      </c>
      <c r="E277" s="14">
        <v>12</v>
      </c>
      <c r="F277" s="15">
        <v>0.27440297219335003</v>
      </c>
      <c r="G277" s="16">
        <v>25.987500000000004</v>
      </c>
      <c r="H277" s="29" t="s">
        <v>602</v>
      </c>
      <c r="I277" s="30"/>
      <c r="J277" s="38">
        <f t="shared" si="24"/>
        <v>0</v>
      </c>
      <c r="M277" s="10" t="str">
        <f t="shared" si="25"/>
        <v>-</v>
      </c>
      <c r="N277" s="10" t="str">
        <f t="shared" si="28"/>
        <v>-</v>
      </c>
      <c r="O277" s="11" t="str">
        <f t="shared" si="26"/>
        <v>-</v>
      </c>
      <c r="P277" s="12" t="str">
        <f t="shared" si="29"/>
        <v>-</v>
      </c>
      <c r="R277" s="12" t="str">
        <f t="shared" si="27"/>
        <v>-</v>
      </c>
    </row>
    <row r="278" spans="1:18" ht="14.4">
      <c r="A278" s="26" t="s">
        <v>573</v>
      </c>
      <c r="B278" s="27">
        <v>15395</v>
      </c>
      <c r="C278" s="13">
        <v>33674153956</v>
      </c>
      <c r="D278" s="28" t="s">
        <v>67</v>
      </c>
      <c r="E278" s="14">
        <v>6</v>
      </c>
      <c r="F278" s="15">
        <v>1.4363682784604999</v>
      </c>
      <c r="G278" s="16">
        <v>28.057500000000005</v>
      </c>
      <c r="H278" s="29" t="s">
        <v>602</v>
      </c>
      <c r="I278" s="30"/>
      <c r="J278" s="38">
        <f t="shared" si="24"/>
        <v>0</v>
      </c>
      <c r="M278" s="10" t="str">
        <f t="shared" si="25"/>
        <v>-</v>
      </c>
      <c r="N278" s="10" t="str">
        <f t="shared" si="28"/>
        <v>-</v>
      </c>
      <c r="O278" s="11" t="str">
        <f t="shared" si="26"/>
        <v>-</v>
      </c>
      <c r="P278" s="12" t="str">
        <f t="shared" si="29"/>
        <v>-</v>
      </c>
      <c r="R278" s="12" t="str">
        <f t="shared" si="27"/>
        <v>-</v>
      </c>
    </row>
    <row r="279" spans="1:18" ht="14.4">
      <c r="A279" s="26" t="s">
        <v>573</v>
      </c>
      <c r="B279" s="27">
        <v>13718</v>
      </c>
      <c r="C279" s="13">
        <v>33674137185</v>
      </c>
      <c r="D279" s="28" t="s">
        <v>78</v>
      </c>
      <c r="E279" s="14">
        <v>12</v>
      </c>
      <c r="F279" s="15">
        <v>0.39693187910145</v>
      </c>
      <c r="G279" s="16">
        <v>33.46875</v>
      </c>
      <c r="H279" s="29" t="s">
        <v>602</v>
      </c>
      <c r="I279" s="30"/>
      <c r="J279" s="38">
        <f t="shared" si="24"/>
        <v>0</v>
      </c>
      <c r="M279" s="10" t="str">
        <f t="shared" si="25"/>
        <v>-</v>
      </c>
      <c r="N279" s="10" t="str">
        <f t="shared" si="28"/>
        <v>-</v>
      </c>
      <c r="O279" s="11" t="str">
        <f t="shared" si="26"/>
        <v>-</v>
      </c>
      <c r="P279" s="12" t="str">
        <f t="shared" si="29"/>
        <v>-</v>
      </c>
      <c r="R279" s="12" t="str">
        <f t="shared" si="27"/>
        <v>-</v>
      </c>
    </row>
    <row r="280" spans="1:18" ht="14.4">
      <c r="A280" s="26" t="s">
        <v>578</v>
      </c>
      <c r="B280" s="27">
        <v>15143</v>
      </c>
      <c r="C280" s="13">
        <v>33674151433</v>
      </c>
      <c r="D280" s="28" t="s">
        <v>82</v>
      </c>
      <c r="E280" s="14">
        <v>12</v>
      </c>
      <c r="F280" s="15">
        <v>0.22806851159784999</v>
      </c>
      <c r="G280" s="16">
        <v>19.316250000000004</v>
      </c>
      <c r="H280" s="29" t="s">
        <v>602</v>
      </c>
      <c r="I280" s="30"/>
      <c r="J280" s="38">
        <f t="shared" si="24"/>
        <v>0</v>
      </c>
      <c r="M280" s="10" t="str">
        <f t="shared" si="25"/>
        <v>-</v>
      </c>
      <c r="N280" s="10" t="str">
        <f t="shared" si="28"/>
        <v>-</v>
      </c>
      <c r="O280" s="11" t="str">
        <f t="shared" si="26"/>
        <v>-</v>
      </c>
      <c r="P280" s="12" t="str">
        <f t="shared" si="29"/>
        <v>-</v>
      </c>
      <c r="R280" s="12" t="str">
        <f t="shared" si="27"/>
        <v>-</v>
      </c>
    </row>
    <row r="281" spans="1:18" ht="14.4">
      <c r="A281" s="26" t="s">
        <v>580</v>
      </c>
      <c r="B281" s="27">
        <v>7206</v>
      </c>
      <c r="C281" s="13">
        <v>763948072064</v>
      </c>
      <c r="D281" s="28" t="s">
        <v>108</v>
      </c>
      <c r="E281" s="14">
        <v>12</v>
      </c>
      <c r="F281" s="15">
        <v>9.4213403210850019E-2</v>
      </c>
      <c r="G281" s="16">
        <v>17.111250000000002</v>
      </c>
      <c r="H281" s="29" t="s">
        <v>602</v>
      </c>
      <c r="I281" s="30"/>
      <c r="J281" s="38">
        <f t="shared" si="24"/>
        <v>0</v>
      </c>
      <c r="M281" s="10" t="str">
        <f t="shared" si="25"/>
        <v>-</v>
      </c>
      <c r="N281" s="10" t="str">
        <f t="shared" si="28"/>
        <v>-</v>
      </c>
      <c r="O281" s="11" t="str">
        <f t="shared" si="26"/>
        <v>-</v>
      </c>
      <c r="P281" s="12" t="str">
        <f t="shared" si="29"/>
        <v>-</v>
      </c>
      <c r="R281" s="12" t="str">
        <f t="shared" si="27"/>
        <v>-</v>
      </c>
    </row>
    <row r="282" spans="1:18" ht="14.4">
      <c r="A282" s="26" t="s">
        <v>568</v>
      </c>
      <c r="B282" s="27">
        <v>13752</v>
      </c>
      <c r="C282" s="13">
        <v>33674137529</v>
      </c>
      <c r="D282" s="28" t="s">
        <v>110</v>
      </c>
      <c r="E282" s="14">
        <v>12</v>
      </c>
      <c r="F282" s="15">
        <v>0.31455950470944999</v>
      </c>
      <c r="G282" s="16">
        <v>11.688750000000001</v>
      </c>
      <c r="H282" s="29" t="s">
        <v>602</v>
      </c>
      <c r="I282" s="30"/>
      <c r="J282" s="38">
        <f t="shared" si="24"/>
        <v>0</v>
      </c>
      <c r="M282" s="10" t="str">
        <f t="shared" si="25"/>
        <v>-</v>
      </c>
      <c r="N282" s="10" t="str">
        <f t="shared" si="28"/>
        <v>-</v>
      </c>
      <c r="O282" s="11" t="str">
        <f t="shared" si="26"/>
        <v>-</v>
      </c>
      <c r="P282" s="12" t="str">
        <f t="shared" si="29"/>
        <v>-</v>
      </c>
      <c r="R282" s="12" t="str">
        <f t="shared" si="27"/>
        <v>-</v>
      </c>
    </row>
    <row r="283" spans="1:18" ht="14.4">
      <c r="A283" s="26" t="s">
        <v>578</v>
      </c>
      <c r="B283" s="27">
        <v>15383</v>
      </c>
      <c r="C283" s="13">
        <v>33674153833</v>
      </c>
      <c r="D283" s="28" t="s">
        <v>115</v>
      </c>
      <c r="E283" s="14">
        <v>12</v>
      </c>
      <c r="F283" s="15">
        <v>8.0313065032199996E-2</v>
      </c>
      <c r="G283" s="16">
        <v>14.355</v>
      </c>
      <c r="H283" s="29" t="s">
        <v>602</v>
      </c>
      <c r="I283" s="30"/>
      <c r="J283" s="38">
        <f t="shared" si="24"/>
        <v>0</v>
      </c>
      <c r="M283" s="10" t="str">
        <f t="shared" si="25"/>
        <v>-</v>
      </c>
      <c r="N283" s="10" t="str">
        <f t="shared" si="28"/>
        <v>-</v>
      </c>
      <c r="O283" s="11" t="str">
        <f t="shared" si="26"/>
        <v>-</v>
      </c>
      <c r="P283" s="12" t="str">
        <f t="shared" si="29"/>
        <v>-</v>
      </c>
      <c r="R283" s="12" t="str">
        <f t="shared" si="27"/>
        <v>-</v>
      </c>
    </row>
    <row r="284" spans="1:18" ht="14.4">
      <c r="A284" s="26" t="s">
        <v>582</v>
      </c>
      <c r="B284" s="27">
        <v>11925</v>
      </c>
      <c r="C284" s="13">
        <v>33674119259</v>
      </c>
      <c r="D284" s="28" t="s">
        <v>122</v>
      </c>
      <c r="E284" s="14">
        <v>12</v>
      </c>
      <c r="F284" s="15">
        <v>0.30786674929009999</v>
      </c>
      <c r="G284" s="16">
        <v>19.13625</v>
      </c>
      <c r="H284" s="29" t="s">
        <v>602</v>
      </c>
      <c r="I284" s="30"/>
      <c r="J284" s="38">
        <f t="shared" si="24"/>
        <v>0</v>
      </c>
      <c r="M284" s="10" t="str">
        <f t="shared" si="25"/>
        <v>-</v>
      </c>
      <c r="N284" s="10" t="str">
        <f t="shared" si="28"/>
        <v>-</v>
      </c>
      <c r="O284" s="11" t="str">
        <f t="shared" si="26"/>
        <v>-</v>
      </c>
      <c r="P284" s="12" t="str">
        <f t="shared" si="29"/>
        <v>-</v>
      </c>
      <c r="R284" s="12" t="str">
        <f t="shared" si="27"/>
        <v>-</v>
      </c>
    </row>
    <row r="285" spans="1:18" ht="14.4">
      <c r="A285" s="26" t="s">
        <v>585</v>
      </c>
      <c r="B285" s="27">
        <v>4906</v>
      </c>
      <c r="C285" s="13">
        <v>763948049066</v>
      </c>
      <c r="D285" s="28" t="s">
        <v>136</v>
      </c>
      <c r="E285" s="14">
        <v>12</v>
      </c>
      <c r="F285" s="15">
        <v>0.15496302932495001</v>
      </c>
      <c r="G285" s="16">
        <v>18.517500000000002</v>
      </c>
      <c r="H285" s="29" t="s">
        <v>602</v>
      </c>
      <c r="I285" s="30"/>
      <c r="J285" s="38">
        <f t="shared" si="24"/>
        <v>0</v>
      </c>
      <c r="M285" s="10" t="str">
        <f t="shared" si="25"/>
        <v>-</v>
      </c>
      <c r="N285" s="10" t="str">
        <f t="shared" si="28"/>
        <v>-</v>
      </c>
      <c r="O285" s="11" t="str">
        <f t="shared" si="26"/>
        <v>-</v>
      </c>
      <c r="P285" s="12" t="str">
        <f t="shared" si="29"/>
        <v>-</v>
      </c>
      <c r="R285" s="12" t="str">
        <f t="shared" si="27"/>
        <v>-</v>
      </c>
    </row>
    <row r="286" spans="1:18" ht="14.4">
      <c r="A286" s="26" t="s">
        <v>587</v>
      </c>
      <c r="B286" s="27">
        <v>2869</v>
      </c>
      <c r="C286" s="13">
        <v>763948028696</v>
      </c>
      <c r="D286" s="28" t="s">
        <v>141</v>
      </c>
      <c r="E286" s="14">
        <v>12</v>
      </c>
      <c r="F286" s="15">
        <v>0.16062613006439999</v>
      </c>
      <c r="G286" s="16">
        <v>20.958750000000002</v>
      </c>
      <c r="H286" s="29" t="s">
        <v>602</v>
      </c>
      <c r="I286" s="30"/>
      <c r="J286" s="38">
        <f t="shared" si="24"/>
        <v>0</v>
      </c>
      <c r="M286" s="10" t="str">
        <f t="shared" si="25"/>
        <v>-</v>
      </c>
      <c r="N286" s="10" t="str">
        <f t="shared" si="28"/>
        <v>-</v>
      </c>
      <c r="O286" s="11" t="str">
        <f t="shared" si="26"/>
        <v>-</v>
      </c>
      <c r="P286" s="12" t="str">
        <f t="shared" si="29"/>
        <v>-</v>
      </c>
      <c r="R286" s="12" t="str">
        <f t="shared" si="27"/>
        <v>-</v>
      </c>
    </row>
    <row r="287" spans="1:18" ht="14.4">
      <c r="A287" s="26" t="s">
        <v>588</v>
      </c>
      <c r="B287" s="27">
        <v>14346</v>
      </c>
      <c r="C287" s="13">
        <v>33674143469</v>
      </c>
      <c r="D287" s="28" t="s">
        <v>142</v>
      </c>
      <c r="E287" s="14">
        <v>12</v>
      </c>
      <c r="F287" s="15">
        <v>0.31352985002954997</v>
      </c>
      <c r="G287" s="16">
        <v>12.026250000000001</v>
      </c>
      <c r="H287" s="29" t="s">
        <v>602</v>
      </c>
      <c r="I287" s="30"/>
      <c r="J287" s="38">
        <f t="shared" si="24"/>
        <v>0</v>
      </c>
      <c r="M287" s="10" t="str">
        <f t="shared" si="25"/>
        <v>-</v>
      </c>
      <c r="N287" s="10" t="str">
        <f t="shared" si="28"/>
        <v>-</v>
      </c>
      <c r="O287" s="11" t="str">
        <f t="shared" si="26"/>
        <v>-</v>
      </c>
      <c r="P287" s="12" t="str">
        <f t="shared" si="29"/>
        <v>-</v>
      </c>
      <c r="R287" s="12" t="str">
        <f t="shared" si="27"/>
        <v>-</v>
      </c>
    </row>
    <row r="288" spans="1:18" ht="14.4">
      <c r="A288" s="26" t="s">
        <v>567</v>
      </c>
      <c r="B288" s="27">
        <v>41011</v>
      </c>
      <c r="C288" s="13">
        <v>33674410110</v>
      </c>
      <c r="D288" s="28" t="s">
        <v>151</v>
      </c>
      <c r="E288" s="14">
        <v>12</v>
      </c>
      <c r="F288" s="15">
        <v>0.38715015964240002</v>
      </c>
      <c r="G288" s="16">
        <v>15.311249999999999</v>
      </c>
      <c r="H288" s="29" t="s">
        <v>602</v>
      </c>
      <c r="I288" s="30"/>
      <c r="J288" s="38">
        <f t="shared" si="24"/>
        <v>0</v>
      </c>
      <c r="M288" s="10" t="str">
        <f t="shared" si="25"/>
        <v>-</v>
      </c>
      <c r="N288" s="10" t="str">
        <f t="shared" si="28"/>
        <v>-</v>
      </c>
      <c r="O288" s="11" t="str">
        <f t="shared" si="26"/>
        <v>-</v>
      </c>
      <c r="P288" s="12" t="str">
        <f t="shared" si="29"/>
        <v>-</v>
      </c>
      <c r="R288" s="12" t="str">
        <f t="shared" si="27"/>
        <v>-</v>
      </c>
    </row>
    <row r="289" spans="1:18" ht="14.4">
      <c r="A289" s="26" t="s">
        <v>578</v>
      </c>
      <c r="B289" s="27">
        <v>60700</v>
      </c>
      <c r="C289" s="13">
        <v>33674607008</v>
      </c>
      <c r="D289" s="28" t="s">
        <v>164</v>
      </c>
      <c r="E289" s="14">
        <v>12</v>
      </c>
      <c r="F289" s="15">
        <v>7.4135136952799996E-2</v>
      </c>
      <c r="G289" s="16">
        <v>14.355</v>
      </c>
      <c r="H289" s="29" t="s">
        <v>602</v>
      </c>
      <c r="I289" s="30"/>
      <c r="J289" s="38">
        <f t="shared" si="24"/>
        <v>0</v>
      </c>
      <c r="M289" s="10" t="str">
        <f t="shared" si="25"/>
        <v>-</v>
      </c>
      <c r="N289" s="10" t="str">
        <f t="shared" si="28"/>
        <v>-</v>
      </c>
      <c r="O289" s="11" t="str">
        <f t="shared" si="26"/>
        <v>-</v>
      </c>
      <c r="P289" s="12" t="str">
        <f t="shared" si="29"/>
        <v>-</v>
      </c>
      <c r="R289" s="12" t="str">
        <f t="shared" si="27"/>
        <v>-</v>
      </c>
    </row>
    <row r="290" spans="1:18" ht="14.4">
      <c r="A290" s="26" t="s">
        <v>573</v>
      </c>
      <c r="B290" s="27">
        <v>11850</v>
      </c>
      <c r="C290" s="13">
        <v>33674118504</v>
      </c>
      <c r="D290" s="28" t="s">
        <v>173</v>
      </c>
      <c r="E290" s="14">
        <v>12</v>
      </c>
      <c r="F290" s="15">
        <v>9.6787539910600004E-2</v>
      </c>
      <c r="G290" s="16">
        <v>12.757499999999999</v>
      </c>
      <c r="H290" s="29" t="s">
        <v>602</v>
      </c>
      <c r="I290" s="30"/>
      <c r="J290" s="38">
        <f t="shared" si="24"/>
        <v>0</v>
      </c>
      <c r="M290" s="10" t="str">
        <f t="shared" si="25"/>
        <v>-</v>
      </c>
      <c r="N290" s="10" t="str">
        <f t="shared" si="28"/>
        <v>-</v>
      </c>
      <c r="O290" s="11" t="str">
        <f t="shared" si="26"/>
        <v>-</v>
      </c>
      <c r="P290" s="12" t="str">
        <f t="shared" si="29"/>
        <v>-</v>
      </c>
      <c r="R290" s="12" t="str">
        <f t="shared" si="27"/>
        <v>-</v>
      </c>
    </row>
    <row r="291" spans="1:18" ht="14.4">
      <c r="A291" s="26" t="s">
        <v>570</v>
      </c>
      <c r="B291" s="27">
        <v>1315</v>
      </c>
      <c r="C291" s="13">
        <v>763948013159</v>
      </c>
      <c r="D291" s="28" t="s">
        <v>204</v>
      </c>
      <c r="E291" s="14">
        <v>12</v>
      </c>
      <c r="F291" s="15">
        <v>0.13128097168725003</v>
      </c>
      <c r="G291" s="16">
        <v>17.549999999999997</v>
      </c>
      <c r="H291" s="29" t="s">
        <v>602</v>
      </c>
      <c r="I291" s="30"/>
      <c r="J291" s="38">
        <f t="shared" si="24"/>
        <v>0</v>
      </c>
      <c r="M291" s="10" t="str">
        <f t="shared" si="25"/>
        <v>-</v>
      </c>
      <c r="N291" s="10" t="str">
        <f t="shared" si="28"/>
        <v>-</v>
      </c>
      <c r="O291" s="11" t="str">
        <f t="shared" si="26"/>
        <v>-</v>
      </c>
      <c r="P291" s="12" t="str">
        <f t="shared" si="29"/>
        <v>-</v>
      </c>
      <c r="R291" s="12" t="str">
        <f t="shared" si="27"/>
        <v>-</v>
      </c>
    </row>
    <row r="292" spans="1:18" ht="14.4">
      <c r="A292" s="26" t="s">
        <v>569</v>
      </c>
      <c r="B292" s="27">
        <v>15134</v>
      </c>
      <c r="C292" s="13">
        <v>33674151341</v>
      </c>
      <c r="D292" s="28" t="s">
        <v>219</v>
      </c>
      <c r="E292" s="14">
        <v>12</v>
      </c>
      <c r="F292" s="15">
        <v>7.61944463126E-2</v>
      </c>
      <c r="G292" s="16">
        <v>7.6499999999999995</v>
      </c>
      <c r="H292" s="29" t="s">
        <v>602</v>
      </c>
      <c r="I292" s="30"/>
      <c r="J292" s="38">
        <f t="shared" si="24"/>
        <v>0</v>
      </c>
      <c r="M292" s="10" t="str">
        <f t="shared" si="25"/>
        <v>-</v>
      </c>
      <c r="N292" s="10" t="str">
        <f t="shared" si="28"/>
        <v>-</v>
      </c>
      <c r="O292" s="11" t="str">
        <f t="shared" si="26"/>
        <v>-</v>
      </c>
      <c r="P292" s="12" t="str">
        <f t="shared" si="29"/>
        <v>-</v>
      </c>
      <c r="R292" s="12" t="str">
        <f t="shared" si="27"/>
        <v>-</v>
      </c>
    </row>
    <row r="293" spans="1:18" ht="14.4">
      <c r="A293" s="26" t="s">
        <v>569</v>
      </c>
      <c r="B293" s="27">
        <v>15135</v>
      </c>
      <c r="C293" s="13">
        <v>33674151358</v>
      </c>
      <c r="D293" s="28" t="s">
        <v>220</v>
      </c>
      <c r="E293" s="14">
        <v>12</v>
      </c>
      <c r="F293" s="15">
        <v>0.12819200764754998</v>
      </c>
      <c r="G293" s="16">
        <v>14.028750000000002</v>
      </c>
      <c r="H293" s="29" t="s">
        <v>602</v>
      </c>
      <c r="I293" s="30"/>
      <c r="J293" s="38">
        <f t="shared" si="24"/>
        <v>0</v>
      </c>
      <c r="M293" s="10" t="str">
        <f t="shared" si="25"/>
        <v>-</v>
      </c>
      <c r="N293" s="10" t="str">
        <f t="shared" si="28"/>
        <v>-</v>
      </c>
      <c r="O293" s="11" t="str">
        <f t="shared" si="26"/>
        <v>-</v>
      </c>
      <c r="P293" s="12" t="str">
        <f t="shared" si="29"/>
        <v>-</v>
      </c>
      <c r="R293" s="12" t="str">
        <f t="shared" si="27"/>
        <v>-</v>
      </c>
    </row>
    <row r="294" spans="1:18" ht="14.4">
      <c r="A294" s="26" t="s">
        <v>590</v>
      </c>
      <c r="B294" s="27">
        <v>12200</v>
      </c>
      <c r="C294" s="13">
        <v>33674122006</v>
      </c>
      <c r="D294" s="28" t="s">
        <v>226</v>
      </c>
      <c r="E294" s="14">
        <v>12</v>
      </c>
      <c r="F294" s="15">
        <v>8.4946511091749999E-2</v>
      </c>
      <c r="G294" s="16">
        <v>6.3787499999999993</v>
      </c>
      <c r="H294" s="29" t="s">
        <v>602</v>
      </c>
      <c r="I294" s="30"/>
      <c r="J294" s="38">
        <f t="shared" si="24"/>
        <v>0</v>
      </c>
      <c r="M294" s="10" t="str">
        <f t="shared" si="25"/>
        <v>-</v>
      </c>
      <c r="N294" s="10" t="str">
        <f t="shared" si="28"/>
        <v>-</v>
      </c>
      <c r="O294" s="11" t="str">
        <f t="shared" si="26"/>
        <v>-</v>
      </c>
      <c r="P294" s="12" t="str">
        <f t="shared" si="29"/>
        <v>-</v>
      </c>
      <c r="R294" s="12" t="str">
        <f t="shared" si="27"/>
        <v>-</v>
      </c>
    </row>
    <row r="295" spans="1:18" ht="14.4">
      <c r="A295" s="26" t="s">
        <v>580</v>
      </c>
      <c r="B295" s="27">
        <v>14536</v>
      </c>
      <c r="C295" s="13">
        <v>33674145364</v>
      </c>
      <c r="D295" s="28" t="s">
        <v>246</v>
      </c>
      <c r="E295" s="14">
        <v>12</v>
      </c>
      <c r="F295" s="15">
        <v>7.7224100992500003E-2</v>
      </c>
      <c r="G295" s="16">
        <v>14.028750000000002</v>
      </c>
      <c r="H295" s="29" t="s">
        <v>602</v>
      </c>
      <c r="I295" s="30"/>
      <c r="J295" s="38">
        <f t="shared" si="24"/>
        <v>0</v>
      </c>
      <c r="M295" s="10" t="str">
        <f t="shared" si="25"/>
        <v>-</v>
      </c>
      <c r="N295" s="10" t="str">
        <f t="shared" si="28"/>
        <v>-</v>
      </c>
      <c r="O295" s="11" t="str">
        <f t="shared" si="26"/>
        <v>-</v>
      </c>
      <c r="P295" s="12" t="str">
        <f t="shared" si="29"/>
        <v>-</v>
      </c>
      <c r="R295" s="12" t="str">
        <f t="shared" si="27"/>
        <v>-</v>
      </c>
    </row>
    <row r="296" spans="1:18" ht="14.4">
      <c r="A296" s="26" t="s">
        <v>587</v>
      </c>
      <c r="B296" s="27">
        <v>15429</v>
      </c>
      <c r="C296" s="13">
        <v>33674154298</v>
      </c>
      <c r="D296" s="28" t="s">
        <v>265</v>
      </c>
      <c r="E296" s="14">
        <v>6</v>
      </c>
      <c r="F296" s="15">
        <v>0.86748406781575005</v>
      </c>
      <c r="G296" s="16">
        <v>14.669999999999998</v>
      </c>
      <c r="H296" s="29" t="s">
        <v>602</v>
      </c>
      <c r="I296" s="30"/>
      <c r="J296" s="38">
        <f t="shared" si="24"/>
        <v>0</v>
      </c>
      <c r="M296" s="10" t="str">
        <f t="shared" si="25"/>
        <v>-</v>
      </c>
      <c r="N296" s="10" t="str">
        <f t="shared" si="28"/>
        <v>-</v>
      </c>
      <c r="O296" s="11" t="str">
        <f t="shared" si="26"/>
        <v>-</v>
      </c>
      <c r="P296" s="12" t="str">
        <f t="shared" si="29"/>
        <v>-</v>
      </c>
      <c r="R296" s="12" t="str">
        <f t="shared" si="27"/>
        <v>-</v>
      </c>
    </row>
    <row r="297" spans="1:18" ht="24">
      <c r="A297" s="26" t="s">
        <v>568</v>
      </c>
      <c r="B297" s="27">
        <v>10293</v>
      </c>
      <c r="C297" s="13">
        <v>33674102930</v>
      </c>
      <c r="D297" s="28" t="s">
        <v>271</v>
      </c>
      <c r="E297" s="14">
        <v>12</v>
      </c>
      <c r="F297" s="15">
        <v>0.1019358133101</v>
      </c>
      <c r="G297" s="16">
        <v>16.188749999999999</v>
      </c>
      <c r="H297" s="29" t="s">
        <v>602</v>
      </c>
      <c r="I297" s="30"/>
      <c r="J297" s="38">
        <f t="shared" si="24"/>
        <v>0</v>
      </c>
      <c r="M297" s="10" t="str">
        <f t="shared" si="25"/>
        <v>-</v>
      </c>
      <c r="N297" s="10" t="str">
        <f t="shared" si="28"/>
        <v>-</v>
      </c>
      <c r="O297" s="11" t="str">
        <f t="shared" si="26"/>
        <v>-</v>
      </c>
      <c r="P297" s="12" t="str">
        <f t="shared" si="29"/>
        <v>-</v>
      </c>
      <c r="R297" s="12" t="str">
        <f t="shared" si="27"/>
        <v>-</v>
      </c>
    </row>
    <row r="298" spans="1:18" ht="14.4">
      <c r="A298" s="26" t="s">
        <v>578</v>
      </c>
      <c r="B298" s="27">
        <v>13800</v>
      </c>
      <c r="C298" s="13">
        <v>33674138007</v>
      </c>
      <c r="D298" s="28" t="s">
        <v>308</v>
      </c>
      <c r="E298" s="14">
        <v>12</v>
      </c>
      <c r="F298" s="15">
        <v>9.2668921191000009E-2</v>
      </c>
      <c r="G298" s="16">
        <v>23.490000000000002</v>
      </c>
      <c r="H298" s="29" t="s">
        <v>602</v>
      </c>
      <c r="I298" s="30"/>
      <c r="J298" s="38">
        <f t="shared" si="24"/>
        <v>0</v>
      </c>
      <c r="M298" s="10" t="str">
        <f t="shared" si="25"/>
        <v>-</v>
      </c>
      <c r="N298" s="10" t="str">
        <f t="shared" si="28"/>
        <v>-</v>
      </c>
      <c r="O298" s="11" t="str">
        <f t="shared" si="26"/>
        <v>-</v>
      </c>
      <c r="P298" s="12" t="str">
        <f t="shared" si="29"/>
        <v>-</v>
      </c>
      <c r="R298" s="12" t="str">
        <f t="shared" si="27"/>
        <v>-</v>
      </c>
    </row>
    <row r="299" spans="1:18" ht="14.4">
      <c r="A299" s="26" t="s">
        <v>587</v>
      </c>
      <c r="B299" s="27">
        <v>61900</v>
      </c>
      <c r="C299" s="13">
        <v>33674619001</v>
      </c>
      <c r="D299" s="28" t="s">
        <v>318</v>
      </c>
      <c r="E299" s="14">
        <v>12</v>
      </c>
      <c r="F299" s="15">
        <v>9.781719459050002E-2</v>
      </c>
      <c r="G299" s="16">
        <v>12.757499999999999</v>
      </c>
      <c r="H299" s="29" t="s">
        <v>602</v>
      </c>
      <c r="I299" s="30"/>
      <c r="J299" s="38">
        <f t="shared" si="24"/>
        <v>0</v>
      </c>
      <c r="M299" s="10" t="str">
        <f t="shared" si="25"/>
        <v>-</v>
      </c>
      <c r="N299" s="10" t="str">
        <f t="shared" si="28"/>
        <v>-</v>
      </c>
      <c r="O299" s="11" t="str">
        <f t="shared" si="26"/>
        <v>-</v>
      </c>
      <c r="P299" s="12" t="str">
        <f t="shared" si="29"/>
        <v>-</v>
      </c>
      <c r="R299" s="12" t="str">
        <f t="shared" si="27"/>
        <v>-</v>
      </c>
    </row>
    <row r="300" spans="1:18" ht="14.4">
      <c r="A300" s="26" t="s">
        <v>565</v>
      </c>
      <c r="B300" s="27">
        <v>15493</v>
      </c>
      <c r="C300" s="13">
        <v>33674154939</v>
      </c>
      <c r="D300" s="28" t="s">
        <v>322</v>
      </c>
      <c r="E300" s="14">
        <v>12</v>
      </c>
      <c r="F300" s="15">
        <v>8.2372374392E-2</v>
      </c>
      <c r="G300" s="16">
        <v>13.004999999999999</v>
      </c>
      <c r="H300" s="29" t="s">
        <v>602</v>
      </c>
      <c r="I300" s="30"/>
      <c r="J300" s="38">
        <f t="shared" si="24"/>
        <v>0</v>
      </c>
      <c r="M300" s="10" t="str">
        <f t="shared" si="25"/>
        <v>-</v>
      </c>
      <c r="N300" s="10" t="str">
        <f t="shared" si="28"/>
        <v>-</v>
      </c>
      <c r="O300" s="11" t="str">
        <f t="shared" si="26"/>
        <v>-</v>
      </c>
      <c r="P300" s="12" t="str">
        <f t="shared" si="29"/>
        <v>-</v>
      </c>
      <c r="R300" s="12" t="str">
        <f t="shared" si="27"/>
        <v>-</v>
      </c>
    </row>
    <row r="301" spans="1:18" ht="14.4">
      <c r="A301" s="26" t="s">
        <v>587</v>
      </c>
      <c r="B301" s="27">
        <v>15431</v>
      </c>
      <c r="C301" s="13">
        <v>33674154311</v>
      </c>
      <c r="D301" s="28" t="s">
        <v>342</v>
      </c>
      <c r="E301" s="14">
        <v>12</v>
      </c>
      <c r="F301" s="15">
        <v>7.2075827593000005E-2</v>
      </c>
      <c r="G301" s="16">
        <v>16.830000000000002</v>
      </c>
      <c r="H301" s="29" t="s">
        <v>602</v>
      </c>
      <c r="I301" s="30"/>
      <c r="J301" s="38">
        <f t="shared" si="24"/>
        <v>0</v>
      </c>
      <c r="M301" s="10" t="str">
        <f t="shared" si="25"/>
        <v>-</v>
      </c>
      <c r="N301" s="10" t="str">
        <f t="shared" si="28"/>
        <v>-</v>
      </c>
      <c r="O301" s="11" t="str">
        <f t="shared" si="26"/>
        <v>-</v>
      </c>
      <c r="P301" s="12" t="str">
        <f t="shared" si="29"/>
        <v>-</v>
      </c>
      <c r="R301" s="12" t="str">
        <f t="shared" si="27"/>
        <v>-</v>
      </c>
    </row>
    <row r="302" spans="1:18" ht="14.4">
      <c r="A302" s="26" t="s">
        <v>567</v>
      </c>
      <c r="B302" s="27">
        <v>14880</v>
      </c>
      <c r="C302" s="13">
        <v>33674148808</v>
      </c>
      <c r="D302" s="28" t="s">
        <v>356</v>
      </c>
      <c r="E302" s="14">
        <v>12</v>
      </c>
      <c r="F302" s="15">
        <v>0.21931644681869999</v>
      </c>
      <c r="G302" s="16">
        <v>14.838750000000001</v>
      </c>
      <c r="H302" s="29" t="s">
        <v>602</v>
      </c>
      <c r="I302" s="30"/>
      <c r="J302" s="38">
        <f t="shared" si="24"/>
        <v>0</v>
      </c>
      <c r="M302" s="10" t="str">
        <f t="shared" si="25"/>
        <v>-</v>
      </c>
      <c r="N302" s="10" t="str">
        <f t="shared" si="28"/>
        <v>-</v>
      </c>
      <c r="O302" s="11" t="str">
        <f t="shared" si="26"/>
        <v>-</v>
      </c>
      <c r="P302" s="12" t="str">
        <f t="shared" si="29"/>
        <v>-</v>
      </c>
      <c r="R302" s="12" t="str">
        <f t="shared" si="27"/>
        <v>-</v>
      </c>
    </row>
    <row r="303" spans="1:18" ht="14.4">
      <c r="A303" s="26" t="s">
        <v>588</v>
      </c>
      <c r="B303" s="27">
        <v>15682</v>
      </c>
      <c r="C303" s="13">
        <v>33674156827</v>
      </c>
      <c r="D303" s="28" t="s">
        <v>364</v>
      </c>
      <c r="E303" s="14">
        <v>12</v>
      </c>
      <c r="F303" s="15">
        <v>0.16217061208425002</v>
      </c>
      <c r="G303" s="16">
        <v>14.355</v>
      </c>
      <c r="H303" s="29" t="s">
        <v>602</v>
      </c>
      <c r="I303" s="30"/>
      <c r="J303" s="38">
        <f t="shared" si="24"/>
        <v>0</v>
      </c>
      <c r="M303" s="10" t="str">
        <f t="shared" si="25"/>
        <v>-</v>
      </c>
      <c r="N303" s="10" t="str">
        <f t="shared" si="28"/>
        <v>-</v>
      </c>
      <c r="O303" s="11" t="str">
        <f t="shared" si="26"/>
        <v>-</v>
      </c>
      <c r="P303" s="12" t="str">
        <f t="shared" si="29"/>
        <v>-</v>
      </c>
      <c r="R303" s="12" t="str">
        <f t="shared" si="27"/>
        <v>-</v>
      </c>
    </row>
    <row r="304" spans="1:18" ht="14.4">
      <c r="A304" s="26" t="s">
        <v>578</v>
      </c>
      <c r="B304" s="27">
        <v>15181</v>
      </c>
      <c r="C304" s="13">
        <v>33674151815</v>
      </c>
      <c r="D304" s="28" t="s">
        <v>391</v>
      </c>
      <c r="E304" s="14">
        <v>12</v>
      </c>
      <c r="F304" s="15">
        <v>8.3402029071900016E-2</v>
      </c>
      <c r="G304" s="16">
        <v>13.049999999999999</v>
      </c>
      <c r="H304" s="29" t="s">
        <v>602</v>
      </c>
      <c r="I304" s="30"/>
      <c r="J304" s="38">
        <f t="shared" si="24"/>
        <v>0</v>
      </c>
      <c r="M304" s="10" t="str">
        <f t="shared" si="25"/>
        <v>-</v>
      </c>
      <c r="N304" s="10" t="str">
        <f t="shared" si="28"/>
        <v>-</v>
      </c>
      <c r="O304" s="11" t="str">
        <f t="shared" si="26"/>
        <v>-</v>
      </c>
      <c r="P304" s="12" t="str">
        <f t="shared" si="29"/>
        <v>-</v>
      </c>
      <c r="R304" s="12" t="str">
        <f t="shared" si="27"/>
        <v>-</v>
      </c>
    </row>
    <row r="305" spans="1:18" ht="14.4">
      <c r="A305" s="26" t="s">
        <v>568</v>
      </c>
      <c r="B305" s="27">
        <v>14159</v>
      </c>
      <c r="C305" s="13">
        <v>33674141595</v>
      </c>
      <c r="D305" s="28" t="s">
        <v>392</v>
      </c>
      <c r="E305" s="14">
        <v>12</v>
      </c>
      <c r="F305" s="15">
        <v>0.10399512266990001</v>
      </c>
      <c r="G305" s="16">
        <v>8.0212500000000002</v>
      </c>
      <c r="H305" s="29" t="s">
        <v>602</v>
      </c>
      <c r="I305" s="30"/>
      <c r="J305" s="38">
        <f t="shared" si="24"/>
        <v>0</v>
      </c>
      <c r="M305" s="10" t="str">
        <f t="shared" si="25"/>
        <v>-</v>
      </c>
      <c r="N305" s="10" t="str">
        <f t="shared" si="28"/>
        <v>-</v>
      </c>
      <c r="O305" s="11" t="str">
        <f t="shared" si="26"/>
        <v>-</v>
      </c>
      <c r="P305" s="12" t="str">
        <f t="shared" si="29"/>
        <v>-</v>
      </c>
      <c r="R305" s="12" t="str">
        <f t="shared" si="27"/>
        <v>-</v>
      </c>
    </row>
    <row r="306" spans="1:18" ht="14.4">
      <c r="A306" s="26" t="s">
        <v>578</v>
      </c>
      <c r="B306" s="27">
        <v>15796</v>
      </c>
      <c r="C306" s="13">
        <v>33674157961</v>
      </c>
      <c r="D306" s="28" t="s">
        <v>394</v>
      </c>
      <c r="E306" s="14">
        <v>12</v>
      </c>
      <c r="F306" s="15">
        <v>0.24042436775665002</v>
      </c>
      <c r="G306" s="16">
        <v>14.400000000000002</v>
      </c>
      <c r="H306" s="29" t="s">
        <v>602</v>
      </c>
      <c r="I306" s="30"/>
      <c r="J306" s="38">
        <f t="shared" si="24"/>
        <v>0</v>
      </c>
      <c r="M306" s="10" t="str">
        <f t="shared" si="25"/>
        <v>-</v>
      </c>
      <c r="N306" s="10" t="str">
        <f t="shared" si="28"/>
        <v>-</v>
      </c>
      <c r="O306" s="11" t="str">
        <f t="shared" si="26"/>
        <v>-</v>
      </c>
      <c r="P306" s="12" t="str">
        <f t="shared" si="29"/>
        <v>-</v>
      </c>
      <c r="R306" s="12" t="str">
        <f t="shared" si="27"/>
        <v>-</v>
      </c>
    </row>
    <row r="307" spans="1:18" ht="14.4">
      <c r="A307" s="26" t="s">
        <v>578</v>
      </c>
      <c r="B307" s="27">
        <v>15385</v>
      </c>
      <c r="C307" s="13">
        <v>33674153857</v>
      </c>
      <c r="D307" s="28" t="s">
        <v>406</v>
      </c>
      <c r="E307" s="14">
        <v>12</v>
      </c>
      <c r="F307" s="15">
        <v>7.5679618972650006E-2</v>
      </c>
      <c r="G307" s="16">
        <v>13.049999999999999</v>
      </c>
      <c r="H307" s="29" t="s">
        <v>602</v>
      </c>
      <c r="I307" s="30"/>
      <c r="J307" s="38">
        <f t="shared" si="24"/>
        <v>0</v>
      </c>
      <c r="M307" s="10" t="str">
        <f t="shared" si="25"/>
        <v>-</v>
      </c>
      <c r="N307" s="10" t="str">
        <f t="shared" si="28"/>
        <v>-</v>
      </c>
      <c r="O307" s="11" t="str">
        <f t="shared" si="26"/>
        <v>-</v>
      </c>
      <c r="P307" s="12" t="str">
        <f t="shared" si="29"/>
        <v>-</v>
      </c>
      <c r="R307" s="12" t="str">
        <f t="shared" si="27"/>
        <v>-</v>
      </c>
    </row>
    <row r="308" spans="1:18" ht="14.4">
      <c r="A308" s="26" t="s">
        <v>568</v>
      </c>
      <c r="B308" s="27">
        <v>4299</v>
      </c>
      <c r="C308" s="13">
        <v>763948042999</v>
      </c>
      <c r="D308" s="28" t="s">
        <v>422</v>
      </c>
      <c r="E308" s="14">
        <v>12</v>
      </c>
      <c r="F308" s="15">
        <v>6.0063189660833328E-2</v>
      </c>
      <c r="G308" s="16">
        <v>24.806250000000002</v>
      </c>
      <c r="H308" s="29" t="s">
        <v>602</v>
      </c>
      <c r="I308" s="30"/>
      <c r="J308" s="38">
        <f t="shared" si="24"/>
        <v>0</v>
      </c>
      <c r="M308" s="10" t="str">
        <f t="shared" si="25"/>
        <v>-</v>
      </c>
      <c r="N308" s="10" t="str">
        <f t="shared" si="28"/>
        <v>-</v>
      </c>
      <c r="O308" s="11" t="str">
        <f t="shared" si="26"/>
        <v>-</v>
      </c>
      <c r="P308" s="12" t="str">
        <f t="shared" si="29"/>
        <v>-</v>
      </c>
      <c r="R308" s="12" t="str">
        <f t="shared" si="27"/>
        <v>-</v>
      </c>
    </row>
    <row r="309" spans="1:18" ht="14.4">
      <c r="A309" s="26" t="s">
        <v>569</v>
      </c>
      <c r="B309" s="27">
        <v>62800</v>
      </c>
      <c r="C309" s="13">
        <v>33674628003</v>
      </c>
      <c r="D309" s="28" t="s">
        <v>484</v>
      </c>
      <c r="E309" s="14">
        <v>12</v>
      </c>
      <c r="F309" s="15">
        <v>7.1561000253050011E-2</v>
      </c>
      <c r="G309" s="16">
        <v>15.311249999999999</v>
      </c>
      <c r="H309" s="29" t="s">
        <v>602</v>
      </c>
      <c r="I309" s="30"/>
      <c r="J309" s="38">
        <f t="shared" si="24"/>
        <v>0</v>
      </c>
      <c r="M309" s="10" t="str">
        <f t="shared" si="25"/>
        <v>-</v>
      </c>
      <c r="N309" s="10" t="str">
        <f t="shared" si="28"/>
        <v>-</v>
      </c>
      <c r="O309" s="11" t="str">
        <f t="shared" si="26"/>
        <v>-</v>
      </c>
      <c r="P309" s="12" t="str">
        <f t="shared" si="29"/>
        <v>-</v>
      </c>
      <c r="R309" s="12" t="str">
        <f t="shared" si="27"/>
        <v>-</v>
      </c>
    </row>
    <row r="310" spans="1:18" ht="14.4">
      <c r="A310" s="26" t="s">
        <v>571</v>
      </c>
      <c r="B310" s="27">
        <v>13508</v>
      </c>
      <c r="C310" s="13">
        <v>33674135082</v>
      </c>
      <c r="D310" s="28" t="s">
        <v>488</v>
      </c>
      <c r="E310" s="14">
        <v>12</v>
      </c>
      <c r="F310" s="15">
        <v>0.18894163376164999</v>
      </c>
      <c r="G310" s="16">
        <v>10.203749999999999</v>
      </c>
      <c r="H310" s="29" t="s">
        <v>602</v>
      </c>
      <c r="I310" s="30"/>
      <c r="J310" s="38">
        <f t="shared" si="24"/>
        <v>0</v>
      </c>
      <c r="M310" s="10" t="str">
        <f t="shared" si="25"/>
        <v>-</v>
      </c>
      <c r="N310" s="10" t="str">
        <f t="shared" si="28"/>
        <v>-</v>
      </c>
      <c r="O310" s="11" t="str">
        <f t="shared" si="26"/>
        <v>-</v>
      </c>
      <c r="P310" s="12" t="str">
        <f t="shared" si="29"/>
        <v>-</v>
      </c>
      <c r="R310" s="12" t="str">
        <f t="shared" si="27"/>
        <v>-</v>
      </c>
    </row>
    <row r="311" spans="1:18" ht="14.4">
      <c r="A311" s="26" t="s">
        <v>591</v>
      </c>
      <c r="B311" s="27">
        <v>16900</v>
      </c>
      <c r="C311" s="13">
        <v>33674169001</v>
      </c>
      <c r="D311" s="28" t="s">
        <v>489</v>
      </c>
      <c r="E311" s="14">
        <v>12</v>
      </c>
      <c r="F311" s="15">
        <v>0.12149925222820002</v>
      </c>
      <c r="G311" s="16">
        <v>8.0212500000000002</v>
      </c>
      <c r="H311" s="29" t="s">
        <v>602</v>
      </c>
      <c r="I311" s="30"/>
      <c r="J311" s="38">
        <f t="shared" si="24"/>
        <v>0</v>
      </c>
      <c r="M311" s="10" t="str">
        <f t="shared" si="25"/>
        <v>-</v>
      </c>
      <c r="N311" s="10" t="str">
        <f t="shared" si="28"/>
        <v>-</v>
      </c>
      <c r="O311" s="11" t="str">
        <f t="shared" si="26"/>
        <v>-</v>
      </c>
      <c r="P311" s="12" t="str">
        <f t="shared" si="29"/>
        <v>-</v>
      </c>
      <c r="R311" s="12" t="str">
        <f t="shared" si="27"/>
        <v>-</v>
      </c>
    </row>
    <row r="312" spans="1:18" ht="14.4">
      <c r="A312" s="26" t="s">
        <v>591</v>
      </c>
      <c r="B312" s="27">
        <v>13920</v>
      </c>
      <c r="C312" s="13">
        <v>33674139202</v>
      </c>
      <c r="D312" s="28" t="s">
        <v>493</v>
      </c>
      <c r="E312" s="14">
        <v>12</v>
      </c>
      <c r="F312" s="15">
        <v>0.3047777852504</v>
      </c>
      <c r="G312" s="16">
        <v>9.776250000000001</v>
      </c>
      <c r="H312" s="29" t="s">
        <v>602</v>
      </c>
      <c r="I312" s="30"/>
      <c r="J312" s="38">
        <f t="shared" si="24"/>
        <v>0</v>
      </c>
      <c r="M312" s="10" t="str">
        <f t="shared" si="25"/>
        <v>-</v>
      </c>
      <c r="N312" s="10" t="str">
        <f t="shared" si="28"/>
        <v>-</v>
      </c>
      <c r="O312" s="11" t="str">
        <f t="shared" si="26"/>
        <v>-</v>
      </c>
      <c r="P312" s="12" t="str">
        <f t="shared" si="29"/>
        <v>-</v>
      </c>
      <c r="R312" s="12" t="str">
        <f t="shared" si="27"/>
        <v>-</v>
      </c>
    </row>
    <row r="313" spans="1:18" ht="14.4">
      <c r="A313" s="26" t="s">
        <v>581</v>
      </c>
      <c r="B313" s="27">
        <v>63100</v>
      </c>
      <c r="C313" s="13">
        <v>33674631003</v>
      </c>
      <c r="D313" s="28" t="s">
        <v>515</v>
      </c>
      <c r="E313" s="14">
        <v>12</v>
      </c>
      <c r="F313" s="15">
        <v>0.1019358133101</v>
      </c>
      <c r="G313" s="16">
        <v>17.865000000000002</v>
      </c>
      <c r="H313" s="29" t="s">
        <v>602</v>
      </c>
      <c r="I313" s="30"/>
      <c r="J313" s="38">
        <f t="shared" si="24"/>
        <v>0</v>
      </c>
      <c r="M313" s="10" t="str">
        <f t="shared" si="25"/>
        <v>-</v>
      </c>
      <c r="N313" s="10" t="str">
        <f t="shared" si="28"/>
        <v>-</v>
      </c>
      <c r="O313" s="11" t="str">
        <f t="shared" si="26"/>
        <v>-</v>
      </c>
      <c r="P313" s="12" t="str">
        <f t="shared" si="29"/>
        <v>-</v>
      </c>
      <c r="R313" s="12" t="str">
        <f t="shared" si="27"/>
        <v>-</v>
      </c>
    </row>
    <row r="314" spans="1:18" ht="14.4">
      <c r="A314" s="26" t="s">
        <v>569</v>
      </c>
      <c r="B314" s="27">
        <v>79320</v>
      </c>
      <c r="C314" s="13">
        <v>33674793206</v>
      </c>
      <c r="D314" s="28" t="s">
        <v>524</v>
      </c>
      <c r="E314" s="14">
        <v>12</v>
      </c>
      <c r="F314" s="15">
        <v>9.9876503950299997E-2</v>
      </c>
      <c r="G314" s="16">
        <v>7.6499999999999995</v>
      </c>
      <c r="H314" s="29" t="s">
        <v>602</v>
      </c>
      <c r="I314" s="30"/>
      <c r="J314" s="38">
        <f t="shared" si="24"/>
        <v>0</v>
      </c>
      <c r="M314" s="10" t="str">
        <f t="shared" si="25"/>
        <v>-</v>
      </c>
      <c r="N314" s="10" t="str">
        <f t="shared" si="28"/>
        <v>-</v>
      </c>
      <c r="O314" s="11" t="str">
        <f t="shared" si="26"/>
        <v>-</v>
      </c>
      <c r="P314" s="12" t="str">
        <f t="shared" si="29"/>
        <v>-</v>
      </c>
      <c r="R314" s="12" t="str">
        <f t="shared" si="27"/>
        <v>-</v>
      </c>
    </row>
    <row r="315" spans="1:18" ht="14.4">
      <c r="A315" s="26" t="s">
        <v>571</v>
      </c>
      <c r="B315" s="27">
        <v>40440</v>
      </c>
      <c r="C315" s="13">
        <v>33674404409</v>
      </c>
      <c r="D315" s="28" t="s">
        <v>532</v>
      </c>
      <c r="E315" s="14">
        <v>12</v>
      </c>
      <c r="F315" s="15">
        <v>7.1046172913100003E-2</v>
      </c>
      <c r="G315" s="16">
        <v>12.757499999999999</v>
      </c>
      <c r="H315" s="29" t="s">
        <v>602</v>
      </c>
      <c r="I315" s="30"/>
      <c r="J315" s="38">
        <f t="shared" si="24"/>
        <v>0</v>
      </c>
      <c r="M315" s="10" t="str">
        <f t="shared" si="25"/>
        <v>-</v>
      </c>
      <c r="N315" s="10" t="str">
        <f t="shared" si="28"/>
        <v>-</v>
      </c>
      <c r="O315" s="11" t="str">
        <f t="shared" si="26"/>
        <v>-</v>
      </c>
      <c r="P315" s="12" t="str">
        <f t="shared" si="29"/>
        <v>-</v>
      </c>
      <c r="R315" s="12" t="str">
        <f t="shared" si="27"/>
        <v>-</v>
      </c>
    </row>
    <row r="316" spans="1:18" ht="14.4">
      <c r="A316" s="26" t="s">
        <v>578</v>
      </c>
      <c r="B316" s="27">
        <v>40331</v>
      </c>
      <c r="C316" s="13">
        <v>33674403310</v>
      </c>
      <c r="D316" s="28" t="s">
        <v>535</v>
      </c>
      <c r="E316" s="14">
        <v>12</v>
      </c>
      <c r="F316" s="15">
        <v>0.37942774954314995</v>
      </c>
      <c r="G316" s="16">
        <v>16.661249999999999</v>
      </c>
      <c r="H316" s="29" t="s">
        <v>602</v>
      </c>
      <c r="I316" s="30"/>
      <c r="J316" s="38">
        <f t="shared" si="24"/>
        <v>0</v>
      </c>
      <c r="M316" s="10" t="str">
        <f t="shared" si="25"/>
        <v>-</v>
      </c>
      <c r="N316" s="10" t="str">
        <f t="shared" si="28"/>
        <v>-</v>
      </c>
      <c r="O316" s="11" t="str">
        <f t="shared" si="26"/>
        <v>-</v>
      </c>
      <c r="P316" s="12" t="str">
        <f t="shared" si="29"/>
        <v>-</v>
      </c>
      <c r="R316" s="12" t="str">
        <f t="shared" si="27"/>
        <v>-</v>
      </c>
    </row>
    <row r="317" spans="1:18" ht="14.4">
      <c r="A317" s="26" t="s">
        <v>578</v>
      </c>
      <c r="B317" s="27">
        <v>40311</v>
      </c>
      <c r="C317" s="13">
        <v>33674403112</v>
      </c>
      <c r="D317" s="28" t="s">
        <v>540</v>
      </c>
      <c r="E317" s="14">
        <v>12</v>
      </c>
      <c r="F317" s="15">
        <v>0.29808502983105006</v>
      </c>
      <c r="G317" s="16">
        <v>14.096249999999998</v>
      </c>
      <c r="H317" s="29" t="s">
        <v>602</v>
      </c>
      <c r="I317" s="30"/>
      <c r="J317" s="38">
        <f t="shared" si="24"/>
        <v>0</v>
      </c>
      <c r="M317" s="10" t="str">
        <f t="shared" si="25"/>
        <v>-</v>
      </c>
      <c r="N317" s="10" t="str">
        <f t="shared" si="28"/>
        <v>-</v>
      </c>
      <c r="O317" s="11" t="str">
        <f t="shared" si="26"/>
        <v>-</v>
      </c>
      <c r="P317" s="12" t="str">
        <f t="shared" si="29"/>
        <v>-</v>
      </c>
      <c r="R317" s="12" t="str">
        <f t="shared" si="27"/>
        <v>-</v>
      </c>
    </row>
    <row r="318" spans="1:18" ht="14.4">
      <c r="A318" s="26" t="s">
        <v>578</v>
      </c>
      <c r="B318" s="27">
        <v>13608</v>
      </c>
      <c r="C318" s="13">
        <v>33674136089</v>
      </c>
      <c r="D318" s="28" t="s">
        <v>545</v>
      </c>
      <c r="E318" s="14">
        <v>12</v>
      </c>
      <c r="F318" s="15">
        <v>0.45304805915600005</v>
      </c>
      <c r="G318" s="16">
        <v>13.061249999999999</v>
      </c>
      <c r="H318" s="29" t="s">
        <v>602</v>
      </c>
      <c r="I318" s="30"/>
      <c r="J318" s="38">
        <f t="shared" si="24"/>
        <v>0</v>
      </c>
      <c r="M318" s="10" t="str">
        <f t="shared" si="25"/>
        <v>-</v>
      </c>
      <c r="N318" s="10" t="str">
        <f t="shared" si="28"/>
        <v>-</v>
      </c>
      <c r="O318" s="11" t="str">
        <f t="shared" si="26"/>
        <v>-</v>
      </c>
      <c r="P318" s="12" t="str">
        <f t="shared" si="29"/>
        <v>-</v>
      </c>
      <c r="R318" s="12" t="str">
        <f t="shared" si="27"/>
        <v>-</v>
      </c>
    </row>
    <row r="319" spans="1:18" ht="14.4">
      <c r="A319" s="26" t="s">
        <v>578</v>
      </c>
      <c r="B319" s="27">
        <v>5006</v>
      </c>
      <c r="C319" s="13">
        <v>763948050062</v>
      </c>
      <c r="D319" s="28" t="s">
        <v>561</v>
      </c>
      <c r="E319" s="14">
        <v>12</v>
      </c>
      <c r="F319" s="15">
        <v>6.5383072173649998E-2</v>
      </c>
      <c r="G319" s="16">
        <v>5.9174999999999995</v>
      </c>
      <c r="H319" s="29" t="s">
        <v>602</v>
      </c>
      <c r="I319" s="30"/>
      <c r="J319" s="38">
        <f t="shared" si="24"/>
        <v>0</v>
      </c>
      <c r="M319" s="10" t="str">
        <f t="shared" si="25"/>
        <v>-</v>
      </c>
      <c r="N319" s="10" t="str">
        <f t="shared" si="28"/>
        <v>-</v>
      </c>
      <c r="O319" s="11" t="str">
        <f t="shared" si="26"/>
        <v>-</v>
      </c>
      <c r="P319" s="12" t="str">
        <f t="shared" si="29"/>
        <v>-</v>
      </c>
      <c r="R319" s="12" t="str">
        <f t="shared" si="27"/>
        <v>-</v>
      </c>
    </row>
    <row r="320" spans="1:18" ht="14.4">
      <c r="A320" s="26" t="s">
        <v>578</v>
      </c>
      <c r="B320" s="27">
        <v>10180</v>
      </c>
      <c r="C320" s="13">
        <v>33674101803</v>
      </c>
      <c r="D320" s="28" t="s">
        <v>116</v>
      </c>
      <c r="E320" s="14">
        <v>12</v>
      </c>
      <c r="F320" s="15">
        <v>0.12767718030760003</v>
      </c>
      <c r="G320" s="16">
        <v>10.439999999999998</v>
      </c>
      <c r="H320" s="29" t="s">
        <v>602</v>
      </c>
      <c r="I320" s="30"/>
      <c r="J320" s="38">
        <f t="shared" si="24"/>
        <v>0</v>
      </c>
      <c r="M320" s="10" t="str">
        <f t="shared" si="25"/>
        <v>-</v>
      </c>
      <c r="N320" s="10" t="str">
        <f t="shared" si="28"/>
        <v>-</v>
      </c>
      <c r="O320" s="11" t="str">
        <f t="shared" si="26"/>
        <v>-</v>
      </c>
      <c r="P320" s="12" t="str">
        <f t="shared" si="29"/>
        <v>-</v>
      </c>
      <c r="R320" s="12" t="str">
        <f t="shared" si="27"/>
        <v>-</v>
      </c>
    </row>
    <row r="321" spans="1:18" ht="14.4">
      <c r="A321" s="26" t="s">
        <v>565</v>
      </c>
      <c r="B321" s="27">
        <v>14983</v>
      </c>
      <c r="C321" s="13">
        <v>33674149836</v>
      </c>
      <c r="D321" s="28" t="s">
        <v>156</v>
      </c>
      <c r="E321" s="14">
        <v>12</v>
      </c>
      <c r="F321" s="15">
        <v>0.16011130272445004</v>
      </c>
      <c r="G321" s="16">
        <v>10.8675</v>
      </c>
      <c r="H321" s="29" t="s">
        <v>602</v>
      </c>
      <c r="I321" s="30"/>
      <c r="J321" s="38">
        <f t="shared" si="24"/>
        <v>0</v>
      </c>
      <c r="M321" s="10" t="str">
        <f t="shared" si="25"/>
        <v>-</v>
      </c>
      <c r="N321" s="10" t="str">
        <f t="shared" si="28"/>
        <v>-</v>
      </c>
      <c r="O321" s="11" t="str">
        <f t="shared" si="26"/>
        <v>-</v>
      </c>
      <c r="P321" s="12" t="str">
        <f t="shared" si="29"/>
        <v>-</v>
      </c>
      <c r="R321" s="12" t="str">
        <f t="shared" si="27"/>
        <v>-</v>
      </c>
    </row>
    <row r="322" spans="1:18" ht="14.4">
      <c r="A322" s="26" t="s">
        <v>572</v>
      </c>
      <c r="B322" s="27">
        <v>12351</v>
      </c>
      <c r="C322" s="13">
        <v>33674123515</v>
      </c>
      <c r="D322" s="28" t="s">
        <v>197</v>
      </c>
      <c r="E322" s="14">
        <v>12</v>
      </c>
      <c r="F322" s="15">
        <v>6.641272685355E-2</v>
      </c>
      <c r="G322" s="16">
        <v>6.0637499999999989</v>
      </c>
      <c r="H322" s="29" t="s">
        <v>602</v>
      </c>
      <c r="I322" s="30"/>
      <c r="J322" s="38">
        <f t="shared" ref="J322:J385" si="30">I322*G322</f>
        <v>0</v>
      </c>
      <c r="M322" s="10" t="str">
        <f t="shared" ref="M322:M385" si="31">IFERROR(IF($M$2*F322=0, "-", $M$2*F322), "-")</f>
        <v>-</v>
      </c>
      <c r="N322" s="10" t="str">
        <f t="shared" si="28"/>
        <v>-</v>
      </c>
      <c r="O322" s="11" t="str">
        <f t="shared" ref="O322:O385" si="32">IF(I322&gt;0,I322*F322, "-")</f>
        <v>-</v>
      </c>
      <c r="P322" s="12" t="str">
        <f t="shared" si="29"/>
        <v>-</v>
      </c>
      <c r="R322" s="12" t="str">
        <f t="shared" ref="R322:R385" si="33">IFERROR(IF(P322+J322=0, "-", IF(P322&gt;0, P322+J322, "-")), "-")</f>
        <v>-</v>
      </c>
    </row>
    <row r="323" spans="1:18" ht="14.4">
      <c r="A323" s="26" t="s">
        <v>572</v>
      </c>
      <c r="B323" s="27">
        <v>15349</v>
      </c>
      <c r="C323" s="13">
        <v>33674153499</v>
      </c>
      <c r="D323" s="28" t="s">
        <v>203</v>
      </c>
      <c r="E323" s="14">
        <v>12</v>
      </c>
      <c r="F323" s="15">
        <v>3.2948949756800003E-2</v>
      </c>
      <c r="G323" s="16">
        <v>9.1012500000000003</v>
      </c>
      <c r="H323" s="29" t="s">
        <v>602</v>
      </c>
      <c r="I323" s="30"/>
      <c r="J323" s="38">
        <f t="shared" si="30"/>
        <v>0</v>
      </c>
      <c r="M323" s="10" t="str">
        <f t="shared" si="31"/>
        <v>-</v>
      </c>
      <c r="N323" s="10" t="str">
        <f t="shared" ref="N323:N386" si="34">IFERROR(IF(M323&gt;0,G323+M323,"-"),"-")</f>
        <v>-</v>
      </c>
      <c r="O323" s="11" t="str">
        <f t="shared" si="32"/>
        <v>-</v>
      </c>
      <c r="P323" s="12" t="str">
        <f t="shared" ref="P323:P386" si="35">IFERROR(IF($M$2&gt;0, $M$2*O323, "-"), "-")</f>
        <v>-</v>
      </c>
      <c r="R323" s="12" t="str">
        <f t="shared" si="33"/>
        <v>-</v>
      </c>
    </row>
    <row r="324" spans="1:18" ht="14.4">
      <c r="A324" s="26" t="s">
        <v>569</v>
      </c>
      <c r="B324" s="27">
        <v>12150</v>
      </c>
      <c r="C324" s="13">
        <v>33674121504</v>
      </c>
      <c r="D324" s="28" t="s">
        <v>215</v>
      </c>
      <c r="E324" s="14">
        <v>12</v>
      </c>
      <c r="F324" s="15">
        <v>0.10656925936965002</v>
      </c>
      <c r="G324" s="16">
        <v>10.203749999999999</v>
      </c>
      <c r="H324" s="29" t="s">
        <v>602</v>
      </c>
      <c r="I324" s="30"/>
      <c r="J324" s="38">
        <f t="shared" si="30"/>
        <v>0</v>
      </c>
      <c r="M324" s="10" t="str">
        <f t="shared" si="31"/>
        <v>-</v>
      </c>
      <c r="N324" s="10" t="str">
        <f t="shared" si="34"/>
        <v>-</v>
      </c>
      <c r="O324" s="11" t="str">
        <f t="shared" si="32"/>
        <v>-</v>
      </c>
      <c r="P324" s="12" t="str">
        <f t="shared" si="35"/>
        <v>-</v>
      </c>
      <c r="R324" s="12" t="str">
        <f t="shared" si="33"/>
        <v>-</v>
      </c>
    </row>
    <row r="325" spans="1:18" ht="14.4">
      <c r="A325" s="26" t="s">
        <v>571</v>
      </c>
      <c r="B325" s="27">
        <v>13500</v>
      </c>
      <c r="C325" s="13">
        <v>33674135006</v>
      </c>
      <c r="D325" s="28" t="s">
        <v>243</v>
      </c>
      <c r="E325" s="14">
        <v>12</v>
      </c>
      <c r="F325" s="15">
        <v>0.11789546084855002</v>
      </c>
      <c r="G325" s="16">
        <v>6.3787499999999993</v>
      </c>
      <c r="H325" s="29" t="s">
        <v>602</v>
      </c>
      <c r="I325" s="30"/>
      <c r="J325" s="38">
        <f t="shared" si="30"/>
        <v>0</v>
      </c>
      <c r="M325" s="10" t="str">
        <f t="shared" si="31"/>
        <v>-</v>
      </c>
      <c r="N325" s="10" t="str">
        <f t="shared" si="34"/>
        <v>-</v>
      </c>
      <c r="O325" s="11" t="str">
        <f t="shared" si="32"/>
        <v>-</v>
      </c>
      <c r="P325" s="12" t="str">
        <f t="shared" si="35"/>
        <v>-</v>
      </c>
      <c r="R325" s="12" t="str">
        <f t="shared" si="33"/>
        <v>-</v>
      </c>
    </row>
    <row r="326" spans="1:18" ht="14.4">
      <c r="A326" s="26" t="s">
        <v>568</v>
      </c>
      <c r="B326" s="27">
        <v>4250</v>
      </c>
      <c r="C326" s="13">
        <v>763948042500</v>
      </c>
      <c r="D326" s="28" t="s">
        <v>365</v>
      </c>
      <c r="E326" s="14">
        <v>12</v>
      </c>
      <c r="F326" s="15">
        <v>0.18894163376164999</v>
      </c>
      <c r="G326" s="16">
        <v>25.998750000000001</v>
      </c>
      <c r="H326" s="29" t="s">
        <v>602</v>
      </c>
      <c r="I326" s="30"/>
      <c r="J326" s="38">
        <f t="shared" si="30"/>
        <v>0</v>
      </c>
      <c r="M326" s="10" t="str">
        <f t="shared" si="31"/>
        <v>-</v>
      </c>
      <c r="N326" s="10" t="str">
        <f t="shared" si="34"/>
        <v>-</v>
      </c>
      <c r="O326" s="11" t="str">
        <f t="shared" si="32"/>
        <v>-</v>
      </c>
      <c r="P326" s="12" t="str">
        <f t="shared" si="35"/>
        <v>-</v>
      </c>
      <c r="R326" s="12" t="str">
        <f t="shared" si="33"/>
        <v>-</v>
      </c>
    </row>
    <row r="327" spans="1:18" ht="14.4">
      <c r="A327" s="26" t="s">
        <v>567</v>
      </c>
      <c r="B327" s="27">
        <v>7722</v>
      </c>
      <c r="C327" s="13">
        <v>763948077229</v>
      </c>
      <c r="D327" s="28" t="s">
        <v>395</v>
      </c>
      <c r="E327" s="14">
        <v>12</v>
      </c>
      <c r="F327" s="15">
        <v>0.19975300790059999</v>
      </c>
      <c r="G327" s="16">
        <v>14.951249999999998</v>
      </c>
      <c r="H327" s="29" t="s">
        <v>602</v>
      </c>
      <c r="I327" s="30"/>
      <c r="J327" s="38">
        <f t="shared" si="30"/>
        <v>0</v>
      </c>
      <c r="M327" s="10" t="str">
        <f t="shared" si="31"/>
        <v>-</v>
      </c>
      <c r="N327" s="10" t="str">
        <f t="shared" si="34"/>
        <v>-</v>
      </c>
      <c r="O327" s="11" t="str">
        <f t="shared" si="32"/>
        <v>-</v>
      </c>
      <c r="P327" s="12" t="str">
        <f t="shared" si="35"/>
        <v>-</v>
      </c>
      <c r="R327" s="12" t="str">
        <f t="shared" si="33"/>
        <v>-</v>
      </c>
    </row>
    <row r="328" spans="1:18" ht="14.4">
      <c r="A328" s="26" t="s">
        <v>567</v>
      </c>
      <c r="B328" s="27">
        <v>7712</v>
      </c>
      <c r="C328" s="13">
        <v>763948077120</v>
      </c>
      <c r="D328" s="28" t="s">
        <v>396</v>
      </c>
      <c r="E328" s="14">
        <v>12</v>
      </c>
      <c r="F328" s="15">
        <v>0.24042436775665002</v>
      </c>
      <c r="G328" s="16">
        <v>19.169999999999998</v>
      </c>
      <c r="H328" s="29" t="s">
        <v>602</v>
      </c>
      <c r="I328" s="30"/>
      <c r="J328" s="38">
        <f t="shared" si="30"/>
        <v>0</v>
      </c>
      <c r="M328" s="10" t="str">
        <f t="shared" si="31"/>
        <v>-</v>
      </c>
      <c r="N328" s="10" t="str">
        <f t="shared" si="34"/>
        <v>-</v>
      </c>
      <c r="O328" s="11" t="str">
        <f t="shared" si="32"/>
        <v>-</v>
      </c>
      <c r="P328" s="12" t="str">
        <f t="shared" si="35"/>
        <v>-</v>
      </c>
      <c r="R328" s="12" t="str">
        <f t="shared" si="33"/>
        <v>-</v>
      </c>
    </row>
    <row r="329" spans="1:18" ht="14.4">
      <c r="A329" s="26" t="s">
        <v>578</v>
      </c>
      <c r="B329" s="27">
        <v>15333</v>
      </c>
      <c r="C329" s="13">
        <v>33674153338</v>
      </c>
      <c r="D329" s="28" t="s">
        <v>465</v>
      </c>
      <c r="E329" s="14">
        <v>12</v>
      </c>
      <c r="F329" s="15">
        <v>0.42318807343890014</v>
      </c>
      <c r="G329" s="16">
        <v>23.501249999999999</v>
      </c>
      <c r="H329" s="29" t="s">
        <v>602</v>
      </c>
      <c r="I329" s="30"/>
      <c r="J329" s="38">
        <f t="shared" si="30"/>
        <v>0</v>
      </c>
      <c r="M329" s="10" t="str">
        <f t="shared" si="31"/>
        <v>-</v>
      </c>
      <c r="N329" s="10" t="str">
        <f t="shared" si="34"/>
        <v>-</v>
      </c>
      <c r="O329" s="11" t="str">
        <f t="shared" si="32"/>
        <v>-</v>
      </c>
      <c r="P329" s="12" t="str">
        <f t="shared" si="35"/>
        <v>-</v>
      </c>
      <c r="R329" s="12" t="str">
        <f t="shared" si="33"/>
        <v>-</v>
      </c>
    </row>
    <row r="330" spans="1:18" ht="14.4">
      <c r="A330" s="26" t="s">
        <v>578</v>
      </c>
      <c r="B330" s="27">
        <v>15027</v>
      </c>
      <c r="C330" s="13">
        <v>33674150276</v>
      </c>
      <c r="D330" s="28" t="s">
        <v>478</v>
      </c>
      <c r="E330" s="14">
        <v>24</v>
      </c>
      <c r="F330" s="15">
        <v>0.20644576331995002</v>
      </c>
      <c r="G330" s="16">
        <v>14.163749999999999</v>
      </c>
      <c r="H330" s="29" t="s">
        <v>602</v>
      </c>
      <c r="I330" s="30"/>
      <c r="J330" s="38">
        <f t="shared" si="30"/>
        <v>0</v>
      </c>
      <c r="M330" s="10" t="str">
        <f t="shared" si="31"/>
        <v>-</v>
      </c>
      <c r="N330" s="10" t="str">
        <f t="shared" si="34"/>
        <v>-</v>
      </c>
      <c r="O330" s="11" t="str">
        <f t="shared" si="32"/>
        <v>-</v>
      </c>
      <c r="P330" s="12" t="str">
        <f t="shared" si="35"/>
        <v>-</v>
      </c>
      <c r="R330" s="12" t="str">
        <f t="shared" si="33"/>
        <v>-</v>
      </c>
    </row>
    <row r="331" spans="1:18" ht="14.4">
      <c r="A331" s="26" t="s">
        <v>587</v>
      </c>
      <c r="B331" s="27">
        <v>15570</v>
      </c>
      <c r="C331" s="13">
        <v>33674155707</v>
      </c>
      <c r="D331" s="28" t="s">
        <v>508</v>
      </c>
      <c r="E331" s="14">
        <v>12</v>
      </c>
      <c r="F331" s="15">
        <v>9.0609611831200018E-2</v>
      </c>
      <c r="G331" s="16">
        <v>21.419999999999998</v>
      </c>
      <c r="H331" s="29" t="s">
        <v>602</v>
      </c>
      <c r="I331" s="30"/>
      <c r="J331" s="38">
        <f t="shared" si="30"/>
        <v>0</v>
      </c>
      <c r="M331" s="10" t="str">
        <f t="shared" si="31"/>
        <v>-</v>
      </c>
      <c r="N331" s="10" t="str">
        <f t="shared" si="34"/>
        <v>-</v>
      </c>
      <c r="O331" s="11" t="str">
        <f t="shared" si="32"/>
        <v>-</v>
      </c>
      <c r="P331" s="12" t="str">
        <f t="shared" si="35"/>
        <v>-</v>
      </c>
      <c r="R331" s="12" t="str">
        <f t="shared" si="33"/>
        <v>-</v>
      </c>
    </row>
    <row r="332" spans="1:18" ht="14.4">
      <c r="A332" s="26" t="s">
        <v>567</v>
      </c>
      <c r="B332" s="27">
        <v>1151</v>
      </c>
      <c r="C332" s="13">
        <v>763948011513</v>
      </c>
      <c r="D332" s="28" t="s">
        <v>21</v>
      </c>
      <c r="E332" s="14">
        <v>12</v>
      </c>
      <c r="F332" s="15">
        <v>0.16628923080385002</v>
      </c>
      <c r="G332" s="16">
        <v>13.64625</v>
      </c>
      <c r="H332" s="29" t="s">
        <v>602</v>
      </c>
      <c r="I332" s="30"/>
      <c r="J332" s="38">
        <f t="shared" si="30"/>
        <v>0</v>
      </c>
      <c r="M332" s="10" t="str">
        <f t="shared" si="31"/>
        <v>-</v>
      </c>
      <c r="N332" s="10" t="str">
        <f t="shared" si="34"/>
        <v>-</v>
      </c>
      <c r="O332" s="11" t="str">
        <f t="shared" si="32"/>
        <v>-</v>
      </c>
      <c r="P332" s="12" t="str">
        <f t="shared" si="35"/>
        <v>-</v>
      </c>
      <c r="R332" s="12" t="str">
        <f t="shared" si="33"/>
        <v>-</v>
      </c>
    </row>
    <row r="333" spans="1:18" ht="14.4">
      <c r="A333" s="26" t="s">
        <v>568</v>
      </c>
      <c r="B333" s="27">
        <v>2490</v>
      </c>
      <c r="C333" s="13">
        <v>750856606184</v>
      </c>
      <c r="D333" s="28" t="s">
        <v>22</v>
      </c>
      <c r="E333" s="14">
        <v>12</v>
      </c>
      <c r="F333" s="15">
        <v>0.17401164090310003</v>
      </c>
      <c r="G333" s="16">
        <v>24.052500000000002</v>
      </c>
      <c r="H333" s="29" t="s">
        <v>602</v>
      </c>
      <c r="I333" s="30"/>
      <c r="J333" s="38">
        <f t="shared" si="30"/>
        <v>0</v>
      </c>
      <c r="M333" s="10" t="str">
        <f t="shared" si="31"/>
        <v>-</v>
      </c>
      <c r="N333" s="10" t="str">
        <f t="shared" si="34"/>
        <v>-</v>
      </c>
      <c r="O333" s="11" t="str">
        <f t="shared" si="32"/>
        <v>-</v>
      </c>
      <c r="P333" s="12" t="str">
        <f t="shared" si="35"/>
        <v>-</v>
      </c>
      <c r="R333" s="12" t="str">
        <f t="shared" si="33"/>
        <v>-</v>
      </c>
    </row>
    <row r="334" spans="1:18" ht="14.4">
      <c r="A334" s="26" t="s">
        <v>570</v>
      </c>
      <c r="B334" s="27">
        <v>11950</v>
      </c>
      <c r="C334" s="13">
        <v>33674119501</v>
      </c>
      <c r="D334" s="28" t="s">
        <v>25</v>
      </c>
      <c r="E334" s="14">
        <v>12</v>
      </c>
      <c r="F334" s="15">
        <v>0.24454298647625003</v>
      </c>
      <c r="G334" s="16">
        <v>25.998750000000001</v>
      </c>
      <c r="H334" s="29" t="s">
        <v>602</v>
      </c>
      <c r="I334" s="30"/>
      <c r="J334" s="38">
        <f t="shared" si="30"/>
        <v>0</v>
      </c>
      <c r="M334" s="10" t="str">
        <f t="shared" si="31"/>
        <v>-</v>
      </c>
      <c r="N334" s="10" t="str">
        <f t="shared" si="34"/>
        <v>-</v>
      </c>
      <c r="O334" s="11" t="str">
        <f t="shared" si="32"/>
        <v>-</v>
      </c>
      <c r="P334" s="12" t="str">
        <f t="shared" si="35"/>
        <v>-</v>
      </c>
      <c r="R334" s="12" t="str">
        <f t="shared" si="33"/>
        <v>-</v>
      </c>
    </row>
    <row r="335" spans="1:18" ht="14.4">
      <c r="A335" s="26" t="s">
        <v>571</v>
      </c>
      <c r="B335" s="27">
        <v>4085</v>
      </c>
      <c r="C335" s="13">
        <v>763948040858</v>
      </c>
      <c r="D335" s="28" t="s">
        <v>27</v>
      </c>
      <c r="E335" s="14">
        <v>12</v>
      </c>
      <c r="F335" s="15">
        <v>5.8175489414350003E-2</v>
      </c>
      <c r="G335" s="16">
        <v>15.018749999999999</v>
      </c>
      <c r="H335" s="29" t="s">
        <v>602</v>
      </c>
      <c r="I335" s="30"/>
      <c r="J335" s="38">
        <f t="shared" si="30"/>
        <v>0</v>
      </c>
      <c r="M335" s="10" t="str">
        <f t="shared" si="31"/>
        <v>-</v>
      </c>
      <c r="N335" s="10" t="str">
        <f t="shared" si="34"/>
        <v>-</v>
      </c>
      <c r="O335" s="11" t="str">
        <f t="shared" si="32"/>
        <v>-</v>
      </c>
      <c r="P335" s="12" t="str">
        <f t="shared" si="35"/>
        <v>-</v>
      </c>
      <c r="R335" s="12" t="str">
        <f t="shared" si="33"/>
        <v>-</v>
      </c>
    </row>
    <row r="336" spans="1:18" ht="14.4">
      <c r="A336" s="26" t="s">
        <v>572</v>
      </c>
      <c r="B336" s="27">
        <v>2321</v>
      </c>
      <c r="C336" s="13">
        <v>359800023215</v>
      </c>
      <c r="D336" s="28" t="s">
        <v>28</v>
      </c>
      <c r="E336" s="14">
        <v>12</v>
      </c>
      <c r="F336" s="15">
        <v>0.18276370568224998</v>
      </c>
      <c r="G336" s="16">
        <v>12.172499999999999</v>
      </c>
      <c r="H336" s="29" t="s">
        <v>602</v>
      </c>
      <c r="I336" s="30"/>
      <c r="J336" s="38">
        <f t="shared" si="30"/>
        <v>0</v>
      </c>
      <c r="M336" s="10" t="str">
        <f t="shared" si="31"/>
        <v>-</v>
      </c>
      <c r="N336" s="10" t="str">
        <f t="shared" si="34"/>
        <v>-</v>
      </c>
      <c r="O336" s="11" t="str">
        <f t="shared" si="32"/>
        <v>-</v>
      </c>
      <c r="P336" s="12" t="str">
        <f t="shared" si="35"/>
        <v>-</v>
      </c>
      <c r="R336" s="12" t="str">
        <f t="shared" si="33"/>
        <v>-</v>
      </c>
    </row>
    <row r="337" spans="1:18" ht="14.4">
      <c r="A337" s="26" t="s">
        <v>567</v>
      </c>
      <c r="B337" s="27">
        <v>10501</v>
      </c>
      <c r="C337" s="13">
        <v>33674105016</v>
      </c>
      <c r="D337" s="28" t="s">
        <v>36</v>
      </c>
      <c r="E337" s="14">
        <v>12</v>
      </c>
      <c r="F337" s="15">
        <v>0.39538739708159992</v>
      </c>
      <c r="G337" s="16">
        <v>29.53125</v>
      </c>
      <c r="H337" s="29" t="s">
        <v>602</v>
      </c>
      <c r="I337" s="30"/>
      <c r="J337" s="38">
        <f t="shared" si="30"/>
        <v>0</v>
      </c>
      <c r="M337" s="10" t="str">
        <f t="shared" si="31"/>
        <v>-</v>
      </c>
      <c r="N337" s="10" t="str">
        <f t="shared" si="34"/>
        <v>-</v>
      </c>
      <c r="O337" s="11" t="str">
        <f t="shared" si="32"/>
        <v>-</v>
      </c>
      <c r="P337" s="12" t="str">
        <f t="shared" si="35"/>
        <v>-</v>
      </c>
      <c r="R337" s="12" t="str">
        <f t="shared" si="33"/>
        <v>-</v>
      </c>
    </row>
    <row r="338" spans="1:18" ht="14.4">
      <c r="A338" s="26" t="s">
        <v>577</v>
      </c>
      <c r="B338" s="27">
        <v>15151</v>
      </c>
      <c r="C338" s="13">
        <v>33674151518</v>
      </c>
      <c r="D338" s="28" t="s">
        <v>61</v>
      </c>
      <c r="E338" s="14">
        <v>12</v>
      </c>
      <c r="F338" s="15">
        <v>0.65537520375635006</v>
      </c>
      <c r="G338" s="16">
        <v>15.120000000000001</v>
      </c>
      <c r="H338" s="29" t="s">
        <v>602</v>
      </c>
      <c r="I338" s="30"/>
      <c r="J338" s="38">
        <f t="shared" si="30"/>
        <v>0</v>
      </c>
      <c r="M338" s="10" t="str">
        <f t="shared" si="31"/>
        <v>-</v>
      </c>
      <c r="N338" s="10" t="str">
        <f t="shared" si="34"/>
        <v>-</v>
      </c>
      <c r="O338" s="11" t="str">
        <f t="shared" si="32"/>
        <v>-</v>
      </c>
      <c r="P338" s="12" t="str">
        <f t="shared" si="35"/>
        <v>-</v>
      </c>
      <c r="R338" s="12" t="str">
        <f t="shared" si="33"/>
        <v>-</v>
      </c>
    </row>
    <row r="339" spans="1:18" ht="14.4">
      <c r="A339" s="26" t="s">
        <v>573</v>
      </c>
      <c r="B339" s="27">
        <v>13940</v>
      </c>
      <c r="C339" s="13">
        <v>33674139400</v>
      </c>
      <c r="D339" s="28" t="s">
        <v>72</v>
      </c>
      <c r="E339" s="14">
        <v>12</v>
      </c>
      <c r="F339" s="15">
        <v>0.40002084314115005</v>
      </c>
      <c r="G339" s="16">
        <v>33.46875</v>
      </c>
      <c r="H339" s="29" t="s">
        <v>602</v>
      </c>
      <c r="I339" s="30"/>
      <c r="J339" s="38">
        <f t="shared" si="30"/>
        <v>0</v>
      </c>
      <c r="M339" s="10" t="str">
        <f t="shared" si="31"/>
        <v>-</v>
      </c>
      <c r="N339" s="10" t="str">
        <f t="shared" si="34"/>
        <v>-</v>
      </c>
      <c r="O339" s="11" t="str">
        <f t="shared" si="32"/>
        <v>-</v>
      </c>
      <c r="P339" s="12" t="str">
        <f t="shared" si="35"/>
        <v>-</v>
      </c>
      <c r="R339" s="12" t="str">
        <f t="shared" si="33"/>
        <v>-</v>
      </c>
    </row>
    <row r="340" spans="1:18" ht="14.4">
      <c r="A340" s="26" t="s">
        <v>573</v>
      </c>
      <c r="B340" s="27">
        <v>13717</v>
      </c>
      <c r="C340" s="13">
        <v>33674137178</v>
      </c>
      <c r="D340" s="28" t="s">
        <v>73</v>
      </c>
      <c r="E340" s="14">
        <v>12</v>
      </c>
      <c r="F340" s="15">
        <v>0.41495083599970006</v>
      </c>
      <c r="G340" s="16">
        <v>33.46875</v>
      </c>
      <c r="H340" s="29" t="s">
        <v>602</v>
      </c>
      <c r="I340" s="30"/>
      <c r="J340" s="38">
        <f t="shared" si="30"/>
        <v>0</v>
      </c>
      <c r="M340" s="10" t="str">
        <f t="shared" si="31"/>
        <v>-</v>
      </c>
      <c r="N340" s="10" t="str">
        <f t="shared" si="34"/>
        <v>-</v>
      </c>
      <c r="O340" s="11" t="str">
        <f t="shared" si="32"/>
        <v>-</v>
      </c>
      <c r="P340" s="12" t="str">
        <f t="shared" si="35"/>
        <v>-</v>
      </c>
      <c r="R340" s="12" t="str">
        <f t="shared" si="33"/>
        <v>-</v>
      </c>
    </row>
    <row r="341" spans="1:18" ht="14.4">
      <c r="A341" s="26" t="s">
        <v>573</v>
      </c>
      <c r="B341" s="27">
        <v>13941</v>
      </c>
      <c r="C341" s="13">
        <v>33674139417</v>
      </c>
      <c r="D341" s="28" t="s">
        <v>75</v>
      </c>
      <c r="E341" s="14">
        <v>12</v>
      </c>
      <c r="F341" s="15">
        <v>0.40619877122054998</v>
      </c>
      <c r="G341" s="16">
        <v>33.46875</v>
      </c>
      <c r="H341" s="29" t="s">
        <v>602</v>
      </c>
      <c r="I341" s="30"/>
      <c r="J341" s="38">
        <f t="shared" si="30"/>
        <v>0</v>
      </c>
      <c r="M341" s="10" t="str">
        <f t="shared" si="31"/>
        <v>-</v>
      </c>
      <c r="N341" s="10" t="str">
        <f t="shared" si="34"/>
        <v>-</v>
      </c>
      <c r="O341" s="11" t="str">
        <f t="shared" si="32"/>
        <v>-</v>
      </c>
      <c r="P341" s="12" t="str">
        <f t="shared" si="35"/>
        <v>-</v>
      </c>
      <c r="R341" s="12" t="str">
        <f t="shared" si="33"/>
        <v>-</v>
      </c>
    </row>
    <row r="342" spans="1:18" ht="14.4">
      <c r="A342" s="26" t="s">
        <v>577</v>
      </c>
      <c r="B342" s="27">
        <v>15205</v>
      </c>
      <c r="C342" s="13">
        <v>33674152058</v>
      </c>
      <c r="D342" s="28" t="s">
        <v>96</v>
      </c>
      <c r="E342" s="14">
        <v>12</v>
      </c>
      <c r="F342" s="15">
        <v>0.33927121702705004</v>
      </c>
      <c r="G342" s="16">
        <v>14.355</v>
      </c>
      <c r="H342" s="29" t="s">
        <v>602</v>
      </c>
      <c r="I342" s="30"/>
      <c r="J342" s="38">
        <f t="shared" si="30"/>
        <v>0</v>
      </c>
      <c r="M342" s="10" t="str">
        <f t="shared" si="31"/>
        <v>-</v>
      </c>
      <c r="N342" s="10" t="str">
        <f t="shared" si="34"/>
        <v>-</v>
      </c>
      <c r="O342" s="11" t="str">
        <f t="shared" si="32"/>
        <v>-</v>
      </c>
      <c r="P342" s="12" t="str">
        <f t="shared" si="35"/>
        <v>-</v>
      </c>
      <c r="R342" s="12" t="str">
        <f t="shared" si="33"/>
        <v>-</v>
      </c>
    </row>
    <row r="343" spans="1:18" ht="14.4">
      <c r="A343" s="26" t="s">
        <v>577</v>
      </c>
      <c r="B343" s="27">
        <v>15210</v>
      </c>
      <c r="C343" s="13">
        <v>33674152102</v>
      </c>
      <c r="D343" s="28" t="s">
        <v>98</v>
      </c>
      <c r="E343" s="14">
        <v>12</v>
      </c>
      <c r="F343" s="15">
        <v>0.33154880692780003</v>
      </c>
      <c r="G343" s="16">
        <v>14.355</v>
      </c>
      <c r="H343" s="29" t="s">
        <v>602</v>
      </c>
      <c r="I343" s="30"/>
      <c r="J343" s="38">
        <f t="shared" si="30"/>
        <v>0</v>
      </c>
      <c r="M343" s="10" t="str">
        <f t="shared" si="31"/>
        <v>-</v>
      </c>
      <c r="N343" s="10" t="str">
        <f t="shared" si="34"/>
        <v>-</v>
      </c>
      <c r="O343" s="11" t="str">
        <f t="shared" si="32"/>
        <v>-</v>
      </c>
      <c r="P343" s="12" t="str">
        <f t="shared" si="35"/>
        <v>-</v>
      </c>
      <c r="R343" s="12" t="str">
        <f t="shared" si="33"/>
        <v>-</v>
      </c>
    </row>
    <row r="344" spans="1:18" ht="14.4">
      <c r="A344" s="26" t="s">
        <v>572</v>
      </c>
      <c r="B344" s="27">
        <v>21812590</v>
      </c>
      <c r="C344" s="13">
        <v>308078125909</v>
      </c>
      <c r="D344" s="28" t="s">
        <v>99</v>
      </c>
      <c r="E344" s="14">
        <v>36</v>
      </c>
      <c r="F344" s="15">
        <v>3.1461670774722228E-2</v>
      </c>
      <c r="G344" s="16">
        <v>9.629999999999999</v>
      </c>
      <c r="H344" s="29" t="s">
        <v>602</v>
      </c>
      <c r="I344" s="30"/>
      <c r="J344" s="38">
        <f t="shared" si="30"/>
        <v>0</v>
      </c>
      <c r="M344" s="10" t="str">
        <f t="shared" si="31"/>
        <v>-</v>
      </c>
      <c r="N344" s="10" t="str">
        <f t="shared" si="34"/>
        <v>-</v>
      </c>
      <c r="O344" s="11" t="str">
        <f t="shared" si="32"/>
        <v>-</v>
      </c>
      <c r="P344" s="12" t="str">
        <f t="shared" si="35"/>
        <v>-</v>
      </c>
      <c r="R344" s="12" t="str">
        <f t="shared" si="33"/>
        <v>-</v>
      </c>
    </row>
    <row r="345" spans="1:18" ht="14.4">
      <c r="A345" s="26" t="s">
        <v>572</v>
      </c>
      <c r="B345" s="27">
        <v>12194</v>
      </c>
      <c r="C345" s="13">
        <v>33674121948</v>
      </c>
      <c r="D345" s="28" t="s">
        <v>100</v>
      </c>
      <c r="E345" s="14">
        <v>12</v>
      </c>
      <c r="F345" s="15">
        <v>7.7224100992500003E-2</v>
      </c>
      <c r="G345" s="16">
        <v>12.892500000000002</v>
      </c>
      <c r="H345" s="29" t="s">
        <v>602</v>
      </c>
      <c r="I345" s="30"/>
      <c r="J345" s="38">
        <f t="shared" si="30"/>
        <v>0</v>
      </c>
      <c r="M345" s="10" t="str">
        <f t="shared" si="31"/>
        <v>-</v>
      </c>
      <c r="N345" s="10" t="str">
        <f t="shared" si="34"/>
        <v>-</v>
      </c>
      <c r="O345" s="11" t="str">
        <f t="shared" si="32"/>
        <v>-</v>
      </c>
      <c r="P345" s="12" t="str">
        <f t="shared" si="35"/>
        <v>-</v>
      </c>
      <c r="R345" s="12" t="str">
        <f t="shared" si="33"/>
        <v>-</v>
      </c>
    </row>
    <row r="346" spans="1:18" ht="14.4">
      <c r="A346" s="26" t="s">
        <v>570</v>
      </c>
      <c r="B346" s="27">
        <v>900</v>
      </c>
      <c r="C346" s="13">
        <v>33674009000</v>
      </c>
      <c r="D346" s="28" t="s">
        <v>104</v>
      </c>
      <c r="E346" s="14">
        <v>12</v>
      </c>
      <c r="F346" s="15">
        <v>9.2668921191000009E-2</v>
      </c>
      <c r="G346" s="16">
        <v>8.0212500000000002</v>
      </c>
      <c r="H346" s="29" t="s">
        <v>602</v>
      </c>
      <c r="I346" s="30"/>
      <c r="J346" s="38">
        <f t="shared" si="30"/>
        <v>0</v>
      </c>
      <c r="M346" s="10" t="str">
        <f t="shared" si="31"/>
        <v>-</v>
      </c>
      <c r="N346" s="10" t="str">
        <f t="shared" si="34"/>
        <v>-</v>
      </c>
      <c r="O346" s="11" t="str">
        <f t="shared" si="32"/>
        <v>-</v>
      </c>
      <c r="P346" s="12" t="str">
        <f t="shared" si="35"/>
        <v>-</v>
      </c>
      <c r="R346" s="12" t="str">
        <f t="shared" si="33"/>
        <v>-</v>
      </c>
    </row>
    <row r="347" spans="1:18" ht="24">
      <c r="A347" s="26" t="s">
        <v>570</v>
      </c>
      <c r="B347" s="27">
        <v>142</v>
      </c>
      <c r="C347" s="13">
        <v>33674001424</v>
      </c>
      <c r="D347" s="28" t="s">
        <v>105</v>
      </c>
      <c r="E347" s="14">
        <v>12</v>
      </c>
      <c r="F347" s="15">
        <v>9.5757885230700002E-2</v>
      </c>
      <c r="G347" s="16">
        <v>9.36</v>
      </c>
      <c r="H347" s="29" t="s">
        <v>602</v>
      </c>
      <c r="I347" s="30"/>
      <c r="J347" s="38">
        <f t="shared" si="30"/>
        <v>0</v>
      </c>
      <c r="M347" s="10" t="str">
        <f t="shared" si="31"/>
        <v>-</v>
      </c>
      <c r="N347" s="10" t="str">
        <f t="shared" si="34"/>
        <v>-</v>
      </c>
      <c r="O347" s="11" t="str">
        <f t="shared" si="32"/>
        <v>-</v>
      </c>
      <c r="P347" s="12" t="str">
        <f t="shared" si="35"/>
        <v>-</v>
      </c>
      <c r="R347" s="12" t="str">
        <f t="shared" si="33"/>
        <v>-</v>
      </c>
    </row>
    <row r="348" spans="1:18" ht="14.4">
      <c r="A348" s="26" t="s">
        <v>581</v>
      </c>
      <c r="B348" s="27">
        <v>21825097</v>
      </c>
      <c r="C348" s="13">
        <v>308078250977</v>
      </c>
      <c r="D348" s="28" t="s">
        <v>111</v>
      </c>
      <c r="E348" s="14">
        <v>24</v>
      </c>
      <c r="F348" s="15">
        <v>0.13385510838700002</v>
      </c>
      <c r="G348" s="16">
        <v>10.327500000000001</v>
      </c>
      <c r="H348" s="29" t="s">
        <v>602</v>
      </c>
      <c r="I348" s="30"/>
      <c r="J348" s="38">
        <f t="shared" si="30"/>
        <v>0</v>
      </c>
      <c r="M348" s="10" t="str">
        <f t="shared" si="31"/>
        <v>-</v>
      </c>
      <c r="N348" s="10" t="str">
        <f t="shared" si="34"/>
        <v>-</v>
      </c>
      <c r="O348" s="11" t="str">
        <f t="shared" si="32"/>
        <v>-</v>
      </c>
      <c r="P348" s="12" t="str">
        <f t="shared" si="35"/>
        <v>-</v>
      </c>
      <c r="R348" s="12" t="str">
        <f t="shared" si="33"/>
        <v>-</v>
      </c>
    </row>
    <row r="349" spans="1:18" ht="14.4">
      <c r="A349" s="26" t="s">
        <v>582</v>
      </c>
      <c r="B349" s="27">
        <v>12127</v>
      </c>
      <c r="C349" s="13">
        <v>33674121276</v>
      </c>
      <c r="D349" s="28" t="s">
        <v>123</v>
      </c>
      <c r="E349" s="14">
        <v>12</v>
      </c>
      <c r="F349" s="15">
        <v>0.26050263401470003</v>
      </c>
      <c r="G349" s="16">
        <v>19.13625</v>
      </c>
      <c r="H349" s="29" t="s">
        <v>602</v>
      </c>
      <c r="I349" s="30"/>
      <c r="J349" s="38">
        <f t="shared" si="30"/>
        <v>0</v>
      </c>
      <c r="M349" s="10" t="str">
        <f t="shared" si="31"/>
        <v>-</v>
      </c>
      <c r="N349" s="10" t="str">
        <f t="shared" si="34"/>
        <v>-</v>
      </c>
      <c r="O349" s="11" t="str">
        <f t="shared" si="32"/>
        <v>-</v>
      </c>
      <c r="P349" s="12" t="str">
        <f t="shared" si="35"/>
        <v>-</v>
      </c>
      <c r="R349" s="12" t="str">
        <f t="shared" si="33"/>
        <v>-</v>
      </c>
    </row>
    <row r="350" spans="1:18" ht="14.4">
      <c r="A350" s="26" t="s">
        <v>583</v>
      </c>
      <c r="B350" s="27">
        <v>60510</v>
      </c>
      <c r="C350" s="13">
        <v>33674605103</v>
      </c>
      <c r="D350" s="28" t="s">
        <v>126</v>
      </c>
      <c r="E350" s="14">
        <v>12</v>
      </c>
      <c r="F350" s="15">
        <v>9.6272712570650024E-2</v>
      </c>
      <c r="G350" s="16">
        <v>19.13625</v>
      </c>
      <c r="H350" s="29" t="s">
        <v>602</v>
      </c>
      <c r="I350" s="30"/>
      <c r="J350" s="38">
        <f t="shared" si="30"/>
        <v>0</v>
      </c>
      <c r="M350" s="10" t="str">
        <f t="shared" si="31"/>
        <v>-</v>
      </c>
      <c r="N350" s="10" t="str">
        <f t="shared" si="34"/>
        <v>-</v>
      </c>
      <c r="O350" s="11" t="str">
        <f t="shared" si="32"/>
        <v>-</v>
      </c>
      <c r="P350" s="12" t="str">
        <f t="shared" si="35"/>
        <v>-</v>
      </c>
      <c r="R350" s="12" t="str">
        <f t="shared" si="33"/>
        <v>-</v>
      </c>
    </row>
    <row r="351" spans="1:18" ht="14.4">
      <c r="A351" s="26" t="s">
        <v>576</v>
      </c>
      <c r="B351" s="27">
        <v>15413</v>
      </c>
      <c r="C351" s="13">
        <v>33674154137</v>
      </c>
      <c r="D351" s="28" t="s">
        <v>138</v>
      </c>
      <c r="E351" s="14">
        <v>12</v>
      </c>
      <c r="F351" s="15">
        <v>0.18533784238200002</v>
      </c>
      <c r="G351" s="16">
        <v>16.5825</v>
      </c>
      <c r="H351" s="29" t="s">
        <v>602</v>
      </c>
      <c r="I351" s="30"/>
      <c r="J351" s="38">
        <f t="shared" si="30"/>
        <v>0</v>
      </c>
      <c r="M351" s="10" t="str">
        <f t="shared" si="31"/>
        <v>-</v>
      </c>
      <c r="N351" s="10" t="str">
        <f t="shared" si="34"/>
        <v>-</v>
      </c>
      <c r="O351" s="11" t="str">
        <f t="shared" si="32"/>
        <v>-</v>
      </c>
      <c r="P351" s="12" t="str">
        <f t="shared" si="35"/>
        <v>-</v>
      </c>
      <c r="R351" s="12" t="str">
        <f t="shared" si="33"/>
        <v>-</v>
      </c>
    </row>
    <row r="352" spans="1:18" ht="14.4">
      <c r="A352" s="26" t="s">
        <v>565</v>
      </c>
      <c r="B352" s="27">
        <v>40631</v>
      </c>
      <c r="C352" s="13">
        <v>33674406311</v>
      </c>
      <c r="D352" s="28" t="s">
        <v>144</v>
      </c>
      <c r="E352" s="14">
        <v>12</v>
      </c>
      <c r="F352" s="15">
        <v>0.17246715888325001</v>
      </c>
      <c r="G352" s="16">
        <v>14.298750000000002</v>
      </c>
      <c r="H352" s="29" t="s">
        <v>602</v>
      </c>
      <c r="I352" s="30"/>
      <c r="J352" s="38">
        <f t="shared" si="30"/>
        <v>0</v>
      </c>
      <c r="M352" s="10" t="str">
        <f t="shared" si="31"/>
        <v>-</v>
      </c>
      <c r="N352" s="10" t="str">
        <f t="shared" si="34"/>
        <v>-</v>
      </c>
      <c r="O352" s="11" t="str">
        <f t="shared" si="32"/>
        <v>-</v>
      </c>
      <c r="P352" s="12" t="str">
        <f t="shared" si="35"/>
        <v>-</v>
      </c>
      <c r="R352" s="12" t="str">
        <f t="shared" si="33"/>
        <v>-</v>
      </c>
    </row>
    <row r="353" spans="1:18" ht="14.4">
      <c r="A353" s="26" t="s">
        <v>567</v>
      </c>
      <c r="B353" s="27">
        <v>41311</v>
      </c>
      <c r="C353" s="13">
        <v>33674413111</v>
      </c>
      <c r="D353" s="28" t="s">
        <v>148</v>
      </c>
      <c r="E353" s="14">
        <v>12</v>
      </c>
      <c r="F353" s="15">
        <v>0.35368638254564999</v>
      </c>
      <c r="G353" s="16">
        <v>14.028750000000002</v>
      </c>
      <c r="H353" s="29" t="s">
        <v>602</v>
      </c>
      <c r="I353" s="30"/>
      <c r="J353" s="38">
        <f t="shared" si="30"/>
        <v>0</v>
      </c>
      <c r="M353" s="10" t="str">
        <f t="shared" si="31"/>
        <v>-</v>
      </c>
      <c r="N353" s="10" t="str">
        <f t="shared" si="34"/>
        <v>-</v>
      </c>
      <c r="O353" s="11" t="str">
        <f t="shared" si="32"/>
        <v>-</v>
      </c>
      <c r="P353" s="12" t="str">
        <f t="shared" si="35"/>
        <v>-</v>
      </c>
      <c r="R353" s="12" t="str">
        <f t="shared" si="33"/>
        <v>-</v>
      </c>
    </row>
    <row r="354" spans="1:18" ht="14.4">
      <c r="A354" s="26" t="s">
        <v>567</v>
      </c>
      <c r="B354" s="27">
        <v>41421</v>
      </c>
      <c r="C354" s="13">
        <v>33674414217</v>
      </c>
      <c r="D354" s="28" t="s">
        <v>153</v>
      </c>
      <c r="E354" s="14">
        <v>12</v>
      </c>
      <c r="F354" s="15">
        <v>0.36501258402454995</v>
      </c>
      <c r="G354" s="16">
        <v>15.311249999999999</v>
      </c>
      <c r="H354" s="29" t="s">
        <v>602</v>
      </c>
      <c r="I354" s="30"/>
      <c r="J354" s="38">
        <f t="shared" si="30"/>
        <v>0</v>
      </c>
      <c r="M354" s="10" t="str">
        <f t="shared" si="31"/>
        <v>-</v>
      </c>
      <c r="N354" s="10" t="str">
        <f t="shared" si="34"/>
        <v>-</v>
      </c>
      <c r="O354" s="11" t="str">
        <f t="shared" si="32"/>
        <v>-</v>
      </c>
      <c r="P354" s="12" t="str">
        <f t="shared" si="35"/>
        <v>-</v>
      </c>
      <c r="R354" s="12" t="str">
        <f t="shared" si="33"/>
        <v>-</v>
      </c>
    </row>
    <row r="355" spans="1:18" ht="14.4">
      <c r="A355" s="26" t="s">
        <v>567</v>
      </c>
      <c r="B355" s="27">
        <v>41411</v>
      </c>
      <c r="C355" s="13">
        <v>33674414118</v>
      </c>
      <c r="D355" s="28" t="s">
        <v>155</v>
      </c>
      <c r="E355" s="14">
        <v>12</v>
      </c>
      <c r="F355" s="15">
        <v>0.36604223870445002</v>
      </c>
      <c r="G355" s="16">
        <v>15.311249999999999</v>
      </c>
      <c r="H355" s="29" t="s">
        <v>602</v>
      </c>
      <c r="I355" s="30"/>
      <c r="J355" s="38">
        <f t="shared" si="30"/>
        <v>0</v>
      </c>
      <c r="M355" s="10" t="str">
        <f t="shared" si="31"/>
        <v>-</v>
      </c>
      <c r="N355" s="10" t="str">
        <f t="shared" si="34"/>
        <v>-</v>
      </c>
      <c r="O355" s="11" t="str">
        <f t="shared" si="32"/>
        <v>-</v>
      </c>
      <c r="P355" s="12" t="str">
        <f t="shared" si="35"/>
        <v>-</v>
      </c>
      <c r="R355" s="12" t="str">
        <f t="shared" si="33"/>
        <v>-</v>
      </c>
    </row>
    <row r="356" spans="1:18" ht="14.4">
      <c r="A356" s="26" t="s">
        <v>565</v>
      </c>
      <c r="B356" s="27">
        <v>14970</v>
      </c>
      <c r="C356" s="13">
        <v>33674149706</v>
      </c>
      <c r="D356" s="28" t="s">
        <v>157</v>
      </c>
      <c r="E356" s="14">
        <v>12</v>
      </c>
      <c r="F356" s="15">
        <v>0.16011130272445004</v>
      </c>
      <c r="G356" s="16">
        <v>10.8675</v>
      </c>
      <c r="H356" s="29" t="s">
        <v>602</v>
      </c>
      <c r="I356" s="30"/>
      <c r="J356" s="38">
        <f t="shared" si="30"/>
        <v>0</v>
      </c>
      <c r="M356" s="10" t="str">
        <f t="shared" si="31"/>
        <v>-</v>
      </c>
      <c r="N356" s="10" t="str">
        <f t="shared" si="34"/>
        <v>-</v>
      </c>
      <c r="O356" s="11" t="str">
        <f t="shared" si="32"/>
        <v>-</v>
      </c>
      <c r="P356" s="12" t="str">
        <f t="shared" si="35"/>
        <v>-</v>
      </c>
      <c r="R356" s="12" t="str">
        <f t="shared" si="33"/>
        <v>-</v>
      </c>
    </row>
    <row r="357" spans="1:18" ht="14.4">
      <c r="A357" s="26" t="s">
        <v>565</v>
      </c>
      <c r="B357" s="27">
        <v>15211</v>
      </c>
      <c r="C357" s="13">
        <v>33674152119</v>
      </c>
      <c r="D357" s="28" t="s">
        <v>158</v>
      </c>
      <c r="E357" s="14">
        <v>12</v>
      </c>
      <c r="F357" s="15">
        <v>0.18018956898250002</v>
      </c>
      <c r="G357" s="16">
        <v>13.5</v>
      </c>
      <c r="H357" s="29" t="s">
        <v>602</v>
      </c>
      <c r="I357" s="30"/>
      <c r="J357" s="38">
        <f t="shared" si="30"/>
        <v>0</v>
      </c>
      <c r="M357" s="10" t="str">
        <f t="shared" si="31"/>
        <v>-</v>
      </c>
      <c r="N357" s="10" t="str">
        <f t="shared" si="34"/>
        <v>-</v>
      </c>
      <c r="O357" s="11" t="str">
        <f t="shared" si="32"/>
        <v>-</v>
      </c>
      <c r="P357" s="12" t="str">
        <f t="shared" si="35"/>
        <v>-</v>
      </c>
      <c r="R357" s="12" t="str">
        <f t="shared" si="33"/>
        <v>-</v>
      </c>
    </row>
    <row r="358" spans="1:18" ht="14.4">
      <c r="A358" s="26" t="s">
        <v>565</v>
      </c>
      <c r="B358" s="27">
        <v>14713</v>
      </c>
      <c r="C358" s="13">
        <v>33674147139</v>
      </c>
      <c r="D358" s="28" t="s">
        <v>160</v>
      </c>
      <c r="E358" s="14">
        <v>12</v>
      </c>
      <c r="F358" s="15">
        <v>6.8986863553300012E-2</v>
      </c>
      <c r="G358" s="16">
        <v>32.805</v>
      </c>
      <c r="H358" s="29" t="s">
        <v>602</v>
      </c>
      <c r="I358" s="30"/>
      <c r="J358" s="38">
        <f t="shared" si="30"/>
        <v>0</v>
      </c>
      <c r="M358" s="10" t="str">
        <f t="shared" si="31"/>
        <v>-</v>
      </c>
      <c r="N358" s="10" t="str">
        <f t="shared" si="34"/>
        <v>-</v>
      </c>
      <c r="O358" s="11" t="str">
        <f t="shared" si="32"/>
        <v>-</v>
      </c>
      <c r="P358" s="12" t="str">
        <f t="shared" si="35"/>
        <v>-</v>
      </c>
      <c r="R358" s="12" t="str">
        <f t="shared" si="33"/>
        <v>-</v>
      </c>
    </row>
    <row r="359" spans="1:18" ht="14.4">
      <c r="A359" s="26" t="s">
        <v>570</v>
      </c>
      <c r="B359" s="27">
        <v>11308</v>
      </c>
      <c r="C359" s="13">
        <v>33674113080</v>
      </c>
      <c r="D359" s="28" t="s">
        <v>162</v>
      </c>
      <c r="E359" s="14">
        <v>12</v>
      </c>
      <c r="F359" s="15">
        <v>0.1472406192257</v>
      </c>
      <c r="G359" s="16">
        <v>10.6875</v>
      </c>
      <c r="H359" s="29" t="s">
        <v>602</v>
      </c>
      <c r="I359" s="30"/>
      <c r="J359" s="38">
        <f t="shared" si="30"/>
        <v>0</v>
      </c>
      <c r="M359" s="10" t="str">
        <f t="shared" si="31"/>
        <v>-</v>
      </c>
      <c r="N359" s="10" t="str">
        <f t="shared" si="34"/>
        <v>-</v>
      </c>
      <c r="O359" s="11" t="str">
        <f t="shared" si="32"/>
        <v>-</v>
      </c>
      <c r="P359" s="12" t="str">
        <f t="shared" si="35"/>
        <v>-</v>
      </c>
      <c r="R359" s="12" t="str">
        <f t="shared" si="33"/>
        <v>-</v>
      </c>
    </row>
    <row r="360" spans="1:18" ht="14.4">
      <c r="A360" s="26" t="s">
        <v>578</v>
      </c>
      <c r="B360" s="27">
        <v>5800</v>
      </c>
      <c r="C360" s="13">
        <v>763948058006</v>
      </c>
      <c r="D360" s="28" t="s">
        <v>167</v>
      </c>
      <c r="E360" s="14">
        <v>12</v>
      </c>
      <c r="F360" s="15">
        <v>0.37526622854522085</v>
      </c>
      <c r="G360" s="16">
        <v>34.875</v>
      </c>
      <c r="H360" s="29" t="s">
        <v>602</v>
      </c>
      <c r="I360" s="30"/>
      <c r="J360" s="38">
        <f t="shared" si="30"/>
        <v>0</v>
      </c>
      <c r="M360" s="10" t="str">
        <f t="shared" si="31"/>
        <v>-</v>
      </c>
      <c r="N360" s="10" t="str">
        <f t="shared" si="34"/>
        <v>-</v>
      </c>
      <c r="O360" s="11" t="str">
        <f t="shared" si="32"/>
        <v>-</v>
      </c>
      <c r="P360" s="12" t="str">
        <f t="shared" si="35"/>
        <v>-</v>
      </c>
      <c r="R360" s="12" t="str">
        <f t="shared" si="33"/>
        <v>-</v>
      </c>
    </row>
    <row r="361" spans="1:18" ht="14.4">
      <c r="A361" s="26" t="s">
        <v>578</v>
      </c>
      <c r="B361" s="27">
        <v>5850</v>
      </c>
      <c r="C361" s="13">
        <v>763948058501</v>
      </c>
      <c r="D361" s="28" t="s">
        <v>169</v>
      </c>
      <c r="E361" s="14">
        <v>12</v>
      </c>
      <c r="F361" s="15">
        <v>0.61796441705331673</v>
      </c>
      <c r="G361" s="16">
        <v>52.638750000000002</v>
      </c>
      <c r="H361" s="29" t="s">
        <v>602</v>
      </c>
      <c r="I361" s="30"/>
      <c r="J361" s="38">
        <f t="shared" si="30"/>
        <v>0</v>
      </c>
      <c r="M361" s="10" t="str">
        <f t="shared" si="31"/>
        <v>-</v>
      </c>
      <c r="N361" s="10" t="str">
        <f t="shared" si="34"/>
        <v>-</v>
      </c>
      <c r="O361" s="11" t="str">
        <f t="shared" si="32"/>
        <v>-</v>
      </c>
      <c r="P361" s="12" t="str">
        <f t="shared" si="35"/>
        <v>-</v>
      </c>
      <c r="R361" s="12" t="str">
        <f t="shared" si="33"/>
        <v>-</v>
      </c>
    </row>
    <row r="362" spans="1:18" ht="14.4">
      <c r="A362" s="26" t="s">
        <v>578</v>
      </c>
      <c r="B362" s="27">
        <v>5812</v>
      </c>
      <c r="C362" s="13">
        <v>763948058129</v>
      </c>
      <c r="D362" s="28" t="s">
        <v>170</v>
      </c>
      <c r="E362" s="14">
        <v>12</v>
      </c>
      <c r="F362" s="15">
        <v>0.21004955469959999</v>
      </c>
      <c r="G362" s="16">
        <v>26.313749999999999</v>
      </c>
      <c r="H362" s="29" t="s">
        <v>602</v>
      </c>
      <c r="I362" s="30"/>
      <c r="J362" s="38">
        <f t="shared" si="30"/>
        <v>0</v>
      </c>
      <c r="M362" s="10" t="str">
        <f t="shared" si="31"/>
        <v>-</v>
      </c>
      <c r="N362" s="10" t="str">
        <f t="shared" si="34"/>
        <v>-</v>
      </c>
      <c r="O362" s="11" t="str">
        <f t="shared" si="32"/>
        <v>-</v>
      </c>
      <c r="P362" s="12" t="str">
        <f t="shared" si="35"/>
        <v>-</v>
      </c>
      <c r="R362" s="12" t="str">
        <f t="shared" si="33"/>
        <v>-</v>
      </c>
    </row>
    <row r="363" spans="1:18" ht="14.4">
      <c r="A363" s="26" t="s">
        <v>581</v>
      </c>
      <c r="B363" s="27">
        <v>8540</v>
      </c>
      <c r="C363" s="13">
        <v>763948085408</v>
      </c>
      <c r="D363" s="28" t="s">
        <v>172</v>
      </c>
      <c r="E363" s="14">
        <v>12</v>
      </c>
      <c r="F363" s="15">
        <v>0.18791197908175003</v>
      </c>
      <c r="G363" s="16">
        <v>23.388749999999998</v>
      </c>
      <c r="H363" s="29" t="s">
        <v>602</v>
      </c>
      <c r="I363" s="30"/>
      <c r="J363" s="38">
        <f t="shared" si="30"/>
        <v>0</v>
      </c>
      <c r="M363" s="10" t="str">
        <f t="shared" si="31"/>
        <v>-</v>
      </c>
      <c r="N363" s="10" t="str">
        <f t="shared" si="34"/>
        <v>-</v>
      </c>
      <c r="O363" s="11" t="str">
        <f t="shared" si="32"/>
        <v>-</v>
      </c>
      <c r="P363" s="12" t="str">
        <f t="shared" si="35"/>
        <v>-</v>
      </c>
      <c r="R363" s="12" t="str">
        <f t="shared" si="33"/>
        <v>-</v>
      </c>
    </row>
    <row r="364" spans="1:18" ht="14.4">
      <c r="A364" s="26" t="s">
        <v>570</v>
      </c>
      <c r="B364" s="27">
        <v>14260</v>
      </c>
      <c r="C364" s="13">
        <v>33674142608</v>
      </c>
      <c r="D364" s="28" t="s">
        <v>178</v>
      </c>
      <c r="E364" s="14">
        <v>12</v>
      </c>
      <c r="F364" s="15">
        <v>0.27491779953330003</v>
      </c>
      <c r="G364" s="16">
        <v>12.65625</v>
      </c>
      <c r="H364" s="29" t="s">
        <v>602</v>
      </c>
      <c r="I364" s="30"/>
      <c r="J364" s="38">
        <f t="shared" si="30"/>
        <v>0</v>
      </c>
      <c r="M364" s="10" t="str">
        <f t="shared" si="31"/>
        <v>-</v>
      </c>
      <c r="N364" s="10" t="str">
        <f t="shared" si="34"/>
        <v>-</v>
      </c>
      <c r="O364" s="11" t="str">
        <f t="shared" si="32"/>
        <v>-</v>
      </c>
      <c r="P364" s="12" t="str">
        <f t="shared" si="35"/>
        <v>-</v>
      </c>
      <c r="R364" s="12" t="str">
        <f t="shared" si="33"/>
        <v>-</v>
      </c>
    </row>
    <row r="365" spans="1:18" ht="14.4">
      <c r="A365" s="26" t="s">
        <v>587</v>
      </c>
      <c r="B365" s="27">
        <v>5519</v>
      </c>
      <c r="C365" s="13">
        <v>763948055197</v>
      </c>
      <c r="D365" s="28" t="s">
        <v>179</v>
      </c>
      <c r="E365" s="14">
        <v>12</v>
      </c>
      <c r="F365" s="15">
        <v>0.2038716266202</v>
      </c>
      <c r="G365" s="16">
        <v>27.945</v>
      </c>
      <c r="H365" s="29" t="s">
        <v>602</v>
      </c>
      <c r="I365" s="30"/>
      <c r="J365" s="38">
        <f t="shared" si="30"/>
        <v>0</v>
      </c>
      <c r="M365" s="10" t="str">
        <f t="shared" si="31"/>
        <v>-</v>
      </c>
      <c r="N365" s="10" t="str">
        <f t="shared" si="34"/>
        <v>-</v>
      </c>
      <c r="O365" s="11" t="str">
        <f t="shared" si="32"/>
        <v>-</v>
      </c>
      <c r="P365" s="12" t="str">
        <f t="shared" si="35"/>
        <v>-</v>
      </c>
      <c r="R365" s="12" t="str">
        <f t="shared" si="33"/>
        <v>-</v>
      </c>
    </row>
    <row r="366" spans="1:18" ht="14.4">
      <c r="A366" s="26" t="s">
        <v>585</v>
      </c>
      <c r="B366" s="27">
        <v>15082</v>
      </c>
      <c r="C366" s="13">
        <v>33674150825</v>
      </c>
      <c r="D366" s="28" t="s">
        <v>182</v>
      </c>
      <c r="E366" s="14">
        <v>12</v>
      </c>
      <c r="F366" s="15">
        <v>0.13900338178650001</v>
      </c>
      <c r="G366" s="16">
        <v>19.13625</v>
      </c>
      <c r="H366" s="29" t="s">
        <v>602</v>
      </c>
      <c r="I366" s="30"/>
      <c r="J366" s="38">
        <f t="shared" si="30"/>
        <v>0</v>
      </c>
      <c r="M366" s="10" t="str">
        <f t="shared" si="31"/>
        <v>-</v>
      </c>
      <c r="N366" s="10" t="str">
        <f t="shared" si="34"/>
        <v>-</v>
      </c>
      <c r="O366" s="11" t="str">
        <f t="shared" si="32"/>
        <v>-</v>
      </c>
      <c r="P366" s="12" t="str">
        <f t="shared" si="35"/>
        <v>-</v>
      </c>
      <c r="R366" s="12" t="str">
        <f t="shared" si="33"/>
        <v>-</v>
      </c>
    </row>
    <row r="367" spans="1:18" ht="14.4">
      <c r="A367" s="26" t="s">
        <v>585</v>
      </c>
      <c r="B367" s="27">
        <v>15492</v>
      </c>
      <c r="C367" s="13">
        <v>33674154922</v>
      </c>
      <c r="D367" s="28" t="s">
        <v>183</v>
      </c>
      <c r="E367" s="14">
        <v>12</v>
      </c>
      <c r="F367" s="15">
        <v>8.0827892372150004E-2</v>
      </c>
      <c r="G367" s="16">
        <v>10.203749999999999</v>
      </c>
      <c r="H367" s="29" t="s">
        <v>602</v>
      </c>
      <c r="I367" s="30"/>
      <c r="J367" s="38">
        <f t="shared" si="30"/>
        <v>0</v>
      </c>
      <c r="M367" s="10" t="str">
        <f t="shared" si="31"/>
        <v>-</v>
      </c>
      <c r="N367" s="10" t="str">
        <f t="shared" si="34"/>
        <v>-</v>
      </c>
      <c r="O367" s="11" t="str">
        <f t="shared" si="32"/>
        <v>-</v>
      </c>
      <c r="P367" s="12" t="str">
        <f t="shared" si="35"/>
        <v>-</v>
      </c>
      <c r="R367" s="12" t="str">
        <f t="shared" si="33"/>
        <v>-</v>
      </c>
    </row>
    <row r="368" spans="1:18" ht="14.4">
      <c r="A368" s="26" t="s">
        <v>589</v>
      </c>
      <c r="B368" s="27">
        <v>13690</v>
      </c>
      <c r="C368" s="13">
        <v>33674136904</v>
      </c>
      <c r="D368" s="28" t="s">
        <v>184</v>
      </c>
      <c r="E368" s="14">
        <v>12</v>
      </c>
      <c r="F368" s="15">
        <v>7.0016518233200001E-2</v>
      </c>
      <c r="G368" s="16">
        <v>19.13625</v>
      </c>
      <c r="H368" s="29" t="s">
        <v>602</v>
      </c>
      <c r="I368" s="30"/>
      <c r="J368" s="38">
        <f t="shared" si="30"/>
        <v>0</v>
      </c>
      <c r="M368" s="10" t="str">
        <f t="shared" si="31"/>
        <v>-</v>
      </c>
      <c r="N368" s="10" t="str">
        <f t="shared" si="34"/>
        <v>-</v>
      </c>
      <c r="O368" s="11" t="str">
        <f t="shared" si="32"/>
        <v>-</v>
      </c>
      <c r="P368" s="12" t="str">
        <f t="shared" si="35"/>
        <v>-</v>
      </c>
      <c r="R368" s="12" t="str">
        <f t="shared" si="33"/>
        <v>-</v>
      </c>
    </row>
    <row r="369" spans="1:18" ht="14.4">
      <c r="A369" s="26" t="s">
        <v>576</v>
      </c>
      <c r="B369" s="27">
        <v>10009</v>
      </c>
      <c r="C369" s="13">
        <v>33674100097</v>
      </c>
      <c r="D369" s="28" t="s">
        <v>185</v>
      </c>
      <c r="E369" s="14">
        <v>12</v>
      </c>
      <c r="F369" s="15">
        <v>0.27028435347374996</v>
      </c>
      <c r="G369" s="16">
        <v>11.475</v>
      </c>
      <c r="H369" s="29" t="s">
        <v>602</v>
      </c>
      <c r="I369" s="30"/>
      <c r="J369" s="38">
        <f t="shared" si="30"/>
        <v>0</v>
      </c>
      <c r="M369" s="10" t="str">
        <f t="shared" si="31"/>
        <v>-</v>
      </c>
      <c r="N369" s="10" t="str">
        <f t="shared" si="34"/>
        <v>-</v>
      </c>
      <c r="O369" s="11" t="str">
        <f t="shared" si="32"/>
        <v>-</v>
      </c>
      <c r="P369" s="12" t="str">
        <f t="shared" si="35"/>
        <v>-</v>
      </c>
      <c r="R369" s="12" t="str">
        <f t="shared" si="33"/>
        <v>-</v>
      </c>
    </row>
    <row r="370" spans="1:18" ht="14.4">
      <c r="A370" s="26" t="s">
        <v>576</v>
      </c>
      <c r="B370" s="27">
        <v>15857</v>
      </c>
      <c r="C370" s="13">
        <v>33674158579</v>
      </c>
      <c r="D370" s="28" t="s">
        <v>186</v>
      </c>
      <c r="E370" s="14">
        <v>12</v>
      </c>
      <c r="F370" s="15">
        <v>0.39126877836200008</v>
      </c>
      <c r="G370" s="16">
        <v>11.475</v>
      </c>
      <c r="H370" s="29" t="s">
        <v>602</v>
      </c>
      <c r="I370" s="30"/>
      <c r="J370" s="38">
        <f t="shared" si="30"/>
        <v>0</v>
      </c>
      <c r="M370" s="10" t="str">
        <f t="shared" si="31"/>
        <v>-</v>
      </c>
      <c r="N370" s="10" t="str">
        <f t="shared" si="34"/>
        <v>-</v>
      </c>
      <c r="O370" s="11" t="str">
        <f t="shared" si="32"/>
        <v>-</v>
      </c>
      <c r="P370" s="12" t="str">
        <f t="shared" si="35"/>
        <v>-</v>
      </c>
      <c r="R370" s="12" t="str">
        <f t="shared" si="33"/>
        <v>-</v>
      </c>
    </row>
    <row r="371" spans="1:18" ht="14.4">
      <c r="A371" s="26" t="s">
        <v>576</v>
      </c>
      <c r="B371" s="27">
        <v>15858</v>
      </c>
      <c r="C371" s="13">
        <v>33674158586</v>
      </c>
      <c r="D371" s="28" t="s">
        <v>187</v>
      </c>
      <c r="E371" s="14">
        <v>6</v>
      </c>
      <c r="F371" s="15">
        <v>0.74993182519383339</v>
      </c>
      <c r="G371" s="16">
        <v>21.678750000000001</v>
      </c>
      <c r="H371" s="29" t="s">
        <v>602</v>
      </c>
      <c r="I371" s="30"/>
      <c r="J371" s="38">
        <f t="shared" si="30"/>
        <v>0</v>
      </c>
      <c r="M371" s="10" t="str">
        <f t="shared" si="31"/>
        <v>-</v>
      </c>
      <c r="N371" s="10" t="str">
        <f t="shared" si="34"/>
        <v>-</v>
      </c>
      <c r="O371" s="11" t="str">
        <f t="shared" si="32"/>
        <v>-</v>
      </c>
      <c r="P371" s="12" t="str">
        <f t="shared" si="35"/>
        <v>-</v>
      </c>
      <c r="R371" s="12" t="str">
        <f t="shared" si="33"/>
        <v>-</v>
      </c>
    </row>
    <row r="372" spans="1:18" ht="14.4">
      <c r="A372" s="26" t="s">
        <v>572</v>
      </c>
      <c r="B372" s="27">
        <v>15159</v>
      </c>
      <c r="C372" s="13">
        <v>33674151594</v>
      </c>
      <c r="D372" s="28" t="s">
        <v>190</v>
      </c>
      <c r="E372" s="14">
        <v>12</v>
      </c>
      <c r="F372" s="15">
        <v>7.3105482272899994E-2</v>
      </c>
      <c r="G372" s="16">
        <v>12.892500000000002</v>
      </c>
      <c r="H372" s="29" t="s">
        <v>602</v>
      </c>
      <c r="I372" s="30"/>
      <c r="J372" s="38">
        <f t="shared" si="30"/>
        <v>0</v>
      </c>
      <c r="M372" s="10" t="str">
        <f t="shared" si="31"/>
        <v>-</v>
      </c>
      <c r="N372" s="10" t="str">
        <f t="shared" si="34"/>
        <v>-</v>
      </c>
      <c r="O372" s="11" t="str">
        <f t="shared" si="32"/>
        <v>-</v>
      </c>
      <c r="P372" s="12" t="str">
        <f t="shared" si="35"/>
        <v>-</v>
      </c>
      <c r="R372" s="12" t="str">
        <f t="shared" si="33"/>
        <v>-</v>
      </c>
    </row>
    <row r="373" spans="1:18" ht="14.4">
      <c r="A373" s="26" t="s">
        <v>572</v>
      </c>
      <c r="B373" s="27">
        <v>15148</v>
      </c>
      <c r="C373" s="13">
        <v>33674151488</v>
      </c>
      <c r="D373" s="28" t="s">
        <v>191</v>
      </c>
      <c r="E373" s="14">
        <v>12</v>
      </c>
      <c r="F373" s="15">
        <v>0.22223380174508334</v>
      </c>
      <c r="G373" s="16">
        <v>12.892500000000002</v>
      </c>
      <c r="H373" s="29" t="s">
        <v>602</v>
      </c>
      <c r="I373" s="30"/>
      <c r="J373" s="38">
        <f t="shared" si="30"/>
        <v>0</v>
      </c>
      <c r="M373" s="10" t="str">
        <f t="shared" si="31"/>
        <v>-</v>
      </c>
      <c r="N373" s="10" t="str">
        <f t="shared" si="34"/>
        <v>-</v>
      </c>
      <c r="O373" s="11" t="str">
        <f t="shared" si="32"/>
        <v>-</v>
      </c>
      <c r="P373" s="12" t="str">
        <f t="shared" si="35"/>
        <v>-</v>
      </c>
      <c r="R373" s="12" t="str">
        <f t="shared" si="33"/>
        <v>-</v>
      </c>
    </row>
    <row r="374" spans="1:18" ht="14.4">
      <c r="A374" s="26" t="s">
        <v>572</v>
      </c>
      <c r="B374" s="27">
        <v>15495</v>
      </c>
      <c r="C374" s="13">
        <v>33674154953</v>
      </c>
      <c r="D374" s="28" t="s">
        <v>192</v>
      </c>
      <c r="E374" s="14">
        <v>6</v>
      </c>
      <c r="F374" s="15">
        <v>0.21004955469959999</v>
      </c>
      <c r="G374" s="16">
        <v>54.607500000000002</v>
      </c>
      <c r="H374" s="29" t="s">
        <v>602</v>
      </c>
      <c r="I374" s="30"/>
      <c r="J374" s="38">
        <f t="shared" si="30"/>
        <v>0</v>
      </c>
      <c r="M374" s="10" t="str">
        <f t="shared" si="31"/>
        <v>-</v>
      </c>
      <c r="N374" s="10" t="str">
        <f t="shared" si="34"/>
        <v>-</v>
      </c>
      <c r="O374" s="11" t="str">
        <f t="shared" si="32"/>
        <v>-</v>
      </c>
      <c r="P374" s="12" t="str">
        <f t="shared" si="35"/>
        <v>-</v>
      </c>
      <c r="R374" s="12" t="str">
        <f t="shared" si="33"/>
        <v>-</v>
      </c>
    </row>
    <row r="375" spans="1:18" ht="14.4">
      <c r="A375" s="26" t="s">
        <v>572</v>
      </c>
      <c r="B375" s="27">
        <v>15161</v>
      </c>
      <c r="C375" s="13">
        <v>33674151617</v>
      </c>
      <c r="D375" s="28" t="s">
        <v>193</v>
      </c>
      <c r="E375" s="14">
        <v>12</v>
      </c>
      <c r="F375" s="15">
        <v>7.0531345573150009E-2</v>
      </c>
      <c r="G375" s="16">
        <v>12.892500000000002</v>
      </c>
      <c r="H375" s="29" t="s">
        <v>602</v>
      </c>
      <c r="I375" s="30"/>
      <c r="J375" s="38">
        <f t="shared" si="30"/>
        <v>0</v>
      </c>
      <c r="M375" s="10" t="str">
        <f t="shared" si="31"/>
        <v>-</v>
      </c>
      <c r="N375" s="10" t="str">
        <f t="shared" si="34"/>
        <v>-</v>
      </c>
      <c r="O375" s="11" t="str">
        <f t="shared" si="32"/>
        <v>-</v>
      </c>
      <c r="P375" s="12" t="str">
        <f t="shared" si="35"/>
        <v>-</v>
      </c>
      <c r="R375" s="12" t="str">
        <f t="shared" si="33"/>
        <v>-</v>
      </c>
    </row>
    <row r="376" spans="1:18" ht="14.4">
      <c r="A376" s="26" t="s">
        <v>572</v>
      </c>
      <c r="B376" s="27">
        <v>15144</v>
      </c>
      <c r="C376" s="13">
        <v>33674151440</v>
      </c>
      <c r="D376" s="28" t="s">
        <v>194</v>
      </c>
      <c r="E376" s="14">
        <v>12</v>
      </c>
      <c r="F376" s="15">
        <v>7.1561000253050011E-2</v>
      </c>
      <c r="G376" s="16">
        <v>12.127499999999998</v>
      </c>
      <c r="H376" s="29" t="s">
        <v>602</v>
      </c>
      <c r="I376" s="30"/>
      <c r="J376" s="38">
        <f t="shared" si="30"/>
        <v>0</v>
      </c>
      <c r="M376" s="10" t="str">
        <f t="shared" si="31"/>
        <v>-</v>
      </c>
      <c r="N376" s="10" t="str">
        <f t="shared" si="34"/>
        <v>-</v>
      </c>
      <c r="O376" s="11" t="str">
        <f t="shared" si="32"/>
        <v>-</v>
      </c>
      <c r="P376" s="12" t="str">
        <f t="shared" si="35"/>
        <v>-</v>
      </c>
      <c r="R376" s="12" t="str">
        <f t="shared" si="33"/>
        <v>-</v>
      </c>
    </row>
    <row r="377" spans="1:18" ht="14.4">
      <c r="A377" s="26" t="s">
        <v>572</v>
      </c>
      <c r="B377" s="27">
        <v>10601</v>
      </c>
      <c r="C377" s="13">
        <v>33674106013</v>
      </c>
      <c r="D377" s="28" t="s">
        <v>195</v>
      </c>
      <c r="E377" s="14">
        <v>12</v>
      </c>
      <c r="F377" s="15">
        <v>0.12012637932166666</v>
      </c>
      <c r="G377" s="16">
        <v>9.4725000000000001</v>
      </c>
      <c r="H377" s="29" t="s">
        <v>602</v>
      </c>
      <c r="I377" s="30"/>
      <c r="J377" s="38">
        <f t="shared" si="30"/>
        <v>0</v>
      </c>
      <c r="M377" s="10" t="str">
        <f t="shared" si="31"/>
        <v>-</v>
      </c>
      <c r="N377" s="10" t="str">
        <f t="shared" si="34"/>
        <v>-</v>
      </c>
      <c r="O377" s="11" t="str">
        <f t="shared" si="32"/>
        <v>-</v>
      </c>
      <c r="P377" s="12" t="str">
        <f t="shared" si="35"/>
        <v>-</v>
      </c>
      <c r="R377" s="12" t="str">
        <f t="shared" si="33"/>
        <v>-</v>
      </c>
    </row>
    <row r="378" spans="1:18" ht="14.4">
      <c r="A378" s="26" t="s">
        <v>572</v>
      </c>
      <c r="B378" s="27">
        <v>15270</v>
      </c>
      <c r="C378" s="13">
        <v>33674152706</v>
      </c>
      <c r="D378" s="28" t="s">
        <v>196</v>
      </c>
      <c r="E378" s="14">
        <v>12</v>
      </c>
      <c r="F378" s="15">
        <v>0.12441660715458334</v>
      </c>
      <c r="G378" s="16">
        <v>12.127499999999998</v>
      </c>
      <c r="H378" s="29" t="s">
        <v>602</v>
      </c>
      <c r="I378" s="30"/>
      <c r="J378" s="38">
        <f t="shared" si="30"/>
        <v>0</v>
      </c>
      <c r="M378" s="10" t="str">
        <f t="shared" si="31"/>
        <v>-</v>
      </c>
      <c r="N378" s="10" t="str">
        <f t="shared" si="34"/>
        <v>-</v>
      </c>
      <c r="O378" s="11" t="str">
        <f t="shared" si="32"/>
        <v>-</v>
      </c>
      <c r="P378" s="12" t="str">
        <f t="shared" si="35"/>
        <v>-</v>
      </c>
      <c r="R378" s="12" t="str">
        <f t="shared" si="33"/>
        <v>-</v>
      </c>
    </row>
    <row r="379" spans="1:18" ht="14.4">
      <c r="A379" s="26" t="s">
        <v>572</v>
      </c>
      <c r="B379" s="27">
        <v>15146</v>
      </c>
      <c r="C379" s="13">
        <v>33674151464</v>
      </c>
      <c r="D379" s="28" t="s">
        <v>198</v>
      </c>
      <c r="E379" s="14">
        <v>12</v>
      </c>
      <c r="F379" s="15">
        <v>9.6787539910600004E-2</v>
      </c>
      <c r="G379" s="16">
        <v>8.3362499999999997</v>
      </c>
      <c r="H379" s="29" t="s">
        <v>602</v>
      </c>
      <c r="I379" s="30"/>
      <c r="J379" s="38">
        <f t="shared" si="30"/>
        <v>0</v>
      </c>
      <c r="M379" s="10" t="str">
        <f t="shared" si="31"/>
        <v>-</v>
      </c>
      <c r="N379" s="10" t="str">
        <f t="shared" si="34"/>
        <v>-</v>
      </c>
      <c r="O379" s="11" t="str">
        <f t="shared" si="32"/>
        <v>-</v>
      </c>
      <c r="P379" s="12" t="str">
        <f t="shared" si="35"/>
        <v>-</v>
      </c>
      <c r="R379" s="12" t="str">
        <f t="shared" si="33"/>
        <v>-</v>
      </c>
    </row>
    <row r="380" spans="1:18" ht="14.4">
      <c r="A380" s="26" t="s">
        <v>572</v>
      </c>
      <c r="B380" s="27">
        <v>15273</v>
      </c>
      <c r="C380" s="13">
        <v>33674152737</v>
      </c>
      <c r="D380" s="28" t="s">
        <v>199</v>
      </c>
      <c r="E380" s="14">
        <v>12</v>
      </c>
      <c r="F380" s="15">
        <v>0.22755368425790001</v>
      </c>
      <c r="G380" s="16">
        <v>12.127499999999998</v>
      </c>
      <c r="H380" s="29" t="s">
        <v>602</v>
      </c>
      <c r="I380" s="30"/>
      <c r="J380" s="38">
        <f t="shared" si="30"/>
        <v>0</v>
      </c>
      <c r="M380" s="10" t="str">
        <f t="shared" si="31"/>
        <v>-</v>
      </c>
      <c r="N380" s="10" t="str">
        <f t="shared" si="34"/>
        <v>-</v>
      </c>
      <c r="O380" s="11" t="str">
        <f t="shared" si="32"/>
        <v>-</v>
      </c>
      <c r="P380" s="12" t="str">
        <f t="shared" si="35"/>
        <v>-</v>
      </c>
      <c r="R380" s="12" t="str">
        <f t="shared" si="33"/>
        <v>-</v>
      </c>
    </row>
    <row r="381" spans="1:18" ht="14.4">
      <c r="A381" s="26" t="s">
        <v>572</v>
      </c>
      <c r="B381" s="27">
        <v>15793</v>
      </c>
      <c r="C381" s="13">
        <v>33674157930</v>
      </c>
      <c r="D381" s="28" t="s">
        <v>200</v>
      </c>
      <c r="E381" s="14">
        <v>12</v>
      </c>
      <c r="F381" s="15">
        <v>0.44360955792358331</v>
      </c>
      <c r="G381" s="16">
        <v>22.004999999999995</v>
      </c>
      <c r="H381" s="29" t="s">
        <v>602</v>
      </c>
      <c r="I381" s="30"/>
      <c r="J381" s="38">
        <f t="shared" si="30"/>
        <v>0</v>
      </c>
      <c r="M381" s="10" t="str">
        <f t="shared" si="31"/>
        <v>-</v>
      </c>
      <c r="N381" s="10" t="str">
        <f t="shared" si="34"/>
        <v>-</v>
      </c>
      <c r="O381" s="11" t="str">
        <f t="shared" si="32"/>
        <v>-</v>
      </c>
      <c r="P381" s="12" t="str">
        <f t="shared" si="35"/>
        <v>-</v>
      </c>
      <c r="R381" s="12" t="str">
        <f t="shared" si="33"/>
        <v>-</v>
      </c>
    </row>
    <row r="382" spans="1:18" ht="14.4">
      <c r="A382" s="26" t="s">
        <v>572</v>
      </c>
      <c r="B382" s="27">
        <v>60165</v>
      </c>
      <c r="C382" s="13">
        <v>33674601655</v>
      </c>
      <c r="D382" s="28" t="s">
        <v>201</v>
      </c>
      <c r="E382" s="14">
        <v>12</v>
      </c>
      <c r="F382" s="15">
        <v>0.23012782095765003</v>
      </c>
      <c r="G382" s="16">
        <v>9.1012500000000003</v>
      </c>
      <c r="H382" s="29" t="s">
        <v>602</v>
      </c>
      <c r="I382" s="30"/>
      <c r="J382" s="38">
        <f t="shared" si="30"/>
        <v>0</v>
      </c>
      <c r="M382" s="10" t="str">
        <f t="shared" si="31"/>
        <v>-</v>
      </c>
      <c r="N382" s="10" t="str">
        <f t="shared" si="34"/>
        <v>-</v>
      </c>
      <c r="O382" s="11" t="str">
        <f t="shared" si="32"/>
        <v>-</v>
      </c>
      <c r="P382" s="12" t="str">
        <f t="shared" si="35"/>
        <v>-</v>
      </c>
      <c r="R382" s="12" t="str">
        <f t="shared" si="33"/>
        <v>-</v>
      </c>
    </row>
    <row r="383" spans="1:18" ht="14.4">
      <c r="A383" s="26" t="s">
        <v>572</v>
      </c>
      <c r="B383" s="27">
        <v>15794</v>
      </c>
      <c r="C383" s="13">
        <v>33674157947</v>
      </c>
      <c r="D383" s="28" t="s">
        <v>202</v>
      </c>
      <c r="E383" s="14">
        <v>12</v>
      </c>
      <c r="F383" s="15">
        <v>0.21262369139935003</v>
      </c>
      <c r="G383" s="16">
        <v>12.127499999999998</v>
      </c>
      <c r="H383" s="29" t="s">
        <v>602</v>
      </c>
      <c r="I383" s="30"/>
      <c r="J383" s="38">
        <f t="shared" si="30"/>
        <v>0</v>
      </c>
      <c r="M383" s="10" t="str">
        <f t="shared" si="31"/>
        <v>-</v>
      </c>
      <c r="N383" s="10" t="str">
        <f t="shared" si="34"/>
        <v>-</v>
      </c>
      <c r="O383" s="11" t="str">
        <f t="shared" si="32"/>
        <v>-</v>
      </c>
      <c r="P383" s="12" t="str">
        <f t="shared" si="35"/>
        <v>-</v>
      </c>
      <c r="R383" s="12" t="str">
        <f t="shared" si="33"/>
        <v>-</v>
      </c>
    </row>
    <row r="384" spans="1:18" ht="14.4">
      <c r="A384" s="26" t="s">
        <v>568</v>
      </c>
      <c r="B384" s="27">
        <v>2440</v>
      </c>
      <c r="C384" s="13">
        <v>750856600182</v>
      </c>
      <c r="D384" s="28" t="s">
        <v>205</v>
      </c>
      <c r="E384" s="14">
        <v>12</v>
      </c>
      <c r="F384" s="15">
        <v>0.13951820912644999</v>
      </c>
      <c r="G384" s="16">
        <v>25.998750000000001</v>
      </c>
      <c r="H384" s="29" t="s">
        <v>602</v>
      </c>
      <c r="I384" s="30"/>
      <c r="J384" s="38">
        <f t="shared" si="30"/>
        <v>0</v>
      </c>
      <c r="M384" s="10" t="str">
        <f t="shared" si="31"/>
        <v>-</v>
      </c>
      <c r="N384" s="10" t="str">
        <f t="shared" si="34"/>
        <v>-</v>
      </c>
      <c r="O384" s="11" t="str">
        <f t="shared" si="32"/>
        <v>-</v>
      </c>
      <c r="P384" s="12" t="str">
        <f t="shared" si="35"/>
        <v>-</v>
      </c>
      <c r="R384" s="12" t="str">
        <f t="shared" si="33"/>
        <v>-</v>
      </c>
    </row>
    <row r="385" spans="1:18" ht="24">
      <c r="A385" s="26" t="s">
        <v>585</v>
      </c>
      <c r="B385" s="27">
        <v>14923</v>
      </c>
      <c r="C385" s="13">
        <v>33674149232</v>
      </c>
      <c r="D385" s="28" t="s">
        <v>206</v>
      </c>
      <c r="E385" s="14">
        <v>12</v>
      </c>
      <c r="F385" s="15">
        <v>0.17246715888325001</v>
      </c>
      <c r="G385" s="16">
        <v>15.367500000000001</v>
      </c>
      <c r="H385" s="29" t="s">
        <v>602</v>
      </c>
      <c r="I385" s="30"/>
      <c r="J385" s="38">
        <f t="shared" si="30"/>
        <v>0</v>
      </c>
      <c r="M385" s="10" t="str">
        <f t="shared" si="31"/>
        <v>-</v>
      </c>
      <c r="N385" s="10" t="str">
        <f t="shared" si="34"/>
        <v>-</v>
      </c>
      <c r="O385" s="11" t="str">
        <f t="shared" si="32"/>
        <v>-</v>
      </c>
      <c r="P385" s="12" t="str">
        <f t="shared" si="35"/>
        <v>-</v>
      </c>
      <c r="R385" s="12" t="str">
        <f t="shared" si="33"/>
        <v>-</v>
      </c>
    </row>
    <row r="386" spans="1:18" ht="24">
      <c r="A386" s="26" t="s">
        <v>575</v>
      </c>
      <c r="B386" s="27">
        <v>14924</v>
      </c>
      <c r="C386" s="13">
        <v>33674149249</v>
      </c>
      <c r="D386" s="28" t="s">
        <v>207</v>
      </c>
      <c r="E386" s="14">
        <v>12</v>
      </c>
      <c r="F386" s="15">
        <v>0.23630574903705001</v>
      </c>
      <c r="G386" s="16">
        <v>20.958750000000002</v>
      </c>
      <c r="H386" s="29" t="s">
        <v>602</v>
      </c>
      <c r="I386" s="30"/>
      <c r="J386" s="38">
        <f t="shared" ref="J386:J449" si="36">I386*G386</f>
        <v>0</v>
      </c>
      <c r="M386" s="10" t="str">
        <f t="shared" ref="M386:M449" si="37">IFERROR(IF($M$2*F386=0, "-", $M$2*F386), "-")</f>
        <v>-</v>
      </c>
      <c r="N386" s="10" t="str">
        <f t="shared" si="34"/>
        <v>-</v>
      </c>
      <c r="O386" s="11" t="str">
        <f t="shared" ref="O386:O449" si="38">IF(I386&gt;0,I386*F386, "-")</f>
        <v>-</v>
      </c>
      <c r="P386" s="12" t="str">
        <f t="shared" si="35"/>
        <v>-</v>
      </c>
      <c r="R386" s="12" t="str">
        <f t="shared" ref="R386:R449" si="39">IFERROR(IF(P386+J386=0, "-", IF(P386&gt;0, P386+J386, "-")), "-")</f>
        <v>-</v>
      </c>
    </row>
    <row r="387" spans="1:18" ht="14.4">
      <c r="A387" s="26" t="s">
        <v>587</v>
      </c>
      <c r="B387" s="27">
        <v>6202</v>
      </c>
      <c r="C387" s="13">
        <v>763948062027</v>
      </c>
      <c r="D387" s="28" t="s">
        <v>208</v>
      </c>
      <c r="E387" s="14">
        <v>12</v>
      </c>
      <c r="F387" s="15">
        <v>0.15393337464505</v>
      </c>
      <c r="G387" s="16">
        <v>52.402500000000003</v>
      </c>
      <c r="H387" s="29" t="s">
        <v>602</v>
      </c>
      <c r="I387" s="30"/>
      <c r="J387" s="38">
        <f t="shared" si="36"/>
        <v>0</v>
      </c>
      <c r="M387" s="10" t="str">
        <f t="shared" si="37"/>
        <v>-</v>
      </c>
      <c r="N387" s="10" t="str">
        <f t="shared" ref="N387:N450" si="40">IFERROR(IF(M387&gt;0,G387+M387,"-"),"-")</f>
        <v>-</v>
      </c>
      <c r="O387" s="11" t="str">
        <f t="shared" si="38"/>
        <v>-</v>
      </c>
      <c r="P387" s="12" t="str">
        <f t="shared" ref="P387:P450" si="41">IFERROR(IF($M$2&gt;0, $M$2*O387, "-"), "-")</f>
        <v>-</v>
      </c>
      <c r="R387" s="12" t="str">
        <f t="shared" si="39"/>
        <v>-</v>
      </c>
    </row>
    <row r="388" spans="1:18" ht="14.4">
      <c r="A388" s="26" t="s">
        <v>569</v>
      </c>
      <c r="B388" s="27">
        <v>14152</v>
      </c>
      <c r="C388" s="13">
        <v>33674141526</v>
      </c>
      <c r="D388" s="28" t="s">
        <v>209</v>
      </c>
      <c r="E388" s="14">
        <v>12</v>
      </c>
      <c r="F388" s="15">
        <v>0.11429166946890003</v>
      </c>
      <c r="G388" s="16">
        <v>5.1074999999999999</v>
      </c>
      <c r="H388" s="29" t="s">
        <v>602</v>
      </c>
      <c r="I388" s="30"/>
      <c r="J388" s="38">
        <f t="shared" si="36"/>
        <v>0</v>
      </c>
      <c r="M388" s="10" t="str">
        <f t="shared" si="37"/>
        <v>-</v>
      </c>
      <c r="N388" s="10" t="str">
        <f t="shared" si="40"/>
        <v>-</v>
      </c>
      <c r="O388" s="11" t="str">
        <f t="shared" si="38"/>
        <v>-</v>
      </c>
      <c r="P388" s="12" t="str">
        <f t="shared" si="41"/>
        <v>-</v>
      </c>
      <c r="R388" s="12" t="str">
        <f t="shared" si="39"/>
        <v>-</v>
      </c>
    </row>
    <row r="389" spans="1:18" ht="14.4">
      <c r="A389" s="26" t="s">
        <v>572</v>
      </c>
      <c r="B389" s="27">
        <v>21900293</v>
      </c>
      <c r="C389" s="13">
        <v>308079002933</v>
      </c>
      <c r="D389" s="28" t="s">
        <v>210</v>
      </c>
      <c r="E389" s="14">
        <v>48</v>
      </c>
      <c r="F389" s="15">
        <v>0.20593093597999998</v>
      </c>
      <c r="G389" s="16">
        <v>6.7050000000000001</v>
      </c>
      <c r="H389" s="29" t="s">
        <v>602</v>
      </c>
      <c r="I389" s="30"/>
      <c r="J389" s="38">
        <f t="shared" si="36"/>
        <v>0</v>
      </c>
      <c r="M389" s="10" t="str">
        <f t="shared" si="37"/>
        <v>-</v>
      </c>
      <c r="N389" s="10" t="str">
        <f t="shared" si="40"/>
        <v>-</v>
      </c>
      <c r="O389" s="11" t="str">
        <f t="shared" si="38"/>
        <v>-</v>
      </c>
      <c r="P389" s="12" t="str">
        <f t="shared" si="41"/>
        <v>-</v>
      </c>
      <c r="R389" s="12" t="str">
        <f t="shared" si="39"/>
        <v>-</v>
      </c>
    </row>
    <row r="390" spans="1:18" ht="14.4">
      <c r="A390" s="26" t="s">
        <v>572</v>
      </c>
      <c r="B390" s="27">
        <v>21900294</v>
      </c>
      <c r="C390" s="13">
        <v>308079002940</v>
      </c>
      <c r="D390" s="28" t="s">
        <v>211</v>
      </c>
      <c r="E390" s="14">
        <v>24</v>
      </c>
      <c r="F390" s="15">
        <v>0.41186187195999996</v>
      </c>
      <c r="G390" s="16">
        <v>11.036249999999999</v>
      </c>
      <c r="H390" s="29" t="s">
        <v>602</v>
      </c>
      <c r="I390" s="30"/>
      <c r="J390" s="38">
        <f t="shared" si="36"/>
        <v>0</v>
      </c>
      <c r="M390" s="10" t="str">
        <f t="shared" si="37"/>
        <v>-</v>
      </c>
      <c r="N390" s="10" t="str">
        <f t="shared" si="40"/>
        <v>-</v>
      </c>
      <c r="O390" s="11" t="str">
        <f t="shared" si="38"/>
        <v>-</v>
      </c>
      <c r="P390" s="12" t="str">
        <f t="shared" si="41"/>
        <v>-</v>
      </c>
      <c r="R390" s="12" t="str">
        <f t="shared" si="39"/>
        <v>-</v>
      </c>
    </row>
    <row r="391" spans="1:18" ht="14.4">
      <c r="A391" s="26" t="s">
        <v>572</v>
      </c>
      <c r="B391" s="27">
        <v>21900693</v>
      </c>
      <c r="C391" s="13">
        <v>308079006931</v>
      </c>
      <c r="D391" s="28" t="s">
        <v>212</v>
      </c>
      <c r="E391" s="14">
        <v>48</v>
      </c>
      <c r="F391" s="15">
        <v>0.20335679928025005</v>
      </c>
      <c r="G391" s="16">
        <v>6.7050000000000001</v>
      </c>
      <c r="H391" s="29" t="s">
        <v>602</v>
      </c>
      <c r="I391" s="30"/>
      <c r="J391" s="38">
        <f t="shared" si="36"/>
        <v>0</v>
      </c>
      <c r="M391" s="10" t="str">
        <f t="shared" si="37"/>
        <v>-</v>
      </c>
      <c r="N391" s="10" t="str">
        <f t="shared" si="40"/>
        <v>-</v>
      </c>
      <c r="O391" s="11" t="str">
        <f t="shared" si="38"/>
        <v>-</v>
      </c>
      <c r="P391" s="12" t="str">
        <f t="shared" si="41"/>
        <v>-</v>
      </c>
      <c r="R391" s="12" t="str">
        <f t="shared" si="39"/>
        <v>-</v>
      </c>
    </row>
    <row r="392" spans="1:18" ht="14.4">
      <c r="A392" s="26" t="s">
        <v>572</v>
      </c>
      <c r="B392" s="27">
        <v>21900694</v>
      </c>
      <c r="C392" s="13">
        <v>308079006948</v>
      </c>
      <c r="D392" s="28" t="s">
        <v>213</v>
      </c>
      <c r="E392" s="14">
        <v>24</v>
      </c>
      <c r="F392" s="15">
        <v>0.38045740422305013</v>
      </c>
      <c r="G392" s="16">
        <v>11.036249999999999</v>
      </c>
      <c r="H392" s="29" t="s">
        <v>602</v>
      </c>
      <c r="I392" s="30"/>
      <c r="J392" s="38">
        <f t="shared" si="36"/>
        <v>0</v>
      </c>
      <c r="M392" s="10" t="str">
        <f t="shared" si="37"/>
        <v>-</v>
      </c>
      <c r="N392" s="10" t="str">
        <f t="shared" si="40"/>
        <v>-</v>
      </c>
      <c r="O392" s="11" t="str">
        <f t="shared" si="38"/>
        <v>-</v>
      </c>
      <c r="P392" s="12" t="str">
        <f t="shared" si="41"/>
        <v>-</v>
      </c>
      <c r="R392" s="12" t="str">
        <f t="shared" si="39"/>
        <v>-</v>
      </c>
    </row>
    <row r="393" spans="1:18" ht="14.4">
      <c r="A393" s="26" t="s">
        <v>572</v>
      </c>
      <c r="B393" s="27">
        <v>15864</v>
      </c>
      <c r="C393" s="13">
        <v>33674158647</v>
      </c>
      <c r="D393" s="28" t="s">
        <v>214</v>
      </c>
      <c r="E393" s="14">
        <v>12</v>
      </c>
      <c r="F393" s="15">
        <v>0.21708552834558334</v>
      </c>
      <c r="G393" s="16">
        <v>12.892500000000002</v>
      </c>
      <c r="H393" s="29" t="s">
        <v>602</v>
      </c>
      <c r="I393" s="30"/>
      <c r="J393" s="38">
        <f t="shared" si="36"/>
        <v>0</v>
      </c>
      <c r="M393" s="10" t="str">
        <f t="shared" si="37"/>
        <v>-</v>
      </c>
      <c r="N393" s="10" t="str">
        <f t="shared" si="40"/>
        <v>-</v>
      </c>
      <c r="O393" s="11" t="str">
        <f t="shared" si="38"/>
        <v>-</v>
      </c>
      <c r="P393" s="12" t="str">
        <f t="shared" si="41"/>
        <v>-</v>
      </c>
      <c r="R393" s="12" t="str">
        <f t="shared" si="39"/>
        <v>-</v>
      </c>
    </row>
    <row r="394" spans="1:18" ht="14.4">
      <c r="A394" s="26" t="s">
        <v>569</v>
      </c>
      <c r="B394" s="27">
        <v>15361</v>
      </c>
      <c r="C394" s="13">
        <v>33674153611</v>
      </c>
      <c r="D394" s="28" t="s">
        <v>216</v>
      </c>
      <c r="E394" s="14">
        <v>12</v>
      </c>
      <c r="F394" s="15">
        <v>0.18585266972195</v>
      </c>
      <c r="G394" s="16">
        <v>16.5825</v>
      </c>
      <c r="H394" s="29" t="s">
        <v>602</v>
      </c>
      <c r="I394" s="30"/>
      <c r="J394" s="38">
        <f t="shared" si="36"/>
        <v>0</v>
      </c>
      <c r="M394" s="10" t="str">
        <f t="shared" si="37"/>
        <v>-</v>
      </c>
      <c r="N394" s="10" t="str">
        <f t="shared" si="40"/>
        <v>-</v>
      </c>
      <c r="O394" s="11" t="str">
        <f t="shared" si="38"/>
        <v>-</v>
      </c>
      <c r="P394" s="12" t="str">
        <f t="shared" si="41"/>
        <v>-</v>
      </c>
      <c r="R394" s="12" t="str">
        <f t="shared" si="39"/>
        <v>-</v>
      </c>
    </row>
    <row r="395" spans="1:18" ht="14.4">
      <c r="A395" s="26" t="s">
        <v>569</v>
      </c>
      <c r="B395" s="27">
        <v>15021</v>
      </c>
      <c r="C395" s="13">
        <v>33674150214</v>
      </c>
      <c r="D395" s="28" t="s">
        <v>218</v>
      </c>
      <c r="E395" s="14">
        <v>12</v>
      </c>
      <c r="F395" s="15">
        <v>0.17864508696265</v>
      </c>
      <c r="G395" s="16">
        <v>14.028750000000002</v>
      </c>
      <c r="H395" s="29" t="s">
        <v>602</v>
      </c>
      <c r="I395" s="30"/>
      <c r="J395" s="38">
        <f t="shared" si="36"/>
        <v>0</v>
      </c>
      <c r="M395" s="10" t="str">
        <f t="shared" si="37"/>
        <v>-</v>
      </c>
      <c r="N395" s="10" t="str">
        <f t="shared" si="40"/>
        <v>-</v>
      </c>
      <c r="O395" s="11" t="str">
        <f t="shared" si="38"/>
        <v>-</v>
      </c>
      <c r="P395" s="12" t="str">
        <f t="shared" si="41"/>
        <v>-</v>
      </c>
      <c r="R395" s="12" t="str">
        <f t="shared" si="39"/>
        <v>-</v>
      </c>
    </row>
    <row r="396" spans="1:18" ht="14.4">
      <c r="A396" s="26" t="s">
        <v>569</v>
      </c>
      <c r="B396" s="27">
        <v>10624</v>
      </c>
      <c r="C396" s="13">
        <v>33674106242</v>
      </c>
      <c r="D396" s="28" t="s">
        <v>223</v>
      </c>
      <c r="E396" s="14">
        <v>12</v>
      </c>
      <c r="F396" s="15">
        <v>0.22034610149860004</v>
      </c>
      <c r="G396" s="16">
        <v>10.709999999999999</v>
      </c>
      <c r="H396" s="29" t="s">
        <v>602</v>
      </c>
      <c r="I396" s="30"/>
      <c r="J396" s="38">
        <f t="shared" si="36"/>
        <v>0</v>
      </c>
      <c r="M396" s="10" t="str">
        <f t="shared" si="37"/>
        <v>-</v>
      </c>
      <c r="N396" s="10" t="str">
        <f t="shared" si="40"/>
        <v>-</v>
      </c>
      <c r="O396" s="11" t="str">
        <f t="shared" si="38"/>
        <v>-</v>
      </c>
      <c r="P396" s="12" t="str">
        <f t="shared" si="41"/>
        <v>-</v>
      </c>
      <c r="R396" s="12" t="str">
        <f t="shared" si="39"/>
        <v>-</v>
      </c>
    </row>
    <row r="397" spans="1:18" ht="14.4">
      <c r="A397" s="26" t="s">
        <v>569</v>
      </c>
      <c r="B397" s="27">
        <v>10613</v>
      </c>
      <c r="C397" s="13">
        <v>33674106136</v>
      </c>
      <c r="D397" s="28" t="s">
        <v>224</v>
      </c>
      <c r="E397" s="14">
        <v>12</v>
      </c>
      <c r="F397" s="15">
        <v>0.73791918726166672</v>
      </c>
      <c r="G397" s="16">
        <v>16.830000000000002</v>
      </c>
      <c r="H397" s="29" t="s">
        <v>602</v>
      </c>
      <c r="I397" s="30"/>
      <c r="J397" s="38">
        <f t="shared" si="36"/>
        <v>0</v>
      </c>
      <c r="M397" s="10" t="str">
        <f t="shared" si="37"/>
        <v>-</v>
      </c>
      <c r="N397" s="10" t="str">
        <f t="shared" si="40"/>
        <v>-</v>
      </c>
      <c r="O397" s="11" t="str">
        <f t="shared" si="38"/>
        <v>-</v>
      </c>
      <c r="P397" s="12" t="str">
        <f t="shared" si="41"/>
        <v>-</v>
      </c>
      <c r="R397" s="12" t="str">
        <f t="shared" si="39"/>
        <v>-</v>
      </c>
    </row>
    <row r="398" spans="1:18" ht="14.4">
      <c r="A398" s="26" t="s">
        <v>569</v>
      </c>
      <c r="B398" s="27">
        <v>11861</v>
      </c>
      <c r="C398" s="13">
        <v>33674118610</v>
      </c>
      <c r="D398" s="28" t="s">
        <v>225</v>
      </c>
      <c r="E398" s="14">
        <v>12</v>
      </c>
      <c r="F398" s="15">
        <v>0.14981475592545002</v>
      </c>
      <c r="G398" s="16">
        <v>20.407499999999999</v>
      </c>
      <c r="H398" s="29" t="s">
        <v>602</v>
      </c>
      <c r="I398" s="30"/>
      <c r="J398" s="38">
        <f t="shared" si="36"/>
        <v>0</v>
      </c>
      <c r="M398" s="10" t="str">
        <f t="shared" si="37"/>
        <v>-</v>
      </c>
      <c r="N398" s="10" t="str">
        <f t="shared" si="40"/>
        <v>-</v>
      </c>
      <c r="O398" s="11" t="str">
        <f t="shared" si="38"/>
        <v>-</v>
      </c>
      <c r="P398" s="12" t="str">
        <f t="shared" si="41"/>
        <v>-</v>
      </c>
      <c r="R398" s="12" t="str">
        <f t="shared" si="39"/>
        <v>-</v>
      </c>
    </row>
    <row r="399" spans="1:18" ht="14.4">
      <c r="A399" s="26" t="s">
        <v>568</v>
      </c>
      <c r="B399" s="27">
        <v>9101</v>
      </c>
      <c r="C399" s="13">
        <v>763948091010</v>
      </c>
      <c r="D399" s="28" t="s">
        <v>232</v>
      </c>
      <c r="E399" s="14">
        <v>12</v>
      </c>
      <c r="F399" s="15">
        <v>0.30323330323055003</v>
      </c>
      <c r="G399" s="16">
        <v>13.004999999999999</v>
      </c>
      <c r="H399" s="29" t="s">
        <v>602</v>
      </c>
      <c r="I399" s="30"/>
      <c r="J399" s="38">
        <f t="shared" si="36"/>
        <v>0</v>
      </c>
      <c r="M399" s="10" t="str">
        <f t="shared" si="37"/>
        <v>-</v>
      </c>
      <c r="N399" s="10" t="str">
        <f t="shared" si="40"/>
        <v>-</v>
      </c>
      <c r="O399" s="11" t="str">
        <f t="shared" si="38"/>
        <v>-</v>
      </c>
      <c r="P399" s="12" t="str">
        <f t="shared" si="41"/>
        <v>-</v>
      </c>
      <c r="R399" s="12" t="str">
        <f t="shared" si="39"/>
        <v>-</v>
      </c>
    </row>
    <row r="400" spans="1:18" ht="14.4">
      <c r="A400" s="26" t="s">
        <v>578</v>
      </c>
      <c r="B400" s="27">
        <v>415</v>
      </c>
      <c r="C400" s="13">
        <v>33674004159</v>
      </c>
      <c r="D400" s="28" t="s">
        <v>241</v>
      </c>
      <c r="E400" s="14">
        <v>12</v>
      </c>
      <c r="F400" s="15">
        <v>0.10245064065005</v>
      </c>
      <c r="G400" s="16">
        <v>13.049999999999999</v>
      </c>
      <c r="H400" s="29" t="s">
        <v>602</v>
      </c>
      <c r="I400" s="30"/>
      <c r="J400" s="38">
        <f t="shared" si="36"/>
        <v>0</v>
      </c>
      <c r="M400" s="10" t="str">
        <f t="shared" si="37"/>
        <v>-</v>
      </c>
      <c r="N400" s="10" t="str">
        <f t="shared" si="40"/>
        <v>-</v>
      </c>
      <c r="O400" s="11" t="str">
        <f t="shared" si="38"/>
        <v>-</v>
      </c>
      <c r="P400" s="12" t="str">
        <f t="shared" si="41"/>
        <v>-</v>
      </c>
      <c r="R400" s="12" t="str">
        <f t="shared" si="39"/>
        <v>-</v>
      </c>
    </row>
    <row r="401" spans="1:18" ht="14.4">
      <c r="A401" s="26" t="s">
        <v>571</v>
      </c>
      <c r="B401" s="27">
        <v>5219</v>
      </c>
      <c r="C401" s="13">
        <v>763948052196</v>
      </c>
      <c r="D401" s="28" t="s">
        <v>244</v>
      </c>
      <c r="E401" s="14">
        <v>12</v>
      </c>
      <c r="F401" s="15">
        <v>0.19511956184105003</v>
      </c>
      <c r="G401" s="16">
        <v>14.028750000000002</v>
      </c>
      <c r="H401" s="29" t="s">
        <v>602</v>
      </c>
      <c r="I401" s="30"/>
      <c r="J401" s="38">
        <f t="shared" si="36"/>
        <v>0</v>
      </c>
      <c r="M401" s="10" t="str">
        <f t="shared" si="37"/>
        <v>-</v>
      </c>
      <c r="N401" s="10" t="str">
        <f t="shared" si="40"/>
        <v>-</v>
      </c>
      <c r="O401" s="11" t="str">
        <f t="shared" si="38"/>
        <v>-</v>
      </c>
      <c r="P401" s="12" t="str">
        <f t="shared" si="41"/>
        <v>-</v>
      </c>
      <c r="R401" s="12" t="str">
        <f t="shared" si="39"/>
        <v>-</v>
      </c>
    </row>
    <row r="402" spans="1:18" ht="14.4">
      <c r="A402" s="26" t="s">
        <v>580</v>
      </c>
      <c r="B402" s="27">
        <v>5336</v>
      </c>
      <c r="C402" s="13">
        <v>763948053360</v>
      </c>
      <c r="D402" s="28" t="s">
        <v>245</v>
      </c>
      <c r="E402" s="14">
        <v>12</v>
      </c>
      <c r="F402" s="15">
        <v>0.15805199336465001</v>
      </c>
      <c r="G402" s="16">
        <v>35.628750000000004</v>
      </c>
      <c r="H402" s="29" t="s">
        <v>602</v>
      </c>
      <c r="I402" s="30"/>
      <c r="J402" s="38">
        <f t="shared" si="36"/>
        <v>0</v>
      </c>
      <c r="M402" s="10" t="str">
        <f t="shared" si="37"/>
        <v>-</v>
      </c>
      <c r="N402" s="10" t="str">
        <f t="shared" si="40"/>
        <v>-</v>
      </c>
      <c r="O402" s="11" t="str">
        <f t="shared" si="38"/>
        <v>-</v>
      </c>
      <c r="P402" s="12" t="str">
        <f t="shared" si="41"/>
        <v>-</v>
      </c>
      <c r="R402" s="12" t="str">
        <f t="shared" si="39"/>
        <v>-</v>
      </c>
    </row>
    <row r="403" spans="1:18" ht="24">
      <c r="A403" s="26" t="s">
        <v>580</v>
      </c>
      <c r="B403" s="27">
        <v>15419</v>
      </c>
      <c r="C403" s="13">
        <v>33674154199</v>
      </c>
      <c r="D403" s="28" t="s">
        <v>248</v>
      </c>
      <c r="E403" s="14">
        <v>12</v>
      </c>
      <c r="F403" s="15">
        <v>0.33618225298734999</v>
      </c>
      <c r="G403" s="16">
        <v>19.777499999999996</v>
      </c>
      <c r="H403" s="29" t="s">
        <v>602</v>
      </c>
      <c r="I403" s="30"/>
      <c r="J403" s="38">
        <f t="shared" si="36"/>
        <v>0</v>
      </c>
      <c r="M403" s="10" t="str">
        <f t="shared" si="37"/>
        <v>-</v>
      </c>
      <c r="N403" s="10" t="str">
        <f t="shared" si="40"/>
        <v>-</v>
      </c>
      <c r="O403" s="11" t="str">
        <f t="shared" si="38"/>
        <v>-</v>
      </c>
      <c r="P403" s="12" t="str">
        <f t="shared" si="41"/>
        <v>-</v>
      </c>
      <c r="R403" s="12" t="str">
        <f t="shared" si="39"/>
        <v>-</v>
      </c>
    </row>
    <row r="404" spans="1:18" ht="14.4">
      <c r="A404" s="26" t="s">
        <v>583</v>
      </c>
      <c r="B404" s="27">
        <v>12500</v>
      </c>
      <c r="C404" s="13">
        <v>33674125007</v>
      </c>
      <c r="D404" s="28" t="s">
        <v>249</v>
      </c>
      <c r="E404" s="14">
        <v>12</v>
      </c>
      <c r="F404" s="15">
        <v>8.5461338431700007E-2</v>
      </c>
      <c r="G404" s="16">
        <v>7.6499999999999995</v>
      </c>
      <c r="H404" s="29" t="s">
        <v>602</v>
      </c>
      <c r="I404" s="30"/>
      <c r="J404" s="38">
        <f t="shared" si="36"/>
        <v>0</v>
      </c>
      <c r="M404" s="10" t="str">
        <f t="shared" si="37"/>
        <v>-</v>
      </c>
      <c r="N404" s="10" t="str">
        <f t="shared" si="40"/>
        <v>-</v>
      </c>
      <c r="O404" s="11" t="str">
        <f t="shared" si="38"/>
        <v>-</v>
      </c>
      <c r="P404" s="12" t="str">
        <f t="shared" si="41"/>
        <v>-</v>
      </c>
      <c r="R404" s="12" t="str">
        <f t="shared" si="39"/>
        <v>-</v>
      </c>
    </row>
    <row r="405" spans="1:18" ht="14.4">
      <c r="A405" s="26" t="s">
        <v>583</v>
      </c>
      <c r="B405" s="27">
        <v>380</v>
      </c>
      <c r="C405" s="13">
        <v>33674003800</v>
      </c>
      <c r="D405" s="28" t="s">
        <v>250</v>
      </c>
      <c r="E405" s="14">
        <v>12</v>
      </c>
      <c r="F405" s="15">
        <v>9.1639266511100007E-2</v>
      </c>
      <c r="G405" s="16">
        <v>12.757499999999999</v>
      </c>
      <c r="H405" s="29" t="s">
        <v>602</v>
      </c>
      <c r="I405" s="30"/>
      <c r="J405" s="38">
        <f t="shared" si="36"/>
        <v>0</v>
      </c>
      <c r="M405" s="10" t="str">
        <f t="shared" si="37"/>
        <v>-</v>
      </c>
      <c r="N405" s="10" t="str">
        <f t="shared" si="40"/>
        <v>-</v>
      </c>
      <c r="O405" s="11" t="str">
        <f t="shared" si="38"/>
        <v>-</v>
      </c>
      <c r="P405" s="12" t="str">
        <f t="shared" si="41"/>
        <v>-</v>
      </c>
      <c r="R405" s="12" t="str">
        <f t="shared" si="39"/>
        <v>-</v>
      </c>
    </row>
    <row r="406" spans="1:18" ht="14.4">
      <c r="A406" s="26" t="s">
        <v>565</v>
      </c>
      <c r="B406" s="27">
        <v>4035</v>
      </c>
      <c r="C406" s="13">
        <v>763948040353</v>
      </c>
      <c r="D406" s="28" t="s">
        <v>251</v>
      </c>
      <c r="E406" s="14">
        <v>12</v>
      </c>
      <c r="F406" s="15">
        <v>0.12613269828775001</v>
      </c>
      <c r="G406" s="16">
        <v>16.897500000000001</v>
      </c>
      <c r="H406" s="29" t="s">
        <v>602</v>
      </c>
      <c r="I406" s="30"/>
      <c r="J406" s="38">
        <f t="shared" si="36"/>
        <v>0</v>
      </c>
      <c r="M406" s="10" t="str">
        <f t="shared" si="37"/>
        <v>-</v>
      </c>
      <c r="N406" s="10" t="str">
        <f t="shared" si="40"/>
        <v>-</v>
      </c>
      <c r="O406" s="11" t="str">
        <f t="shared" si="38"/>
        <v>-</v>
      </c>
      <c r="P406" s="12" t="str">
        <f t="shared" si="41"/>
        <v>-</v>
      </c>
      <c r="R406" s="12" t="str">
        <f t="shared" si="39"/>
        <v>-</v>
      </c>
    </row>
    <row r="407" spans="1:18" ht="24">
      <c r="A407" s="26" t="s">
        <v>591</v>
      </c>
      <c r="B407" s="27">
        <v>3239</v>
      </c>
      <c r="C407" s="13">
        <v>763948032396</v>
      </c>
      <c r="D407" s="28" t="s">
        <v>252</v>
      </c>
      <c r="E407" s="14">
        <v>12</v>
      </c>
      <c r="F407" s="15">
        <v>0.12407338892794999</v>
      </c>
      <c r="G407" s="16">
        <v>25.998750000000001</v>
      </c>
      <c r="H407" s="29" t="s">
        <v>602</v>
      </c>
      <c r="I407" s="30"/>
      <c r="J407" s="38">
        <f t="shared" si="36"/>
        <v>0</v>
      </c>
      <c r="M407" s="10" t="str">
        <f t="shared" si="37"/>
        <v>-</v>
      </c>
      <c r="N407" s="10" t="str">
        <f t="shared" si="40"/>
        <v>-</v>
      </c>
      <c r="O407" s="11" t="str">
        <f t="shared" si="38"/>
        <v>-</v>
      </c>
      <c r="P407" s="12" t="str">
        <f t="shared" si="41"/>
        <v>-</v>
      </c>
      <c r="R407" s="12" t="str">
        <f t="shared" si="39"/>
        <v>-</v>
      </c>
    </row>
    <row r="408" spans="1:18" ht="14.4">
      <c r="A408" s="26" t="s">
        <v>568</v>
      </c>
      <c r="B408" s="27">
        <v>7526</v>
      </c>
      <c r="C408" s="13">
        <v>763948075263</v>
      </c>
      <c r="D408" s="28" t="s">
        <v>260</v>
      </c>
      <c r="E408" s="14">
        <v>12</v>
      </c>
      <c r="F408" s="15">
        <v>0.30941123130995002</v>
      </c>
      <c r="G408" s="16">
        <v>12.026250000000001</v>
      </c>
      <c r="H408" s="29" t="s">
        <v>602</v>
      </c>
      <c r="I408" s="30"/>
      <c r="J408" s="38">
        <f t="shared" si="36"/>
        <v>0</v>
      </c>
      <c r="M408" s="10" t="str">
        <f t="shared" si="37"/>
        <v>-</v>
      </c>
      <c r="N408" s="10" t="str">
        <f t="shared" si="40"/>
        <v>-</v>
      </c>
      <c r="O408" s="11" t="str">
        <f t="shared" si="38"/>
        <v>-</v>
      </c>
      <c r="P408" s="12" t="str">
        <f t="shared" si="41"/>
        <v>-</v>
      </c>
      <c r="R408" s="12" t="str">
        <f t="shared" si="39"/>
        <v>-</v>
      </c>
    </row>
    <row r="409" spans="1:18" ht="14.4">
      <c r="A409" s="26" t="s">
        <v>587</v>
      </c>
      <c r="B409" s="27">
        <v>15334</v>
      </c>
      <c r="C409" s="13">
        <v>33674153345</v>
      </c>
      <c r="D409" s="28" t="s">
        <v>262</v>
      </c>
      <c r="E409" s="14">
        <v>12</v>
      </c>
      <c r="F409" s="15">
        <v>0.25432470593530004</v>
      </c>
      <c r="G409" s="16">
        <v>24.862500000000004</v>
      </c>
      <c r="H409" s="29" t="s">
        <v>602</v>
      </c>
      <c r="I409" s="30"/>
      <c r="J409" s="38">
        <f t="shared" si="36"/>
        <v>0</v>
      </c>
      <c r="M409" s="10" t="str">
        <f t="shared" si="37"/>
        <v>-</v>
      </c>
      <c r="N409" s="10" t="str">
        <f t="shared" si="40"/>
        <v>-</v>
      </c>
      <c r="O409" s="11" t="str">
        <f t="shared" si="38"/>
        <v>-</v>
      </c>
      <c r="P409" s="12" t="str">
        <f t="shared" si="41"/>
        <v>-</v>
      </c>
      <c r="R409" s="12" t="str">
        <f t="shared" si="39"/>
        <v>-</v>
      </c>
    </row>
    <row r="410" spans="1:18" ht="14.4">
      <c r="A410" s="26" t="s">
        <v>587</v>
      </c>
      <c r="B410" s="27">
        <v>15425</v>
      </c>
      <c r="C410" s="13">
        <v>33674154250</v>
      </c>
      <c r="D410" s="28" t="s">
        <v>263</v>
      </c>
      <c r="E410" s="14">
        <v>12</v>
      </c>
      <c r="F410" s="15">
        <v>0.55086525374650008</v>
      </c>
      <c r="G410" s="16">
        <v>15.311249999999999</v>
      </c>
      <c r="H410" s="29" t="s">
        <v>602</v>
      </c>
      <c r="I410" s="30"/>
      <c r="J410" s="38">
        <f t="shared" si="36"/>
        <v>0</v>
      </c>
      <c r="M410" s="10" t="str">
        <f t="shared" si="37"/>
        <v>-</v>
      </c>
      <c r="N410" s="10" t="str">
        <f t="shared" si="40"/>
        <v>-</v>
      </c>
      <c r="O410" s="11" t="str">
        <f t="shared" si="38"/>
        <v>-</v>
      </c>
      <c r="P410" s="12" t="str">
        <f t="shared" si="41"/>
        <v>-</v>
      </c>
      <c r="R410" s="12" t="str">
        <f t="shared" si="39"/>
        <v>-</v>
      </c>
    </row>
    <row r="411" spans="1:18" ht="14.4">
      <c r="A411" s="26" t="s">
        <v>587</v>
      </c>
      <c r="B411" s="27">
        <v>15428</v>
      </c>
      <c r="C411" s="13">
        <v>33674154281</v>
      </c>
      <c r="D411" s="28" t="s">
        <v>264</v>
      </c>
      <c r="E411" s="14">
        <v>6</v>
      </c>
      <c r="F411" s="15">
        <v>0.58347098527666674</v>
      </c>
      <c r="G411" s="16">
        <v>11.16</v>
      </c>
      <c r="H411" s="29" t="s">
        <v>602</v>
      </c>
      <c r="I411" s="30"/>
      <c r="J411" s="38">
        <f t="shared" si="36"/>
        <v>0</v>
      </c>
      <c r="M411" s="10" t="str">
        <f t="shared" si="37"/>
        <v>-</v>
      </c>
      <c r="N411" s="10" t="str">
        <f t="shared" si="40"/>
        <v>-</v>
      </c>
      <c r="O411" s="11" t="str">
        <f t="shared" si="38"/>
        <v>-</v>
      </c>
      <c r="P411" s="12" t="str">
        <f t="shared" si="41"/>
        <v>-</v>
      </c>
      <c r="R411" s="12" t="str">
        <f t="shared" si="39"/>
        <v>-</v>
      </c>
    </row>
    <row r="412" spans="1:18" ht="14.4">
      <c r="A412" s="26" t="s">
        <v>587</v>
      </c>
      <c r="B412" s="27">
        <v>15426</v>
      </c>
      <c r="C412" s="13">
        <v>33674154267</v>
      </c>
      <c r="D412" s="28" t="s">
        <v>266</v>
      </c>
      <c r="E412" s="14">
        <v>6</v>
      </c>
      <c r="F412" s="15">
        <v>0.58587351286310008</v>
      </c>
      <c r="G412" s="16">
        <v>10.845000000000001</v>
      </c>
      <c r="H412" s="29" t="s">
        <v>602</v>
      </c>
      <c r="I412" s="30"/>
      <c r="J412" s="38">
        <f t="shared" si="36"/>
        <v>0</v>
      </c>
      <c r="M412" s="10" t="str">
        <f t="shared" si="37"/>
        <v>-</v>
      </c>
      <c r="N412" s="10" t="str">
        <f t="shared" si="40"/>
        <v>-</v>
      </c>
      <c r="O412" s="11" t="str">
        <f t="shared" si="38"/>
        <v>-</v>
      </c>
      <c r="P412" s="12" t="str">
        <f t="shared" si="41"/>
        <v>-</v>
      </c>
      <c r="R412" s="12" t="str">
        <f t="shared" si="39"/>
        <v>-</v>
      </c>
    </row>
    <row r="413" spans="1:18" ht="14.4">
      <c r="A413" s="26" t="s">
        <v>584</v>
      </c>
      <c r="B413" s="27">
        <v>21850390</v>
      </c>
      <c r="C413" s="13">
        <v>308078503905</v>
      </c>
      <c r="D413" s="28" t="s">
        <v>267</v>
      </c>
      <c r="E413" s="14">
        <v>36</v>
      </c>
      <c r="F413" s="15">
        <v>6.0234798774150007E-2</v>
      </c>
      <c r="G413" s="16">
        <v>9.629999999999999</v>
      </c>
      <c r="H413" s="29" t="s">
        <v>602</v>
      </c>
      <c r="I413" s="30"/>
      <c r="J413" s="38">
        <f t="shared" si="36"/>
        <v>0</v>
      </c>
      <c r="M413" s="10" t="str">
        <f t="shared" si="37"/>
        <v>-</v>
      </c>
      <c r="N413" s="10" t="str">
        <f t="shared" si="40"/>
        <v>-</v>
      </c>
      <c r="O413" s="11" t="str">
        <f t="shared" si="38"/>
        <v>-</v>
      </c>
      <c r="P413" s="12" t="str">
        <f t="shared" si="41"/>
        <v>-</v>
      </c>
      <c r="R413" s="12" t="str">
        <f t="shared" si="39"/>
        <v>-</v>
      </c>
    </row>
    <row r="414" spans="1:18" ht="14.4">
      <c r="A414" s="26" t="s">
        <v>566</v>
      </c>
      <c r="B414" s="27">
        <v>10006</v>
      </c>
      <c r="C414" s="13">
        <v>33674100066</v>
      </c>
      <c r="D414" s="28" t="s">
        <v>269</v>
      </c>
      <c r="E414" s="14">
        <v>12</v>
      </c>
      <c r="F414" s="15">
        <v>7.3620309612850002E-2</v>
      </c>
      <c r="G414" s="16">
        <v>19.777499999999996</v>
      </c>
      <c r="H414" s="29" t="s">
        <v>602</v>
      </c>
      <c r="I414" s="30"/>
      <c r="J414" s="38">
        <f t="shared" si="36"/>
        <v>0</v>
      </c>
      <c r="M414" s="10" t="str">
        <f t="shared" si="37"/>
        <v>-</v>
      </c>
      <c r="N414" s="10" t="str">
        <f t="shared" si="40"/>
        <v>-</v>
      </c>
      <c r="O414" s="11" t="str">
        <f t="shared" si="38"/>
        <v>-</v>
      </c>
      <c r="P414" s="12" t="str">
        <f t="shared" si="41"/>
        <v>-</v>
      </c>
      <c r="R414" s="12" t="str">
        <f t="shared" si="39"/>
        <v>-</v>
      </c>
    </row>
    <row r="415" spans="1:18" ht="14.4">
      <c r="A415" s="26" t="s">
        <v>568</v>
      </c>
      <c r="B415" s="27">
        <v>10294</v>
      </c>
      <c r="C415" s="13">
        <v>33674102947</v>
      </c>
      <c r="D415" s="28" t="s">
        <v>270</v>
      </c>
      <c r="E415" s="14">
        <v>12</v>
      </c>
      <c r="F415" s="15">
        <v>0.1019358133101</v>
      </c>
      <c r="G415" s="16">
        <v>16.188749999999999</v>
      </c>
      <c r="H415" s="29" t="s">
        <v>602</v>
      </c>
      <c r="I415" s="30"/>
      <c r="J415" s="38">
        <f t="shared" si="36"/>
        <v>0</v>
      </c>
      <c r="M415" s="10" t="str">
        <f t="shared" si="37"/>
        <v>-</v>
      </c>
      <c r="N415" s="10" t="str">
        <f t="shared" si="40"/>
        <v>-</v>
      </c>
      <c r="O415" s="11" t="str">
        <f t="shared" si="38"/>
        <v>-</v>
      </c>
      <c r="P415" s="12" t="str">
        <f t="shared" si="41"/>
        <v>-</v>
      </c>
      <c r="R415" s="12" t="str">
        <f t="shared" si="39"/>
        <v>-</v>
      </c>
    </row>
    <row r="416" spans="1:18" ht="24">
      <c r="A416" s="26" t="s">
        <v>568</v>
      </c>
      <c r="B416" s="27">
        <v>11582</v>
      </c>
      <c r="C416" s="13">
        <v>33674115824</v>
      </c>
      <c r="D416" s="28" t="s">
        <v>273</v>
      </c>
      <c r="E416" s="14">
        <v>12</v>
      </c>
      <c r="F416" s="15">
        <v>0.10399512266990001</v>
      </c>
      <c r="G416" s="16">
        <v>20.25</v>
      </c>
      <c r="H416" s="29" t="s">
        <v>602</v>
      </c>
      <c r="I416" s="30"/>
      <c r="J416" s="38">
        <f t="shared" si="36"/>
        <v>0</v>
      </c>
      <c r="M416" s="10" t="str">
        <f t="shared" si="37"/>
        <v>-</v>
      </c>
      <c r="N416" s="10" t="str">
        <f t="shared" si="40"/>
        <v>-</v>
      </c>
      <c r="O416" s="11" t="str">
        <f t="shared" si="38"/>
        <v>-</v>
      </c>
      <c r="P416" s="12" t="str">
        <f t="shared" si="41"/>
        <v>-</v>
      </c>
      <c r="R416" s="12" t="str">
        <f t="shared" si="39"/>
        <v>-</v>
      </c>
    </row>
    <row r="417" spans="1:18" ht="24">
      <c r="A417" s="26" t="s">
        <v>568</v>
      </c>
      <c r="B417" s="27">
        <v>10673</v>
      </c>
      <c r="C417" s="13">
        <v>33674106730</v>
      </c>
      <c r="D417" s="28" t="s">
        <v>274</v>
      </c>
      <c r="E417" s="14">
        <v>12</v>
      </c>
      <c r="F417" s="15">
        <v>0.10553960468975</v>
      </c>
      <c r="G417" s="16">
        <v>20.25</v>
      </c>
      <c r="H417" s="29" t="s">
        <v>602</v>
      </c>
      <c r="I417" s="30"/>
      <c r="J417" s="38">
        <f t="shared" si="36"/>
        <v>0</v>
      </c>
      <c r="M417" s="10" t="str">
        <f t="shared" si="37"/>
        <v>-</v>
      </c>
      <c r="N417" s="10" t="str">
        <f t="shared" si="40"/>
        <v>-</v>
      </c>
      <c r="O417" s="11" t="str">
        <f t="shared" si="38"/>
        <v>-</v>
      </c>
      <c r="P417" s="12" t="str">
        <f t="shared" si="41"/>
        <v>-</v>
      </c>
      <c r="R417" s="12" t="str">
        <f t="shared" si="39"/>
        <v>-</v>
      </c>
    </row>
    <row r="418" spans="1:18" ht="24">
      <c r="A418" s="26" t="s">
        <v>568</v>
      </c>
      <c r="B418" s="27">
        <v>11581</v>
      </c>
      <c r="C418" s="13">
        <v>33674115817</v>
      </c>
      <c r="D418" s="28" t="s">
        <v>275</v>
      </c>
      <c r="E418" s="14">
        <v>12</v>
      </c>
      <c r="F418" s="15">
        <v>0.10348029532995001</v>
      </c>
      <c r="G418" s="16">
        <v>20.25</v>
      </c>
      <c r="H418" s="29" t="s">
        <v>602</v>
      </c>
      <c r="I418" s="30"/>
      <c r="J418" s="38">
        <f t="shared" si="36"/>
        <v>0</v>
      </c>
      <c r="M418" s="10" t="str">
        <f t="shared" si="37"/>
        <v>-</v>
      </c>
      <c r="N418" s="10" t="str">
        <f t="shared" si="40"/>
        <v>-</v>
      </c>
      <c r="O418" s="11" t="str">
        <f t="shared" si="38"/>
        <v>-</v>
      </c>
      <c r="P418" s="12" t="str">
        <f t="shared" si="41"/>
        <v>-</v>
      </c>
      <c r="R418" s="12" t="str">
        <f t="shared" si="39"/>
        <v>-</v>
      </c>
    </row>
    <row r="419" spans="1:18" ht="14.4">
      <c r="A419" s="26" t="s">
        <v>568</v>
      </c>
      <c r="B419" s="27">
        <v>10762</v>
      </c>
      <c r="C419" s="13">
        <v>33674107621</v>
      </c>
      <c r="D419" s="28" t="s">
        <v>276</v>
      </c>
      <c r="E419" s="14">
        <v>12</v>
      </c>
      <c r="F419" s="15">
        <v>6.3838590153800015E-2</v>
      </c>
      <c r="G419" s="16">
        <v>23.625</v>
      </c>
      <c r="H419" s="29" t="s">
        <v>602</v>
      </c>
      <c r="I419" s="30"/>
      <c r="J419" s="38">
        <f t="shared" si="36"/>
        <v>0</v>
      </c>
      <c r="M419" s="10" t="str">
        <f t="shared" si="37"/>
        <v>-</v>
      </c>
      <c r="N419" s="10" t="str">
        <f t="shared" si="40"/>
        <v>-</v>
      </c>
      <c r="O419" s="11" t="str">
        <f t="shared" si="38"/>
        <v>-</v>
      </c>
      <c r="P419" s="12" t="str">
        <f t="shared" si="41"/>
        <v>-</v>
      </c>
      <c r="R419" s="12" t="str">
        <f t="shared" si="39"/>
        <v>-</v>
      </c>
    </row>
    <row r="420" spans="1:18" ht="24">
      <c r="A420" s="26" t="s">
        <v>568</v>
      </c>
      <c r="B420" s="27">
        <v>15784</v>
      </c>
      <c r="C420" s="13">
        <v>33674157848</v>
      </c>
      <c r="D420" s="28" t="s">
        <v>277</v>
      </c>
      <c r="E420" s="14">
        <v>12</v>
      </c>
      <c r="F420" s="15">
        <v>9.2154093851050001E-2</v>
      </c>
      <c r="G420" s="16">
        <v>29.53125</v>
      </c>
      <c r="H420" s="29" t="s">
        <v>602</v>
      </c>
      <c r="I420" s="30"/>
      <c r="J420" s="38">
        <f t="shared" si="36"/>
        <v>0</v>
      </c>
      <c r="M420" s="10" t="str">
        <f t="shared" si="37"/>
        <v>-</v>
      </c>
      <c r="N420" s="10" t="str">
        <f t="shared" si="40"/>
        <v>-</v>
      </c>
      <c r="O420" s="11" t="str">
        <f t="shared" si="38"/>
        <v>-</v>
      </c>
      <c r="P420" s="12" t="str">
        <f t="shared" si="41"/>
        <v>-</v>
      </c>
      <c r="R420" s="12" t="str">
        <f t="shared" si="39"/>
        <v>-</v>
      </c>
    </row>
    <row r="421" spans="1:18" ht="24">
      <c r="A421" s="26" t="s">
        <v>568</v>
      </c>
      <c r="B421" s="27">
        <v>15783</v>
      </c>
      <c r="C421" s="13">
        <v>33674157831</v>
      </c>
      <c r="D421" s="28" t="s">
        <v>278</v>
      </c>
      <c r="E421" s="14">
        <v>12</v>
      </c>
      <c r="F421" s="15">
        <v>9.2668921191000009E-2</v>
      </c>
      <c r="G421" s="16">
        <v>23.625</v>
      </c>
      <c r="H421" s="29" t="s">
        <v>602</v>
      </c>
      <c r="I421" s="30"/>
      <c r="J421" s="38">
        <f t="shared" si="36"/>
        <v>0</v>
      </c>
      <c r="M421" s="10" t="str">
        <f t="shared" si="37"/>
        <v>-</v>
      </c>
      <c r="N421" s="10" t="str">
        <f t="shared" si="40"/>
        <v>-</v>
      </c>
      <c r="O421" s="11" t="str">
        <f t="shared" si="38"/>
        <v>-</v>
      </c>
      <c r="P421" s="12" t="str">
        <f t="shared" si="41"/>
        <v>-</v>
      </c>
      <c r="R421" s="12" t="str">
        <f t="shared" si="39"/>
        <v>-</v>
      </c>
    </row>
    <row r="422" spans="1:18" ht="24">
      <c r="A422" s="26" t="s">
        <v>568</v>
      </c>
      <c r="B422" s="27">
        <v>15859</v>
      </c>
      <c r="C422" s="13">
        <v>33674158593</v>
      </c>
      <c r="D422" s="28" t="s">
        <v>279</v>
      </c>
      <c r="E422" s="14">
        <v>12</v>
      </c>
      <c r="F422" s="15">
        <v>9.2154093851050001E-2</v>
      </c>
      <c r="G422" s="16">
        <v>26.583750000000002</v>
      </c>
      <c r="H422" s="29" t="s">
        <v>602</v>
      </c>
      <c r="I422" s="30"/>
      <c r="J422" s="38">
        <f t="shared" si="36"/>
        <v>0</v>
      </c>
      <c r="M422" s="10" t="str">
        <f t="shared" si="37"/>
        <v>-</v>
      </c>
      <c r="N422" s="10" t="str">
        <f t="shared" si="40"/>
        <v>-</v>
      </c>
      <c r="O422" s="11" t="str">
        <f t="shared" si="38"/>
        <v>-</v>
      </c>
      <c r="P422" s="12" t="str">
        <f t="shared" si="41"/>
        <v>-</v>
      </c>
      <c r="R422" s="12" t="str">
        <f t="shared" si="39"/>
        <v>-</v>
      </c>
    </row>
    <row r="423" spans="1:18" ht="24">
      <c r="A423" s="26" t="s">
        <v>568</v>
      </c>
      <c r="B423" s="27">
        <v>15785</v>
      </c>
      <c r="C423" s="13">
        <v>33674157855</v>
      </c>
      <c r="D423" s="28" t="s">
        <v>280</v>
      </c>
      <c r="E423" s="14">
        <v>12</v>
      </c>
      <c r="F423" s="15">
        <v>9.2668921191000009E-2</v>
      </c>
      <c r="G423" s="16">
        <v>29.53125</v>
      </c>
      <c r="H423" s="29" t="s">
        <v>602</v>
      </c>
      <c r="I423" s="30"/>
      <c r="J423" s="38">
        <f t="shared" si="36"/>
        <v>0</v>
      </c>
      <c r="M423" s="10" t="str">
        <f t="shared" si="37"/>
        <v>-</v>
      </c>
      <c r="N423" s="10" t="str">
        <f t="shared" si="40"/>
        <v>-</v>
      </c>
      <c r="O423" s="11" t="str">
        <f t="shared" si="38"/>
        <v>-</v>
      </c>
      <c r="P423" s="12" t="str">
        <f t="shared" si="41"/>
        <v>-</v>
      </c>
      <c r="R423" s="12" t="str">
        <f t="shared" si="39"/>
        <v>-</v>
      </c>
    </row>
    <row r="424" spans="1:18" ht="14.4">
      <c r="A424" s="26" t="s">
        <v>568</v>
      </c>
      <c r="B424" s="27">
        <v>10337</v>
      </c>
      <c r="C424" s="13">
        <v>33674103371</v>
      </c>
      <c r="D424" s="28" t="s">
        <v>281</v>
      </c>
      <c r="E424" s="14">
        <v>12</v>
      </c>
      <c r="F424" s="15">
        <v>6.4353417493750009E-2</v>
      </c>
      <c r="G424" s="16">
        <v>23.625</v>
      </c>
      <c r="H424" s="29" t="s">
        <v>602</v>
      </c>
      <c r="I424" s="30"/>
      <c r="J424" s="38">
        <f t="shared" si="36"/>
        <v>0</v>
      </c>
      <c r="M424" s="10" t="str">
        <f t="shared" si="37"/>
        <v>-</v>
      </c>
      <c r="N424" s="10" t="str">
        <f t="shared" si="40"/>
        <v>-</v>
      </c>
      <c r="O424" s="11" t="str">
        <f t="shared" si="38"/>
        <v>-</v>
      </c>
      <c r="P424" s="12" t="str">
        <f t="shared" si="41"/>
        <v>-</v>
      </c>
      <c r="R424" s="12" t="str">
        <f t="shared" si="39"/>
        <v>-</v>
      </c>
    </row>
    <row r="425" spans="1:18" ht="24">
      <c r="A425" s="26" t="s">
        <v>568</v>
      </c>
      <c r="B425" s="27">
        <v>15652</v>
      </c>
      <c r="C425" s="13">
        <v>33674156520</v>
      </c>
      <c r="D425" s="28" t="s">
        <v>282</v>
      </c>
      <c r="E425" s="14">
        <v>12</v>
      </c>
      <c r="F425" s="15">
        <v>9.1124439171149998E-2</v>
      </c>
      <c r="G425" s="16">
        <v>18.315000000000001</v>
      </c>
      <c r="H425" s="29" t="s">
        <v>602</v>
      </c>
      <c r="I425" s="30"/>
      <c r="J425" s="38">
        <f t="shared" si="36"/>
        <v>0</v>
      </c>
      <c r="M425" s="10" t="str">
        <f t="shared" si="37"/>
        <v>-</v>
      </c>
      <c r="N425" s="10" t="str">
        <f t="shared" si="40"/>
        <v>-</v>
      </c>
      <c r="O425" s="11" t="str">
        <f t="shared" si="38"/>
        <v>-</v>
      </c>
      <c r="P425" s="12" t="str">
        <f t="shared" si="41"/>
        <v>-</v>
      </c>
      <c r="R425" s="12" t="str">
        <f t="shared" si="39"/>
        <v>-</v>
      </c>
    </row>
    <row r="426" spans="1:18" ht="24">
      <c r="A426" s="26" t="s">
        <v>568</v>
      </c>
      <c r="B426" s="27">
        <v>15653</v>
      </c>
      <c r="C426" s="13">
        <v>33674156537</v>
      </c>
      <c r="D426" s="28" t="s">
        <v>283</v>
      </c>
      <c r="E426" s="14">
        <v>12</v>
      </c>
      <c r="F426" s="15">
        <v>0.12973648966740001</v>
      </c>
      <c r="G426" s="16">
        <v>35.144999999999996</v>
      </c>
      <c r="H426" s="29" t="s">
        <v>602</v>
      </c>
      <c r="I426" s="30"/>
      <c r="J426" s="38">
        <f t="shared" si="36"/>
        <v>0</v>
      </c>
      <c r="M426" s="10" t="str">
        <f t="shared" si="37"/>
        <v>-</v>
      </c>
      <c r="N426" s="10" t="str">
        <f t="shared" si="40"/>
        <v>-</v>
      </c>
      <c r="O426" s="11" t="str">
        <f t="shared" si="38"/>
        <v>-</v>
      </c>
      <c r="P426" s="12" t="str">
        <f t="shared" si="41"/>
        <v>-</v>
      </c>
      <c r="R426" s="12" t="str">
        <f t="shared" si="39"/>
        <v>-</v>
      </c>
    </row>
    <row r="427" spans="1:18" ht="14.4">
      <c r="A427" s="26" t="s">
        <v>568</v>
      </c>
      <c r="B427" s="27">
        <v>10336</v>
      </c>
      <c r="C427" s="13">
        <v>33674103364</v>
      </c>
      <c r="D427" s="28" t="s">
        <v>284</v>
      </c>
      <c r="E427" s="14">
        <v>12</v>
      </c>
      <c r="F427" s="15">
        <v>6.5383072173649998E-2</v>
      </c>
      <c r="G427" s="16">
        <v>23.625</v>
      </c>
      <c r="H427" s="29" t="s">
        <v>602</v>
      </c>
      <c r="I427" s="30"/>
      <c r="J427" s="38">
        <f t="shared" si="36"/>
        <v>0</v>
      </c>
      <c r="M427" s="10" t="str">
        <f t="shared" si="37"/>
        <v>-</v>
      </c>
      <c r="N427" s="10" t="str">
        <f t="shared" si="40"/>
        <v>-</v>
      </c>
      <c r="O427" s="11" t="str">
        <f t="shared" si="38"/>
        <v>-</v>
      </c>
      <c r="P427" s="12" t="str">
        <f t="shared" si="41"/>
        <v>-</v>
      </c>
      <c r="R427" s="12" t="str">
        <f t="shared" si="39"/>
        <v>-</v>
      </c>
    </row>
    <row r="428" spans="1:18" ht="14.4">
      <c r="A428" s="26" t="s">
        <v>588</v>
      </c>
      <c r="B428" s="27">
        <v>5526</v>
      </c>
      <c r="C428" s="13">
        <v>763948055265</v>
      </c>
      <c r="D428" s="28" t="s">
        <v>286</v>
      </c>
      <c r="E428" s="14">
        <v>12</v>
      </c>
      <c r="F428" s="15">
        <v>5.9719971434199999E-2</v>
      </c>
      <c r="G428" s="16">
        <v>11.53125</v>
      </c>
      <c r="H428" s="29" t="s">
        <v>602</v>
      </c>
      <c r="I428" s="30"/>
      <c r="J428" s="38">
        <f t="shared" si="36"/>
        <v>0</v>
      </c>
      <c r="M428" s="10" t="str">
        <f t="shared" si="37"/>
        <v>-</v>
      </c>
      <c r="N428" s="10" t="str">
        <f t="shared" si="40"/>
        <v>-</v>
      </c>
      <c r="O428" s="11" t="str">
        <f t="shared" si="38"/>
        <v>-</v>
      </c>
      <c r="P428" s="12" t="str">
        <f t="shared" si="41"/>
        <v>-</v>
      </c>
      <c r="R428" s="12" t="str">
        <f t="shared" si="39"/>
        <v>-</v>
      </c>
    </row>
    <row r="429" spans="1:18" ht="14.4">
      <c r="A429" s="26" t="s">
        <v>587</v>
      </c>
      <c r="B429" s="27">
        <v>6793</v>
      </c>
      <c r="C429" s="13">
        <v>33674067932</v>
      </c>
      <c r="D429" s="28" t="s">
        <v>289</v>
      </c>
      <c r="E429" s="14">
        <v>12</v>
      </c>
      <c r="F429" s="15">
        <v>0.10348029532995001</v>
      </c>
      <c r="G429" s="16">
        <v>12.757499999999999</v>
      </c>
      <c r="H429" s="29" t="s">
        <v>602</v>
      </c>
      <c r="I429" s="30"/>
      <c r="J429" s="38">
        <f t="shared" si="36"/>
        <v>0</v>
      </c>
      <c r="M429" s="10" t="str">
        <f t="shared" si="37"/>
        <v>-</v>
      </c>
      <c r="N429" s="10" t="str">
        <f t="shared" si="40"/>
        <v>-</v>
      </c>
      <c r="O429" s="11" t="str">
        <f t="shared" si="38"/>
        <v>-</v>
      </c>
      <c r="P429" s="12" t="str">
        <f t="shared" si="41"/>
        <v>-</v>
      </c>
      <c r="R429" s="12" t="str">
        <f t="shared" si="39"/>
        <v>-</v>
      </c>
    </row>
    <row r="430" spans="1:18" ht="14.4">
      <c r="A430" s="26" t="s">
        <v>587</v>
      </c>
      <c r="B430" s="27">
        <v>15067</v>
      </c>
      <c r="C430" s="13">
        <v>33674150672</v>
      </c>
      <c r="D430" s="28" t="s">
        <v>290</v>
      </c>
      <c r="E430" s="14">
        <v>12</v>
      </c>
      <c r="F430" s="15">
        <v>0.1822488783423</v>
      </c>
      <c r="G430" s="16">
        <v>22.96125</v>
      </c>
      <c r="H430" s="29" t="s">
        <v>602</v>
      </c>
      <c r="I430" s="30"/>
      <c r="J430" s="38">
        <f t="shared" si="36"/>
        <v>0</v>
      </c>
      <c r="M430" s="10" t="str">
        <f t="shared" si="37"/>
        <v>-</v>
      </c>
      <c r="N430" s="10" t="str">
        <f t="shared" si="40"/>
        <v>-</v>
      </c>
      <c r="O430" s="11" t="str">
        <f t="shared" si="38"/>
        <v>-</v>
      </c>
      <c r="P430" s="12" t="str">
        <f t="shared" si="41"/>
        <v>-</v>
      </c>
      <c r="R430" s="12" t="str">
        <f t="shared" si="39"/>
        <v>-</v>
      </c>
    </row>
    <row r="431" spans="1:18" ht="14.4">
      <c r="A431" s="26" t="s">
        <v>587</v>
      </c>
      <c r="B431" s="27">
        <v>8501</v>
      </c>
      <c r="C431" s="13">
        <v>763948085019</v>
      </c>
      <c r="D431" s="28" t="s">
        <v>291</v>
      </c>
      <c r="E431" s="14">
        <v>12</v>
      </c>
      <c r="F431" s="15">
        <v>0.10450995000985001</v>
      </c>
      <c r="G431" s="16">
        <v>23.602499999999999</v>
      </c>
      <c r="H431" s="29" t="s">
        <v>602</v>
      </c>
      <c r="I431" s="30"/>
      <c r="J431" s="38">
        <f t="shared" si="36"/>
        <v>0</v>
      </c>
      <c r="M431" s="10" t="str">
        <f t="shared" si="37"/>
        <v>-</v>
      </c>
      <c r="N431" s="10" t="str">
        <f t="shared" si="40"/>
        <v>-</v>
      </c>
      <c r="O431" s="11" t="str">
        <f t="shared" si="38"/>
        <v>-</v>
      </c>
      <c r="P431" s="12" t="str">
        <f t="shared" si="41"/>
        <v>-</v>
      </c>
      <c r="R431" s="12" t="str">
        <f t="shared" si="39"/>
        <v>-</v>
      </c>
    </row>
    <row r="432" spans="1:18" ht="14.4">
      <c r="A432" s="26" t="s">
        <v>587</v>
      </c>
      <c r="B432" s="27">
        <v>8503</v>
      </c>
      <c r="C432" s="13">
        <v>763948085033</v>
      </c>
      <c r="D432" s="28" t="s">
        <v>292</v>
      </c>
      <c r="E432" s="14">
        <v>12</v>
      </c>
      <c r="F432" s="15">
        <v>4.5819633255550003E-2</v>
      </c>
      <c r="G432" s="16">
        <v>8.6062500000000011</v>
      </c>
      <c r="H432" s="29" t="s">
        <v>602</v>
      </c>
      <c r="I432" s="30"/>
      <c r="J432" s="38">
        <f t="shared" si="36"/>
        <v>0</v>
      </c>
      <c r="M432" s="10" t="str">
        <f t="shared" si="37"/>
        <v>-</v>
      </c>
      <c r="N432" s="10" t="str">
        <f t="shared" si="40"/>
        <v>-</v>
      </c>
      <c r="O432" s="11" t="str">
        <f t="shared" si="38"/>
        <v>-</v>
      </c>
      <c r="P432" s="12" t="str">
        <f t="shared" si="41"/>
        <v>-</v>
      </c>
      <c r="R432" s="12" t="str">
        <f t="shared" si="39"/>
        <v>-</v>
      </c>
    </row>
    <row r="433" spans="1:18" ht="14.4">
      <c r="A433" s="26" t="s">
        <v>568</v>
      </c>
      <c r="B433" s="27">
        <v>13108</v>
      </c>
      <c r="C433" s="13">
        <v>33674131084</v>
      </c>
      <c r="D433" s="28" t="s">
        <v>294</v>
      </c>
      <c r="E433" s="14">
        <v>12</v>
      </c>
      <c r="F433" s="15">
        <v>0.20335679928025005</v>
      </c>
      <c r="G433" s="16">
        <v>10.6875</v>
      </c>
      <c r="H433" s="29" t="s">
        <v>602</v>
      </c>
      <c r="I433" s="30"/>
      <c r="J433" s="38">
        <f t="shared" si="36"/>
        <v>0</v>
      </c>
      <c r="M433" s="10" t="str">
        <f t="shared" si="37"/>
        <v>-</v>
      </c>
      <c r="N433" s="10" t="str">
        <f t="shared" si="40"/>
        <v>-</v>
      </c>
      <c r="O433" s="11" t="str">
        <f t="shared" si="38"/>
        <v>-</v>
      </c>
      <c r="P433" s="12" t="str">
        <f t="shared" si="41"/>
        <v>-</v>
      </c>
      <c r="R433" s="12" t="str">
        <f t="shared" si="39"/>
        <v>-</v>
      </c>
    </row>
    <row r="434" spans="1:18" ht="14.4">
      <c r="A434" s="26" t="s">
        <v>588</v>
      </c>
      <c r="B434" s="27">
        <v>15268</v>
      </c>
      <c r="C434" s="13">
        <v>33674152683</v>
      </c>
      <c r="D434" s="28" t="s">
        <v>298</v>
      </c>
      <c r="E434" s="14">
        <v>12</v>
      </c>
      <c r="F434" s="15">
        <v>9.9361676610350003E-2</v>
      </c>
      <c r="G434" s="16">
        <v>30.982500000000002</v>
      </c>
      <c r="H434" s="29" t="s">
        <v>602</v>
      </c>
      <c r="I434" s="30"/>
      <c r="J434" s="38">
        <f t="shared" si="36"/>
        <v>0</v>
      </c>
      <c r="M434" s="10" t="str">
        <f t="shared" si="37"/>
        <v>-</v>
      </c>
      <c r="N434" s="10" t="str">
        <f t="shared" si="40"/>
        <v>-</v>
      </c>
      <c r="O434" s="11" t="str">
        <f t="shared" si="38"/>
        <v>-</v>
      </c>
      <c r="P434" s="12" t="str">
        <f t="shared" si="41"/>
        <v>-</v>
      </c>
      <c r="R434" s="12" t="str">
        <f t="shared" si="39"/>
        <v>-</v>
      </c>
    </row>
    <row r="435" spans="1:18" ht="14.4">
      <c r="A435" s="26" t="s">
        <v>583</v>
      </c>
      <c r="B435" s="27">
        <v>15252</v>
      </c>
      <c r="C435" s="13">
        <v>33674152522</v>
      </c>
      <c r="D435" s="28" t="s">
        <v>299</v>
      </c>
      <c r="E435" s="14">
        <v>12</v>
      </c>
      <c r="F435" s="15">
        <v>9.1639266511100007E-2</v>
      </c>
      <c r="G435" s="16">
        <v>26.009999999999998</v>
      </c>
      <c r="H435" s="29" t="s">
        <v>602</v>
      </c>
      <c r="I435" s="30"/>
      <c r="J435" s="38">
        <f t="shared" si="36"/>
        <v>0</v>
      </c>
      <c r="M435" s="10" t="str">
        <f t="shared" si="37"/>
        <v>-</v>
      </c>
      <c r="N435" s="10" t="str">
        <f t="shared" si="40"/>
        <v>-</v>
      </c>
      <c r="O435" s="11" t="str">
        <f t="shared" si="38"/>
        <v>-</v>
      </c>
      <c r="P435" s="12" t="str">
        <f t="shared" si="41"/>
        <v>-</v>
      </c>
      <c r="R435" s="12" t="str">
        <f t="shared" si="39"/>
        <v>-</v>
      </c>
    </row>
    <row r="436" spans="1:18" ht="14.4">
      <c r="A436" s="26" t="s">
        <v>588</v>
      </c>
      <c r="B436" s="27">
        <v>15251</v>
      </c>
      <c r="C436" s="13">
        <v>33674152515</v>
      </c>
      <c r="D436" s="28" t="s">
        <v>300</v>
      </c>
      <c r="E436" s="14">
        <v>12</v>
      </c>
      <c r="F436" s="15">
        <v>7.4649964292750004E-2</v>
      </c>
      <c r="G436" s="16">
        <v>30.228749999999998</v>
      </c>
      <c r="H436" s="29" t="s">
        <v>602</v>
      </c>
      <c r="I436" s="30"/>
      <c r="J436" s="38">
        <f t="shared" si="36"/>
        <v>0</v>
      </c>
      <c r="M436" s="10" t="str">
        <f t="shared" si="37"/>
        <v>-</v>
      </c>
      <c r="N436" s="10" t="str">
        <f t="shared" si="40"/>
        <v>-</v>
      </c>
      <c r="O436" s="11" t="str">
        <f t="shared" si="38"/>
        <v>-</v>
      </c>
      <c r="P436" s="12" t="str">
        <f t="shared" si="41"/>
        <v>-</v>
      </c>
      <c r="R436" s="12" t="str">
        <f t="shared" si="39"/>
        <v>-</v>
      </c>
    </row>
    <row r="437" spans="1:18" ht="14.4">
      <c r="A437" s="26" t="s">
        <v>571</v>
      </c>
      <c r="B437" s="27">
        <v>13300</v>
      </c>
      <c r="C437" s="13">
        <v>33674133002</v>
      </c>
      <c r="D437" s="28" t="s">
        <v>301</v>
      </c>
      <c r="E437" s="14">
        <v>12</v>
      </c>
      <c r="F437" s="15">
        <v>0.13385510838700002</v>
      </c>
      <c r="G437" s="16">
        <v>16.5825</v>
      </c>
      <c r="H437" s="29" t="s">
        <v>602</v>
      </c>
      <c r="I437" s="30"/>
      <c r="J437" s="38">
        <f t="shared" si="36"/>
        <v>0</v>
      </c>
      <c r="M437" s="10" t="str">
        <f t="shared" si="37"/>
        <v>-</v>
      </c>
      <c r="N437" s="10" t="str">
        <f t="shared" si="40"/>
        <v>-</v>
      </c>
      <c r="O437" s="11" t="str">
        <f t="shared" si="38"/>
        <v>-</v>
      </c>
      <c r="P437" s="12" t="str">
        <f t="shared" si="41"/>
        <v>-</v>
      </c>
      <c r="R437" s="12" t="str">
        <f t="shared" si="39"/>
        <v>-</v>
      </c>
    </row>
    <row r="438" spans="1:18" ht="14.4">
      <c r="A438" s="26" t="s">
        <v>571</v>
      </c>
      <c r="B438" s="27">
        <v>61700</v>
      </c>
      <c r="C438" s="13">
        <v>33674617007</v>
      </c>
      <c r="D438" s="28" t="s">
        <v>303</v>
      </c>
      <c r="E438" s="14">
        <v>12</v>
      </c>
      <c r="F438" s="15">
        <v>8.7520647791500025E-2</v>
      </c>
      <c r="G438" s="16">
        <v>22.96125</v>
      </c>
      <c r="H438" s="29" t="s">
        <v>602</v>
      </c>
      <c r="I438" s="30"/>
      <c r="J438" s="38">
        <f t="shared" si="36"/>
        <v>0</v>
      </c>
      <c r="M438" s="10" t="str">
        <f t="shared" si="37"/>
        <v>-</v>
      </c>
      <c r="N438" s="10" t="str">
        <f t="shared" si="40"/>
        <v>-</v>
      </c>
      <c r="O438" s="11" t="str">
        <f t="shared" si="38"/>
        <v>-</v>
      </c>
      <c r="P438" s="12" t="str">
        <f t="shared" si="41"/>
        <v>-</v>
      </c>
      <c r="R438" s="12" t="str">
        <f t="shared" si="39"/>
        <v>-</v>
      </c>
    </row>
    <row r="439" spans="1:18" ht="14.4">
      <c r="A439" s="26" t="s">
        <v>568</v>
      </c>
      <c r="B439" s="27">
        <v>3952</v>
      </c>
      <c r="C439" s="13">
        <v>763948039524</v>
      </c>
      <c r="D439" s="28" t="s">
        <v>305</v>
      </c>
      <c r="E439" s="14">
        <v>12</v>
      </c>
      <c r="F439" s="15">
        <v>0.12098442488825001</v>
      </c>
      <c r="G439" s="16">
        <v>18.855</v>
      </c>
      <c r="H439" s="29" t="s">
        <v>602</v>
      </c>
      <c r="I439" s="30"/>
      <c r="J439" s="38">
        <f t="shared" si="36"/>
        <v>0</v>
      </c>
      <c r="M439" s="10" t="str">
        <f t="shared" si="37"/>
        <v>-</v>
      </c>
      <c r="N439" s="10" t="str">
        <f t="shared" si="40"/>
        <v>-</v>
      </c>
      <c r="O439" s="11" t="str">
        <f t="shared" si="38"/>
        <v>-</v>
      </c>
      <c r="P439" s="12" t="str">
        <f t="shared" si="41"/>
        <v>-</v>
      </c>
      <c r="R439" s="12" t="str">
        <f t="shared" si="39"/>
        <v>-</v>
      </c>
    </row>
    <row r="440" spans="1:18" ht="14.4">
      <c r="A440" s="26" t="s">
        <v>578</v>
      </c>
      <c r="B440" s="27">
        <v>13900</v>
      </c>
      <c r="C440" s="13">
        <v>33674139004</v>
      </c>
      <c r="D440" s="28" t="s">
        <v>307</v>
      </c>
      <c r="E440" s="14">
        <v>12</v>
      </c>
      <c r="F440" s="15">
        <v>6.1264453454049995E-2</v>
      </c>
      <c r="G440" s="16">
        <v>15.66</v>
      </c>
      <c r="H440" s="29" t="s">
        <v>602</v>
      </c>
      <c r="I440" s="30"/>
      <c r="J440" s="38">
        <f t="shared" si="36"/>
        <v>0</v>
      </c>
      <c r="M440" s="10" t="str">
        <f t="shared" si="37"/>
        <v>-</v>
      </c>
      <c r="N440" s="10" t="str">
        <f t="shared" si="40"/>
        <v>-</v>
      </c>
      <c r="O440" s="11" t="str">
        <f t="shared" si="38"/>
        <v>-</v>
      </c>
      <c r="P440" s="12" t="str">
        <f t="shared" si="41"/>
        <v>-</v>
      </c>
      <c r="R440" s="12" t="str">
        <f t="shared" si="39"/>
        <v>-</v>
      </c>
    </row>
    <row r="441" spans="1:18" ht="14.4">
      <c r="A441" s="26" t="s">
        <v>582</v>
      </c>
      <c r="B441" s="27">
        <v>15352</v>
      </c>
      <c r="C441" s="13">
        <v>33674153529</v>
      </c>
      <c r="D441" s="28" t="s">
        <v>311</v>
      </c>
      <c r="E441" s="14">
        <v>12</v>
      </c>
      <c r="F441" s="15">
        <v>6.795720887340001E-2</v>
      </c>
      <c r="G441" s="16">
        <v>14.355</v>
      </c>
      <c r="H441" s="29" t="s">
        <v>602</v>
      </c>
      <c r="I441" s="30"/>
      <c r="J441" s="38">
        <f t="shared" si="36"/>
        <v>0</v>
      </c>
      <c r="M441" s="10" t="str">
        <f t="shared" si="37"/>
        <v>-</v>
      </c>
      <c r="N441" s="10" t="str">
        <f t="shared" si="40"/>
        <v>-</v>
      </c>
      <c r="O441" s="11" t="str">
        <f t="shared" si="38"/>
        <v>-</v>
      </c>
      <c r="P441" s="12" t="str">
        <f t="shared" si="41"/>
        <v>-</v>
      </c>
      <c r="R441" s="12" t="str">
        <f t="shared" si="39"/>
        <v>-</v>
      </c>
    </row>
    <row r="442" spans="1:18" ht="14.4">
      <c r="A442" s="26" t="s">
        <v>582</v>
      </c>
      <c r="B442" s="27">
        <v>14320</v>
      </c>
      <c r="C442" s="13">
        <v>33674143209</v>
      </c>
      <c r="D442" s="28" t="s">
        <v>312</v>
      </c>
      <c r="E442" s="14">
        <v>12</v>
      </c>
      <c r="F442" s="15">
        <v>4.942342463519999E-2</v>
      </c>
      <c r="G442" s="16">
        <v>7.83</v>
      </c>
      <c r="H442" s="29" t="s">
        <v>602</v>
      </c>
      <c r="I442" s="30"/>
      <c r="J442" s="38">
        <f t="shared" si="36"/>
        <v>0</v>
      </c>
      <c r="M442" s="10" t="str">
        <f t="shared" si="37"/>
        <v>-</v>
      </c>
      <c r="N442" s="10" t="str">
        <f t="shared" si="40"/>
        <v>-</v>
      </c>
      <c r="O442" s="11" t="str">
        <f t="shared" si="38"/>
        <v>-</v>
      </c>
      <c r="P442" s="12" t="str">
        <f t="shared" si="41"/>
        <v>-</v>
      </c>
      <c r="R442" s="12" t="str">
        <f t="shared" si="39"/>
        <v>-</v>
      </c>
    </row>
    <row r="443" spans="1:18" ht="14.4">
      <c r="A443" s="26" t="s">
        <v>586</v>
      </c>
      <c r="B443" s="27">
        <v>1787</v>
      </c>
      <c r="C443" s="13">
        <v>763948017874</v>
      </c>
      <c r="D443" s="28" t="s">
        <v>313</v>
      </c>
      <c r="E443" s="14">
        <v>12</v>
      </c>
      <c r="F443" s="15">
        <v>0.36346810200470009</v>
      </c>
      <c r="G443" s="16">
        <v>34.11</v>
      </c>
      <c r="H443" s="29" t="s">
        <v>602</v>
      </c>
      <c r="I443" s="30"/>
      <c r="J443" s="38">
        <f t="shared" si="36"/>
        <v>0</v>
      </c>
      <c r="M443" s="10" t="str">
        <f t="shared" si="37"/>
        <v>-</v>
      </c>
      <c r="N443" s="10" t="str">
        <f t="shared" si="40"/>
        <v>-</v>
      </c>
      <c r="O443" s="11" t="str">
        <f t="shared" si="38"/>
        <v>-</v>
      </c>
      <c r="P443" s="12" t="str">
        <f t="shared" si="41"/>
        <v>-</v>
      </c>
      <c r="R443" s="12" t="str">
        <f t="shared" si="39"/>
        <v>-</v>
      </c>
    </row>
    <row r="444" spans="1:18" ht="14.4">
      <c r="A444" s="26" t="s">
        <v>568</v>
      </c>
      <c r="B444" s="27">
        <v>9110</v>
      </c>
      <c r="C444" s="13">
        <v>763948091102</v>
      </c>
      <c r="D444" s="28" t="s">
        <v>319</v>
      </c>
      <c r="E444" s="14">
        <v>12</v>
      </c>
      <c r="F444" s="15">
        <v>4.2902278329166675E-2</v>
      </c>
      <c r="G444" s="16">
        <v>21.78</v>
      </c>
      <c r="H444" s="29" t="s">
        <v>602</v>
      </c>
      <c r="I444" s="30"/>
      <c r="J444" s="38">
        <f t="shared" si="36"/>
        <v>0</v>
      </c>
      <c r="M444" s="10" t="str">
        <f t="shared" si="37"/>
        <v>-</v>
      </c>
      <c r="N444" s="10" t="str">
        <f t="shared" si="40"/>
        <v>-</v>
      </c>
      <c r="O444" s="11" t="str">
        <f t="shared" si="38"/>
        <v>-</v>
      </c>
      <c r="P444" s="12" t="str">
        <f t="shared" si="41"/>
        <v>-</v>
      </c>
      <c r="R444" s="12" t="str">
        <f t="shared" si="39"/>
        <v>-</v>
      </c>
    </row>
    <row r="445" spans="1:18" ht="14.4">
      <c r="A445" s="26" t="s">
        <v>587</v>
      </c>
      <c r="B445" s="27">
        <v>6690</v>
      </c>
      <c r="C445" s="13">
        <v>33674066904</v>
      </c>
      <c r="D445" s="28" t="s">
        <v>320</v>
      </c>
      <c r="E445" s="14">
        <v>12</v>
      </c>
      <c r="F445" s="15">
        <v>7.7224100992500003E-2</v>
      </c>
      <c r="G445" s="16">
        <v>11.846249999999998</v>
      </c>
      <c r="H445" s="29" t="s">
        <v>602</v>
      </c>
      <c r="I445" s="30"/>
      <c r="J445" s="38">
        <f t="shared" si="36"/>
        <v>0</v>
      </c>
      <c r="M445" s="10" t="str">
        <f t="shared" si="37"/>
        <v>-</v>
      </c>
      <c r="N445" s="10" t="str">
        <f t="shared" si="40"/>
        <v>-</v>
      </c>
      <c r="O445" s="11" t="str">
        <f t="shared" si="38"/>
        <v>-</v>
      </c>
      <c r="P445" s="12" t="str">
        <f t="shared" si="41"/>
        <v>-</v>
      </c>
      <c r="R445" s="12" t="str">
        <f t="shared" si="39"/>
        <v>-</v>
      </c>
    </row>
    <row r="446" spans="1:18" ht="14.4">
      <c r="A446" s="26" t="s">
        <v>582</v>
      </c>
      <c r="B446" s="27">
        <v>3209</v>
      </c>
      <c r="C446" s="13">
        <v>763948032099</v>
      </c>
      <c r="D446" s="28" t="s">
        <v>321</v>
      </c>
      <c r="E446" s="14">
        <v>12</v>
      </c>
      <c r="F446" s="15">
        <v>0.13539959040685001</v>
      </c>
      <c r="G446" s="16">
        <v>19.13625</v>
      </c>
      <c r="H446" s="29" t="s">
        <v>602</v>
      </c>
      <c r="I446" s="30"/>
      <c r="J446" s="38">
        <f t="shared" si="36"/>
        <v>0</v>
      </c>
      <c r="M446" s="10" t="str">
        <f t="shared" si="37"/>
        <v>-</v>
      </c>
      <c r="N446" s="10" t="str">
        <f t="shared" si="40"/>
        <v>-</v>
      </c>
      <c r="O446" s="11" t="str">
        <f t="shared" si="38"/>
        <v>-</v>
      </c>
      <c r="P446" s="12" t="str">
        <f t="shared" si="41"/>
        <v>-</v>
      </c>
      <c r="R446" s="12" t="str">
        <f t="shared" si="39"/>
        <v>-</v>
      </c>
    </row>
    <row r="447" spans="1:18" ht="14.4">
      <c r="A447" s="26" t="s">
        <v>565</v>
      </c>
      <c r="B447" s="27">
        <v>14155</v>
      </c>
      <c r="C447" s="13">
        <v>33674141557</v>
      </c>
      <c r="D447" s="28" t="s">
        <v>323</v>
      </c>
      <c r="E447" s="14">
        <v>12</v>
      </c>
      <c r="F447" s="15">
        <v>8.6490993111600009E-2</v>
      </c>
      <c r="G447" s="16">
        <v>5.34375</v>
      </c>
      <c r="H447" s="29" t="s">
        <v>602</v>
      </c>
      <c r="I447" s="30"/>
      <c r="J447" s="38">
        <f t="shared" si="36"/>
        <v>0</v>
      </c>
      <c r="M447" s="10" t="str">
        <f t="shared" si="37"/>
        <v>-</v>
      </c>
      <c r="N447" s="10" t="str">
        <f t="shared" si="40"/>
        <v>-</v>
      </c>
      <c r="O447" s="11" t="str">
        <f t="shared" si="38"/>
        <v>-</v>
      </c>
      <c r="P447" s="12" t="str">
        <f t="shared" si="41"/>
        <v>-</v>
      </c>
      <c r="R447" s="12" t="str">
        <f t="shared" si="39"/>
        <v>-</v>
      </c>
    </row>
    <row r="448" spans="1:18" ht="14.4">
      <c r="A448" s="26" t="s">
        <v>590</v>
      </c>
      <c r="B448" s="27">
        <v>15311</v>
      </c>
      <c r="C448" s="13">
        <v>33674153116</v>
      </c>
      <c r="D448" s="28" t="s">
        <v>324</v>
      </c>
      <c r="E448" s="14">
        <v>12</v>
      </c>
      <c r="F448" s="15">
        <v>8.5461338431700007E-2</v>
      </c>
      <c r="G448" s="16">
        <v>15.311249999999999</v>
      </c>
      <c r="H448" s="29" t="s">
        <v>602</v>
      </c>
      <c r="I448" s="30"/>
      <c r="J448" s="38">
        <f t="shared" si="36"/>
        <v>0</v>
      </c>
      <c r="M448" s="10" t="str">
        <f t="shared" si="37"/>
        <v>-</v>
      </c>
      <c r="N448" s="10" t="str">
        <f t="shared" si="40"/>
        <v>-</v>
      </c>
      <c r="O448" s="11" t="str">
        <f t="shared" si="38"/>
        <v>-</v>
      </c>
      <c r="P448" s="12" t="str">
        <f t="shared" si="41"/>
        <v>-</v>
      </c>
      <c r="R448" s="12" t="str">
        <f t="shared" si="39"/>
        <v>-</v>
      </c>
    </row>
    <row r="449" spans="1:18" ht="14.4">
      <c r="A449" s="26" t="s">
        <v>584</v>
      </c>
      <c r="B449" s="27">
        <v>15601</v>
      </c>
      <c r="C449" s="13">
        <v>33674156018</v>
      </c>
      <c r="D449" s="28" t="s">
        <v>327</v>
      </c>
      <c r="E449" s="14">
        <v>12</v>
      </c>
      <c r="F449" s="15">
        <v>8.9065129811350008E-2</v>
      </c>
      <c r="G449" s="16">
        <v>17.471249999999998</v>
      </c>
      <c r="H449" s="29" t="s">
        <v>602</v>
      </c>
      <c r="I449" s="30"/>
      <c r="J449" s="38">
        <f t="shared" si="36"/>
        <v>0</v>
      </c>
      <c r="M449" s="10" t="str">
        <f t="shared" si="37"/>
        <v>-</v>
      </c>
      <c r="N449" s="10" t="str">
        <f t="shared" si="40"/>
        <v>-</v>
      </c>
      <c r="O449" s="11" t="str">
        <f t="shared" si="38"/>
        <v>-</v>
      </c>
      <c r="P449" s="12" t="str">
        <f t="shared" si="41"/>
        <v>-</v>
      </c>
      <c r="R449" s="12" t="str">
        <f t="shared" si="39"/>
        <v>-</v>
      </c>
    </row>
    <row r="450" spans="1:18" ht="14.4">
      <c r="A450" s="26" t="s">
        <v>584</v>
      </c>
      <c r="B450" s="27">
        <v>15603</v>
      </c>
      <c r="C450" s="13">
        <v>33674156032</v>
      </c>
      <c r="D450" s="28" t="s">
        <v>328</v>
      </c>
      <c r="E450" s="14">
        <v>12</v>
      </c>
      <c r="F450" s="15">
        <v>0.10399512266990001</v>
      </c>
      <c r="G450" s="16">
        <v>20.958750000000002</v>
      </c>
      <c r="H450" s="29" t="s">
        <v>602</v>
      </c>
      <c r="I450" s="30"/>
      <c r="J450" s="38">
        <f t="shared" ref="J450:J510" si="42">I450*G450</f>
        <v>0</v>
      </c>
      <c r="M450" s="10" t="str">
        <f t="shared" ref="M450:M510" si="43">IFERROR(IF($M$2*F450=0, "-", $M$2*F450), "-")</f>
        <v>-</v>
      </c>
      <c r="N450" s="10" t="str">
        <f t="shared" si="40"/>
        <v>-</v>
      </c>
      <c r="O450" s="11" t="str">
        <f t="shared" ref="O450:O510" si="44">IF(I450&gt;0,I450*F450, "-")</f>
        <v>-</v>
      </c>
      <c r="P450" s="12" t="str">
        <f t="shared" si="41"/>
        <v>-</v>
      </c>
      <c r="R450" s="12" t="str">
        <f t="shared" ref="R450:R510" si="45">IFERROR(IF(P450+J450=0, "-", IF(P450&gt;0, P450+J450, "-")), "-")</f>
        <v>-</v>
      </c>
    </row>
    <row r="451" spans="1:18" ht="14.4">
      <c r="A451" s="26" t="s">
        <v>573</v>
      </c>
      <c r="B451" s="27">
        <v>15121</v>
      </c>
      <c r="C451" s="13">
        <v>33674151211</v>
      </c>
      <c r="D451" s="28" t="s">
        <v>333</v>
      </c>
      <c r="E451" s="14">
        <v>12</v>
      </c>
      <c r="F451" s="15">
        <v>0.19306025248125</v>
      </c>
      <c r="G451" s="16">
        <v>16.740000000000002</v>
      </c>
      <c r="H451" s="29" t="s">
        <v>602</v>
      </c>
      <c r="I451" s="30"/>
      <c r="J451" s="38">
        <f t="shared" si="42"/>
        <v>0</v>
      </c>
      <c r="M451" s="10" t="str">
        <f t="shared" si="43"/>
        <v>-</v>
      </c>
      <c r="N451" s="10" t="str">
        <f t="shared" ref="N451:N511" si="46">IFERROR(IF(M451&gt;0,G451+M451,"-"),"-")</f>
        <v>-</v>
      </c>
      <c r="O451" s="11" t="str">
        <f t="shared" si="44"/>
        <v>-</v>
      </c>
      <c r="P451" s="12" t="str">
        <f t="shared" ref="P451:P511" si="47">IFERROR(IF($M$2&gt;0, $M$2*O451, "-"), "-")</f>
        <v>-</v>
      </c>
      <c r="R451" s="12" t="str">
        <f t="shared" si="45"/>
        <v>-</v>
      </c>
    </row>
    <row r="452" spans="1:18" ht="14.4">
      <c r="A452" s="26" t="s">
        <v>573</v>
      </c>
      <c r="B452" s="27">
        <v>15488</v>
      </c>
      <c r="C452" s="13">
        <v>33674154885</v>
      </c>
      <c r="D452" s="28" t="s">
        <v>334</v>
      </c>
      <c r="E452" s="14">
        <v>12</v>
      </c>
      <c r="F452" s="15">
        <v>0.2584433246549</v>
      </c>
      <c r="G452" s="16">
        <v>25.3125</v>
      </c>
      <c r="H452" s="29" t="s">
        <v>602</v>
      </c>
      <c r="I452" s="30"/>
      <c r="J452" s="38">
        <f t="shared" si="42"/>
        <v>0</v>
      </c>
      <c r="M452" s="10" t="str">
        <f t="shared" si="43"/>
        <v>-</v>
      </c>
      <c r="N452" s="10" t="str">
        <f t="shared" si="46"/>
        <v>-</v>
      </c>
      <c r="O452" s="11" t="str">
        <f t="shared" si="44"/>
        <v>-</v>
      </c>
      <c r="P452" s="12" t="str">
        <f t="shared" si="47"/>
        <v>-</v>
      </c>
      <c r="R452" s="12" t="str">
        <f t="shared" si="45"/>
        <v>-</v>
      </c>
    </row>
    <row r="453" spans="1:18" ht="14.4">
      <c r="A453" s="26" t="s">
        <v>587</v>
      </c>
      <c r="B453" s="27">
        <v>7766</v>
      </c>
      <c r="C453" s="13">
        <v>763948077663</v>
      </c>
      <c r="D453" s="28" t="s">
        <v>341</v>
      </c>
      <c r="E453" s="14">
        <v>12</v>
      </c>
      <c r="F453" s="15">
        <v>0.26462125273430004</v>
      </c>
      <c r="G453" s="16">
        <v>11.486250000000002</v>
      </c>
      <c r="H453" s="29" t="s">
        <v>602</v>
      </c>
      <c r="I453" s="30"/>
      <c r="J453" s="38">
        <f t="shared" si="42"/>
        <v>0</v>
      </c>
      <c r="M453" s="10" t="str">
        <f t="shared" si="43"/>
        <v>-</v>
      </c>
      <c r="N453" s="10" t="str">
        <f t="shared" si="46"/>
        <v>-</v>
      </c>
      <c r="O453" s="11" t="str">
        <f t="shared" si="44"/>
        <v>-</v>
      </c>
      <c r="P453" s="12" t="str">
        <f t="shared" si="47"/>
        <v>-</v>
      </c>
      <c r="R453" s="12" t="str">
        <f t="shared" si="45"/>
        <v>-</v>
      </c>
    </row>
    <row r="454" spans="1:18" ht="14.4">
      <c r="A454" s="26" t="s">
        <v>587</v>
      </c>
      <c r="B454" s="27">
        <v>15432</v>
      </c>
      <c r="C454" s="13">
        <v>33674154328</v>
      </c>
      <c r="D454" s="28" t="s">
        <v>343</v>
      </c>
      <c r="E454" s="14">
        <v>12</v>
      </c>
      <c r="F454" s="15">
        <v>0.11892511552845002</v>
      </c>
      <c r="G454" s="16">
        <v>31.747499999999999</v>
      </c>
      <c r="H454" s="29" t="s">
        <v>602</v>
      </c>
      <c r="I454" s="30"/>
      <c r="J454" s="38">
        <f t="shared" si="42"/>
        <v>0</v>
      </c>
      <c r="M454" s="10" t="str">
        <f t="shared" si="43"/>
        <v>-</v>
      </c>
      <c r="N454" s="10" t="str">
        <f t="shared" si="46"/>
        <v>-</v>
      </c>
      <c r="O454" s="11" t="str">
        <f t="shared" si="44"/>
        <v>-</v>
      </c>
      <c r="P454" s="12" t="str">
        <f t="shared" si="47"/>
        <v>-</v>
      </c>
      <c r="R454" s="12" t="str">
        <f t="shared" si="45"/>
        <v>-</v>
      </c>
    </row>
    <row r="455" spans="1:18" ht="14.4">
      <c r="A455" s="26" t="s">
        <v>565</v>
      </c>
      <c r="B455" s="27">
        <v>9550</v>
      </c>
      <c r="C455" s="13">
        <v>763948095506</v>
      </c>
      <c r="D455" s="28" t="s">
        <v>350</v>
      </c>
      <c r="E455" s="14">
        <v>12</v>
      </c>
      <c r="F455" s="15">
        <v>0.12870683498750002</v>
      </c>
      <c r="G455" s="16">
        <v>33.75</v>
      </c>
      <c r="H455" s="29" t="s">
        <v>602</v>
      </c>
      <c r="I455" s="30"/>
      <c r="J455" s="38">
        <f t="shared" si="42"/>
        <v>0</v>
      </c>
      <c r="M455" s="10" t="str">
        <f t="shared" si="43"/>
        <v>-</v>
      </c>
      <c r="N455" s="10" t="str">
        <f t="shared" si="46"/>
        <v>-</v>
      </c>
      <c r="O455" s="11" t="str">
        <f t="shared" si="44"/>
        <v>-</v>
      </c>
      <c r="P455" s="12" t="str">
        <f t="shared" si="47"/>
        <v>-</v>
      </c>
      <c r="R455" s="12" t="str">
        <f t="shared" si="45"/>
        <v>-</v>
      </c>
    </row>
    <row r="456" spans="1:18" ht="14.4">
      <c r="A456" s="26" t="s">
        <v>583</v>
      </c>
      <c r="B456" s="27">
        <v>15491</v>
      </c>
      <c r="C456" s="13">
        <v>33674154915</v>
      </c>
      <c r="D456" s="28" t="s">
        <v>352</v>
      </c>
      <c r="E456" s="14">
        <v>12</v>
      </c>
      <c r="F456" s="15">
        <v>7.7224100992500003E-2</v>
      </c>
      <c r="G456" s="16">
        <v>21.69</v>
      </c>
      <c r="H456" s="29" t="s">
        <v>602</v>
      </c>
      <c r="I456" s="30"/>
      <c r="J456" s="38">
        <f t="shared" si="42"/>
        <v>0</v>
      </c>
      <c r="M456" s="10" t="str">
        <f t="shared" si="43"/>
        <v>-</v>
      </c>
      <c r="N456" s="10" t="str">
        <f t="shared" si="46"/>
        <v>-</v>
      </c>
      <c r="O456" s="11" t="str">
        <f t="shared" si="44"/>
        <v>-</v>
      </c>
      <c r="P456" s="12" t="str">
        <f t="shared" si="47"/>
        <v>-</v>
      </c>
      <c r="R456" s="12" t="str">
        <f t="shared" si="45"/>
        <v>-</v>
      </c>
    </row>
    <row r="457" spans="1:18" ht="14.4">
      <c r="A457" s="26" t="s">
        <v>590</v>
      </c>
      <c r="B457" s="27">
        <v>64200</v>
      </c>
      <c r="C457" s="13">
        <v>33674642009</v>
      </c>
      <c r="D457" s="28" t="s">
        <v>353</v>
      </c>
      <c r="E457" s="14">
        <v>12</v>
      </c>
      <c r="F457" s="15">
        <v>7.7224100992500003E-2</v>
      </c>
      <c r="G457" s="16">
        <v>14.028750000000002</v>
      </c>
      <c r="H457" s="29" t="s">
        <v>602</v>
      </c>
      <c r="I457" s="30"/>
      <c r="J457" s="38">
        <f t="shared" si="42"/>
        <v>0</v>
      </c>
      <c r="M457" s="10" t="str">
        <f t="shared" si="43"/>
        <v>-</v>
      </c>
      <c r="N457" s="10" t="str">
        <f t="shared" si="46"/>
        <v>-</v>
      </c>
      <c r="O457" s="11" t="str">
        <f t="shared" si="44"/>
        <v>-</v>
      </c>
      <c r="P457" s="12" t="str">
        <f t="shared" si="47"/>
        <v>-</v>
      </c>
      <c r="R457" s="12" t="str">
        <f t="shared" si="45"/>
        <v>-</v>
      </c>
    </row>
    <row r="458" spans="1:18" ht="14.4">
      <c r="A458" s="26" t="s">
        <v>592</v>
      </c>
      <c r="B458" s="27">
        <v>14602</v>
      </c>
      <c r="C458" s="13">
        <v>33674146026</v>
      </c>
      <c r="D458" s="28" t="s">
        <v>358</v>
      </c>
      <c r="E458" s="14">
        <v>12</v>
      </c>
      <c r="F458" s="15">
        <v>0.60801108848095009</v>
      </c>
      <c r="G458" s="16">
        <v>18.056250000000002</v>
      </c>
      <c r="H458" s="29" t="s">
        <v>602</v>
      </c>
      <c r="I458" s="30"/>
      <c r="J458" s="38">
        <f t="shared" si="42"/>
        <v>0</v>
      </c>
      <c r="M458" s="10" t="str">
        <f t="shared" si="43"/>
        <v>-</v>
      </c>
      <c r="N458" s="10" t="str">
        <f t="shared" si="46"/>
        <v>-</v>
      </c>
      <c r="O458" s="11" t="str">
        <f t="shared" si="44"/>
        <v>-</v>
      </c>
      <c r="P458" s="12" t="str">
        <f t="shared" si="47"/>
        <v>-</v>
      </c>
      <c r="R458" s="12" t="str">
        <f t="shared" si="45"/>
        <v>-</v>
      </c>
    </row>
    <row r="459" spans="1:18" ht="14.4">
      <c r="A459" s="26" t="s">
        <v>587</v>
      </c>
      <c r="B459" s="27">
        <v>15440</v>
      </c>
      <c r="C459" s="13">
        <v>33674154403</v>
      </c>
      <c r="D459" s="28" t="s">
        <v>362</v>
      </c>
      <c r="E459" s="14">
        <v>12</v>
      </c>
      <c r="F459" s="15">
        <v>0.25792849731494999</v>
      </c>
      <c r="G459" s="16">
        <v>16.830000000000002</v>
      </c>
      <c r="H459" s="29" t="s">
        <v>602</v>
      </c>
      <c r="I459" s="30"/>
      <c r="J459" s="38">
        <f t="shared" si="42"/>
        <v>0</v>
      </c>
      <c r="M459" s="10" t="str">
        <f t="shared" si="43"/>
        <v>-</v>
      </c>
      <c r="N459" s="10" t="str">
        <f t="shared" si="46"/>
        <v>-</v>
      </c>
      <c r="O459" s="11" t="str">
        <f t="shared" si="44"/>
        <v>-</v>
      </c>
      <c r="P459" s="12" t="str">
        <f t="shared" si="47"/>
        <v>-</v>
      </c>
      <c r="R459" s="12" t="str">
        <f t="shared" si="45"/>
        <v>-</v>
      </c>
    </row>
    <row r="460" spans="1:18" ht="14.4">
      <c r="A460" s="26" t="s">
        <v>587</v>
      </c>
      <c r="B460" s="27">
        <v>15441</v>
      </c>
      <c r="C460" s="13">
        <v>33674154410</v>
      </c>
      <c r="D460" s="28" t="s">
        <v>363</v>
      </c>
      <c r="E460" s="14">
        <v>12</v>
      </c>
      <c r="F460" s="15">
        <v>0.48342287221305008</v>
      </c>
      <c r="G460" s="16">
        <v>31.747499999999999</v>
      </c>
      <c r="H460" s="29" t="s">
        <v>602</v>
      </c>
      <c r="I460" s="30"/>
      <c r="J460" s="38">
        <f t="shared" si="42"/>
        <v>0</v>
      </c>
      <c r="M460" s="10" t="str">
        <f t="shared" si="43"/>
        <v>-</v>
      </c>
      <c r="N460" s="10" t="str">
        <f t="shared" si="46"/>
        <v>-</v>
      </c>
      <c r="O460" s="11" t="str">
        <f t="shared" si="44"/>
        <v>-</v>
      </c>
      <c r="P460" s="12" t="str">
        <f t="shared" si="47"/>
        <v>-</v>
      </c>
      <c r="R460" s="12" t="str">
        <f t="shared" si="45"/>
        <v>-</v>
      </c>
    </row>
    <row r="461" spans="1:18" ht="14.4">
      <c r="A461" s="26" t="s">
        <v>568</v>
      </c>
      <c r="B461" s="27">
        <v>4251</v>
      </c>
      <c r="C461" s="13">
        <v>763948042517</v>
      </c>
      <c r="D461" s="28" t="s">
        <v>366</v>
      </c>
      <c r="E461" s="14">
        <v>12</v>
      </c>
      <c r="F461" s="15">
        <v>0.11789546084855002</v>
      </c>
      <c r="G461" s="16">
        <v>15.60375</v>
      </c>
      <c r="H461" s="29" t="s">
        <v>602</v>
      </c>
      <c r="I461" s="30"/>
      <c r="J461" s="38">
        <f t="shared" si="42"/>
        <v>0</v>
      </c>
      <c r="M461" s="10" t="str">
        <f t="shared" si="43"/>
        <v>-</v>
      </c>
      <c r="N461" s="10" t="str">
        <f t="shared" si="46"/>
        <v>-</v>
      </c>
      <c r="O461" s="11" t="str">
        <f t="shared" si="44"/>
        <v>-</v>
      </c>
      <c r="P461" s="12" t="str">
        <f t="shared" si="47"/>
        <v>-</v>
      </c>
      <c r="R461" s="12" t="str">
        <f t="shared" si="45"/>
        <v>-</v>
      </c>
    </row>
    <row r="462" spans="1:18" ht="14.4">
      <c r="A462" s="26" t="s">
        <v>570</v>
      </c>
      <c r="B462" s="27">
        <v>15355</v>
      </c>
      <c r="C462" s="13">
        <v>33674153550</v>
      </c>
      <c r="D462" s="28" t="s">
        <v>370</v>
      </c>
      <c r="E462" s="14">
        <v>12</v>
      </c>
      <c r="F462" s="15">
        <v>0.12613269828775001</v>
      </c>
      <c r="G462" s="16">
        <v>23.400000000000002</v>
      </c>
      <c r="H462" s="29" t="s">
        <v>602</v>
      </c>
      <c r="I462" s="30"/>
      <c r="J462" s="38">
        <f t="shared" si="42"/>
        <v>0</v>
      </c>
      <c r="M462" s="10" t="str">
        <f t="shared" si="43"/>
        <v>-</v>
      </c>
      <c r="N462" s="10" t="str">
        <f t="shared" si="46"/>
        <v>-</v>
      </c>
      <c r="O462" s="11" t="str">
        <f t="shared" si="44"/>
        <v>-</v>
      </c>
      <c r="P462" s="12" t="str">
        <f t="shared" si="47"/>
        <v>-</v>
      </c>
      <c r="R462" s="12" t="str">
        <f t="shared" si="45"/>
        <v>-</v>
      </c>
    </row>
    <row r="463" spans="1:18" ht="14.4">
      <c r="A463" s="26" t="s">
        <v>586</v>
      </c>
      <c r="B463" s="27">
        <v>15133</v>
      </c>
      <c r="C463" s="13">
        <v>33674151334</v>
      </c>
      <c r="D463" s="28" t="s">
        <v>372</v>
      </c>
      <c r="E463" s="14">
        <v>12</v>
      </c>
      <c r="F463" s="15">
        <v>0.35934948328510002</v>
      </c>
      <c r="G463" s="16">
        <v>14.028750000000002</v>
      </c>
      <c r="H463" s="29" t="s">
        <v>602</v>
      </c>
      <c r="I463" s="30"/>
      <c r="J463" s="38">
        <f t="shared" si="42"/>
        <v>0</v>
      </c>
      <c r="M463" s="10" t="str">
        <f t="shared" si="43"/>
        <v>-</v>
      </c>
      <c r="N463" s="10" t="str">
        <f t="shared" si="46"/>
        <v>-</v>
      </c>
      <c r="O463" s="11" t="str">
        <f t="shared" si="44"/>
        <v>-</v>
      </c>
      <c r="P463" s="12" t="str">
        <f t="shared" si="47"/>
        <v>-</v>
      </c>
      <c r="R463" s="12" t="str">
        <f t="shared" si="45"/>
        <v>-</v>
      </c>
    </row>
    <row r="464" spans="1:18" ht="14.4">
      <c r="A464" s="26" t="s">
        <v>586</v>
      </c>
      <c r="B464" s="27">
        <v>1558</v>
      </c>
      <c r="C464" s="13">
        <v>763948015580</v>
      </c>
      <c r="D464" s="28" t="s">
        <v>373</v>
      </c>
      <c r="E464" s="14">
        <v>12</v>
      </c>
      <c r="F464" s="15">
        <v>0.17040784952345001</v>
      </c>
      <c r="G464" s="16">
        <v>12.757499999999999</v>
      </c>
      <c r="H464" s="29" t="s">
        <v>602</v>
      </c>
      <c r="I464" s="30"/>
      <c r="J464" s="38">
        <f t="shared" si="42"/>
        <v>0</v>
      </c>
      <c r="M464" s="10" t="str">
        <f t="shared" si="43"/>
        <v>-</v>
      </c>
      <c r="N464" s="10" t="str">
        <f t="shared" si="46"/>
        <v>-</v>
      </c>
      <c r="O464" s="11" t="str">
        <f t="shared" si="44"/>
        <v>-</v>
      </c>
      <c r="P464" s="12" t="str">
        <f t="shared" si="47"/>
        <v>-</v>
      </c>
      <c r="R464" s="12" t="str">
        <f t="shared" si="45"/>
        <v>-</v>
      </c>
    </row>
    <row r="465" spans="1:18" ht="14.4">
      <c r="A465" s="26" t="s">
        <v>568</v>
      </c>
      <c r="B465" s="27">
        <v>10020100</v>
      </c>
      <c r="C465" s="13">
        <v>20065100026</v>
      </c>
      <c r="D465" s="28" t="s">
        <v>375</v>
      </c>
      <c r="E465" s="14">
        <v>12</v>
      </c>
      <c r="F465" s="15">
        <v>0.29173549263833337</v>
      </c>
      <c r="G465" s="16">
        <v>9.348749999999999</v>
      </c>
      <c r="H465" s="29" t="s">
        <v>602</v>
      </c>
      <c r="I465" s="30"/>
      <c r="J465" s="38">
        <f t="shared" si="42"/>
        <v>0</v>
      </c>
      <c r="M465" s="10" t="str">
        <f t="shared" si="43"/>
        <v>-</v>
      </c>
      <c r="N465" s="10" t="str">
        <f t="shared" si="46"/>
        <v>-</v>
      </c>
      <c r="O465" s="11" t="str">
        <f t="shared" si="44"/>
        <v>-</v>
      </c>
      <c r="P465" s="12" t="str">
        <f t="shared" si="47"/>
        <v>-</v>
      </c>
      <c r="R465" s="12" t="str">
        <f t="shared" si="45"/>
        <v>-</v>
      </c>
    </row>
    <row r="466" spans="1:18" ht="14.4">
      <c r="A466" s="26" t="s">
        <v>568</v>
      </c>
      <c r="B466" s="27">
        <v>10030250</v>
      </c>
      <c r="C466" s="13">
        <v>20065100033</v>
      </c>
      <c r="D466" s="28" t="s">
        <v>376</v>
      </c>
      <c r="E466" s="14">
        <v>12</v>
      </c>
      <c r="F466" s="15">
        <v>0.61521867124025009</v>
      </c>
      <c r="G466" s="16">
        <v>19.102499999999999</v>
      </c>
      <c r="H466" s="29" t="s">
        <v>602</v>
      </c>
      <c r="I466" s="30"/>
      <c r="J466" s="38">
        <f t="shared" si="42"/>
        <v>0</v>
      </c>
      <c r="M466" s="10" t="str">
        <f t="shared" si="43"/>
        <v>-</v>
      </c>
      <c r="N466" s="10" t="str">
        <f t="shared" si="46"/>
        <v>-</v>
      </c>
      <c r="O466" s="11" t="str">
        <f t="shared" si="44"/>
        <v>-</v>
      </c>
      <c r="P466" s="12" t="str">
        <f t="shared" si="47"/>
        <v>-</v>
      </c>
      <c r="R466" s="12" t="str">
        <f t="shared" si="45"/>
        <v>-</v>
      </c>
    </row>
    <row r="467" spans="1:18" ht="14.4">
      <c r="A467" s="26" t="s">
        <v>568</v>
      </c>
      <c r="B467" s="27">
        <v>10040500</v>
      </c>
      <c r="C467" s="13">
        <v>20065100040</v>
      </c>
      <c r="D467" s="28" t="s">
        <v>377</v>
      </c>
      <c r="E467" s="14">
        <v>8</v>
      </c>
      <c r="F467" s="15">
        <v>1.1841028818850001</v>
      </c>
      <c r="G467" s="16">
        <v>31.972500000000004</v>
      </c>
      <c r="H467" s="29" t="s">
        <v>602</v>
      </c>
      <c r="I467" s="30"/>
      <c r="J467" s="38">
        <f t="shared" si="42"/>
        <v>0</v>
      </c>
      <c r="M467" s="10" t="str">
        <f t="shared" si="43"/>
        <v>-</v>
      </c>
      <c r="N467" s="10" t="str">
        <f t="shared" si="46"/>
        <v>-</v>
      </c>
      <c r="O467" s="11" t="str">
        <f t="shared" si="44"/>
        <v>-</v>
      </c>
      <c r="P467" s="12" t="str">
        <f t="shared" si="47"/>
        <v>-</v>
      </c>
      <c r="R467" s="12" t="str">
        <f t="shared" si="45"/>
        <v>-</v>
      </c>
    </row>
    <row r="468" spans="1:18" ht="14.4">
      <c r="A468" s="26" t="s">
        <v>568</v>
      </c>
      <c r="B468" s="27">
        <v>10051000</v>
      </c>
      <c r="C468" s="13">
        <v>20065100071</v>
      </c>
      <c r="D468" s="28" t="s">
        <v>378</v>
      </c>
      <c r="E468" s="14">
        <v>6</v>
      </c>
      <c r="F468" s="15">
        <v>2.0680614245791502</v>
      </c>
      <c r="G468" s="16">
        <v>48.037500000000009</v>
      </c>
      <c r="H468" s="29" t="s">
        <v>602</v>
      </c>
      <c r="I468" s="30"/>
      <c r="J468" s="38">
        <f t="shared" si="42"/>
        <v>0</v>
      </c>
      <c r="M468" s="10" t="str">
        <f t="shared" si="43"/>
        <v>-</v>
      </c>
      <c r="N468" s="10" t="str">
        <f t="shared" si="46"/>
        <v>-</v>
      </c>
      <c r="O468" s="11" t="str">
        <f t="shared" si="44"/>
        <v>-</v>
      </c>
      <c r="P468" s="12" t="str">
        <f t="shared" si="47"/>
        <v>-</v>
      </c>
      <c r="R468" s="12" t="str">
        <f t="shared" si="45"/>
        <v>-</v>
      </c>
    </row>
    <row r="469" spans="1:18" ht="14.4">
      <c r="A469" s="26" t="s">
        <v>593</v>
      </c>
      <c r="B469" s="27">
        <v>10970</v>
      </c>
      <c r="C469" s="13">
        <v>850652000091</v>
      </c>
      <c r="D469" s="28" t="s">
        <v>383</v>
      </c>
      <c r="E469" s="14">
        <v>6</v>
      </c>
      <c r="F469" s="15">
        <v>0.94385012324166684</v>
      </c>
      <c r="G469" s="16">
        <v>38.261250000000004</v>
      </c>
      <c r="H469" s="29" t="s">
        <v>602</v>
      </c>
      <c r="I469" s="30"/>
      <c r="J469" s="38">
        <f t="shared" si="42"/>
        <v>0</v>
      </c>
      <c r="M469" s="10" t="str">
        <f t="shared" si="43"/>
        <v>-</v>
      </c>
      <c r="N469" s="10" t="str">
        <f t="shared" si="46"/>
        <v>-</v>
      </c>
      <c r="O469" s="11" t="str">
        <f t="shared" si="44"/>
        <v>-</v>
      </c>
      <c r="P469" s="12" t="str">
        <f t="shared" si="47"/>
        <v>-</v>
      </c>
      <c r="R469" s="12" t="str">
        <f t="shared" si="45"/>
        <v>-</v>
      </c>
    </row>
    <row r="470" spans="1:18" ht="14.4">
      <c r="A470" s="26" t="s">
        <v>593</v>
      </c>
      <c r="B470" s="27" t="s">
        <v>17</v>
      </c>
      <c r="C470" s="13">
        <v>33674123256</v>
      </c>
      <c r="D470" s="28" t="s">
        <v>384</v>
      </c>
      <c r="E470" s="14">
        <v>12</v>
      </c>
      <c r="F470" s="15">
        <v>0.42885117417835006</v>
      </c>
      <c r="G470" s="16">
        <v>32.141249999999999</v>
      </c>
      <c r="H470" s="29" t="s">
        <v>602</v>
      </c>
      <c r="I470" s="30"/>
      <c r="J470" s="38">
        <f t="shared" si="42"/>
        <v>0</v>
      </c>
      <c r="M470" s="10" t="str">
        <f t="shared" si="43"/>
        <v>-</v>
      </c>
      <c r="N470" s="10" t="str">
        <f t="shared" si="46"/>
        <v>-</v>
      </c>
      <c r="O470" s="11" t="str">
        <f t="shared" si="44"/>
        <v>-</v>
      </c>
      <c r="P470" s="12" t="str">
        <f t="shared" si="47"/>
        <v>-</v>
      </c>
      <c r="R470" s="12" t="str">
        <f t="shared" si="45"/>
        <v>-</v>
      </c>
    </row>
    <row r="471" spans="1:18" ht="14.4">
      <c r="A471" s="26" t="s">
        <v>578</v>
      </c>
      <c r="B471" s="27">
        <v>64000</v>
      </c>
      <c r="C471" s="13">
        <v>33674640005</v>
      </c>
      <c r="D471" s="28" t="s">
        <v>388</v>
      </c>
      <c r="E471" s="14">
        <v>12</v>
      </c>
      <c r="F471" s="15">
        <v>7.5679618972650006E-2</v>
      </c>
      <c r="G471" s="16">
        <v>9.1349999999999998</v>
      </c>
      <c r="H471" s="29" t="s">
        <v>602</v>
      </c>
      <c r="I471" s="30"/>
      <c r="J471" s="38">
        <f t="shared" si="42"/>
        <v>0</v>
      </c>
      <c r="M471" s="10" t="str">
        <f t="shared" si="43"/>
        <v>-</v>
      </c>
      <c r="N471" s="10" t="str">
        <f t="shared" si="46"/>
        <v>-</v>
      </c>
      <c r="O471" s="11" t="str">
        <f t="shared" si="44"/>
        <v>-</v>
      </c>
      <c r="P471" s="12" t="str">
        <f t="shared" si="47"/>
        <v>-</v>
      </c>
      <c r="R471" s="12" t="str">
        <f t="shared" si="45"/>
        <v>-</v>
      </c>
    </row>
    <row r="472" spans="1:18" ht="14.4">
      <c r="A472" s="26" t="s">
        <v>584</v>
      </c>
      <c r="B472" s="27">
        <v>21900990</v>
      </c>
      <c r="C472" s="13">
        <v>308079009901</v>
      </c>
      <c r="D472" s="28" t="s">
        <v>389</v>
      </c>
      <c r="E472" s="14">
        <v>12</v>
      </c>
      <c r="F472" s="15">
        <v>0.10296546798999999</v>
      </c>
      <c r="G472" s="16">
        <v>11.30625</v>
      </c>
      <c r="H472" s="29" t="s">
        <v>602</v>
      </c>
      <c r="I472" s="30"/>
      <c r="J472" s="38">
        <f t="shared" si="42"/>
        <v>0</v>
      </c>
      <c r="M472" s="10" t="str">
        <f t="shared" si="43"/>
        <v>-</v>
      </c>
      <c r="N472" s="10" t="str">
        <f t="shared" si="46"/>
        <v>-</v>
      </c>
      <c r="O472" s="11" t="str">
        <f t="shared" si="44"/>
        <v>-</v>
      </c>
      <c r="P472" s="12" t="str">
        <f t="shared" si="47"/>
        <v>-</v>
      </c>
      <c r="R472" s="12" t="str">
        <f t="shared" si="45"/>
        <v>-</v>
      </c>
    </row>
    <row r="473" spans="1:18" ht="14.4">
      <c r="A473" s="26" t="s">
        <v>578</v>
      </c>
      <c r="B473" s="27">
        <v>15797</v>
      </c>
      <c r="C473" s="13">
        <v>33674157978</v>
      </c>
      <c r="D473" s="28" t="s">
        <v>393</v>
      </c>
      <c r="E473" s="14">
        <v>12</v>
      </c>
      <c r="F473" s="15">
        <v>0.23167230297750005</v>
      </c>
      <c r="G473" s="16">
        <v>14.400000000000002</v>
      </c>
      <c r="H473" s="29" t="s">
        <v>602</v>
      </c>
      <c r="I473" s="30"/>
      <c r="J473" s="38">
        <f t="shared" si="42"/>
        <v>0</v>
      </c>
      <c r="M473" s="10" t="str">
        <f t="shared" si="43"/>
        <v>-</v>
      </c>
      <c r="N473" s="10" t="str">
        <f t="shared" si="46"/>
        <v>-</v>
      </c>
      <c r="O473" s="11" t="str">
        <f t="shared" si="44"/>
        <v>-</v>
      </c>
      <c r="P473" s="12" t="str">
        <f t="shared" si="47"/>
        <v>-</v>
      </c>
      <c r="R473" s="12" t="str">
        <f t="shared" si="45"/>
        <v>-</v>
      </c>
    </row>
    <row r="474" spans="1:18" ht="14.4">
      <c r="A474" s="26" t="s">
        <v>570</v>
      </c>
      <c r="B474" s="27">
        <v>15300</v>
      </c>
      <c r="C474" s="13">
        <v>33674153000</v>
      </c>
      <c r="D474" s="28" t="s">
        <v>398</v>
      </c>
      <c r="E474" s="14">
        <v>12</v>
      </c>
      <c r="F474" s="15">
        <v>0.10142098597014999</v>
      </c>
      <c r="G474" s="16">
        <v>7.6499999999999995</v>
      </c>
      <c r="H474" s="29" t="s">
        <v>602</v>
      </c>
      <c r="I474" s="30"/>
      <c r="J474" s="38">
        <f t="shared" si="42"/>
        <v>0</v>
      </c>
      <c r="M474" s="10" t="str">
        <f t="shared" si="43"/>
        <v>-</v>
      </c>
      <c r="N474" s="10" t="str">
        <f t="shared" si="46"/>
        <v>-</v>
      </c>
      <c r="O474" s="11" t="str">
        <f t="shared" si="44"/>
        <v>-</v>
      </c>
      <c r="P474" s="12" t="str">
        <f t="shared" si="47"/>
        <v>-</v>
      </c>
      <c r="R474" s="12" t="str">
        <f t="shared" si="45"/>
        <v>-</v>
      </c>
    </row>
    <row r="475" spans="1:18" ht="14.4">
      <c r="A475" s="26" t="s">
        <v>568</v>
      </c>
      <c r="B475" s="27">
        <v>14537</v>
      </c>
      <c r="C475" s="13">
        <v>33674145371</v>
      </c>
      <c r="D475" s="28" t="s">
        <v>402</v>
      </c>
      <c r="E475" s="14">
        <v>12</v>
      </c>
      <c r="F475" s="15">
        <v>6.7442381533450002E-2</v>
      </c>
      <c r="G475" s="16">
        <v>9.6862499999999994</v>
      </c>
      <c r="H475" s="29" t="s">
        <v>602</v>
      </c>
      <c r="I475" s="30"/>
      <c r="J475" s="38">
        <f t="shared" si="42"/>
        <v>0</v>
      </c>
      <c r="M475" s="10" t="str">
        <f t="shared" si="43"/>
        <v>-</v>
      </c>
      <c r="N475" s="10" t="str">
        <f t="shared" si="46"/>
        <v>-</v>
      </c>
      <c r="O475" s="11" t="str">
        <f t="shared" si="44"/>
        <v>-</v>
      </c>
      <c r="P475" s="12" t="str">
        <f t="shared" si="47"/>
        <v>-</v>
      </c>
      <c r="R475" s="12" t="str">
        <f t="shared" si="45"/>
        <v>-</v>
      </c>
    </row>
    <row r="476" spans="1:18" ht="14.4">
      <c r="A476" s="26" t="s">
        <v>581</v>
      </c>
      <c r="B476" s="27">
        <v>4806</v>
      </c>
      <c r="C476" s="13">
        <v>763948048069</v>
      </c>
      <c r="D476" s="28" t="s">
        <v>404</v>
      </c>
      <c r="E476" s="14">
        <v>12</v>
      </c>
      <c r="F476" s="15">
        <v>6.8472036213350004E-2</v>
      </c>
      <c r="G476" s="16">
        <v>33.806250000000006</v>
      </c>
      <c r="H476" s="29" t="s">
        <v>602</v>
      </c>
      <c r="I476" s="30"/>
      <c r="J476" s="38">
        <f t="shared" si="42"/>
        <v>0</v>
      </c>
      <c r="M476" s="10" t="str">
        <f t="shared" si="43"/>
        <v>-</v>
      </c>
      <c r="N476" s="10" t="str">
        <f t="shared" si="46"/>
        <v>-</v>
      </c>
      <c r="O476" s="11" t="str">
        <f t="shared" si="44"/>
        <v>-</v>
      </c>
      <c r="P476" s="12" t="str">
        <f t="shared" si="47"/>
        <v>-</v>
      </c>
      <c r="R476" s="12" t="str">
        <f t="shared" si="45"/>
        <v>-</v>
      </c>
    </row>
    <row r="477" spans="1:18" ht="14.4">
      <c r="A477" s="26" t="s">
        <v>588</v>
      </c>
      <c r="B477" s="27">
        <v>45161</v>
      </c>
      <c r="C477" s="13">
        <v>33674451618</v>
      </c>
      <c r="D477" s="28" t="s">
        <v>405</v>
      </c>
      <c r="E477" s="14">
        <v>12</v>
      </c>
      <c r="F477" s="15">
        <v>9.7302367250549984E-2</v>
      </c>
      <c r="G477" s="16">
        <v>31.589999999999996</v>
      </c>
      <c r="H477" s="29" t="s">
        <v>602</v>
      </c>
      <c r="I477" s="30"/>
      <c r="J477" s="38">
        <f t="shared" si="42"/>
        <v>0</v>
      </c>
      <c r="M477" s="10" t="str">
        <f t="shared" si="43"/>
        <v>-</v>
      </c>
      <c r="N477" s="10" t="str">
        <f t="shared" si="46"/>
        <v>-</v>
      </c>
      <c r="O477" s="11" t="str">
        <f t="shared" si="44"/>
        <v>-</v>
      </c>
      <c r="P477" s="12" t="str">
        <f t="shared" si="47"/>
        <v>-</v>
      </c>
      <c r="R477" s="12" t="str">
        <f t="shared" si="45"/>
        <v>-</v>
      </c>
    </row>
    <row r="478" spans="1:18" ht="14.4">
      <c r="A478" s="26" t="s">
        <v>568</v>
      </c>
      <c r="B478" s="27">
        <v>6850</v>
      </c>
      <c r="C478" s="13">
        <v>33674068502</v>
      </c>
      <c r="D478" s="28" t="s">
        <v>415</v>
      </c>
      <c r="E478" s="14">
        <v>12</v>
      </c>
      <c r="F478" s="15">
        <v>0.13334028104705001</v>
      </c>
      <c r="G478" s="16">
        <v>23.04</v>
      </c>
      <c r="H478" s="29" t="s">
        <v>602</v>
      </c>
      <c r="I478" s="30"/>
      <c r="J478" s="38">
        <f t="shared" si="42"/>
        <v>0</v>
      </c>
      <c r="M478" s="10" t="str">
        <f t="shared" si="43"/>
        <v>-</v>
      </c>
      <c r="N478" s="10" t="str">
        <f t="shared" si="46"/>
        <v>-</v>
      </c>
      <c r="O478" s="11" t="str">
        <f t="shared" si="44"/>
        <v>-</v>
      </c>
      <c r="P478" s="12" t="str">
        <f t="shared" si="47"/>
        <v>-</v>
      </c>
      <c r="R478" s="12" t="str">
        <f t="shared" si="45"/>
        <v>-</v>
      </c>
    </row>
    <row r="479" spans="1:18" ht="14.4">
      <c r="A479" s="26" t="s">
        <v>568</v>
      </c>
      <c r="B479" s="27">
        <v>15770</v>
      </c>
      <c r="C479" s="13">
        <v>33674157701</v>
      </c>
      <c r="D479" s="28" t="s">
        <v>419</v>
      </c>
      <c r="E479" s="14">
        <v>12</v>
      </c>
      <c r="F479" s="15">
        <v>5.1482733994999995E-2</v>
      </c>
      <c r="G479" s="16">
        <v>23.467500000000001</v>
      </c>
      <c r="H479" s="29" t="s">
        <v>602</v>
      </c>
      <c r="I479" s="30"/>
      <c r="J479" s="38">
        <f t="shared" si="42"/>
        <v>0</v>
      </c>
      <c r="M479" s="10" t="str">
        <f t="shared" si="43"/>
        <v>-</v>
      </c>
      <c r="N479" s="10" t="str">
        <f t="shared" si="46"/>
        <v>-</v>
      </c>
      <c r="O479" s="11" t="str">
        <f t="shared" si="44"/>
        <v>-</v>
      </c>
      <c r="P479" s="12" t="str">
        <f t="shared" si="47"/>
        <v>-</v>
      </c>
      <c r="R479" s="12" t="str">
        <f t="shared" si="45"/>
        <v>-</v>
      </c>
    </row>
    <row r="480" spans="1:18" ht="14.4">
      <c r="A480" s="26" t="s">
        <v>568</v>
      </c>
      <c r="B480" s="27">
        <v>10510</v>
      </c>
      <c r="C480" s="13">
        <v>763948105106</v>
      </c>
      <c r="D480" s="28" t="s">
        <v>423</v>
      </c>
      <c r="E480" s="14">
        <v>12</v>
      </c>
      <c r="F480" s="15">
        <v>3.4321822663333341E-2</v>
      </c>
      <c r="G480" s="16">
        <v>12.408749999999998</v>
      </c>
      <c r="H480" s="29" t="s">
        <v>602</v>
      </c>
      <c r="I480" s="30"/>
      <c r="J480" s="38">
        <f t="shared" si="42"/>
        <v>0</v>
      </c>
      <c r="M480" s="10" t="str">
        <f t="shared" si="43"/>
        <v>-</v>
      </c>
      <c r="N480" s="10" t="str">
        <f t="shared" si="46"/>
        <v>-</v>
      </c>
      <c r="O480" s="11" t="str">
        <f t="shared" si="44"/>
        <v>-</v>
      </c>
      <c r="P480" s="12" t="str">
        <f t="shared" si="47"/>
        <v>-</v>
      </c>
      <c r="R480" s="12" t="str">
        <f t="shared" si="45"/>
        <v>-</v>
      </c>
    </row>
    <row r="481" spans="1:18" ht="14.4">
      <c r="A481" s="26" t="s">
        <v>568</v>
      </c>
      <c r="B481" s="27">
        <v>4369</v>
      </c>
      <c r="C481" s="13">
        <v>763948043699</v>
      </c>
      <c r="D481" s="28" t="s">
        <v>425</v>
      </c>
      <c r="E481" s="14">
        <v>12</v>
      </c>
      <c r="F481" s="15">
        <v>5.8690316754300004E-2</v>
      </c>
      <c r="G481" s="16">
        <v>31.004999999999995</v>
      </c>
      <c r="H481" s="29" t="s">
        <v>602</v>
      </c>
      <c r="I481" s="30"/>
      <c r="J481" s="38">
        <f t="shared" si="42"/>
        <v>0</v>
      </c>
      <c r="M481" s="10" t="str">
        <f t="shared" si="43"/>
        <v>-</v>
      </c>
      <c r="N481" s="10" t="str">
        <f t="shared" si="46"/>
        <v>-</v>
      </c>
      <c r="O481" s="11" t="str">
        <f t="shared" si="44"/>
        <v>-</v>
      </c>
      <c r="P481" s="12" t="str">
        <f t="shared" si="47"/>
        <v>-</v>
      </c>
      <c r="R481" s="12" t="str">
        <f t="shared" si="45"/>
        <v>-</v>
      </c>
    </row>
    <row r="482" spans="1:18" ht="14.4">
      <c r="A482" s="26" t="s">
        <v>568</v>
      </c>
      <c r="B482" s="27" t="s">
        <v>10</v>
      </c>
      <c r="C482" s="13">
        <v>763948050734</v>
      </c>
      <c r="D482" s="28" t="s">
        <v>426</v>
      </c>
      <c r="E482" s="14">
        <v>12</v>
      </c>
      <c r="F482" s="15">
        <v>3.6037913796500003E-2</v>
      </c>
      <c r="G482" s="16">
        <v>17.37</v>
      </c>
      <c r="H482" s="29" t="s">
        <v>602</v>
      </c>
      <c r="I482" s="30"/>
      <c r="J482" s="38">
        <f t="shared" si="42"/>
        <v>0</v>
      </c>
      <c r="M482" s="10" t="str">
        <f t="shared" si="43"/>
        <v>-</v>
      </c>
      <c r="N482" s="10" t="str">
        <f t="shared" si="46"/>
        <v>-</v>
      </c>
      <c r="O482" s="11" t="str">
        <f t="shared" si="44"/>
        <v>-</v>
      </c>
      <c r="P482" s="12" t="str">
        <f t="shared" si="47"/>
        <v>-</v>
      </c>
      <c r="R482" s="12" t="str">
        <f t="shared" si="45"/>
        <v>-</v>
      </c>
    </row>
    <row r="483" spans="1:18" ht="14.4">
      <c r="A483" s="26" t="s">
        <v>580</v>
      </c>
      <c r="B483" s="27">
        <v>5886</v>
      </c>
      <c r="C483" s="13">
        <v>763948058860</v>
      </c>
      <c r="D483" s="28" t="s">
        <v>429</v>
      </c>
      <c r="E483" s="14">
        <v>12</v>
      </c>
      <c r="F483" s="15">
        <v>0.14415165518600001</v>
      </c>
      <c r="G483" s="16">
        <v>48.903750000000002</v>
      </c>
      <c r="H483" s="29" t="s">
        <v>602</v>
      </c>
      <c r="I483" s="30"/>
      <c r="J483" s="38">
        <f t="shared" si="42"/>
        <v>0</v>
      </c>
      <c r="M483" s="10" t="str">
        <f t="shared" si="43"/>
        <v>-</v>
      </c>
      <c r="N483" s="10" t="str">
        <f t="shared" si="46"/>
        <v>-</v>
      </c>
      <c r="O483" s="11" t="str">
        <f t="shared" si="44"/>
        <v>-</v>
      </c>
      <c r="P483" s="12" t="str">
        <f t="shared" si="47"/>
        <v>-</v>
      </c>
      <c r="R483" s="12" t="str">
        <f t="shared" si="45"/>
        <v>-</v>
      </c>
    </row>
    <row r="484" spans="1:18" ht="14.4">
      <c r="A484" s="26" t="s">
        <v>584</v>
      </c>
      <c r="B484" s="27">
        <v>21850990</v>
      </c>
      <c r="C484" s="13">
        <v>308078509907</v>
      </c>
      <c r="D484" s="28" t="s">
        <v>430</v>
      </c>
      <c r="E484" s="14">
        <v>36</v>
      </c>
      <c r="F484" s="15">
        <v>6.0063189660833335E-2</v>
      </c>
      <c r="G484" s="16">
        <v>9.629999999999999</v>
      </c>
      <c r="H484" s="29" t="s">
        <v>602</v>
      </c>
      <c r="I484" s="30"/>
      <c r="J484" s="38">
        <f t="shared" si="42"/>
        <v>0</v>
      </c>
      <c r="M484" s="10" t="str">
        <f t="shared" si="43"/>
        <v>-</v>
      </c>
      <c r="N484" s="10" t="str">
        <f t="shared" si="46"/>
        <v>-</v>
      </c>
      <c r="O484" s="11" t="str">
        <f t="shared" si="44"/>
        <v>-</v>
      </c>
      <c r="P484" s="12" t="str">
        <f t="shared" si="47"/>
        <v>-</v>
      </c>
      <c r="R484" s="12" t="str">
        <f t="shared" si="45"/>
        <v>-</v>
      </c>
    </row>
    <row r="485" spans="1:18" ht="14.4">
      <c r="A485" s="26" t="s">
        <v>582</v>
      </c>
      <c r="B485" s="27">
        <v>45151</v>
      </c>
      <c r="C485" s="13">
        <v>33674451519</v>
      </c>
      <c r="D485" s="28" t="s">
        <v>431</v>
      </c>
      <c r="E485" s="14">
        <v>12</v>
      </c>
      <c r="F485" s="15">
        <v>4.8393769955300002E-2</v>
      </c>
      <c r="G485" s="16">
        <v>18.27</v>
      </c>
      <c r="H485" s="29" t="s">
        <v>602</v>
      </c>
      <c r="I485" s="30"/>
      <c r="J485" s="38">
        <f t="shared" si="42"/>
        <v>0</v>
      </c>
      <c r="M485" s="10" t="str">
        <f t="shared" si="43"/>
        <v>-</v>
      </c>
      <c r="N485" s="10" t="str">
        <f t="shared" si="46"/>
        <v>-</v>
      </c>
      <c r="O485" s="11" t="str">
        <f t="shared" si="44"/>
        <v>-</v>
      </c>
      <c r="P485" s="12" t="str">
        <f t="shared" si="47"/>
        <v>-</v>
      </c>
      <c r="R485" s="12" t="str">
        <f t="shared" si="45"/>
        <v>-</v>
      </c>
    </row>
    <row r="486" spans="1:18" ht="14.4">
      <c r="A486" s="26" t="s">
        <v>578</v>
      </c>
      <c r="B486" s="27">
        <v>14261</v>
      </c>
      <c r="C486" s="13">
        <v>33674142615</v>
      </c>
      <c r="D486" s="28" t="s">
        <v>432</v>
      </c>
      <c r="E486" s="14">
        <v>12</v>
      </c>
      <c r="F486" s="15">
        <v>0.27285849017350006</v>
      </c>
      <c r="G486" s="16">
        <v>15.75</v>
      </c>
      <c r="H486" s="29" t="s">
        <v>602</v>
      </c>
      <c r="I486" s="30"/>
      <c r="J486" s="38">
        <f t="shared" si="42"/>
        <v>0</v>
      </c>
      <c r="M486" s="10" t="str">
        <f t="shared" si="43"/>
        <v>-</v>
      </c>
      <c r="N486" s="10" t="str">
        <f t="shared" si="46"/>
        <v>-</v>
      </c>
      <c r="O486" s="11" t="str">
        <f t="shared" si="44"/>
        <v>-</v>
      </c>
      <c r="P486" s="12" t="str">
        <f t="shared" si="47"/>
        <v>-</v>
      </c>
      <c r="R486" s="12" t="str">
        <f t="shared" si="45"/>
        <v>-</v>
      </c>
    </row>
    <row r="487" spans="1:18" ht="14.4">
      <c r="A487" s="26" t="s">
        <v>565</v>
      </c>
      <c r="B487" s="27">
        <v>14632</v>
      </c>
      <c r="C487" s="13">
        <v>33674146323</v>
      </c>
      <c r="D487" s="28" t="s">
        <v>434</v>
      </c>
      <c r="E487" s="14">
        <v>24</v>
      </c>
      <c r="F487" s="15">
        <v>0.22034610149860004</v>
      </c>
      <c r="G487" s="16">
        <v>11.7225</v>
      </c>
      <c r="H487" s="29" t="s">
        <v>602</v>
      </c>
      <c r="I487" s="30"/>
      <c r="J487" s="38">
        <f t="shared" si="42"/>
        <v>0</v>
      </c>
      <c r="M487" s="10" t="str">
        <f t="shared" si="43"/>
        <v>-</v>
      </c>
      <c r="N487" s="10" t="str">
        <f t="shared" si="46"/>
        <v>-</v>
      </c>
      <c r="O487" s="11" t="str">
        <f t="shared" si="44"/>
        <v>-</v>
      </c>
      <c r="P487" s="12" t="str">
        <f t="shared" si="47"/>
        <v>-</v>
      </c>
      <c r="R487" s="12" t="str">
        <f t="shared" si="45"/>
        <v>-</v>
      </c>
    </row>
    <row r="488" spans="1:18" ht="14.4">
      <c r="A488" s="26" t="s">
        <v>587</v>
      </c>
      <c r="B488" s="27">
        <v>15540</v>
      </c>
      <c r="C488" s="13">
        <v>33674155400</v>
      </c>
      <c r="D488" s="28" t="s">
        <v>437</v>
      </c>
      <c r="E488" s="14">
        <v>12</v>
      </c>
      <c r="F488" s="15">
        <v>0.1523888926252</v>
      </c>
      <c r="G488" s="16">
        <v>22.96125</v>
      </c>
      <c r="H488" s="29" t="s">
        <v>602</v>
      </c>
      <c r="I488" s="30"/>
      <c r="J488" s="38">
        <f t="shared" si="42"/>
        <v>0</v>
      </c>
      <c r="M488" s="10" t="str">
        <f t="shared" si="43"/>
        <v>-</v>
      </c>
      <c r="N488" s="10" t="str">
        <f t="shared" si="46"/>
        <v>-</v>
      </c>
      <c r="O488" s="11" t="str">
        <f t="shared" si="44"/>
        <v>-</v>
      </c>
      <c r="P488" s="12" t="str">
        <f t="shared" si="47"/>
        <v>-</v>
      </c>
      <c r="R488" s="12" t="str">
        <f t="shared" si="45"/>
        <v>-</v>
      </c>
    </row>
    <row r="489" spans="1:18" ht="14.4">
      <c r="A489" s="26" t="s">
        <v>578</v>
      </c>
      <c r="B489" s="27">
        <v>62700</v>
      </c>
      <c r="C489" s="13">
        <v>33674627006</v>
      </c>
      <c r="D489" s="28" t="s">
        <v>438</v>
      </c>
      <c r="E489" s="14">
        <v>12</v>
      </c>
      <c r="F489" s="15">
        <v>9.009478449125001E-2</v>
      </c>
      <c r="G489" s="16">
        <v>19.13625</v>
      </c>
      <c r="H489" s="29" t="s">
        <v>602</v>
      </c>
      <c r="I489" s="30"/>
      <c r="J489" s="38">
        <f t="shared" si="42"/>
        <v>0</v>
      </c>
      <c r="M489" s="10" t="str">
        <f t="shared" si="43"/>
        <v>-</v>
      </c>
      <c r="N489" s="10" t="str">
        <f t="shared" si="46"/>
        <v>-</v>
      </c>
      <c r="O489" s="11" t="str">
        <f t="shared" si="44"/>
        <v>-</v>
      </c>
      <c r="P489" s="12" t="str">
        <f t="shared" si="47"/>
        <v>-</v>
      </c>
      <c r="R489" s="12" t="str">
        <f t="shared" si="45"/>
        <v>-</v>
      </c>
    </row>
    <row r="490" spans="1:18" ht="14.4">
      <c r="A490" s="26" t="s">
        <v>582</v>
      </c>
      <c r="B490" s="27">
        <v>15611</v>
      </c>
      <c r="C490" s="13">
        <v>33674156117</v>
      </c>
      <c r="D490" s="28" t="s">
        <v>439</v>
      </c>
      <c r="E490" s="14">
        <v>12</v>
      </c>
      <c r="F490" s="15">
        <v>7.6709273652550009E-2</v>
      </c>
      <c r="G490" s="16">
        <v>14.355</v>
      </c>
      <c r="H490" s="29" t="s">
        <v>602</v>
      </c>
      <c r="I490" s="30"/>
      <c r="J490" s="38">
        <f t="shared" si="42"/>
        <v>0</v>
      </c>
      <c r="M490" s="10" t="str">
        <f t="shared" si="43"/>
        <v>-</v>
      </c>
      <c r="N490" s="10" t="str">
        <f t="shared" si="46"/>
        <v>-</v>
      </c>
      <c r="O490" s="11" t="str">
        <f t="shared" si="44"/>
        <v>-</v>
      </c>
      <c r="P490" s="12" t="str">
        <f t="shared" si="47"/>
        <v>-</v>
      </c>
      <c r="R490" s="12" t="str">
        <f t="shared" si="45"/>
        <v>-</v>
      </c>
    </row>
    <row r="491" spans="1:18" ht="14.4">
      <c r="A491" s="26" t="s">
        <v>582</v>
      </c>
      <c r="B491" s="27">
        <v>5836</v>
      </c>
      <c r="C491" s="13">
        <v>763948058365</v>
      </c>
      <c r="D491" s="28" t="s">
        <v>440</v>
      </c>
      <c r="E491" s="14">
        <v>12</v>
      </c>
      <c r="F491" s="15">
        <v>0.15753716602470003</v>
      </c>
      <c r="G491" s="16">
        <v>29.610000000000003</v>
      </c>
      <c r="H491" s="29" t="s">
        <v>602</v>
      </c>
      <c r="I491" s="30"/>
      <c r="J491" s="38">
        <f t="shared" si="42"/>
        <v>0</v>
      </c>
      <c r="M491" s="10" t="str">
        <f t="shared" si="43"/>
        <v>-</v>
      </c>
      <c r="N491" s="10" t="str">
        <f t="shared" si="46"/>
        <v>-</v>
      </c>
      <c r="O491" s="11" t="str">
        <f t="shared" si="44"/>
        <v>-</v>
      </c>
      <c r="P491" s="12" t="str">
        <f t="shared" si="47"/>
        <v>-</v>
      </c>
      <c r="R491" s="12" t="str">
        <f t="shared" si="45"/>
        <v>-</v>
      </c>
    </row>
    <row r="492" spans="1:18" ht="14.4">
      <c r="A492" s="26" t="s">
        <v>572</v>
      </c>
      <c r="B492" s="27">
        <v>13676</v>
      </c>
      <c r="C492" s="13">
        <v>33674136768</v>
      </c>
      <c r="D492" s="28" t="s">
        <v>445</v>
      </c>
      <c r="E492" s="14">
        <v>24</v>
      </c>
      <c r="F492" s="15">
        <v>0.164744748784</v>
      </c>
      <c r="G492" s="16">
        <v>9.911249999999999</v>
      </c>
      <c r="H492" s="29" t="s">
        <v>602</v>
      </c>
      <c r="I492" s="30"/>
      <c r="J492" s="38">
        <f t="shared" si="42"/>
        <v>0</v>
      </c>
      <c r="M492" s="10" t="str">
        <f t="shared" si="43"/>
        <v>-</v>
      </c>
      <c r="N492" s="10" t="str">
        <f t="shared" si="46"/>
        <v>-</v>
      </c>
      <c r="O492" s="11" t="str">
        <f t="shared" si="44"/>
        <v>-</v>
      </c>
      <c r="P492" s="12" t="str">
        <f t="shared" si="47"/>
        <v>-</v>
      </c>
      <c r="R492" s="12" t="str">
        <f t="shared" si="45"/>
        <v>-</v>
      </c>
    </row>
    <row r="493" spans="1:18" ht="14.4">
      <c r="A493" s="26" t="s">
        <v>572</v>
      </c>
      <c r="B493" s="27">
        <v>15803</v>
      </c>
      <c r="C493" s="13">
        <v>33674158036</v>
      </c>
      <c r="D493" s="28" t="s">
        <v>446</v>
      </c>
      <c r="E493" s="14">
        <v>12</v>
      </c>
      <c r="F493" s="15">
        <v>0.16560279435058331</v>
      </c>
      <c r="G493" s="16">
        <v>12.881249999999998</v>
      </c>
      <c r="H493" s="29" t="s">
        <v>602</v>
      </c>
      <c r="I493" s="30"/>
      <c r="J493" s="38">
        <f t="shared" si="42"/>
        <v>0</v>
      </c>
      <c r="M493" s="10" t="str">
        <f t="shared" si="43"/>
        <v>-</v>
      </c>
      <c r="N493" s="10" t="str">
        <f t="shared" si="46"/>
        <v>-</v>
      </c>
      <c r="O493" s="11" t="str">
        <f t="shared" si="44"/>
        <v>-</v>
      </c>
      <c r="P493" s="12" t="str">
        <f t="shared" si="47"/>
        <v>-</v>
      </c>
      <c r="R493" s="12" t="str">
        <f t="shared" si="45"/>
        <v>-</v>
      </c>
    </row>
    <row r="494" spans="1:18" ht="14.4">
      <c r="A494" s="26" t="s">
        <v>572</v>
      </c>
      <c r="B494" s="27">
        <v>15175</v>
      </c>
      <c r="C494" s="13">
        <v>33674151754</v>
      </c>
      <c r="D494" s="28" t="s">
        <v>447</v>
      </c>
      <c r="E494" s="14">
        <v>12</v>
      </c>
      <c r="F494" s="15">
        <v>7.3620309612850002E-2</v>
      </c>
      <c r="G494" s="16">
        <v>12.555000000000001</v>
      </c>
      <c r="H494" s="29" t="s">
        <v>602</v>
      </c>
      <c r="I494" s="30"/>
      <c r="J494" s="38">
        <f t="shared" si="42"/>
        <v>0</v>
      </c>
      <c r="M494" s="10" t="str">
        <f t="shared" si="43"/>
        <v>-</v>
      </c>
      <c r="N494" s="10" t="str">
        <f t="shared" si="46"/>
        <v>-</v>
      </c>
      <c r="O494" s="11" t="str">
        <f t="shared" si="44"/>
        <v>-</v>
      </c>
      <c r="P494" s="12" t="str">
        <f t="shared" si="47"/>
        <v>-</v>
      </c>
      <c r="R494" s="12" t="str">
        <f t="shared" si="45"/>
        <v>-</v>
      </c>
    </row>
    <row r="495" spans="1:18" ht="14.4">
      <c r="A495" s="26" t="s">
        <v>572</v>
      </c>
      <c r="B495" s="27">
        <v>15182</v>
      </c>
      <c r="C495" s="13">
        <v>33674151822</v>
      </c>
      <c r="D495" s="28" t="s">
        <v>448</v>
      </c>
      <c r="E495" s="14">
        <v>12</v>
      </c>
      <c r="F495" s="15">
        <v>9.9361676610350003E-2</v>
      </c>
      <c r="G495" s="16">
        <v>10.87875</v>
      </c>
      <c r="H495" s="29" t="s">
        <v>602</v>
      </c>
      <c r="I495" s="30"/>
      <c r="J495" s="38">
        <f t="shared" si="42"/>
        <v>0</v>
      </c>
      <c r="M495" s="10" t="str">
        <f t="shared" si="43"/>
        <v>-</v>
      </c>
      <c r="N495" s="10" t="str">
        <f t="shared" si="46"/>
        <v>-</v>
      </c>
      <c r="O495" s="11" t="str">
        <f t="shared" si="44"/>
        <v>-</v>
      </c>
      <c r="P495" s="12" t="str">
        <f t="shared" si="47"/>
        <v>-</v>
      </c>
      <c r="R495" s="12" t="str">
        <f t="shared" si="45"/>
        <v>-</v>
      </c>
    </row>
    <row r="496" spans="1:18" ht="14.4">
      <c r="A496" s="26" t="s">
        <v>572</v>
      </c>
      <c r="B496" s="27">
        <v>15136</v>
      </c>
      <c r="C496" s="13">
        <v>33674151365</v>
      </c>
      <c r="D496" s="28" t="s">
        <v>449</v>
      </c>
      <c r="E496" s="14">
        <v>12</v>
      </c>
      <c r="F496" s="15">
        <v>0.22240541085840002</v>
      </c>
      <c r="G496" s="16">
        <v>12.555000000000001</v>
      </c>
      <c r="H496" s="29" t="s">
        <v>602</v>
      </c>
      <c r="I496" s="30"/>
      <c r="J496" s="38">
        <f t="shared" si="42"/>
        <v>0</v>
      </c>
      <c r="M496" s="10" t="str">
        <f t="shared" si="43"/>
        <v>-</v>
      </c>
      <c r="N496" s="10" t="str">
        <f t="shared" si="46"/>
        <v>-</v>
      </c>
      <c r="O496" s="11" t="str">
        <f t="shared" si="44"/>
        <v>-</v>
      </c>
      <c r="P496" s="12" t="str">
        <f t="shared" si="47"/>
        <v>-</v>
      </c>
      <c r="R496" s="12" t="str">
        <f t="shared" si="45"/>
        <v>-</v>
      </c>
    </row>
    <row r="497" spans="1:18" ht="14.4">
      <c r="A497" s="26" t="s">
        <v>572</v>
      </c>
      <c r="B497" s="27">
        <v>13610</v>
      </c>
      <c r="C497" s="13">
        <v>33674136102</v>
      </c>
      <c r="D497" s="28" t="s">
        <v>450</v>
      </c>
      <c r="E497" s="14">
        <v>24</v>
      </c>
      <c r="F497" s="15">
        <v>0.15908164804455002</v>
      </c>
      <c r="G497" s="16">
        <v>9.911249999999999</v>
      </c>
      <c r="H497" s="29" t="s">
        <v>602</v>
      </c>
      <c r="I497" s="30"/>
      <c r="J497" s="38">
        <f t="shared" si="42"/>
        <v>0</v>
      </c>
      <c r="M497" s="10" t="str">
        <f t="shared" si="43"/>
        <v>-</v>
      </c>
      <c r="N497" s="10" t="str">
        <f t="shared" si="46"/>
        <v>-</v>
      </c>
      <c r="O497" s="11" t="str">
        <f t="shared" si="44"/>
        <v>-</v>
      </c>
      <c r="P497" s="12" t="str">
        <f t="shared" si="47"/>
        <v>-</v>
      </c>
      <c r="R497" s="12" t="str">
        <f t="shared" si="45"/>
        <v>-</v>
      </c>
    </row>
    <row r="498" spans="1:18" ht="14.4">
      <c r="A498" s="26" t="s">
        <v>572</v>
      </c>
      <c r="B498" s="27">
        <v>13671</v>
      </c>
      <c r="C498" s="13">
        <v>33674136713</v>
      </c>
      <c r="D498" s="28" t="s">
        <v>451</v>
      </c>
      <c r="E498" s="14">
        <v>12</v>
      </c>
      <c r="F498" s="15">
        <v>0.22309184731166667</v>
      </c>
      <c r="G498" s="16">
        <v>12.116250000000001</v>
      </c>
      <c r="H498" s="29" t="s">
        <v>602</v>
      </c>
      <c r="I498" s="30"/>
      <c r="J498" s="38">
        <f t="shared" si="42"/>
        <v>0</v>
      </c>
      <c r="M498" s="10" t="str">
        <f t="shared" si="43"/>
        <v>-</v>
      </c>
      <c r="N498" s="10" t="str">
        <f t="shared" si="46"/>
        <v>-</v>
      </c>
      <c r="O498" s="11" t="str">
        <f t="shared" si="44"/>
        <v>-</v>
      </c>
      <c r="P498" s="12" t="str">
        <f t="shared" si="47"/>
        <v>-</v>
      </c>
      <c r="R498" s="12" t="str">
        <f t="shared" si="45"/>
        <v>-</v>
      </c>
    </row>
    <row r="499" spans="1:18" ht="14.4">
      <c r="A499" s="26" t="s">
        <v>572</v>
      </c>
      <c r="B499" s="27">
        <v>13673</v>
      </c>
      <c r="C499" s="13">
        <v>33674136737</v>
      </c>
      <c r="D499" s="28" t="s">
        <v>452</v>
      </c>
      <c r="E499" s="14">
        <v>12</v>
      </c>
      <c r="F499" s="15">
        <v>0.22309184731166667</v>
      </c>
      <c r="G499" s="16">
        <v>12.116250000000001</v>
      </c>
      <c r="H499" s="29" t="s">
        <v>602</v>
      </c>
      <c r="I499" s="30"/>
      <c r="J499" s="38">
        <f t="shared" si="42"/>
        <v>0</v>
      </c>
      <c r="M499" s="10" t="str">
        <f t="shared" si="43"/>
        <v>-</v>
      </c>
      <c r="N499" s="10" t="str">
        <f t="shared" si="46"/>
        <v>-</v>
      </c>
      <c r="O499" s="11" t="str">
        <f t="shared" si="44"/>
        <v>-</v>
      </c>
      <c r="P499" s="12" t="str">
        <f t="shared" si="47"/>
        <v>-</v>
      </c>
      <c r="R499" s="12" t="str">
        <f t="shared" si="45"/>
        <v>-</v>
      </c>
    </row>
    <row r="500" spans="1:18" ht="14.4">
      <c r="A500" s="26" t="s">
        <v>578</v>
      </c>
      <c r="B500" s="27">
        <v>10493</v>
      </c>
      <c r="C500" s="13">
        <v>33674104934</v>
      </c>
      <c r="D500" s="28" t="s">
        <v>453</v>
      </c>
      <c r="E500" s="14">
        <v>12</v>
      </c>
      <c r="F500" s="15">
        <v>0.12922166232745</v>
      </c>
      <c r="G500" s="16">
        <v>18.945</v>
      </c>
      <c r="H500" s="29" t="s">
        <v>602</v>
      </c>
      <c r="I500" s="30"/>
      <c r="J500" s="38">
        <f t="shared" si="42"/>
        <v>0</v>
      </c>
      <c r="M500" s="10" t="str">
        <f t="shared" si="43"/>
        <v>-</v>
      </c>
      <c r="N500" s="10" t="str">
        <f t="shared" si="46"/>
        <v>-</v>
      </c>
      <c r="O500" s="11" t="str">
        <f t="shared" si="44"/>
        <v>-</v>
      </c>
      <c r="P500" s="12" t="str">
        <f t="shared" si="47"/>
        <v>-</v>
      </c>
      <c r="R500" s="12" t="str">
        <f t="shared" si="45"/>
        <v>-</v>
      </c>
    </row>
    <row r="501" spans="1:18" ht="14.4">
      <c r="A501" s="26" t="s">
        <v>572</v>
      </c>
      <c r="B501" s="27">
        <v>14001</v>
      </c>
      <c r="C501" s="13">
        <v>33674140017</v>
      </c>
      <c r="D501" s="28" t="s">
        <v>455</v>
      </c>
      <c r="E501" s="14">
        <v>12</v>
      </c>
      <c r="F501" s="15">
        <v>7.4135136952799996E-2</v>
      </c>
      <c r="G501" s="16">
        <v>11.362499999999999</v>
      </c>
      <c r="H501" s="29" t="s">
        <v>602</v>
      </c>
      <c r="I501" s="30"/>
      <c r="J501" s="38">
        <f t="shared" si="42"/>
        <v>0</v>
      </c>
      <c r="M501" s="10" t="str">
        <f t="shared" si="43"/>
        <v>-</v>
      </c>
      <c r="N501" s="10" t="str">
        <f t="shared" si="46"/>
        <v>-</v>
      </c>
      <c r="O501" s="11" t="str">
        <f t="shared" si="44"/>
        <v>-</v>
      </c>
      <c r="P501" s="12" t="str">
        <f t="shared" si="47"/>
        <v>-</v>
      </c>
      <c r="R501" s="12" t="str">
        <f t="shared" si="45"/>
        <v>-</v>
      </c>
    </row>
    <row r="502" spans="1:18" ht="14.4">
      <c r="A502" s="26" t="s">
        <v>578</v>
      </c>
      <c r="B502" s="27">
        <v>12345</v>
      </c>
      <c r="C502" s="13">
        <v>33674123454</v>
      </c>
      <c r="D502" s="28" t="s">
        <v>456</v>
      </c>
      <c r="E502" s="14">
        <v>24</v>
      </c>
      <c r="F502" s="15">
        <v>0.17401164090310003</v>
      </c>
      <c r="G502" s="16">
        <v>9.911249999999999</v>
      </c>
      <c r="H502" s="29" t="s">
        <v>602</v>
      </c>
      <c r="I502" s="30"/>
      <c r="J502" s="38">
        <f t="shared" si="42"/>
        <v>0</v>
      </c>
      <c r="M502" s="10" t="str">
        <f t="shared" si="43"/>
        <v>-</v>
      </c>
      <c r="N502" s="10" t="str">
        <f t="shared" si="46"/>
        <v>-</v>
      </c>
      <c r="O502" s="11" t="str">
        <f t="shared" si="44"/>
        <v>-</v>
      </c>
      <c r="P502" s="12" t="str">
        <f t="shared" si="47"/>
        <v>-</v>
      </c>
      <c r="R502" s="12" t="str">
        <f t="shared" si="45"/>
        <v>-</v>
      </c>
    </row>
    <row r="503" spans="1:18" ht="24">
      <c r="A503" s="26" t="s">
        <v>578</v>
      </c>
      <c r="B503" s="27">
        <v>12323</v>
      </c>
      <c r="C503" s="13">
        <v>33674125335</v>
      </c>
      <c r="D503" s="28" t="s">
        <v>463</v>
      </c>
      <c r="E503" s="14">
        <v>9</v>
      </c>
      <c r="F503" s="15">
        <v>0.50659010251080006</v>
      </c>
      <c r="G503" s="16">
        <v>30.172500000000003</v>
      </c>
      <c r="H503" s="29" t="s">
        <v>602</v>
      </c>
      <c r="I503" s="30"/>
      <c r="J503" s="38">
        <f t="shared" si="42"/>
        <v>0</v>
      </c>
      <c r="M503" s="10" t="str">
        <f t="shared" si="43"/>
        <v>-</v>
      </c>
      <c r="N503" s="10" t="str">
        <f t="shared" si="46"/>
        <v>-</v>
      </c>
      <c r="O503" s="11" t="str">
        <f t="shared" si="44"/>
        <v>-</v>
      </c>
      <c r="P503" s="12" t="str">
        <f t="shared" si="47"/>
        <v>-</v>
      </c>
      <c r="R503" s="12" t="str">
        <f t="shared" si="45"/>
        <v>-</v>
      </c>
    </row>
    <row r="504" spans="1:18" ht="14.4">
      <c r="A504" s="26" t="s">
        <v>578</v>
      </c>
      <c r="B504" s="27">
        <v>15359</v>
      </c>
      <c r="C504" s="13">
        <v>33674153598</v>
      </c>
      <c r="D504" s="28" t="s">
        <v>467</v>
      </c>
      <c r="E504" s="14">
        <v>12</v>
      </c>
      <c r="F504" s="15">
        <v>0.41906945471930007</v>
      </c>
      <c r="G504" s="16">
        <v>21.982499999999998</v>
      </c>
      <c r="H504" s="29" t="s">
        <v>602</v>
      </c>
      <c r="I504" s="30"/>
      <c r="J504" s="38">
        <f t="shared" si="42"/>
        <v>0</v>
      </c>
      <c r="M504" s="10" t="str">
        <f t="shared" si="43"/>
        <v>-</v>
      </c>
      <c r="N504" s="10" t="str">
        <f t="shared" si="46"/>
        <v>-</v>
      </c>
      <c r="O504" s="11" t="str">
        <f t="shared" si="44"/>
        <v>-</v>
      </c>
      <c r="P504" s="12" t="str">
        <f t="shared" si="47"/>
        <v>-</v>
      </c>
      <c r="R504" s="12" t="str">
        <f t="shared" si="45"/>
        <v>-</v>
      </c>
    </row>
    <row r="505" spans="1:18" ht="14.4">
      <c r="A505" s="26" t="s">
        <v>572</v>
      </c>
      <c r="B505" s="27">
        <v>13315</v>
      </c>
      <c r="C505" s="13">
        <v>33674133156</v>
      </c>
      <c r="D505" s="28" t="s">
        <v>471</v>
      </c>
      <c r="E505" s="14">
        <v>12</v>
      </c>
      <c r="F505" s="15">
        <v>0.16560279435058331</v>
      </c>
      <c r="G505" s="16">
        <v>14.400000000000002</v>
      </c>
      <c r="H505" s="29" t="s">
        <v>602</v>
      </c>
      <c r="I505" s="30"/>
      <c r="J505" s="38">
        <f t="shared" si="42"/>
        <v>0</v>
      </c>
      <c r="M505" s="10" t="str">
        <f t="shared" si="43"/>
        <v>-</v>
      </c>
      <c r="N505" s="10" t="str">
        <f t="shared" si="46"/>
        <v>-</v>
      </c>
      <c r="O505" s="11" t="str">
        <f t="shared" si="44"/>
        <v>-</v>
      </c>
      <c r="P505" s="12" t="str">
        <f t="shared" si="47"/>
        <v>-</v>
      </c>
      <c r="R505" s="12" t="str">
        <f t="shared" si="45"/>
        <v>-</v>
      </c>
    </row>
    <row r="506" spans="1:18" ht="14.4">
      <c r="A506" s="26" t="s">
        <v>572</v>
      </c>
      <c r="B506" s="27">
        <v>13313</v>
      </c>
      <c r="C506" s="13">
        <v>33674133132</v>
      </c>
      <c r="D506" s="28" t="s">
        <v>472</v>
      </c>
      <c r="E506" s="14">
        <v>12</v>
      </c>
      <c r="F506" s="15">
        <v>0.16560279435058331</v>
      </c>
      <c r="G506" s="16">
        <v>14.400000000000002</v>
      </c>
      <c r="H506" s="29" t="s">
        <v>602</v>
      </c>
      <c r="I506" s="30"/>
      <c r="J506" s="38">
        <f t="shared" si="42"/>
        <v>0</v>
      </c>
      <c r="M506" s="10" t="str">
        <f t="shared" si="43"/>
        <v>-</v>
      </c>
      <c r="N506" s="10" t="str">
        <f t="shared" si="46"/>
        <v>-</v>
      </c>
      <c r="O506" s="11" t="str">
        <f t="shared" si="44"/>
        <v>-</v>
      </c>
      <c r="P506" s="12" t="str">
        <f t="shared" si="47"/>
        <v>-</v>
      </c>
      <c r="R506" s="12" t="str">
        <f t="shared" si="45"/>
        <v>-</v>
      </c>
    </row>
    <row r="507" spans="1:18" ht="14.4">
      <c r="A507" s="26" t="s">
        <v>578</v>
      </c>
      <c r="B507" s="27">
        <v>14616</v>
      </c>
      <c r="C507" s="13">
        <v>33674146163</v>
      </c>
      <c r="D507" s="28" t="s">
        <v>476</v>
      </c>
      <c r="E507" s="14">
        <v>24</v>
      </c>
      <c r="F507" s="15">
        <v>0.2038716266202</v>
      </c>
      <c r="G507" s="16">
        <v>14.163749999999999</v>
      </c>
      <c r="H507" s="29" t="s">
        <v>602</v>
      </c>
      <c r="I507" s="30"/>
      <c r="J507" s="38">
        <f t="shared" si="42"/>
        <v>0</v>
      </c>
      <c r="M507" s="10" t="str">
        <f t="shared" si="43"/>
        <v>-</v>
      </c>
      <c r="N507" s="10" t="str">
        <f t="shared" si="46"/>
        <v>-</v>
      </c>
      <c r="O507" s="11" t="str">
        <f t="shared" si="44"/>
        <v>-</v>
      </c>
      <c r="P507" s="12" t="str">
        <f t="shared" si="47"/>
        <v>-</v>
      </c>
      <c r="R507" s="12" t="str">
        <f t="shared" si="45"/>
        <v>-</v>
      </c>
    </row>
    <row r="508" spans="1:18" ht="14.4">
      <c r="A508" s="26" t="s">
        <v>578</v>
      </c>
      <c r="B508" s="27">
        <v>14617</v>
      </c>
      <c r="C508" s="13">
        <v>33674146170</v>
      </c>
      <c r="D508" s="28" t="s">
        <v>477</v>
      </c>
      <c r="E508" s="14">
        <v>12</v>
      </c>
      <c r="F508" s="15">
        <v>0.27852159091294998</v>
      </c>
      <c r="G508" s="16">
        <v>19.844999999999999</v>
      </c>
      <c r="H508" s="29" t="s">
        <v>602</v>
      </c>
      <c r="I508" s="30"/>
      <c r="J508" s="38">
        <f t="shared" si="42"/>
        <v>0</v>
      </c>
      <c r="M508" s="10" t="str">
        <f t="shared" si="43"/>
        <v>-</v>
      </c>
      <c r="N508" s="10" t="str">
        <f t="shared" si="46"/>
        <v>-</v>
      </c>
      <c r="O508" s="11" t="str">
        <f t="shared" si="44"/>
        <v>-</v>
      </c>
      <c r="P508" s="12" t="str">
        <f t="shared" si="47"/>
        <v>-</v>
      </c>
      <c r="R508" s="12" t="str">
        <f t="shared" si="45"/>
        <v>-</v>
      </c>
    </row>
    <row r="509" spans="1:18" ht="14.4">
      <c r="A509" s="26" t="s">
        <v>578</v>
      </c>
      <c r="B509" s="27">
        <v>15331</v>
      </c>
      <c r="C509" s="13">
        <v>33674153314</v>
      </c>
      <c r="D509" s="28" t="s">
        <v>480</v>
      </c>
      <c r="E509" s="14">
        <v>12</v>
      </c>
      <c r="F509" s="15">
        <v>0.42112876407909999</v>
      </c>
      <c r="G509" s="16">
        <v>21.982499999999998</v>
      </c>
      <c r="H509" s="29" t="s">
        <v>602</v>
      </c>
      <c r="I509" s="30"/>
      <c r="J509" s="38">
        <f t="shared" si="42"/>
        <v>0</v>
      </c>
      <c r="M509" s="10" t="str">
        <f t="shared" si="43"/>
        <v>-</v>
      </c>
      <c r="N509" s="10" t="str">
        <f t="shared" si="46"/>
        <v>-</v>
      </c>
      <c r="O509" s="11" t="str">
        <f t="shared" si="44"/>
        <v>-</v>
      </c>
      <c r="P509" s="12" t="str">
        <f t="shared" si="47"/>
        <v>-</v>
      </c>
      <c r="R509" s="12" t="str">
        <f t="shared" si="45"/>
        <v>-</v>
      </c>
    </row>
    <row r="510" spans="1:18" ht="14.4">
      <c r="A510" s="26" t="s">
        <v>569</v>
      </c>
      <c r="B510" s="27">
        <v>8362</v>
      </c>
      <c r="C510" s="13">
        <v>763948083626</v>
      </c>
      <c r="D510" s="28" t="s">
        <v>483</v>
      </c>
      <c r="E510" s="14">
        <v>12</v>
      </c>
      <c r="F510" s="15">
        <v>0.12252890690809999</v>
      </c>
      <c r="G510" s="16">
        <v>26.786249999999995</v>
      </c>
      <c r="H510" s="29" t="s">
        <v>602</v>
      </c>
      <c r="I510" s="30"/>
      <c r="J510" s="38">
        <f t="shared" si="42"/>
        <v>0</v>
      </c>
      <c r="M510" s="10" t="str">
        <f t="shared" si="43"/>
        <v>-</v>
      </c>
      <c r="N510" s="10" t="str">
        <f t="shared" si="46"/>
        <v>-</v>
      </c>
      <c r="O510" s="11" t="str">
        <f t="shared" si="44"/>
        <v>-</v>
      </c>
      <c r="P510" s="12" t="str">
        <f t="shared" si="47"/>
        <v>-</v>
      </c>
      <c r="R510" s="12" t="str">
        <f t="shared" si="45"/>
        <v>-</v>
      </c>
    </row>
    <row r="511" spans="1:18" ht="14.4">
      <c r="A511" s="26" t="s">
        <v>591</v>
      </c>
      <c r="B511" s="27">
        <v>458</v>
      </c>
      <c r="C511" s="13">
        <v>763948004584</v>
      </c>
      <c r="D511" s="28" t="s">
        <v>490</v>
      </c>
      <c r="E511" s="14">
        <v>12</v>
      </c>
      <c r="F511" s="15">
        <v>9.8846849270399981E-2</v>
      </c>
      <c r="G511" s="16">
        <v>16.256249999999998</v>
      </c>
      <c r="H511" s="29" t="s">
        <v>602</v>
      </c>
      <c r="I511" s="30"/>
      <c r="J511" s="38">
        <f t="shared" ref="J511:J574" si="48">I511*G511</f>
        <v>0</v>
      </c>
      <c r="M511" s="10" t="str">
        <f t="shared" ref="M511:M551" si="49">IFERROR(IF($M$2*F511=0, "-", $M$2*F511), "-")</f>
        <v>-</v>
      </c>
      <c r="N511" s="10" t="str">
        <f t="shared" si="46"/>
        <v>-</v>
      </c>
      <c r="O511" s="11" t="str">
        <f t="shared" ref="O511:O551" si="50">IF(I511&gt;0,I511*F511, "-")</f>
        <v>-</v>
      </c>
      <c r="P511" s="12" t="str">
        <f t="shared" si="47"/>
        <v>-</v>
      </c>
      <c r="R511" s="12" t="str">
        <f t="shared" ref="R511:R551" si="51">IFERROR(IF(P511+J511=0, "-", IF(P511&gt;0, P511+J511, "-")), "-")</f>
        <v>-</v>
      </c>
    </row>
    <row r="512" spans="1:18" ht="14.4">
      <c r="A512" s="26" t="s">
        <v>591</v>
      </c>
      <c r="B512" s="27">
        <v>10746</v>
      </c>
      <c r="C512" s="13">
        <v>763948107469</v>
      </c>
      <c r="D512" s="28" t="s">
        <v>491</v>
      </c>
      <c r="E512" s="14">
        <v>12</v>
      </c>
      <c r="F512" s="15">
        <v>0.22309184731166667</v>
      </c>
      <c r="G512" s="16">
        <v>14.298750000000002</v>
      </c>
      <c r="H512" s="29" t="s">
        <v>602</v>
      </c>
      <c r="I512" s="30"/>
      <c r="J512" s="38">
        <f t="shared" si="48"/>
        <v>0</v>
      </c>
      <c r="M512" s="10" t="str">
        <f t="shared" si="49"/>
        <v>-</v>
      </c>
      <c r="N512" s="10" t="str">
        <f t="shared" ref="N512:N551" si="52">IFERROR(IF(M512&gt;0,G512+M512,"-"),"-")</f>
        <v>-</v>
      </c>
      <c r="O512" s="11" t="str">
        <f t="shared" si="50"/>
        <v>-</v>
      </c>
      <c r="P512" s="12" t="str">
        <f t="shared" ref="P512:P538" si="53">IFERROR(IF($M$2&gt;0, $M$2*O512, "-"), "-")</f>
        <v>-</v>
      </c>
      <c r="R512" s="12" t="str">
        <f t="shared" si="51"/>
        <v>-</v>
      </c>
    </row>
    <row r="513" spans="1:18" ht="14.4">
      <c r="A513" s="26" t="s">
        <v>591</v>
      </c>
      <c r="B513" s="27">
        <v>13981</v>
      </c>
      <c r="C513" s="13">
        <v>33674139813</v>
      </c>
      <c r="D513" s="28" t="s">
        <v>492</v>
      </c>
      <c r="E513" s="14">
        <v>12</v>
      </c>
      <c r="F513" s="15">
        <v>0.44378116703690001</v>
      </c>
      <c r="G513" s="16">
        <v>13.48875</v>
      </c>
      <c r="H513" s="29" t="s">
        <v>602</v>
      </c>
      <c r="I513" s="30"/>
      <c r="J513" s="38">
        <f t="shared" si="48"/>
        <v>0</v>
      </c>
      <c r="M513" s="10" t="str">
        <f t="shared" si="49"/>
        <v>-</v>
      </c>
      <c r="N513" s="10" t="str">
        <f t="shared" si="52"/>
        <v>-</v>
      </c>
      <c r="O513" s="11" t="str">
        <f t="shared" si="50"/>
        <v>-</v>
      </c>
      <c r="P513" s="12" t="str">
        <f t="shared" si="53"/>
        <v>-</v>
      </c>
      <c r="R513" s="12" t="str">
        <f t="shared" si="51"/>
        <v>-</v>
      </c>
    </row>
    <row r="514" spans="1:18" ht="14.4">
      <c r="A514" s="26" t="s">
        <v>587</v>
      </c>
      <c r="B514" s="27">
        <v>6113</v>
      </c>
      <c r="C514" s="13">
        <v>763948061136</v>
      </c>
      <c r="D514" s="28" t="s">
        <v>495</v>
      </c>
      <c r="E514" s="14">
        <v>12</v>
      </c>
      <c r="F514" s="15">
        <v>0.11892511552845002</v>
      </c>
      <c r="G514" s="16">
        <v>20.958750000000002</v>
      </c>
      <c r="H514" s="29" t="s">
        <v>602</v>
      </c>
      <c r="I514" s="30"/>
      <c r="J514" s="38">
        <f t="shared" si="48"/>
        <v>0</v>
      </c>
      <c r="M514" s="10" t="str">
        <f t="shared" si="49"/>
        <v>-</v>
      </c>
      <c r="N514" s="10" t="str">
        <f t="shared" si="52"/>
        <v>-</v>
      </c>
      <c r="O514" s="11" t="str">
        <f t="shared" si="50"/>
        <v>-</v>
      </c>
      <c r="P514" s="12" t="str">
        <f t="shared" si="53"/>
        <v>-</v>
      </c>
      <c r="R514" s="12" t="str">
        <f t="shared" si="51"/>
        <v>-</v>
      </c>
    </row>
    <row r="515" spans="1:18" ht="14.4">
      <c r="A515" s="26" t="s">
        <v>578</v>
      </c>
      <c r="B515" s="27">
        <v>17200</v>
      </c>
      <c r="C515" s="13">
        <v>33674172001</v>
      </c>
      <c r="D515" s="28" t="s">
        <v>496</v>
      </c>
      <c r="E515" s="14">
        <v>12</v>
      </c>
      <c r="F515" s="15">
        <v>9.2668921191000009E-2</v>
      </c>
      <c r="G515" s="16">
        <v>8.932500000000001</v>
      </c>
      <c r="H515" s="29" t="s">
        <v>602</v>
      </c>
      <c r="I515" s="30"/>
      <c r="J515" s="38">
        <f t="shared" si="48"/>
        <v>0</v>
      </c>
      <c r="M515" s="10" t="str">
        <f t="shared" si="49"/>
        <v>-</v>
      </c>
      <c r="N515" s="10" t="str">
        <f t="shared" si="52"/>
        <v>-</v>
      </c>
      <c r="O515" s="11" t="str">
        <f t="shared" si="50"/>
        <v>-</v>
      </c>
      <c r="P515" s="12" t="str">
        <f t="shared" si="53"/>
        <v>-</v>
      </c>
      <c r="R515" s="12" t="str">
        <f t="shared" si="51"/>
        <v>-</v>
      </c>
    </row>
    <row r="516" spans="1:18" ht="14.4">
      <c r="A516" s="26" t="s">
        <v>581</v>
      </c>
      <c r="B516" s="27">
        <v>21825492</v>
      </c>
      <c r="C516" s="13">
        <v>308078254920</v>
      </c>
      <c r="D516" s="28" t="s">
        <v>497</v>
      </c>
      <c r="E516" s="14">
        <v>24</v>
      </c>
      <c r="F516" s="15">
        <v>0.12012637932166666</v>
      </c>
      <c r="G516" s="16">
        <v>12.56625</v>
      </c>
      <c r="H516" s="29" t="s">
        <v>602</v>
      </c>
      <c r="I516" s="30"/>
      <c r="J516" s="38">
        <f t="shared" si="48"/>
        <v>0</v>
      </c>
      <c r="M516" s="10" t="str">
        <f t="shared" si="49"/>
        <v>-</v>
      </c>
      <c r="N516" s="10" t="str">
        <f t="shared" si="52"/>
        <v>-</v>
      </c>
      <c r="O516" s="11" t="str">
        <f t="shared" si="50"/>
        <v>-</v>
      </c>
      <c r="P516" s="12" t="str">
        <f t="shared" si="53"/>
        <v>-</v>
      </c>
      <c r="R516" s="12" t="str">
        <f t="shared" si="51"/>
        <v>-</v>
      </c>
    </row>
    <row r="517" spans="1:18" ht="14.4">
      <c r="A517" s="26" t="s">
        <v>581</v>
      </c>
      <c r="B517" s="27">
        <v>21825390</v>
      </c>
      <c r="C517" s="13">
        <v>308078253909</v>
      </c>
      <c r="D517" s="28" t="s">
        <v>498</v>
      </c>
      <c r="E517" s="14">
        <v>36</v>
      </c>
      <c r="F517" s="15">
        <v>6.0063189660833335E-2</v>
      </c>
      <c r="G517" s="16">
        <v>6.2775000000000007</v>
      </c>
      <c r="H517" s="29" t="s">
        <v>602</v>
      </c>
      <c r="I517" s="30"/>
      <c r="J517" s="38">
        <f t="shared" si="48"/>
        <v>0</v>
      </c>
      <c r="M517" s="10" t="str">
        <f t="shared" si="49"/>
        <v>-</v>
      </c>
      <c r="N517" s="10" t="str">
        <f t="shared" si="52"/>
        <v>-</v>
      </c>
      <c r="O517" s="11" t="str">
        <f t="shared" si="50"/>
        <v>-</v>
      </c>
      <c r="P517" s="12" t="str">
        <f t="shared" si="53"/>
        <v>-</v>
      </c>
      <c r="R517" s="12" t="str">
        <f t="shared" si="51"/>
        <v>-</v>
      </c>
    </row>
    <row r="518" spans="1:18" ht="14.4">
      <c r="A518" s="26" t="s">
        <v>565</v>
      </c>
      <c r="B518" s="27">
        <v>63000</v>
      </c>
      <c r="C518" s="13">
        <v>33674630006</v>
      </c>
      <c r="D518" s="28" t="s">
        <v>501</v>
      </c>
      <c r="E518" s="14">
        <v>12</v>
      </c>
      <c r="F518" s="15">
        <v>0.10039133129025</v>
      </c>
      <c r="G518" s="16">
        <v>13.004999999999999</v>
      </c>
      <c r="H518" s="29" t="s">
        <v>602</v>
      </c>
      <c r="I518" s="30"/>
      <c r="J518" s="38">
        <f t="shared" si="48"/>
        <v>0</v>
      </c>
      <c r="M518" s="10" t="str">
        <f t="shared" si="49"/>
        <v>-</v>
      </c>
      <c r="N518" s="10" t="str">
        <f t="shared" si="52"/>
        <v>-</v>
      </c>
      <c r="O518" s="11" t="str">
        <f t="shared" si="50"/>
        <v>-</v>
      </c>
      <c r="P518" s="12" t="str">
        <f t="shared" si="53"/>
        <v>-</v>
      </c>
      <c r="R518" s="12" t="str">
        <f t="shared" si="51"/>
        <v>-</v>
      </c>
    </row>
    <row r="519" spans="1:18" ht="14.4">
      <c r="A519" s="26" t="s">
        <v>587</v>
      </c>
      <c r="B519" s="27">
        <v>15518</v>
      </c>
      <c r="C519" s="13">
        <v>33674155189</v>
      </c>
      <c r="D519" s="28" t="s">
        <v>502</v>
      </c>
      <c r="E519" s="14">
        <v>12</v>
      </c>
      <c r="F519" s="15">
        <v>0.25895815199485001</v>
      </c>
      <c r="G519" s="16">
        <v>32.52375</v>
      </c>
      <c r="H519" s="29" t="s">
        <v>602</v>
      </c>
      <c r="I519" s="30"/>
      <c r="J519" s="38">
        <f t="shared" si="48"/>
        <v>0</v>
      </c>
      <c r="M519" s="10" t="str">
        <f t="shared" si="49"/>
        <v>-</v>
      </c>
      <c r="N519" s="10" t="str">
        <f t="shared" si="52"/>
        <v>-</v>
      </c>
      <c r="O519" s="11" t="str">
        <f t="shared" si="50"/>
        <v>-</v>
      </c>
      <c r="P519" s="12" t="str">
        <f t="shared" si="53"/>
        <v>-</v>
      </c>
      <c r="R519" s="12" t="str">
        <f t="shared" si="51"/>
        <v>-</v>
      </c>
    </row>
    <row r="520" spans="1:18" ht="14.4">
      <c r="A520" s="26" t="s">
        <v>587</v>
      </c>
      <c r="B520" s="27">
        <v>15688</v>
      </c>
      <c r="C520" s="13">
        <v>33674156889</v>
      </c>
      <c r="D520" s="28" t="s">
        <v>503</v>
      </c>
      <c r="E520" s="14">
        <v>12</v>
      </c>
      <c r="F520" s="15">
        <v>0.14466648252595002</v>
      </c>
      <c r="G520" s="16">
        <v>17.583750000000002</v>
      </c>
      <c r="H520" s="29" t="s">
        <v>602</v>
      </c>
      <c r="I520" s="30"/>
      <c r="J520" s="38">
        <f t="shared" si="48"/>
        <v>0</v>
      </c>
      <c r="M520" s="10" t="str">
        <f t="shared" si="49"/>
        <v>-</v>
      </c>
      <c r="N520" s="10" t="str">
        <f t="shared" si="52"/>
        <v>-</v>
      </c>
      <c r="O520" s="11" t="str">
        <f t="shared" si="50"/>
        <v>-</v>
      </c>
      <c r="P520" s="12" t="str">
        <f t="shared" si="53"/>
        <v>-</v>
      </c>
      <c r="R520" s="12" t="str">
        <f t="shared" si="51"/>
        <v>-</v>
      </c>
    </row>
    <row r="521" spans="1:18" ht="14.4">
      <c r="A521" s="26" t="s">
        <v>570</v>
      </c>
      <c r="B521" s="27">
        <v>8102</v>
      </c>
      <c r="C521" s="13">
        <v>763948081028</v>
      </c>
      <c r="D521" s="28" t="s">
        <v>504</v>
      </c>
      <c r="E521" s="14">
        <v>12</v>
      </c>
      <c r="F521" s="15">
        <v>0.11274718744905</v>
      </c>
      <c r="G521" s="16">
        <v>26.324999999999996</v>
      </c>
      <c r="H521" s="29" t="s">
        <v>602</v>
      </c>
      <c r="I521" s="30"/>
      <c r="J521" s="38">
        <f t="shared" si="48"/>
        <v>0</v>
      </c>
      <c r="M521" s="10" t="str">
        <f t="shared" si="49"/>
        <v>-</v>
      </c>
      <c r="N521" s="10" t="str">
        <f t="shared" si="52"/>
        <v>-</v>
      </c>
      <c r="O521" s="11" t="str">
        <f t="shared" si="50"/>
        <v>-</v>
      </c>
      <c r="P521" s="12" t="str">
        <f t="shared" si="53"/>
        <v>-</v>
      </c>
      <c r="R521" s="12" t="str">
        <f t="shared" si="51"/>
        <v>-</v>
      </c>
    </row>
    <row r="522" spans="1:18" ht="14.4">
      <c r="A522" s="26" t="s">
        <v>570</v>
      </c>
      <c r="B522" s="27">
        <v>15405</v>
      </c>
      <c r="C522" s="13">
        <v>33674154052</v>
      </c>
      <c r="D522" s="28" t="s">
        <v>505</v>
      </c>
      <c r="E522" s="14">
        <v>12</v>
      </c>
      <c r="F522" s="15">
        <v>9.3698575870900025E-2</v>
      </c>
      <c r="G522" s="16">
        <v>22.60125</v>
      </c>
      <c r="H522" s="29" t="s">
        <v>602</v>
      </c>
      <c r="I522" s="30"/>
      <c r="J522" s="38">
        <f t="shared" si="48"/>
        <v>0</v>
      </c>
      <c r="M522" s="10" t="str">
        <f t="shared" si="49"/>
        <v>-</v>
      </c>
      <c r="N522" s="10" t="str">
        <f t="shared" si="52"/>
        <v>-</v>
      </c>
      <c r="O522" s="11" t="str">
        <f t="shared" si="50"/>
        <v>-</v>
      </c>
      <c r="P522" s="12" t="str">
        <f t="shared" si="53"/>
        <v>-</v>
      </c>
      <c r="R522" s="12" t="str">
        <f t="shared" si="51"/>
        <v>-</v>
      </c>
    </row>
    <row r="523" spans="1:18" ht="14.4">
      <c r="A523" s="26" t="s">
        <v>578</v>
      </c>
      <c r="B523" s="27">
        <v>15049</v>
      </c>
      <c r="C523" s="13">
        <v>33674150498</v>
      </c>
      <c r="D523" s="28" t="s">
        <v>506</v>
      </c>
      <c r="E523" s="14">
        <v>12</v>
      </c>
      <c r="F523" s="15">
        <v>0.36810154806425005</v>
      </c>
      <c r="G523" s="16">
        <v>24.997499999999999</v>
      </c>
      <c r="H523" s="29" t="s">
        <v>602</v>
      </c>
      <c r="I523" s="30"/>
      <c r="J523" s="38">
        <f t="shared" si="48"/>
        <v>0</v>
      </c>
      <c r="M523" s="10" t="str">
        <f t="shared" si="49"/>
        <v>-</v>
      </c>
      <c r="N523" s="10" t="str">
        <f t="shared" si="52"/>
        <v>-</v>
      </c>
      <c r="O523" s="11" t="str">
        <f t="shared" si="50"/>
        <v>-</v>
      </c>
      <c r="P523" s="12" t="str">
        <f t="shared" si="53"/>
        <v>-</v>
      </c>
      <c r="R523" s="12" t="str">
        <f t="shared" si="51"/>
        <v>-</v>
      </c>
    </row>
    <row r="524" spans="1:18" ht="14.4">
      <c r="A524" s="26" t="s">
        <v>581</v>
      </c>
      <c r="B524" s="27">
        <v>56445</v>
      </c>
      <c r="C524" s="13">
        <v>763948564453</v>
      </c>
      <c r="D524" s="28" t="s">
        <v>509</v>
      </c>
      <c r="E524" s="14">
        <v>12</v>
      </c>
      <c r="F524" s="15">
        <v>0.10502477734979999</v>
      </c>
      <c r="G524" s="16">
        <v>16.245000000000001</v>
      </c>
      <c r="H524" s="29" t="s">
        <v>602</v>
      </c>
      <c r="I524" s="30"/>
      <c r="J524" s="38">
        <f t="shared" si="48"/>
        <v>0</v>
      </c>
      <c r="M524" s="10" t="str">
        <f t="shared" si="49"/>
        <v>-</v>
      </c>
      <c r="N524" s="10" t="str">
        <f t="shared" si="52"/>
        <v>-</v>
      </c>
      <c r="O524" s="11" t="str">
        <f t="shared" si="50"/>
        <v>-</v>
      </c>
      <c r="P524" s="12" t="str">
        <f t="shared" si="53"/>
        <v>-</v>
      </c>
      <c r="R524" s="12" t="str">
        <f t="shared" si="51"/>
        <v>-</v>
      </c>
    </row>
    <row r="525" spans="1:18" ht="14.4">
      <c r="A525" s="26" t="s">
        <v>581</v>
      </c>
      <c r="B525" s="27">
        <v>15831</v>
      </c>
      <c r="C525" s="13">
        <v>763948158317</v>
      </c>
      <c r="D525" s="28" t="s">
        <v>510</v>
      </c>
      <c r="E525" s="14">
        <v>12</v>
      </c>
      <c r="F525" s="15">
        <v>0.26153228869459999</v>
      </c>
      <c r="G525" s="16">
        <v>18.191250000000004</v>
      </c>
      <c r="H525" s="29" t="s">
        <v>602</v>
      </c>
      <c r="I525" s="30"/>
      <c r="J525" s="38">
        <f t="shared" si="48"/>
        <v>0</v>
      </c>
      <c r="M525" s="10" t="str">
        <f t="shared" si="49"/>
        <v>-</v>
      </c>
      <c r="N525" s="10" t="str">
        <f t="shared" si="52"/>
        <v>-</v>
      </c>
      <c r="O525" s="11" t="str">
        <f t="shared" si="50"/>
        <v>-</v>
      </c>
      <c r="P525" s="12" t="str">
        <f t="shared" si="53"/>
        <v>-</v>
      </c>
      <c r="R525" s="12" t="str">
        <f t="shared" si="51"/>
        <v>-</v>
      </c>
    </row>
    <row r="526" spans="1:18" ht="14.4">
      <c r="A526" s="26" t="s">
        <v>581</v>
      </c>
      <c r="B526" s="27">
        <v>10809</v>
      </c>
      <c r="C526" s="13">
        <v>763948108091</v>
      </c>
      <c r="D526" s="28" t="s">
        <v>511</v>
      </c>
      <c r="E526" s="14">
        <v>12</v>
      </c>
      <c r="F526" s="15">
        <v>0.30374813057050004</v>
      </c>
      <c r="G526" s="16">
        <v>16.245000000000001</v>
      </c>
      <c r="H526" s="29" t="s">
        <v>602</v>
      </c>
      <c r="I526" s="30"/>
      <c r="J526" s="38">
        <f t="shared" si="48"/>
        <v>0</v>
      </c>
      <c r="M526" s="10" t="str">
        <f t="shared" si="49"/>
        <v>-</v>
      </c>
      <c r="N526" s="10" t="str">
        <f t="shared" si="52"/>
        <v>-</v>
      </c>
      <c r="O526" s="11" t="str">
        <f t="shared" si="50"/>
        <v>-</v>
      </c>
      <c r="P526" s="12" t="str">
        <f t="shared" si="53"/>
        <v>-</v>
      </c>
      <c r="R526" s="12" t="str">
        <f t="shared" si="51"/>
        <v>-</v>
      </c>
    </row>
    <row r="527" spans="1:18" ht="14.4">
      <c r="A527" s="26" t="s">
        <v>570</v>
      </c>
      <c r="B527" s="27">
        <v>6958</v>
      </c>
      <c r="C527" s="13">
        <v>33674069585</v>
      </c>
      <c r="D527" s="28" t="s">
        <v>512</v>
      </c>
      <c r="E527" s="14">
        <v>12</v>
      </c>
      <c r="F527" s="15">
        <v>9.0609611831200018E-2</v>
      </c>
      <c r="G527" s="16">
        <v>27.776250000000005</v>
      </c>
      <c r="H527" s="29" t="s">
        <v>602</v>
      </c>
      <c r="I527" s="30"/>
      <c r="J527" s="38">
        <f t="shared" si="48"/>
        <v>0</v>
      </c>
      <c r="M527" s="10" t="str">
        <f t="shared" si="49"/>
        <v>-</v>
      </c>
      <c r="N527" s="10" t="str">
        <f t="shared" si="52"/>
        <v>-</v>
      </c>
      <c r="O527" s="11" t="str">
        <f t="shared" si="50"/>
        <v>-</v>
      </c>
      <c r="P527" s="12" t="str">
        <f t="shared" si="53"/>
        <v>-</v>
      </c>
      <c r="R527" s="12" t="str">
        <f t="shared" si="51"/>
        <v>-</v>
      </c>
    </row>
    <row r="528" spans="1:18" ht="14.4">
      <c r="A528" s="26" t="s">
        <v>586</v>
      </c>
      <c r="B528" s="27">
        <v>21825297</v>
      </c>
      <c r="C528" s="13">
        <v>308078252971</v>
      </c>
      <c r="D528" s="28" t="s">
        <v>513</v>
      </c>
      <c r="E528" s="14">
        <v>24</v>
      </c>
      <c r="F528" s="15">
        <v>0.1328254537071</v>
      </c>
      <c r="G528" s="16">
        <v>11.30625</v>
      </c>
      <c r="H528" s="29" t="s">
        <v>602</v>
      </c>
      <c r="I528" s="30"/>
      <c r="J528" s="38">
        <f t="shared" si="48"/>
        <v>0</v>
      </c>
      <c r="M528" s="10" t="str">
        <f t="shared" si="49"/>
        <v>-</v>
      </c>
      <c r="N528" s="10" t="str">
        <f t="shared" si="52"/>
        <v>-</v>
      </c>
      <c r="O528" s="11" t="str">
        <f t="shared" si="50"/>
        <v>-</v>
      </c>
      <c r="P528" s="12" t="str">
        <f t="shared" si="53"/>
        <v>-</v>
      </c>
      <c r="R528" s="12" t="str">
        <f t="shared" si="51"/>
        <v>-</v>
      </c>
    </row>
    <row r="529" spans="1:18" ht="14.4">
      <c r="A529" s="26" t="s">
        <v>581</v>
      </c>
      <c r="B529" s="27">
        <v>15356</v>
      </c>
      <c r="C529" s="13">
        <v>33674153567</v>
      </c>
      <c r="D529" s="28" t="s">
        <v>514</v>
      </c>
      <c r="E529" s="14">
        <v>12</v>
      </c>
      <c r="F529" s="15">
        <v>0.17967474164255001</v>
      </c>
      <c r="G529" s="16">
        <v>31.893750000000004</v>
      </c>
      <c r="H529" s="29" t="s">
        <v>602</v>
      </c>
      <c r="I529" s="30"/>
      <c r="J529" s="38">
        <f t="shared" si="48"/>
        <v>0</v>
      </c>
      <c r="M529" s="10" t="str">
        <f t="shared" si="49"/>
        <v>-</v>
      </c>
      <c r="N529" s="10" t="str">
        <f t="shared" si="52"/>
        <v>-</v>
      </c>
      <c r="O529" s="11" t="str">
        <f t="shared" si="50"/>
        <v>-</v>
      </c>
      <c r="P529" s="12" t="str">
        <f t="shared" si="53"/>
        <v>-</v>
      </c>
      <c r="R529" s="12" t="str">
        <f t="shared" si="51"/>
        <v>-</v>
      </c>
    </row>
    <row r="530" spans="1:18" ht="14.4">
      <c r="A530" s="26" t="s">
        <v>581</v>
      </c>
      <c r="B530" s="27">
        <v>10260</v>
      </c>
      <c r="C530" s="13">
        <v>33674102602</v>
      </c>
      <c r="D530" s="28" t="s">
        <v>516</v>
      </c>
      <c r="E530" s="14">
        <v>12</v>
      </c>
      <c r="F530" s="15">
        <v>0.10245064065005</v>
      </c>
      <c r="G530" s="16">
        <v>26.786249999999995</v>
      </c>
      <c r="H530" s="29" t="s">
        <v>602</v>
      </c>
      <c r="I530" s="30"/>
      <c r="J530" s="38">
        <f t="shared" si="48"/>
        <v>0</v>
      </c>
      <c r="M530" s="10" t="str">
        <f t="shared" si="49"/>
        <v>-</v>
      </c>
      <c r="N530" s="10" t="str">
        <f t="shared" si="52"/>
        <v>-</v>
      </c>
      <c r="O530" s="11" t="str">
        <f t="shared" si="50"/>
        <v>-</v>
      </c>
      <c r="P530" s="12" t="str">
        <f t="shared" si="53"/>
        <v>-</v>
      </c>
      <c r="R530" s="12" t="str">
        <f t="shared" si="51"/>
        <v>-</v>
      </c>
    </row>
    <row r="531" spans="1:18" ht="14.4">
      <c r="A531" s="26" t="s">
        <v>571</v>
      </c>
      <c r="B531" s="27">
        <v>5229</v>
      </c>
      <c r="C531" s="13">
        <v>763948052295</v>
      </c>
      <c r="D531" s="28" t="s">
        <v>517</v>
      </c>
      <c r="E531" s="14">
        <v>12</v>
      </c>
      <c r="F531" s="15">
        <v>0.19203059780135001</v>
      </c>
      <c r="G531" s="16">
        <v>15.311249999999999</v>
      </c>
      <c r="H531" s="29" t="s">
        <v>602</v>
      </c>
      <c r="I531" s="30"/>
      <c r="J531" s="38">
        <f t="shared" si="48"/>
        <v>0</v>
      </c>
      <c r="M531" s="10" t="str">
        <f t="shared" si="49"/>
        <v>-</v>
      </c>
      <c r="N531" s="10" t="str">
        <f t="shared" si="52"/>
        <v>-</v>
      </c>
      <c r="O531" s="11" t="str">
        <f t="shared" si="50"/>
        <v>-</v>
      </c>
      <c r="P531" s="12" t="str">
        <f t="shared" si="53"/>
        <v>-</v>
      </c>
      <c r="R531" s="12" t="str">
        <f t="shared" si="51"/>
        <v>-</v>
      </c>
    </row>
    <row r="532" spans="1:18" ht="14.4">
      <c r="A532" s="26" t="s">
        <v>572</v>
      </c>
      <c r="B532" s="27">
        <v>15271</v>
      </c>
      <c r="C532" s="13">
        <v>33674152713</v>
      </c>
      <c r="D532" s="28" t="s">
        <v>518</v>
      </c>
      <c r="E532" s="14">
        <v>12</v>
      </c>
      <c r="F532" s="15">
        <v>0.12767718030760003</v>
      </c>
      <c r="G532" s="16">
        <v>12.127499999999998</v>
      </c>
      <c r="H532" s="29" t="s">
        <v>602</v>
      </c>
      <c r="I532" s="30"/>
      <c r="J532" s="38">
        <f t="shared" si="48"/>
        <v>0</v>
      </c>
      <c r="M532" s="10" t="str">
        <f t="shared" si="49"/>
        <v>-</v>
      </c>
      <c r="N532" s="10" t="str">
        <f t="shared" si="52"/>
        <v>-</v>
      </c>
      <c r="O532" s="11" t="str">
        <f t="shared" si="50"/>
        <v>-</v>
      </c>
      <c r="P532" s="12" t="str">
        <f t="shared" si="53"/>
        <v>-</v>
      </c>
      <c r="R532" s="12" t="str">
        <f t="shared" si="51"/>
        <v>-</v>
      </c>
    </row>
    <row r="533" spans="1:18" ht="14.4">
      <c r="A533" s="26" t="s">
        <v>572</v>
      </c>
      <c r="B533" s="27">
        <v>15272</v>
      </c>
      <c r="C533" s="13">
        <v>33674152720</v>
      </c>
      <c r="D533" s="28" t="s">
        <v>519</v>
      </c>
      <c r="E533" s="14">
        <v>12</v>
      </c>
      <c r="F533" s="15">
        <v>0.22223380174508334</v>
      </c>
      <c r="G533" s="16">
        <v>12.127499999999998</v>
      </c>
      <c r="H533" s="29" t="s">
        <v>602</v>
      </c>
      <c r="I533" s="30"/>
      <c r="J533" s="38">
        <f t="shared" si="48"/>
        <v>0</v>
      </c>
      <c r="M533" s="10" t="str">
        <f t="shared" si="49"/>
        <v>-</v>
      </c>
      <c r="N533" s="10" t="str">
        <f t="shared" si="52"/>
        <v>-</v>
      </c>
      <c r="O533" s="11" t="str">
        <f t="shared" si="50"/>
        <v>-</v>
      </c>
      <c r="P533" s="12" t="str">
        <f t="shared" si="53"/>
        <v>-</v>
      </c>
      <c r="R533" s="12" t="str">
        <f t="shared" si="51"/>
        <v>-</v>
      </c>
    </row>
    <row r="534" spans="1:18" ht="14.4">
      <c r="A534" s="26" t="s">
        <v>572</v>
      </c>
      <c r="B534" s="27">
        <v>15792</v>
      </c>
      <c r="C534" s="13">
        <v>33674157923</v>
      </c>
      <c r="D534" s="28" t="s">
        <v>520</v>
      </c>
      <c r="E534" s="14">
        <v>12</v>
      </c>
      <c r="F534" s="15">
        <v>0.40757164412708335</v>
      </c>
      <c r="G534" s="16">
        <v>22.004999999999995</v>
      </c>
      <c r="H534" s="29" t="s">
        <v>602</v>
      </c>
      <c r="I534" s="30"/>
      <c r="J534" s="38">
        <f t="shared" si="48"/>
        <v>0</v>
      </c>
      <c r="M534" s="10" t="str">
        <f t="shared" si="49"/>
        <v>-</v>
      </c>
      <c r="N534" s="10" t="str">
        <f t="shared" si="52"/>
        <v>-</v>
      </c>
      <c r="O534" s="11" t="str">
        <f t="shared" si="50"/>
        <v>-</v>
      </c>
      <c r="P534" s="12" t="str">
        <f t="shared" si="53"/>
        <v>-</v>
      </c>
      <c r="R534" s="12" t="str">
        <f t="shared" si="51"/>
        <v>-</v>
      </c>
    </row>
    <row r="535" spans="1:18" ht="14.4">
      <c r="A535" s="26" t="s">
        <v>572</v>
      </c>
      <c r="B535" s="27">
        <v>15791</v>
      </c>
      <c r="C535" s="13">
        <v>33674157916</v>
      </c>
      <c r="D535" s="28" t="s">
        <v>521</v>
      </c>
      <c r="E535" s="14">
        <v>12</v>
      </c>
      <c r="F535" s="15">
        <v>0.19220220691466669</v>
      </c>
      <c r="G535" s="16">
        <v>22.004999999999995</v>
      </c>
      <c r="H535" s="29" t="s">
        <v>602</v>
      </c>
      <c r="I535" s="30"/>
      <c r="J535" s="38">
        <f t="shared" si="48"/>
        <v>0</v>
      </c>
      <c r="M535" s="10" t="str">
        <f t="shared" si="49"/>
        <v>-</v>
      </c>
      <c r="N535" s="10" t="str">
        <f t="shared" si="52"/>
        <v>-</v>
      </c>
      <c r="O535" s="11" t="str">
        <f t="shared" si="50"/>
        <v>-</v>
      </c>
      <c r="P535" s="12" t="str">
        <f t="shared" si="53"/>
        <v>-</v>
      </c>
      <c r="R535" s="12" t="str">
        <f t="shared" si="51"/>
        <v>-</v>
      </c>
    </row>
    <row r="536" spans="1:18" ht="14.4">
      <c r="A536" s="26" t="s">
        <v>572</v>
      </c>
      <c r="B536" s="27">
        <v>15790</v>
      </c>
      <c r="C536" s="13">
        <v>33674157909</v>
      </c>
      <c r="D536" s="28" t="s">
        <v>522</v>
      </c>
      <c r="E536" s="14">
        <v>12</v>
      </c>
      <c r="F536" s="15">
        <v>0.15616429311816668</v>
      </c>
      <c r="G536" s="16">
        <v>22.004999999999995</v>
      </c>
      <c r="H536" s="29" t="s">
        <v>602</v>
      </c>
      <c r="I536" s="30"/>
      <c r="J536" s="38">
        <f t="shared" si="48"/>
        <v>0</v>
      </c>
      <c r="M536" s="10" t="str">
        <f t="shared" si="49"/>
        <v>-</v>
      </c>
      <c r="N536" s="10" t="str">
        <f t="shared" si="52"/>
        <v>-</v>
      </c>
      <c r="O536" s="11" t="str">
        <f t="shared" si="50"/>
        <v>-</v>
      </c>
      <c r="P536" s="12" t="str">
        <f t="shared" si="53"/>
        <v>-</v>
      </c>
      <c r="R536" s="12" t="str">
        <f t="shared" si="51"/>
        <v>-</v>
      </c>
    </row>
    <row r="537" spans="1:18" ht="14.4">
      <c r="A537" s="26" t="s">
        <v>572</v>
      </c>
      <c r="B537" s="27">
        <v>15845</v>
      </c>
      <c r="C537" s="13">
        <v>33674158456</v>
      </c>
      <c r="D537" s="28" t="s">
        <v>523</v>
      </c>
      <c r="E537" s="14">
        <v>12</v>
      </c>
      <c r="F537" s="15">
        <v>0.22497954755815</v>
      </c>
      <c r="G537" s="16">
        <v>14.411249999999999</v>
      </c>
      <c r="H537" s="29" t="s">
        <v>602</v>
      </c>
      <c r="I537" s="30"/>
      <c r="J537" s="38">
        <f t="shared" si="48"/>
        <v>0</v>
      </c>
      <c r="M537" s="10" t="str">
        <f t="shared" si="49"/>
        <v>-</v>
      </c>
      <c r="N537" s="10" t="str">
        <f t="shared" si="52"/>
        <v>-</v>
      </c>
      <c r="O537" s="11" t="str">
        <f t="shared" si="50"/>
        <v>-</v>
      </c>
      <c r="P537" s="12" t="str">
        <f t="shared" si="53"/>
        <v>-</v>
      </c>
      <c r="R537" s="12" t="str">
        <f t="shared" si="51"/>
        <v>-</v>
      </c>
    </row>
    <row r="538" spans="1:18" ht="14.4">
      <c r="A538" s="26" t="s">
        <v>591</v>
      </c>
      <c r="B538" s="27">
        <v>17708</v>
      </c>
      <c r="C538" s="13">
        <v>33674177082</v>
      </c>
      <c r="D538" s="28" t="s">
        <v>529</v>
      </c>
      <c r="E538" s="14">
        <v>12</v>
      </c>
      <c r="F538" s="15">
        <v>0.21365334607925002</v>
      </c>
      <c r="G538" s="16">
        <v>10.6875</v>
      </c>
      <c r="H538" s="29" t="s">
        <v>602</v>
      </c>
      <c r="I538" s="30"/>
      <c r="J538" s="38">
        <f t="shared" si="48"/>
        <v>0</v>
      </c>
      <c r="M538" s="10" t="str">
        <f t="shared" si="49"/>
        <v>-</v>
      </c>
      <c r="N538" s="10" t="str">
        <f t="shared" si="52"/>
        <v>-</v>
      </c>
      <c r="O538" s="11" t="str">
        <f t="shared" si="50"/>
        <v>-</v>
      </c>
      <c r="P538" s="12" t="str">
        <f t="shared" si="53"/>
        <v>-</v>
      </c>
      <c r="R538" s="12" t="str">
        <f t="shared" si="51"/>
        <v>-</v>
      </c>
    </row>
    <row r="539" spans="1:18" ht="14.4">
      <c r="A539" s="26" t="s">
        <v>578</v>
      </c>
      <c r="B539" s="27">
        <v>15465</v>
      </c>
      <c r="C539" s="13">
        <v>33674154656</v>
      </c>
      <c r="D539" s="28" t="s">
        <v>538</v>
      </c>
      <c r="E539" s="14">
        <v>12</v>
      </c>
      <c r="F539" s="15">
        <v>0.44120703033715003</v>
      </c>
      <c r="G539" s="16">
        <v>23.07375</v>
      </c>
      <c r="H539" s="29" t="s">
        <v>602</v>
      </c>
      <c r="I539" s="30"/>
      <c r="J539" s="38">
        <f t="shared" si="48"/>
        <v>0</v>
      </c>
      <c r="M539" s="10" t="str">
        <f t="shared" si="49"/>
        <v>-</v>
      </c>
      <c r="N539" s="10" t="str">
        <f t="shared" si="52"/>
        <v>-</v>
      </c>
      <c r="O539" s="11" t="str">
        <f t="shared" si="50"/>
        <v>-</v>
      </c>
      <c r="P539" s="12" t="str">
        <f t="shared" ref="P539:P551" si="54">IFERROR(IF($M$2&gt;0, $M$2*O539, "-"), "-")</f>
        <v>-</v>
      </c>
      <c r="R539" s="12" t="str">
        <f t="shared" si="51"/>
        <v>-</v>
      </c>
    </row>
    <row r="540" spans="1:18" ht="14.4">
      <c r="A540" s="26" t="s">
        <v>578</v>
      </c>
      <c r="B540" s="27">
        <v>40313</v>
      </c>
      <c r="C540" s="13">
        <v>33674403136</v>
      </c>
      <c r="D540" s="28" t="s">
        <v>542</v>
      </c>
      <c r="E540" s="14">
        <v>12</v>
      </c>
      <c r="F540" s="15">
        <v>0.40928773526025003</v>
      </c>
      <c r="G540" s="16">
        <v>21.69</v>
      </c>
      <c r="H540" s="29" t="s">
        <v>602</v>
      </c>
      <c r="I540" s="30"/>
      <c r="J540" s="38">
        <f t="shared" si="48"/>
        <v>0</v>
      </c>
      <c r="M540" s="10" t="str">
        <f t="shared" si="49"/>
        <v>-</v>
      </c>
      <c r="N540" s="10" t="str">
        <f t="shared" si="52"/>
        <v>-</v>
      </c>
      <c r="O540" s="11" t="str">
        <f t="shared" si="50"/>
        <v>-</v>
      </c>
      <c r="P540" s="12" t="str">
        <f t="shared" si="54"/>
        <v>-</v>
      </c>
      <c r="R540" s="12" t="str">
        <f t="shared" si="51"/>
        <v>-</v>
      </c>
    </row>
    <row r="541" spans="1:18" ht="14.4">
      <c r="A541" s="26" t="s">
        <v>578</v>
      </c>
      <c r="B541" s="27">
        <v>15604</v>
      </c>
      <c r="C541" s="13">
        <v>33674156049</v>
      </c>
      <c r="D541" s="28" t="s">
        <v>544</v>
      </c>
      <c r="E541" s="14">
        <v>12</v>
      </c>
      <c r="F541" s="15">
        <v>0.11017305074930002</v>
      </c>
      <c r="G541" s="16">
        <v>10.26</v>
      </c>
      <c r="H541" s="29" t="s">
        <v>602</v>
      </c>
      <c r="I541" s="30"/>
      <c r="J541" s="38">
        <f t="shared" si="48"/>
        <v>0</v>
      </c>
      <c r="M541" s="10" t="str">
        <f t="shared" si="49"/>
        <v>-</v>
      </c>
      <c r="N541" s="10" t="str">
        <f t="shared" si="52"/>
        <v>-</v>
      </c>
      <c r="O541" s="11" t="str">
        <f t="shared" si="50"/>
        <v>-</v>
      </c>
      <c r="P541" s="12" t="str">
        <f t="shared" si="54"/>
        <v>-</v>
      </c>
      <c r="R541" s="12" t="str">
        <f t="shared" si="51"/>
        <v>-</v>
      </c>
    </row>
    <row r="542" spans="1:18" ht="14.4">
      <c r="A542" s="26" t="s">
        <v>587</v>
      </c>
      <c r="B542" s="27">
        <v>40211</v>
      </c>
      <c r="C542" s="13">
        <v>33674402115</v>
      </c>
      <c r="D542" s="28" t="s">
        <v>547</v>
      </c>
      <c r="E542" s="14">
        <v>12</v>
      </c>
      <c r="F542" s="15">
        <v>0.1194399428684</v>
      </c>
      <c r="G542" s="16">
        <v>17.865000000000002</v>
      </c>
      <c r="H542" s="29" t="s">
        <v>602</v>
      </c>
      <c r="I542" s="30"/>
      <c r="J542" s="38">
        <f t="shared" si="48"/>
        <v>0</v>
      </c>
      <c r="M542" s="10" t="str">
        <f t="shared" si="49"/>
        <v>-</v>
      </c>
      <c r="N542" s="10" t="str">
        <f t="shared" si="52"/>
        <v>-</v>
      </c>
      <c r="O542" s="11" t="str">
        <f t="shared" si="50"/>
        <v>-</v>
      </c>
      <c r="P542" s="12" t="str">
        <f t="shared" si="54"/>
        <v>-</v>
      </c>
      <c r="R542" s="12" t="str">
        <f t="shared" si="51"/>
        <v>-</v>
      </c>
    </row>
    <row r="543" spans="1:18" ht="14.4">
      <c r="A543" s="26" t="s">
        <v>568</v>
      </c>
      <c r="B543" s="27">
        <v>14987</v>
      </c>
      <c r="C543" s="13">
        <v>33674149874</v>
      </c>
      <c r="D543" s="28" t="s">
        <v>550</v>
      </c>
      <c r="E543" s="14">
        <v>12</v>
      </c>
      <c r="F543" s="15">
        <v>8.0827892372150004E-2</v>
      </c>
      <c r="G543" s="16">
        <v>12.127499999999998</v>
      </c>
      <c r="H543" s="29" t="s">
        <v>602</v>
      </c>
      <c r="I543" s="30"/>
      <c r="J543" s="38">
        <f t="shared" si="48"/>
        <v>0</v>
      </c>
      <c r="M543" s="10" t="str">
        <f t="shared" si="49"/>
        <v>-</v>
      </c>
      <c r="N543" s="10" t="str">
        <f t="shared" si="52"/>
        <v>-</v>
      </c>
      <c r="O543" s="11" t="str">
        <f t="shared" si="50"/>
        <v>-</v>
      </c>
      <c r="P543" s="12" t="str">
        <f t="shared" si="54"/>
        <v>-</v>
      </c>
      <c r="R543" s="12" t="str">
        <f t="shared" si="51"/>
        <v>-</v>
      </c>
    </row>
    <row r="544" spans="1:18" ht="14.4">
      <c r="A544" s="26" t="s">
        <v>568</v>
      </c>
      <c r="B544" s="27">
        <v>14988</v>
      </c>
      <c r="C544" s="13">
        <v>33674149881</v>
      </c>
      <c r="D544" s="28" t="s">
        <v>551</v>
      </c>
      <c r="E544" s="14">
        <v>12</v>
      </c>
      <c r="F544" s="15">
        <v>0.30374813057050004</v>
      </c>
      <c r="G544" s="16">
        <v>33.513750000000002</v>
      </c>
      <c r="H544" s="29" t="s">
        <v>602</v>
      </c>
      <c r="I544" s="30"/>
      <c r="J544" s="38">
        <f t="shared" si="48"/>
        <v>0</v>
      </c>
      <c r="M544" s="10" t="str">
        <f t="shared" si="49"/>
        <v>-</v>
      </c>
      <c r="N544" s="10" t="str">
        <f t="shared" si="52"/>
        <v>-</v>
      </c>
      <c r="O544" s="11" t="str">
        <f t="shared" si="50"/>
        <v>-</v>
      </c>
      <c r="P544" s="12" t="str">
        <f t="shared" si="54"/>
        <v>-</v>
      </c>
      <c r="R544" s="12" t="str">
        <f t="shared" si="51"/>
        <v>-</v>
      </c>
    </row>
    <row r="545" spans="1:18" ht="14.4">
      <c r="A545" s="26" t="s">
        <v>568</v>
      </c>
      <c r="B545" s="27">
        <v>14989</v>
      </c>
      <c r="C545" s="13">
        <v>33674149898</v>
      </c>
      <c r="D545" s="28" t="s">
        <v>552</v>
      </c>
      <c r="E545" s="14">
        <v>12</v>
      </c>
      <c r="F545" s="15">
        <v>0.29139227441170001</v>
      </c>
      <c r="G545" s="16">
        <v>26.808749999999996</v>
      </c>
      <c r="H545" s="29" t="s">
        <v>602</v>
      </c>
      <c r="I545" s="30"/>
      <c r="J545" s="38">
        <f t="shared" si="48"/>
        <v>0</v>
      </c>
      <c r="M545" s="10" t="str">
        <f t="shared" si="49"/>
        <v>-</v>
      </c>
      <c r="N545" s="10" t="str">
        <f t="shared" si="52"/>
        <v>-</v>
      </c>
      <c r="O545" s="11" t="str">
        <f t="shared" si="50"/>
        <v>-</v>
      </c>
      <c r="P545" s="12" t="str">
        <f t="shared" si="54"/>
        <v>-</v>
      </c>
      <c r="R545" s="12" t="str">
        <f t="shared" si="51"/>
        <v>-</v>
      </c>
    </row>
    <row r="546" spans="1:18" ht="14.4">
      <c r="A546" s="26" t="s">
        <v>568</v>
      </c>
      <c r="B546" s="27">
        <v>14984</v>
      </c>
      <c r="C546" s="13">
        <v>33674149843</v>
      </c>
      <c r="D546" s="28" t="s">
        <v>553</v>
      </c>
      <c r="E546" s="14">
        <v>12</v>
      </c>
      <c r="F546" s="15">
        <v>7.9798237692250015E-2</v>
      </c>
      <c r="G546" s="16">
        <v>12.127499999999998</v>
      </c>
      <c r="H546" s="29" t="s">
        <v>602</v>
      </c>
      <c r="I546" s="30"/>
      <c r="J546" s="38">
        <f t="shared" si="48"/>
        <v>0</v>
      </c>
      <c r="M546" s="10" t="str">
        <f t="shared" si="49"/>
        <v>-</v>
      </c>
      <c r="N546" s="10" t="str">
        <f t="shared" si="52"/>
        <v>-</v>
      </c>
      <c r="O546" s="11" t="str">
        <f t="shared" si="50"/>
        <v>-</v>
      </c>
      <c r="P546" s="12" t="str">
        <f t="shared" si="54"/>
        <v>-</v>
      </c>
      <c r="R546" s="12" t="str">
        <f t="shared" si="51"/>
        <v>-</v>
      </c>
    </row>
    <row r="547" spans="1:18" ht="14.4">
      <c r="A547" s="26" t="s">
        <v>568</v>
      </c>
      <c r="B547" s="27">
        <v>14985</v>
      </c>
      <c r="C547" s="13">
        <v>33674149850</v>
      </c>
      <c r="D547" s="28" t="s">
        <v>554</v>
      </c>
      <c r="E547" s="14">
        <v>12</v>
      </c>
      <c r="F547" s="15">
        <v>0.29448123845140001</v>
      </c>
      <c r="G547" s="16">
        <v>33.513750000000002</v>
      </c>
      <c r="H547" s="29" t="s">
        <v>602</v>
      </c>
      <c r="I547" s="30"/>
      <c r="J547" s="38">
        <f t="shared" si="48"/>
        <v>0</v>
      </c>
      <c r="M547" s="10" t="str">
        <f t="shared" si="49"/>
        <v>-</v>
      </c>
      <c r="N547" s="10" t="str">
        <f t="shared" si="52"/>
        <v>-</v>
      </c>
      <c r="O547" s="11" t="str">
        <f t="shared" si="50"/>
        <v>-</v>
      </c>
      <c r="P547" s="12" t="str">
        <f t="shared" si="54"/>
        <v>-</v>
      </c>
      <c r="R547" s="12" t="str">
        <f t="shared" si="51"/>
        <v>-</v>
      </c>
    </row>
    <row r="548" spans="1:18" ht="14.4">
      <c r="A548" s="26" t="s">
        <v>568</v>
      </c>
      <c r="B548" s="27">
        <v>15467</v>
      </c>
      <c r="C548" s="13">
        <v>33674154670</v>
      </c>
      <c r="D548" s="28" t="s">
        <v>554</v>
      </c>
      <c r="E548" s="14">
        <v>12</v>
      </c>
      <c r="F548" s="15">
        <v>0.21262369139935003</v>
      </c>
      <c r="G548" s="16">
        <v>33.513750000000002</v>
      </c>
      <c r="H548" s="29" t="s">
        <v>602</v>
      </c>
      <c r="I548" s="30"/>
      <c r="J548" s="38">
        <f t="shared" si="48"/>
        <v>0</v>
      </c>
      <c r="M548" s="10" t="str">
        <f t="shared" si="49"/>
        <v>-</v>
      </c>
      <c r="N548" s="10" t="str">
        <f t="shared" si="52"/>
        <v>-</v>
      </c>
      <c r="O548" s="11" t="str">
        <f t="shared" si="50"/>
        <v>-</v>
      </c>
      <c r="P548" s="12" t="str">
        <f t="shared" si="54"/>
        <v>-</v>
      </c>
      <c r="R548" s="12" t="str">
        <f t="shared" si="51"/>
        <v>-</v>
      </c>
    </row>
    <row r="549" spans="1:18" ht="14.4">
      <c r="A549" s="26" t="s">
        <v>568</v>
      </c>
      <c r="B549" s="27">
        <v>14986</v>
      </c>
      <c r="C549" s="13">
        <v>33674149867</v>
      </c>
      <c r="D549" s="28" t="s">
        <v>555</v>
      </c>
      <c r="E549" s="14">
        <v>12</v>
      </c>
      <c r="F549" s="15">
        <v>0.28469951899235002</v>
      </c>
      <c r="G549" s="16">
        <v>26.808749999999996</v>
      </c>
      <c r="H549" s="29" t="s">
        <v>602</v>
      </c>
      <c r="I549" s="30"/>
      <c r="J549" s="38">
        <f t="shared" si="48"/>
        <v>0</v>
      </c>
      <c r="M549" s="10" t="str">
        <f t="shared" si="49"/>
        <v>-</v>
      </c>
      <c r="N549" s="10" t="str">
        <f t="shared" si="52"/>
        <v>-</v>
      </c>
      <c r="O549" s="11" t="str">
        <f t="shared" si="50"/>
        <v>-</v>
      </c>
      <c r="P549" s="12" t="str">
        <f t="shared" si="54"/>
        <v>-</v>
      </c>
      <c r="R549" s="12" t="str">
        <f t="shared" si="51"/>
        <v>-</v>
      </c>
    </row>
    <row r="550" spans="1:18" ht="14.4">
      <c r="A550" s="26" t="s">
        <v>568</v>
      </c>
      <c r="B550" s="27">
        <v>14719</v>
      </c>
      <c r="C550" s="13">
        <v>33674147191</v>
      </c>
      <c r="D550" s="28" t="s">
        <v>559</v>
      </c>
      <c r="E550" s="14">
        <v>12</v>
      </c>
      <c r="F550" s="15">
        <v>0.21313851873930004</v>
      </c>
      <c r="G550" s="16">
        <v>12.8475</v>
      </c>
      <c r="H550" s="29" t="s">
        <v>602</v>
      </c>
      <c r="I550" s="30"/>
      <c r="J550" s="38">
        <f t="shared" si="48"/>
        <v>0</v>
      </c>
      <c r="M550" s="10" t="str">
        <f t="shared" si="49"/>
        <v>-</v>
      </c>
      <c r="N550" s="10" t="str">
        <f t="shared" si="52"/>
        <v>-</v>
      </c>
      <c r="O550" s="11" t="str">
        <f t="shared" si="50"/>
        <v>-</v>
      </c>
      <c r="P550" s="12" t="str">
        <f t="shared" si="54"/>
        <v>-</v>
      </c>
      <c r="R550" s="12" t="str">
        <f t="shared" si="51"/>
        <v>-</v>
      </c>
    </row>
    <row r="551" spans="1:18" ht="14.4">
      <c r="A551" s="26" t="s">
        <v>568</v>
      </c>
      <c r="B551" s="27">
        <v>14721</v>
      </c>
      <c r="C551" s="13">
        <v>33674147214</v>
      </c>
      <c r="D551" s="28" t="s">
        <v>560</v>
      </c>
      <c r="E551" s="14">
        <v>12</v>
      </c>
      <c r="F551" s="15">
        <v>0.24145402243655001</v>
      </c>
      <c r="G551" s="16">
        <v>15.345000000000001</v>
      </c>
      <c r="H551" s="29" t="s">
        <v>602</v>
      </c>
      <c r="I551" s="30"/>
      <c r="J551" s="38">
        <f t="shared" si="48"/>
        <v>0</v>
      </c>
      <c r="M551" s="10" t="str">
        <f t="shared" si="49"/>
        <v>-</v>
      </c>
      <c r="N551" s="10" t="str">
        <f t="shared" si="52"/>
        <v>-</v>
      </c>
      <c r="O551" s="11" t="str">
        <f t="shared" si="50"/>
        <v>-</v>
      </c>
      <c r="P551" s="12" t="str">
        <f t="shared" si="54"/>
        <v>-</v>
      </c>
      <c r="R551" s="12" t="str">
        <f t="shared" si="51"/>
        <v>-</v>
      </c>
    </row>
    <row r="552" spans="1:18" ht="14.4">
      <c r="A552" s="26" t="s">
        <v>605</v>
      </c>
      <c r="B552" s="27">
        <v>15780</v>
      </c>
      <c r="C552" s="13">
        <v>33674157800</v>
      </c>
      <c r="D552" s="28" t="s">
        <v>606</v>
      </c>
      <c r="E552" s="14">
        <v>12</v>
      </c>
      <c r="F552" s="15">
        <v>7.9798237692250015E-2</v>
      </c>
      <c r="G552" s="16">
        <v>13.1775</v>
      </c>
      <c r="H552" s="29" t="s">
        <v>602</v>
      </c>
      <c r="I552" s="30"/>
      <c r="J552" s="38">
        <f t="shared" si="48"/>
        <v>0</v>
      </c>
      <c r="M552" s="10" t="str">
        <f t="shared" ref="M552:M576" si="55">IFERROR(IF($M$2*F552=0, "-", $M$2*F552), "-")</f>
        <v>-</v>
      </c>
      <c r="N552" s="10" t="str">
        <f t="shared" ref="N552:N576" si="56">IFERROR(IF(M552&gt;0,G552+M552,"-"),"-")</f>
        <v>-</v>
      </c>
      <c r="O552" s="11" t="str">
        <f t="shared" ref="O552:O576" si="57">IF(I552&gt;0,I552*F552, "-")</f>
        <v>-</v>
      </c>
      <c r="P552" s="12" t="str">
        <f t="shared" ref="P552:P576" si="58">IFERROR(IF($M$2&gt;0, $M$2*O552, "-"), "-")</f>
        <v>-</v>
      </c>
      <c r="R552" s="12" t="str">
        <f t="shared" ref="R552:R576" si="59">IFERROR(IF(P552+J552=0, "-", IF(P552&gt;0, P552+J552, "-")), "-")</f>
        <v>-</v>
      </c>
    </row>
    <row r="553" spans="1:18" ht="14.4">
      <c r="A553" s="26" t="s">
        <v>573</v>
      </c>
      <c r="B553" s="27">
        <v>15667</v>
      </c>
      <c r="C553" s="13">
        <v>33674156674</v>
      </c>
      <c r="D553" s="28" t="s">
        <v>607</v>
      </c>
      <c r="E553" s="14">
        <v>4</v>
      </c>
      <c r="F553" s="15">
        <v>1.3220766089916003</v>
      </c>
      <c r="G553" s="16">
        <v>24.15</v>
      </c>
      <c r="H553" s="29" t="s">
        <v>602</v>
      </c>
      <c r="I553" s="30"/>
      <c r="J553" s="38">
        <f t="shared" si="48"/>
        <v>0</v>
      </c>
      <c r="M553" s="10" t="str">
        <f t="shared" si="55"/>
        <v>-</v>
      </c>
      <c r="N553" s="10" t="str">
        <f t="shared" si="56"/>
        <v>-</v>
      </c>
      <c r="O553" s="11" t="str">
        <f t="shared" si="57"/>
        <v>-</v>
      </c>
      <c r="P553" s="12" t="str">
        <f t="shared" si="58"/>
        <v>-</v>
      </c>
      <c r="R553" s="12" t="str">
        <f t="shared" si="59"/>
        <v>-</v>
      </c>
    </row>
    <row r="554" spans="1:18" ht="14.4">
      <c r="A554" s="26" t="s">
        <v>573</v>
      </c>
      <c r="B554" s="27">
        <v>15709</v>
      </c>
      <c r="C554" s="13">
        <v>33674157091</v>
      </c>
      <c r="D554" s="28" t="s">
        <v>608</v>
      </c>
      <c r="E554" s="14">
        <v>12</v>
      </c>
      <c r="F554" s="15">
        <v>0.27543262687324999</v>
      </c>
      <c r="G554" s="16">
        <v>18.154499999999999</v>
      </c>
      <c r="H554" s="29" t="s">
        <v>602</v>
      </c>
      <c r="I554" s="30"/>
      <c r="J554" s="38">
        <f t="shared" si="48"/>
        <v>0</v>
      </c>
      <c r="M554" s="10" t="str">
        <f t="shared" si="55"/>
        <v>-</v>
      </c>
      <c r="N554" s="10" t="str">
        <f t="shared" si="56"/>
        <v>-</v>
      </c>
      <c r="O554" s="11" t="str">
        <f t="shared" si="57"/>
        <v>-</v>
      </c>
      <c r="P554" s="12" t="str">
        <f t="shared" si="58"/>
        <v>-</v>
      </c>
      <c r="R554" s="12" t="str">
        <f t="shared" si="59"/>
        <v>-</v>
      </c>
    </row>
    <row r="555" spans="1:18" ht="14.4">
      <c r="A555" s="26" t="s">
        <v>573</v>
      </c>
      <c r="B555" s="27">
        <v>15708</v>
      </c>
      <c r="C555" s="13">
        <v>33674157084</v>
      </c>
      <c r="D555" s="28" t="s">
        <v>609</v>
      </c>
      <c r="E555" s="14">
        <v>12</v>
      </c>
      <c r="F555" s="15">
        <v>0.27800676357300003</v>
      </c>
      <c r="G555" s="16">
        <v>18.154499999999999</v>
      </c>
      <c r="H555" s="29" t="s">
        <v>602</v>
      </c>
      <c r="I555" s="30"/>
      <c r="J555" s="38">
        <f t="shared" si="48"/>
        <v>0</v>
      </c>
      <c r="M555" s="10" t="str">
        <f t="shared" si="55"/>
        <v>-</v>
      </c>
      <c r="N555" s="10" t="str">
        <f t="shared" si="56"/>
        <v>-</v>
      </c>
      <c r="O555" s="11" t="str">
        <f t="shared" si="57"/>
        <v>-</v>
      </c>
      <c r="P555" s="12" t="str">
        <f t="shared" si="58"/>
        <v>-</v>
      </c>
      <c r="R555" s="12" t="str">
        <f t="shared" si="59"/>
        <v>-</v>
      </c>
    </row>
    <row r="556" spans="1:18" ht="14.4">
      <c r="A556" s="26" t="s">
        <v>573</v>
      </c>
      <c r="B556" s="27">
        <v>15973</v>
      </c>
      <c r="C556" s="13">
        <v>33674159736</v>
      </c>
      <c r="D556" s="28" t="s">
        <v>610</v>
      </c>
      <c r="E556" s="14">
        <v>12</v>
      </c>
      <c r="F556" s="15">
        <v>0.23785023105690004</v>
      </c>
      <c r="G556" s="16">
        <v>19.551000000000002</v>
      </c>
      <c r="H556" s="29" t="s">
        <v>602</v>
      </c>
      <c r="I556" s="30"/>
      <c r="J556" s="38">
        <f t="shared" si="48"/>
        <v>0</v>
      </c>
      <c r="M556" s="10" t="str">
        <f t="shared" si="55"/>
        <v>-</v>
      </c>
      <c r="N556" s="10" t="str">
        <f t="shared" si="56"/>
        <v>-</v>
      </c>
      <c r="O556" s="11" t="str">
        <f t="shared" si="57"/>
        <v>-</v>
      </c>
      <c r="P556" s="12" t="str">
        <f t="shared" si="58"/>
        <v>-</v>
      </c>
      <c r="R556" s="12" t="str">
        <f t="shared" si="59"/>
        <v>-</v>
      </c>
    </row>
    <row r="557" spans="1:18" ht="14.4">
      <c r="A557" s="26" t="s">
        <v>573</v>
      </c>
      <c r="B557" s="27">
        <v>15974</v>
      </c>
      <c r="C557" s="13">
        <v>33674159743</v>
      </c>
      <c r="D557" s="28" t="s">
        <v>611</v>
      </c>
      <c r="E557" s="14">
        <v>12</v>
      </c>
      <c r="F557" s="15">
        <v>0.22961299361770005</v>
      </c>
      <c r="G557" s="16">
        <v>19.551000000000002</v>
      </c>
      <c r="H557" s="29" t="s">
        <v>602</v>
      </c>
      <c r="I557" s="30"/>
      <c r="J557" s="38">
        <f t="shared" si="48"/>
        <v>0</v>
      </c>
      <c r="M557" s="10" t="str">
        <f t="shared" si="55"/>
        <v>-</v>
      </c>
      <c r="N557" s="10" t="str">
        <f t="shared" si="56"/>
        <v>-</v>
      </c>
      <c r="O557" s="11" t="str">
        <f t="shared" si="57"/>
        <v>-</v>
      </c>
      <c r="P557" s="12" t="str">
        <f t="shared" si="58"/>
        <v>-</v>
      </c>
      <c r="R557" s="12" t="str">
        <f t="shared" si="59"/>
        <v>-</v>
      </c>
    </row>
    <row r="558" spans="1:18" ht="14.4">
      <c r="A558" s="26" t="s">
        <v>585</v>
      </c>
      <c r="B558" s="27">
        <v>15751</v>
      </c>
      <c r="C558" s="13">
        <v>33674157510</v>
      </c>
      <c r="D558" s="28" t="s">
        <v>612</v>
      </c>
      <c r="E558" s="14">
        <v>12</v>
      </c>
      <c r="F558" s="15">
        <v>9.5243057890750007E-2</v>
      </c>
      <c r="G558" s="16">
        <v>9.7124999999999986</v>
      </c>
      <c r="H558" s="29" t="s">
        <v>602</v>
      </c>
      <c r="I558" s="30"/>
      <c r="J558" s="38">
        <f t="shared" si="48"/>
        <v>0</v>
      </c>
      <c r="M558" s="10" t="str">
        <f t="shared" si="55"/>
        <v>-</v>
      </c>
      <c r="N558" s="10" t="str">
        <f t="shared" si="56"/>
        <v>-</v>
      </c>
      <c r="O558" s="11" t="str">
        <f t="shared" si="57"/>
        <v>-</v>
      </c>
      <c r="P558" s="12" t="str">
        <f t="shared" si="58"/>
        <v>-</v>
      </c>
      <c r="R558" s="12" t="str">
        <f t="shared" si="59"/>
        <v>-</v>
      </c>
    </row>
    <row r="559" spans="1:18" ht="14.4">
      <c r="A559" s="26" t="s">
        <v>569</v>
      </c>
      <c r="B559" s="27">
        <v>15677</v>
      </c>
      <c r="C559" s="13">
        <v>33674156773</v>
      </c>
      <c r="D559" s="28" t="s">
        <v>613</v>
      </c>
      <c r="E559" s="14">
        <v>4</v>
      </c>
      <c r="F559" s="15">
        <v>0.74598481558755014</v>
      </c>
      <c r="G559" s="16">
        <v>39.322499999999998</v>
      </c>
      <c r="H559" s="29" t="s">
        <v>602</v>
      </c>
      <c r="I559" s="30"/>
      <c r="J559" s="38">
        <f t="shared" si="48"/>
        <v>0</v>
      </c>
      <c r="M559" s="10" t="str">
        <f t="shared" si="55"/>
        <v>-</v>
      </c>
      <c r="N559" s="10" t="str">
        <f t="shared" si="56"/>
        <v>-</v>
      </c>
      <c r="O559" s="11" t="str">
        <f t="shared" si="57"/>
        <v>-</v>
      </c>
      <c r="P559" s="12" t="str">
        <f t="shared" si="58"/>
        <v>-</v>
      </c>
      <c r="R559" s="12" t="str">
        <f t="shared" si="59"/>
        <v>-</v>
      </c>
    </row>
    <row r="560" spans="1:18" ht="14.4">
      <c r="A560" s="26" t="s">
        <v>591</v>
      </c>
      <c r="B560" s="27">
        <v>15668</v>
      </c>
      <c r="C560" s="13">
        <v>33674156681</v>
      </c>
      <c r="D560" s="28" t="s">
        <v>614</v>
      </c>
      <c r="E560" s="14">
        <v>6</v>
      </c>
      <c r="F560" s="15">
        <v>0.87314716855520003</v>
      </c>
      <c r="G560" s="16">
        <v>21.409500000000001</v>
      </c>
      <c r="H560" s="29" t="s">
        <v>602</v>
      </c>
      <c r="I560" s="30"/>
      <c r="J560" s="38">
        <f t="shared" si="48"/>
        <v>0</v>
      </c>
      <c r="M560" s="10" t="str">
        <f t="shared" si="55"/>
        <v>-</v>
      </c>
      <c r="N560" s="10" t="str">
        <f t="shared" si="56"/>
        <v>-</v>
      </c>
      <c r="O560" s="11" t="str">
        <f t="shared" si="57"/>
        <v>-</v>
      </c>
      <c r="P560" s="12" t="str">
        <f t="shared" si="58"/>
        <v>-</v>
      </c>
      <c r="R560" s="12" t="str">
        <f t="shared" si="59"/>
        <v>-</v>
      </c>
    </row>
    <row r="561" spans="1:18" ht="14.4">
      <c r="A561" s="26" t="s">
        <v>605</v>
      </c>
      <c r="B561" s="27">
        <v>15963</v>
      </c>
      <c r="C561" s="13">
        <v>33674159637</v>
      </c>
      <c r="D561" s="28" t="s">
        <v>615</v>
      </c>
      <c r="E561" s="14">
        <v>12</v>
      </c>
      <c r="F561" s="15">
        <v>0.12252890690809999</v>
      </c>
      <c r="G561" s="16">
        <v>11.7075</v>
      </c>
      <c r="H561" s="29" t="s">
        <v>602</v>
      </c>
      <c r="I561" s="30"/>
      <c r="J561" s="38">
        <f t="shared" si="48"/>
        <v>0</v>
      </c>
      <c r="M561" s="10" t="str">
        <f t="shared" si="55"/>
        <v>-</v>
      </c>
      <c r="N561" s="10" t="str">
        <f t="shared" si="56"/>
        <v>-</v>
      </c>
      <c r="O561" s="11" t="str">
        <f t="shared" si="57"/>
        <v>-</v>
      </c>
      <c r="P561" s="12" t="str">
        <f t="shared" si="58"/>
        <v>-</v>
      </c>
      <c r="R561" s="12" t="str">
        <f t="shared" si="59"/>
        <v>-</v>
      </c>
    </row>
    <row r="562" spans="1:18" ht="14.4">
      <c r="A562" s="26" t="s">
        <v>593</v>
      </c>
      <c r="B562" s="27">
        <v>15940</v>
      </c>
      <c r="C562" s="13">
        <v>33674159408</v>
      </c>
      <c r="D562" s="28" t="s">
        <v>616</v>
      </c>
      <c r="E562" s="14">
        <v>12</v>
      </c>
      <c r="F562" s="15">
        <v>6.6927554193500008E-2</v>
      </c>
      <c r="G562" s="16">
        <v>13.271999999999998</v>
      </c>
      <c r="H562" s="29" t="s">
        <v>602</v>
      </c>
      <c r="I562" s="30"/>
      <c r="J562" s="38">
        <f t="shared" si="48"/>
        <v>0</v>
      </c>
      <c r="M562" s="10" t="str">
        <f t="shared" si="55"/>
        <v>-</v>
      </c>
      <c r="N562" s="10" t="str">
        <f t="shared" si="56"/>
        <v>-</v>
      </c>
      <c r="O562" s="11" t="str">
        <f t="shared" si="57"/>
        <v>-</v>
      </c>
      <c r="P562" s="12" t="str">
        <f t="shared" si="58"/>
        <v>-</v>
      </c>
      <c r="R562" s="12" t="str">
        <f t="shared" si="59"/>
        <v>-</v>
      </c>
    </row>
    <row r="563" spans="1:18" ht="14.4">
      <c r="A563" s="26" t="s">
        <v>588</v>
      </c>
      <c r="B563" s="27">
        <v>15970</v>
      </c>
      <c r="C563" s="13">
        <v>33674159705</v>
      </c>
      <c r="D563" s="28" t="s">
        <v>617</v>
      </c>
      <c r="E563" s="14">
        <v>12</v>
      </c>
      <c r="F563" s="15">
        <v>0.36913120274415001</v>
      </c>
      <c r="G563" s="16">
        <v>23.446499999999997</v>
      </c>
      <c r="H563" s="29" t="s">
        <v>602</v>
      </c>
      <c r="I563" s="30"/>
      <c r="J563" s="38">
        <f t="shared" si="48"/>
        <v>0</v>
      </c>
      <c r="M563" s="10" t="str">
        <f t="shared" si="55"/>
        <v>-</v>
      </c>
      <c r="N563" s="10" t="str">
        <f t="shared" si="56"/>
        <v>-</v>
      </c>
      <c r="O563" s="11" t="str">
        <f t="shared" si="57"/>
        <v>-</v>
      </c>
      <c r="P563" s="12" t="str">
        <f t="shared" si="58"/>
        <v>-</v>
      </c>
      <c r="R563" s="12" t="str">
        <f t="shared" si="59"/>
        <v>-</v>
      </c>
    </row>
    <row r="564" spans="1:18" ht="14.4">
      <c r="A564" s="26" t="s">
        <v>578</v>
      </c>
      <c r="B564" s="27">
        <v>15281</v>
      </c>
      <c r="C564" s="13">
        <v>33674152812</v>
      </c>
      <c r="D564" s="28" t="s">
        <v>618</v>
      </c>
      <c r="E564" s="14">
        <v>6</v>
      </c>
      <c r="F564" s="15">
        <v>0.23579092169710003</v>
      </c>
      <c r="G564" s="16">
        <v>21.902999999999999</v>
      </c>
      <c r="H564" s="29" t="s">
        <v>602</v>
      </c>
      <c r="I564" s="30"/>
      <c r="J564" s="38">
        <f t="shared" si="48"/>
        <v>0</v>
      </c>
      <c r="M564" s="10" t="str">
        <f t="shared" si="55"/>
        <v>-</v>
      </c>
      <c r="N564" s="10" t="str">
        <f t="shared" si="56"/>
        <v>-</v>
      </c>
      <c r="O564" s="11" t="str">
        <f t="shared" si="57"/>
        <v>-</v>
      </c>
      <c r="P564" s="12" t="str">
        <f t="shared" si="58"/>
        <v>-</v>
      </c>
      <c r="R564" s="12" t="str">
        <f t="shared" si="59"/>
        <v>-</v>
      </c>
    </row>
    <row r="565" spans="1:18" ht="14.4">
      <c r="A565" s="26" t="s">
        <v>578</v>
      </c>
      <c r="B565" s="27">
        <v>15283</v>
      </c>
      <c r="C565" s="13">
        <v>33674152836</v>
      </c>
      <c r="D565" s="28" t="s">
        <v>619</v>
      </c>
      <c r="E565" s="14">
        <v>6</v>
      </c>
      <c r="F565" s="15">
        <v>0.23785023105690004</v>
      </c>
      <c r="G565" s="16">
        <v>21.902999999999999</v>
      </c>
      <c r="H565" s="29" t="s">
        <v>602</v>
      </c>
      <c r="I565" s="30"/>
      <c r="J565" s="38">
        <f t="shared" si="48"/>
        <v>0</v>
      </c>
      <c r="M565" s="10" t="str">
        <f t="shared" si="55"/>
        <v>-</v>
      </c>
      <c r="N565" s="10" t="str">
        <f t="shared" si="56"/>
        <v>-</v>
      </c>
      <c r="O565" s="11" t="str">
        <f t="shared" si="57"/>
        <v>-</v>
      </c>
      <c r="P565" s="12" t="str">
        <f t="shared" si="58"/>
        <v>-</v>
      </c>
      <c r="R565" s="12" t="str">
        <f t="shared" si="59"/>
        <v>-</v>
      </c>
    </row>
    <row r="566" spans="1:18" ht="14.4">
      <c r="A566" s="26" t="s">
        <v>591</v>
      </c>
      <c r="B566" s="27">
        <v>15763</v>
      </c>
      <c r="C566" s="13">
        <v>33674157633</v>
      </c>
      <c r="D566" s="28" t="s">
        <v>620</v>
      </c>
      <c r="E566" s="14">
        <v>12</v>
      </c>
      <c r="F566" s="15">
        <v>7.4649964292750004E-2</v>
      </c>
      <c r="G566" s="16">
        <v>14.0595</v>
      </c>
      <c r="H566" s="29" t="s">
        <v>602</v>
      </c>
      <c r="I566" s="30"/>
      <c r="J566" s="38">
        <f t="shared" si="48"/>
        <v>0</v>
      </c>
      <c r="M566" s="10" t="str">
        <f t="shared" si="55"/>
        <v>-</v>
      </c>
      <c r="N566" s="10" t="str">
        <f t="shared" si="56"/>
        <v>-</v>
      </c>
      <c r="O566" s="11" t="str">
        <f t="shared" si="57"/>
        <v>-</v>
      </c>
      <c r="P566" s="12" t="str">
        <f t="shared" si="58"/>
        <v>-</v>
      </c>
      <c r="R566" s="12" t="str">
        <f t="shared" si="59"/>
        <v>-</v>
      </c>
    </row>
    <row r="567" spans="1:18" ht="14.4">
      <c r="A567" s="26" t="s">
        <v>565</v>
      </c>
      <c r="B567" s="27">
        <v>16081</v>
      </c>
      <c r="C567" s="13">
        <v>33674160817</v>
      </c>
      <c r="D567" s="28" t="s">
        <v>621</v>
      </c>
      <c r="E567" s="14">
        <v>12</v>
      </c>
      <c r="F567" s="15">
        <v>5.1997561334950003E-2</v>
      </c>
      <c r="G567" s="16">
        <v>18.753</v>
      </c>
      <c r="H567" s="29" t="s">
        <v>602</v>
      </c>
      <c r="I567" s="30"/>
      <c r="J567" s="38">
        <f t="shared" si="48"/>
        <v>0</v>
      </c>
      <c r="M567" s="10" t="str">
        <f t="shared" si="55"/>
        <v>-</v>
      </c>
      <c r="N567" s="10" t="str">
        <f t="shared" si="56"/>
        <v>-</v>
      </c>
      <c r="O567" s="11" t="str">
        <f t="shared" si="57"/>
        <v>-</v>
      </c>
      <c r="P567" s="12" t="str">
        <f t="shared" si="58"/>
        <v>-</v>
      </c>
      <c r="R567" s="12" t="str">
        <f t="shared" si="59"/>
        <v>-</v>
      </c>
    </row>
    <row r="568" spans="1:18" ht="14.4">
      <c r="A568" s="26" t="s">
        <v>578</v>
      </c>
      <c r="B568" s="27">
        <v>15660</v>
      </c>
      <c r="C568" s="13">
        <v>33674156605</v>
      </c>
      <c r="D568" s="28" t="s">
        <v>622</v>
      </c>
      <c r="E568" s="14">
        <v>4</v>
      </c>
      <c r="F568" s="15">
        <v>0.76915204588529995</v>
      </c>
      <c r="G568" s="16">
        <v>35.164500000000004</v>
      </c>
      <c r="H568" s="29" t="s">
        <v>602</v>
      </c>
      <c r="I568" s="30"/>
      <c r="J568" s="38">
        <f t="shared" si="48"/>
        <v>0</v>
      </c>
      <c r="M568" s="10" t="str">
        <f t="shared" si="55"/>
        <v>-</v>
      </c>
      <c r="N568" s="10" t="str">
        <f t="shared" si="56"/>
        <v>-</v>
      </c>
      <c r="O568" s="11" t="str">
        <f t="shared" si="57"/>
        <v>-</v>
      </c>
      <c r="P568" s="12" t="str">
        <f t="shared" si="58"/>
        <v>-</v>
      </c>
      <c r="R568" s="12" t="str">
        <f t="shared" si="59"/>
        <v>-</v>
      </c>
    </row>
    <row r="569" spans="1:18" ht="14.4">
      <c r="A569" s="26" t="s">
        <v>578</v>
      </c>
      <c r="B569" s="27">
        <v>15761</v>
      </c>
      <c r="C569" s="13">
        <v>33674157619</v>
      </c>
      <c r="D569" s="28" t="s">
        <v>623</v>
      </c>
      <c r="E569" s="14">
        <v>12</v>
      </c>
      <c r="F569" s="15">
        <v>0.24969125987575003</v>
      </c>
      <c r="G569" s="16">
        <v>13.219499999999998</v>
      </c>
      <c r="H569" s="29" t="s">
        <v>602</v>
      </c>
      <c r="I569" s="30"/>
      <c r="J569" s="38">
        <f t="shared" si="48"/>
        <v>0</v>
      </c>
      <c r="M569" s="10" t="str">
        <f t="shared" si="55"/>
        <v>-</v>
      </c>
      <c r="N569" s="10" t="str">
        <f t="shared" si="56"/>
        <v>-</v>
      </c>
      <c r="O569" s="11" t="str">
        <f t="shared" si="57"/>
        <v>-</v>
      </c>
      <c r="P569" s="12" t="str">
        <f t="shared" si="58"/>
        <v>-</v>
      </c>
      <c r="R569" s="12" t="str">
        <f t="shared" si="59"/>
        <v>-</v>
      </c>
    </row>
    <row r="570" spans="1:18" ht="14.4">
      <c r="A570" s="26" t="s">
        <v>578</v>
      </c>
      <c r="B570" s="27">
        <v>15666</v>
      </c>
      <c r="C570" s="13">
        <v>33674156667</v>
      </c>
      <c r="D570" s="28" t="s">
        <v>624</v>
      </c>
      <c r="E570" s="14">
        <v>4</v>
      </c>
      <c r="F570" s="15">
        <v>0.8000416862823001</v>
      </c>
      <c r="G570" s="16">
        <v>35.164500000000004</v>
      </c>
      <c r="H570" s="29" t="s">
        <v>602</v>
      </c>
      <c r="I570" s="30"/>
      <c r="J570" s="38">
        <f t="shared" si="48"/>
        <v>0</v>
      </c>
      <c r="M570" s="10" t="str">
        <f t="shared" si="55"/>
        <v>-</v>
      </c>
      <c r="N570" s="10" t="str">
        <f t="shared" si="56"/>
        <v>-</v>
      </c>
      <c r="O570" s="11" t="str">
        <f t="shared" si="57"/>
        <v>-</v>
      </c>
      <c r="P570" s="12" t="str">
        <f t="shared" si="58"/>
        <v>-</v>
      </c>
      <c r="R570" s="12" t="str">
        <f t="shared" si="59"/>
        <v>-</v>
      </c>
    </row>
    <row r="571" spans="1:18" ht="14.4">
      <c r="A571" s="26" t="s">
        <v>578</v>
      </c>
      <c r="B571" s="27">
        <v>15481</v>
      </c>
      <c r="C571" s="13">
        <v>33674154816</v>
      </c>
      <c r="D571" s="28" t="s">
        <v>625</v>
      </c>
      <c r="E571" s="14">
        <v>12</v>
      </c>
      <c r="F571" s="15">
        <v>0.16371509410410001</v>
      </c>
      <c r="G571" s="16">
        <v>11.969999999999999</v>
      </c>
      <c r="H571" s="29" t="s">
        <v>602</v>
      </c>
      <c r="I571" s="30"/>
      <c r="J571" s="38">
        <f t="shared" si="48"/>
        <v>0</v>
      </c>
      <c r="M571" s="10" t="str">
        <f t="shared" si="55"/>
        <v>-</v>
      </c>
      <c r="N571" s="10" t="str">
        <f t="shared" si="56"/>
        <v>-</v>
      </c>
      <c r="O571" s="11" t="str">
        <f t="shared" si="57"/>
        <v>-</v>
      </c>
      <c r="P571" s="12" t="str">
        <f t="shared" si="58"/>
        <v>-</v>
      </c>
      <c r="R571" s="12" t="str">
        <f t="shared" si="59"/>
        <v>-</v>
      </c>
    </row>
    <row r="572" spans="1:18" ht="14.4">
      <c r="A572" s="26" t="s">
        <v>578</v>
      </c>
      <c r="B572" s="27">
        <v>15523</v>
      </c>
      <c r="C572" s="13">
        <v>33674155233</v>
      </c>
      <c r="D572" s="28" t="s">
        <v>626</v>
      </c>
      <c r="E572" s="14">
        <v>8</v>
      </c>
      <c r="F572" s="15">
        <v>0.210821795709525</v>
      </c>
      <c r="G572" s="16">
        <v>13.6395</v>
      </c>
      <c r="H572" s="29" t="s">
        <v>602</v>
      </c>
      <c r="I572" s="30"/>
      <c r="J572" s="38">
        <f t="shared" si="48"/>
        <v>0</v>
      </c>
      <c r="M572" s="10" t="str">
        <f t="shared" si="55"/>
        <v>-</v>
      </c>
      <c r="N572" s="10" t="str">
        <f t="shared" si="56"/>
        <v>-</v>
      </c>
      <c r="O572" s="11" t="str">
        <f t="shared" si="57"/>
        <v>-</v>
      </c>
      <c r="P572" s="12" t="str">
        <f t="shared" si="58"/>
        <v>-</v>
      </c>
      <c r="R572" s="12" t="str">
        <f t="shared" si="59"/>
        <v>-</v>
      </c>
    </row>
    <row r="573" spans="1:18" ht="14.4">
      <c r="A573" s="26" t="s">
        <v>578</v>
      </c>
      <c r="B573" s="27">
        <v>15669</v>
      </c>
      <c r="C573" s="13">
        <v>33674156698</v>
      </c>
      <c r="D573" s="28" t="s">
        <v>627</v>
      </c>
      <c r="E573" s="14">
        <v>6</v>
      </c>
      <c r="F573" s="15">
        <v>1.0348029532995002</v>
      </c>
      <c r="G573" s="16">
        <v>29.116499999999995</v>
      </c>
      <c r="H573" s="29" t="s">
        <v>602</v>
      </c>
      <c r="I573" s="30"/>
      <c r="J573" s="38">
        <f t="shared" si="48"/>
        <v>0</v>
      </c>
      <c r="M573" s="10" t="str">
        <f t="shared" si="55"/>
        <v>-</v>
      </c>
      <c r="N573" s="10" t="str">
        <f t="shared" si="56"/>
        <v>-</v>
      </c>
      <c r="O573" s="11" t="str">
        <f t="shared" si="57"/>
        <v>-</v>
      </c>
      <c r="P573" s="12" t="str">
        <f t="shared" si="58"/>
        <v>-</v>
      </c>
      <c r="R573" s="12" t="str">
        <f t="shared" si="59"/>
        <v>-</v>
      </c>
    </row>
    <row r="574" spans="1:18" ht="14.4">
      <c r="A574" s="26" t="s">
        <v>578</v>
      </c>
      <c r="B574" s="27">
        <v>15671</v>
      </c>
      <c r="C574" s="13">
        <v>33674156711</v>
      </c>
      <c r="D574" s="28" t="s">
        <v>628</v>
      </c>
      <c r="E574" s="14">
        <v>6</v>
      </c>
      <c r="F574" s="15">
        <v>0.9060961183120001</v>
      </c>
      <c r="G574" s="16">
        <v>22.385999999999999</v>
      </c>
      <c r="H574" s="29" t="s">
        <v>602</v>
      </c>
      <c r="I574" s="30"/>
      <c r="J574" s="38">
        <f t="shared" si="48"/>
        <v>0</v>
      </c>
      <c r="M574" s="10" t="str">
        <f t="shared" si="55"/>
        <v>-</v>
      </c>
      <c r="N574" s="10" t="str">
        <f t="shared" si="56"/>
        <v>-</v>
      </c>
      <c r="O574" s="11" t="str">
        <f t="shared" si="57"/>
        <v>-</v>
      </c>
      <c r="P574" s="12" t="str">
        <f t="shared" si="58"/>
        <v>-</v>
      </c>
      <c r="R574" s="12" t="str">
        <f t="shared" si="59"/>
        <v>-</v>
      </c>
    </row>
    <row r="575" spans="1:18" ht="14.4">
      <c r="A575" s="26" t="s">
        <v>568</v>
      </c>
      <c r="B575" s="27">
        <v>15930</v>
      </c>
      <c r="C575" s="13">
        <v>345</v>
      </c>
      <c r="D575" s="28" t="s">
        <v>629</v>
      </c>
      <c r="E575" s="14">
        <v>12</v>
      </c>
      <c r="F575" s="15">
        <v>0.28778848303205001</v>
      </c>
      <c r="G575" s="16">
        <v>18.889499999999998</v>
      </c>
      <c r="H575" s="29" t="s">
        <v>602</v>
      </c>
      <c r="I575" s="30"/>
      <c r="J575" s="38">
        <f t="shared" ref="J575:J576" si="60">I575*G575</f>
        <v>0</v>
      </c>
      <c r="M575" s="10" t="str">
        <f t="shared" si="55"/>
        <v>-</v>
      </c>
      <c r="N575" s="10" t="str">
        <f t="shared" si="56"/>
        <v>-</v>
      </c>
      <c r="O575" s="11" t="str">
        <f t="shared" si="57"/>
        <v>-</v>
      </c>
      <c r="P575" s="12" t="str">
        <f t="shared" si="58"/>
        <v>-</v>
      </c>
      <c r="R575" s="12" t="str">
        <f t="shared" si="59"/>
        <v>-</v>
      </c>
    </row>
    <row r="576" spans="1:18" ht="15" thickBot="1">
      <c r="A576" s="31" t="s">
        <v>578</v>
      </c>
      <c r="B576" s="32">
        <v>15672</v>
      </c>
      <c r="C576" s="18">
        <v>33674156728</v>
      </c>
      <c r="D576" s="33" t="s">
        <v>630</v>
      </c>
      <c r="E576" s="19">
        <v>6</v>
      </c>
      <c r="F576" s="20">
        <v>0.92360024787029993</v>
      </c>
      <c r="G576" s="21">
        <v>22.826999999999998</v>
      </c>
      <c r="H576" s="34" t="s">
        <v>602</v>
      </c>
      <c r="I576" s="35"/>
      <c r="J576" s="39">
        <f t="shared" si="60"/>
        <v>0</v>
      </c>
      <c r="M576" s="10" t="str">
        <f t="shared" si="55"/>
        <v>-</v>
      </c>
      <c r="N576" s="10" t="str">
        <f t="shared" si="56"/>
        <v>-</v>
      </c>
      <c r="O576" s="11" t="str">
        <f t="shared" si="57"/>
        <v>-</v>
      </c>
      <c r="P576" s="12" t="str">
        <f t="shared" si="58"/>
        <v>-</v>
      </c>
      <c r="R576" s="12" t="str">
        <f t="shared" si="59"/>
        <v>-</v>
      </c>
    </row>
    <row r="577" spans="2:18" ht="14.4">
      <c r="M577" s="10"/>
      <c r="N577" s="10"/>
      <c r="O577" s="11"/>
      <c r="P577" s="12"/>
      <c r="R577" s="12"/>
    </row>
    <row r="578" spans="2:18" ht="14.4">
      <c r="B578" s="24"/>
      <c r="C578" s="24"/>
      <c r="M578" s="10"/>
      <c r="N578" s="10"/>
      <c r="O578" s="11"/>
      <c r="P578" s="12"/>
      <c r="R578" s="12"/>
    </row>
    <row r="579" spans="2:18" ht="15" thickBot="1">
      <c r="B579" s="24"/>
      <c r="C579" s="24"/>
      <c r="M579" s="10"/>
      <c r="N579" s="10"/>
      <c r="O579" s="11"/>
      <c r="P579" s="12"/>
      <c r="R579" s="12"/>
    </row>
    <row r="580" spans="2:18" ht="20.399999999999999" customHeight="1" thickBot="1">
      <c r="B580" s="65" t="e" vm="1">
        <v>#VALUE!</v>
      </c>
      <c r="C580" s="66"/>
      <c r="D580" s="67"/>
      <c r="M580" s="10"/>
      <c r="N580" s="10"/>
      <c r="O580" s="11"/>
      <c r="P580" s="12"/>
      <c r="R580" s="12"/>
    </row>
    <row r="581" spans="2:18" ht="14.4">
      <c r="B581" s="68" t="s">
        <v>3</v>
      </c>
      <c r="C581" s="69"/>
      <c r="D581" s="70"/>
      <c r="M581" s="10"/>
      <c r="N581" s="10"/>
      <c r="O581" s="11"/>
      <c r="P581" s="12"/>
      <c r="R581" s="12"/>
    </row>
    <row r="582" spans="2:18" ht="14.4">
      <c r="B582" s="68" t="s">
        <v>4</v>
      </c>
      <c r="C582" s="69"/>
      <c r="D582" s="70"/>
      <c r="M582" s="10"/>
      <c r="N582" s="10"/>
      <c r="O582" s="11"/>
      <c r="P582" s="12"/>
      <c r="R582" s="12"/>
    </row>
    <row r="583" spans="2:18" ht="15" thickBot="1">
      <c r="B583" s="71" t="s">
        <v>5</v>
      </c>
      <c r="C583" s="60"/>
      <c r="D583" s="72"/>
      <c r="M583" s="10"/>
      <c r="N583" s="10"/>
      <c r="O583" s="11"/>
      <c r="P583" s="12"/>
      <c r="R583" s="12"/>
    </row>
    <row r="584" spans="2:18" ht="14.4">
      <c r="B584" s="56" t="s">
        <v>6</v>
      </c>
      <c r="C584" s="57"/>
      <c r="D584" s="58"/>
      <c r="M584" s="10"/>
      <c r="N584" s="10"/>
      <c r="O584" s="11"/>
      <c r="P584" s="12"/>
      <c r="R584" s="12"/>
    </row>
    <row r="585" spans="2:18" ht="15" thickBot="1">
      <c r="B585" s="59" t="s">
        <v>7</v>
      </c>
      <c r="C585" s="60"/>
      <c r="D585" s="61"/>
      <c r="M585" s="10"/>
      <c r="N585" s="10"/>
      <c r="O585" s="11"/>
      <c r="P585" s="12"/>
      <c r="R585" s="12"/>
    </row>
    <row r="586" spans="2:18" ht="14.4">
      <c r="M586" s="10"/>
      <c r="N586" s="10"/>
      <c r="O586" s="11"/>
      <c r="P586" s="12"/>
      <c r="R586" s="12"/>
    </row>
    <row r="587" spans="2:18" ht="14.4">
      <c r="M587" s="10"/>
      <c r="N587" s="10"/>
      <c r="O587" s="11"/>
      <c r="P587" s="12"/>
      <c r="R587" s="12"/>
    </row>
    <row r="588" spans="2:18" ht="14.4">
      <c r="M588" s="10"/>
      <c r="N588" s="10"/>
      <c r="O588" s="11"/>
      <c r="P588" s="12"/>
      <c r="R588" s="12"/>
    </row>
    <row r="589" spans="2:18" ht="14.4">
      <c r="M589" s="10"/>
      <c r="N589" s="10"/>
      <c r="O589" s="11"/>
      <c r="P589" s="12"/>
      <c r="R589" s="12"/>
    </row>
    <row r="590" spans="2:18" ht="14.4">
      <c r="B590" s="24"/>
      <c r="C590" s="24"/>
      <c r="M590" s="10"/>
      <c r="N590" s="10"/>
      <c r="O590" s="11"/>
      <c r="P590" s="12"/>
      <c r="R590" s="12"/>
    </row>
    <row r="591" spans="2:18" ht="14.4">
      <c r="B591" s="24"/>
      <c r="C591" s="24"/>
      <c r="M591" s="10"/>
      <c r="N591" s="10"/>
      <c r="O591" s="11"/>
      <c r="P591" s="12"/>
      <c r="R591" s="12"/>
    </row>
    <row r="592" spans="2:18" ht="14.4">
      <c r="B592" s="24"/>
      <c r="C592" s="24"/>
      <c r="M592" s="10"/>
      <c r="N592" s="10"/>
      <c r="O592" s="11"/>
      <c r="P592" s="12"/>
      <c r="R592" s="12"/>
    </row>
    <row r="593" spans="2:18" ht="14.4">
      <c r="B593" s="24"/>
      <c r="C593" s="24"/>
      <c r="M593" s="10"/>
      <c r="N593" s="10"/>
      <c r="O593" s="11"/>
      <c r="P593" s="12"/>
      <c r="R593" s="12"/>
    </row>
    <row r="594" spans="2:18" ht="14.4">
      <c r="B594" s="24"/>
      <c r="C594" s="24"/>
      <c r="M594" s="10"/>
      <c r="N594" s="10"/>
      <c r="O594" s="11"/>
      <c r="P594" s="12"/>
      <c r="R594" s="12"/>
    </row>
    <row r="595" spans="2:18" ht="14.4">
      <c r="B595" s="24"/>
      <c r="C595" s="24"/>
      <c r="M595" s="10"/>
      <c r="N595" s="10"/>
      <c r="O595" s="11"/>
      <c r="P595" s="12"/>
      <c r="R595" s="12"/>
    </row>
    <row r="596" spans="2:18" ht="14.4">
      <c r="M596" s="10"/>
      <c r="N596" s="10"/>
      <c r="O596" s="11"/>
      <c r="P596" s="12"/>
      <c r="R596" s="12"/>
    </row>
    <row r="597" spans="2:18" ht="14.4">
      <c r="M597" s="10"/>
      <c r="N597" s="10"/>
      <c r="O597" s="11"/>
      <c r="P597" s="12"/>
      <c r="R597" s="12"/>
    </row>
    <row r="598" spans="2:18" ht="14.4">
      <c r="M598" s="10"/>
      <c r="N598" s="10"/>
      <c r="O598" s="11"/>
      <c r="P598" s="12"/>
      <c r="R598" s="12"/>
    </row>
    <row r="599" spans="2:18" ht="14.4">
      <c r="M599" s="10"/>
      <c r="N599" s="10"/>
      <c r="O599" s="11"/>
      <c r="P599" s="12"/>
      <c r="R599" s="12"/>
    </row>
    <row r="600" spans="2:18" ht="14.4">
      <c r="M600" s="10"/>
      <c r="N600" s="10"/>
      <c r="O600" s="11"/>
      <c r="P600" s="12"/>
      <c r="R600" s="12"/>
    </row>
    <row r="601" spans="2:18" ht="14.4">
      <c r="M601" s="10"/>
      <c r="N601" s="10"/>
      <c r="O601" s="11"/>
      <c r="P601" s="12"/>
      <c r="R601" s="12"/>
    </row>
    <row r="602" spans="2:18" ht="14.4">
      <c r="M602" s="10"/>
      <c r="N602" s="10"/>
      <c r="O602" s="11"/>
      <c r="P602" s="12"/>
      <c r="R602" s="12"/>
    </row>
    <row r="603" spans="2:18" ht="14.4">
      <c r="M603" s="10"/>
      <c r="N603" s="10"/>
      <c r="O603" s="11"/>
      <c r="P603" s="12"/>
      <c r="R603" s="12"/>
    </row>
    <row r="604" spans="2:18" ht="14.4">
      <c r="M604" s="10"/>
      <c r="N604" s="10"/>
      <c r="O604" s="11"/>
      <c r="P604" s="12"/>
      <c r="R604" s="12"/>
    </row>
    <row r="605" spans="2:18" ht="14.4">
      <c r="M605" s="10"/>
      <c r="N605" s="10"/>
      <c r="O605" s="11"/>
      <c r="P605" s="12"/>
      <c r="R605" s="12"/>
    </row>
    <row r="606" spans="2:18" ht="14.4">
      <c r="M606" s="10"/>
      <c r="N606" s="10"/>
      <c r="O606" s="11"/>
      <c r="P606" s="12"/>
      <c r="R606" s="12"/>
    </row>
    <row r="607" spans="2:18" ht="14.4">
      <c r="M607" s="10"/>
      <c r="N607" s="10"/>
      <c r="O607" s="11"/>
      <c r="P607" s="12"/>
      <c r="R607" s="12"/>
    </row>
    <row r="608" spans="2:18" ht="14.4">
      <c r="M608" s="10"/>
      <c r="N608" s="10"/>
      <c r="O608" s="11"/>
      <c r="P608" s="12"/>
      <c r="R608" s="12"/>
    </row>
    <row r="609" spans="13:18" ht="14.4">
      <c r="M609" s="10"/>
      <c r="N609" s="10"/>
      <c r="O609" s="11"/>
      <c r="P609" s="12"/>
      <c r="R609" s="12"/>
    </row>
    <row r="610" spans="13:18" ht="14.4">
      <c r="M610" s="10"/>
      <c r="N610" s="10"/>
      <c r="O610" s="11"/>
      <c r="P610" s="12"/>
      <c r="R610" s="12"/>
    </row>
    <row r="611" spans="13:18" ht="14.4">
      <c r="M611" s="10"/>
      <c r="N611" s="10"/>
      <c r="O611" s="11"/>
      <c r="P611" s="12"/>
      <c r="R611" s="12"/>
    </row>
    <row r="612" spans="13:18" ht="14.4">
      <c r="M612" s="10"/>
      <c r="N612" s="10"/>
      <c r="O612" s="11"/>
      <c r="P612" s="12"/>
      <c r="R612" s="12"/>
    </row>
    <row r="613" spans="13:18" ht="14.4">
      <c r="M613" s="10"/>
      <c r="N613" s="10"/>
      <c r="O613" s="11"/>
      <c r="P613" s="12"/>
      <c r="R613" s="12"/>
    </row>
    <row r="614" spans="13:18" ht="14.4">
      <c r="M614" s="10"/>
      <c r="N614" s="10"/>
      <c r="O614" s="11"/>
      <c r="P614" s="12"/>
      <c r="R614" s="12"/>
    </row>
    <row r="615" spans="13:18" ht="14.4">
      <c r="M615" s="10"/>
      <c r="N615" s="10"/>
      <c r="O615" s="11"/>
      <c r="P615" s="12"/>
      <c r="R615" s="12"/>
    </row>
    <row r="616" spans="13:18" ht="14.4">
      <c r="M616" s="10"/>
      <c r="N616" s="10"/>
      <c r="O616" s="11"/>
      <c r="P616" s="12"/>
      <c r="R616" s="12"/>
    </row>
    <row r="617" spans="13:18" ht="14.4">
      <c r="M617" s="10"/>
      <c r="N617" s="10"/>
      <c r="O617" s="11"/>
      <c r="P617" s="12"/>
      <c r="R617" s="12"/>
    </row>
    <row r="618" spans="13:18" ht="14.4">
      <c r="M618" s="10"/>
      <c r="N618" s="10"/>
      <c r="O618" s="11"/>
      <c r="P618" s="12"/>
      <c r="R618" s="12"/>
    </row>
    <row r="619" spans="13:18" ht="14.4">
      <c r="M619" s="10"/>
      <c r="N619" s="10"/>
      <c r="O619" s="11"/>
      <c r="P619" s="12"/>
      <c r="R619" s="12"/>
    </row>
    <row r="620" spans="13:18" ht="14.4">
      <c r="M620" s="10"/>
      <c r="N620" s="10"/>
      <c r="O620" s="11"/>
      <c r="P620" s="12"/>
      <c r="R620" s="12"/>
    </row>
    <row r="621" spans="13:18" ht="14.4">
      <c r="M621" s="10"/>
      <c r="N621" s="10"/>
      <c r="O621" s="11"/>
      <c r="P621" s="12"/>
      <c r="R621" s="12"/>
    </row>
    <row r="622" spans="13:18" ht="14.4">
      <c r="M622" s="10"/>
      <c r="N622" s="10"/>
      <c r="O622" s="11"/>
      <c r="P622" s="12"/>
      <c r="R622" s="12"/>
    </row>
    <row r="623" spans="13:18" ht="14.4">
      <c r="M623" s="10"/>
      <c r="N623" s="10"/>
      <c r="O623" s="11"/>
      <c r="P623" s="12"/>
      <c r="R623" s="12"/>
    </row>
    <row r="624" spans="13:18" ht="14.4">
      <c r="M624" s="10"/>
      <c r="N624" s="10"/>
      <c r="O624" s="11"/>
      <c r="P624" s="12"/>
      <c r="R624" s="12"/>
    </row>
    <row r="625" spans="13:18" ht="14.4">
      <c r="M625" s="10"/>
      <c r="N625" s="10"/>
      <c r="O625" s="11"/>
      <c r="P625" s="12"/>
      <c r="R625" s="12"/>
    </row>
    <row r="626" spans="13:18" ht="14.4">
      <c r="M626" s="10"/>
      <c r="N626" s="10"/>
      <c r="O626" s="11"/>
      <c r="P626" s="12"/>
      <c r="R626" s="12"/>
    </row>
    <row r="627" spans="13:18" ht="14.4">
      <c r="M627" s="10"/>
      <c r="N627" s="10"/>
      <c r="O627" s="11"/>
      <c r="P627" s="12"/>
      <c r="R627" s="12"/>
    </row>
    <row r="628" spans="13:18" ht="14.4">
      <c r="M628" s="10"/>
      <c r="N628" s="10"/>
      <c r="O628" s="11"/>
      <c r="P628" s="12"/>
      <c r="R628" s="12"/>
    </row>
    <row r="629" spans="13:18" ht="14.4">
      <c r="M629" s="10"/>
      <c r="N629" s="10"/>
      <c r="O629" s="11"/>
      <c r="P629" s="12"/>
      <c r="R629" s="12"/>
    </row>
    <row r="630" spans="13:18" ht="14.4">
      <c r="M630" s="10"/>
      <c r="N630" s="10"/>
      <c r="O630" s="11"/>
      <c r="P630" s="12"/>
      <c r="R630" s="12"/>
    </row>
    <row r="631" spans="13:18" ht="14.4">
      <c r="M631" s="10"/>
      <c r="N631" s="10"/>
      <c r="O631" s="11"/>
      <c r="P631" s="12"/>
      <c r="R631" s="12"/>
    </row>
    <row r="632" spans="13:18" ht="14.4">
      <c r="M632" s="10"/>
      <c r="N632" s="10"/>
      <c r="O632" s="11"/>
      <c r="P632" s="12"/>
      <c r="R632" s="12"/>
    </row>
    <row r="633" spans="13:18" ht="14.4">
      <c r="M633" s="10"/>
      <c r="N633" s="10"/>
      <c r="O633" s="11"/>
      <c r="P633" s="12"/>
      <c r="R633" s="12"/>
    </row>
    <row r="634" spans="13:18" ht="14.4">
      <c r="M634" s="10"/>
      <c r="N634" s="10"/>
      <c r="O634" s="11"/>
      <c r="P634" s="12"/>
      <c r="R634" s="12"/>
    </row>
    <row r="635" spans="13:18" ht="14.4">
      <c r="M635" s="10"/>
      <c r="N635" s="10"/>
      <c r="O635" s="11"/>
      <c r="P635" s="12"/>
      <c r="R635" s="12"/>
    </row>
    <row r="636" spans="13:18" ht="14.4">
      <c r="M636" s="10"/>
      <c r="N636" s="10"/>
      <c r="O636" s="11"/>
      <c r="P636" s="12"/>
      <c r="R636" s="12"/>
    </row>
    <row r="637" spans="13:18" ht="14.4">
      <c r="M637" s="10"/>
      <c r="N637" s="10"/>
      <c r="O637" s="11"/>
      <c r="P637" s="12"/>
      <c r="R637" s="12"/>
    </row>
    <row r="638" spans="13:18" ht="14.4">
      <c r="M638" s="10"/>
      <c r="N638" s="10"/>
      <c r="O638" s="11"/>
      <c r="P638" s="12"/>
      <c r="R638" s="12"/>
    </row>
    <row r="639" spans="13:18" ht="14.4">
      <c r="M639" s="10"/>
      <c r="N639" s="10"/>
      <c r="O639" s="11"/>
      <c r="P639" s="12"/>
      <c r="R639" s="12"/>
    </row>
    <row r="640" spans="13:18" ht="14.4">
      <c r="M640" s="10"/>
      <c r="N640" s="10"/>
      <c r="O640" s="11"/>
      <c r="P640" s="12"/>
      <c r="R640" s="12"/>
    </row>
    <row r="641" spans="13:18" ht="14.4">
      <c r="M641" s="10"/>
      <c r="N641" s="10"/>
      <c r="O641" s="11"/>
      <c r="P641" s="12"/>
      <c r="R641" s="12"/>
    </row>
    <row r="642" spans="13:18" ht="14.4">
      <c r="M642" s="10"/>
      <c r="N642" s="10"/>
      <c r="O642" s="11"/>
      <c r="P642" s="12"/>
      <c r="R642" s="12"/>
    </row>
    <row r="643" spans="13:18" ht="14.4">
      <c r="M643" s="10"/>
      <c r="N643" s="10"/>
      <c r="O643" s="11"/>
      <c r="P643" s="12"/>
      <c r="R643" s="12"/>
    </row>
    <row r="644" spans="13:18" ht="14.4">
      <c r="M644" s="10"/>
      <c r="N644" s="10"/>
      <c r="O644" s="11"/>
      <c r="P644" s="12"/>
      <c r="R644" s="12"/>
    </row>
    <row r="645" spans="13:18" ht="14.4">
      <c r="M645" s="10"/>
      <c r="N645" s="10"/>
      <c r="O645" s="11"/>
      <c r="P645" s="12"/>
      <c r="R645" s="12"/>
    </row>
    <row r="646" spans="13:18" ht="14.4">
      <c r="M646" s="10"/>
      <c r="N646" s="10"/>
      <c r="O646" s="11"/>
      <c r="P646" s="12"/>
      <c r="R646" s="12"/>
    </row>
    <row r="647" spans="13:18" ht="14.4">
      <c r="M647" s="10"/>
      <c r="N647" s="10"/>
      <c r="O647" s="11"/>
      <c r="P647" s="12"/>
      <c r="R647" s="12"/>
    </row>
    <row r="648" spans="13:18" ht="14.4">
      <c r="M648" s="10"/>
      <c r="N648" s="10"/>
      <c r="O648" s="11"/>
      <c r="P648" s="12"/>
      <c r="R648" s="12"/>
    </row>
    <row r="649" spans="13:18" ht="14.4">
      <c r="M649" s="10"/>
      <c r="N649" s="10"/>
      <c r="O649" s="11"/>
      <c r="P649" s="12"/>
      <c r="R649" s="12"/>
    </row>
    <row r="650" spans="13:18" ht="14.4">
      <c r="M650" s="10"/>
      <c r="N650" s="10"/>
      <c r="O650" s="11"/>
      <c r="P650" s="12"/>
      <c r="R650" s="12"/>
    </row>
    <row r="651" spans="13:18" ht="14.4">
      <c r="M651" s="10"/>
      <c r="N651" s="10"/>
      <c r="O651" s="11"/>
      <c r="P651" s="12"/>
      <c r="R651" s="12"/>
    </row>
    <row r="652" spans="13:18" ht="14.4">
      <c r="M652" s="10"/>
      <c r="N652" s="10"/>
      <c r="O652" s="11"/>
      <c r="P652" s="12"/>
      <c r="R652" s="12"/>
    </row>
    <row r="653" spans="13:18" ht="14.4">
      <c r="M653" s="10"/>
      <c r="N653" s="10"/>
      <c r="O653" s="11"/>
      <c r="P653" s="12"/>
      <c r="R653" s="12"/>
    </row>
    <row r="654" spans="13:18" ht="14.4">
      <c r="M654" s="10"/>
      <c r="N654" s="10"/>
      <c r="O654" s="11"/>
      <c r="P654" s="12"/>
      <c r="R654" s="12"/>
    </row>
    <row r="655" spans="13:18" ht="14.4">
      <c r="M655" s="10"/>
      <c r="N655" s="10"/>
      <c r="O655" s="11"/>
      <c r="P655" s="12"/>
      <c r="R655" s="12"/>
    </row>
    <row r="656" spans="13:18" ht="14.4">
      <c r="M656" s="10"/>
      <c r="N656" s="10"/>
      <c r="O656" s="11"/>
      <c r="P656" s="12"/>
      <c r="R656" s="12"/>
    </row>
    <row r="657" spans="13:18" ht="14.4">
      <c r="M657" s="10"/>
      <c r="N657" s="10"/>
      <c r="O657" s="11"/>
      <c r="P657" s="12"/>
      <c r="R657" s="12"/>
    </row>
    <row r="658" spans="13:18" ht="14.4">
      <c r="M658" s="10"/>
      <c r="N658" s="10"/>
      <c r="O658" s="11"/>
      <c r="P658" s="12"/>
      <c r="R658" s="12"/>
    </row>
    <row r="659" spans="13:18" ht="14.4">
      <c r="M659" s="10"/>
      <c r="N659" s="10"/>
      <c r="O659" s="11"/>
      <c r="P659" s="12"/>
      <c r="R659" s="12"/>
    </row>
    <row r="660" spans="13:18" ht="14.4">
      <c r="M660" s="10"/>
      <c r="N660" s="10"/>
      <c r="O660" s="11"/>
      <c r="P660" s="12"/>
      <c r="R660" s="12"/>
    </row>
    <row r="661" spans="13:18" ht="14.4">
      <c r="M661" s="10"/>
      <c r="N661" s="10"/>
      <c r="O661" s="11"/>
      <c r="P661" s="12"/>
      <c r="R661" s="12"/>
    </row>
    <row r="662" spans="13:18" ht="14.4">
      <c r="M662" s="10"/>
      <c r="N662" s="10"/>
      <c r="O662" s="11"/>
      <c r="P662" s="12"/>
      <c r="R662" s="12"/>
    </row>
    <row r="663" spans="13:18" ht="14.4">
      <c r="M663" s="10"/>
      <c r="N663" s="10"/>
      <c r="O663" s="11"/>
      <c r="P663" s="12"/>
      <c r="R663" s="12"/>
    </row>
    <row r="664" spans="13:18" ht="14.4">
      <c r="M664" s="10"/>
      <c r="N664" s="10"/>
      <c r="O664" s="11"/>
      <c r="P664" s="12"/>
      <c r="R664" s="12"/>
    </row>
    <row r="665" spans="13:18" ht="14.4">
      <c r="M665" s="10"/>
      <c r="N665" s="10"/>
      <c r="O665" s="11"/>
      <c r="P665" s="12"/>
      <c r="R665" s="12"/>
    </row>
    <row r="666" spans="13:18" ht="14.4">
      <c r="M666" s="10"/>
      <c r="N666" s="10"/>
      <c r="O666" s="11"/>
      <c r="P666" s="12"/>
      <c r="R666" s="12"/>
    </row>
    <row r="667" spans="13:18" ht="14.4">
      <c r="M667" s="10"/>
      <c r="N667" s="10"/>
      <c r="O667" s="11"/>
      <c r="P667" s="12"/>
      <c r="R667" s="12"/>
    </row>
    <row r="668" spans="13:18" ht="14.4">
      <c r="M668" s="10"/>
      <c r="N668" s="10"/>
      <c r="O668" s="11"/>
      <c r="P668" s="12"/>
      <c r="R668" s="12"/>
    </row>
    <row r="669" spans="13:18" ht="14.4">
      <c r="M669" s="10"/>
      <c r="N669" s="10"/>
      <c r="O669" s="11"/>
      <c r="P669" s="12"/>
      <c r="R669" s="12"/>
    </row>
    <row r="670" spans="13:18" ht="14.4">
      <c r="M670" s="10"/>
      <c r="N670" s="10"/>
      <c r="O670" s="11"/>
      <c r="P670" s="12"/>
      <c r="R670" s="12"/>
    </row>
    <row r="671" spans="13:18" ht="14.4">
      <c r="M671" s="10"/>
      <c r="N671" s="10"/>
      <c r="O671" s="11"/>
      <c r="P671" s="12"/>
      <c r="R671" s="12"/>
    </row>
    <row r="672" spans="13:18" ht="14.4">
      <c r="M672" s="10"/>
      <c r="N672" s="10"/>
      <c r="O672" s="11"/>
      <c r="P672" s="12"/>
      <c r="R672" s="12"/>
    </row>
    <row r="673" spans="13:18" ht="14.4">
      <c r="M673" s="10"/>
      <c r="N673" s="10"/>
      <c r="O673" s="11"/>
      <c r="P673" s="12"/>
      <c r="R673" s="12"/>
    </row>
    <row r="674" spans="13:18" ht="14.4">
      <c r="M674" s="10"/>
      <c r="N674" s="10"/>
      <c r="O674" s="11"/>
      <c r="P674" s="12"/>
      <c r="R674" s="12"/>
    </row>
    <row r="675" spans="13:18" ht="14.4">
      <c r="M675" s="10"/>
      <c r="N675" s="10"/>
      <c r="O675" s="11"/>
      <c r="P675" s="12"/>
      <c r="R675" s="12"/>
    </row>
    <row r="676" spans="13:18" ht="14.4">
      <c r="M676" s="10"/>
      <c r="N676" s="10"/>
      <c r="O676" s="11"/>
      <c r="P676" s="12"/>
      <c r="R676" s="12"/>
    </row>
    <row r="677" spans="13:18" ht="14.4">
      <c r="M677" s="10"/>
      <c r="N677" s="10"/>
      <c r="O677" s="11"/>
      <c r="P677" s="12"/>
      <c r="R677" s="12"/>
    </row>
    <row r="678" spans="13:18" ht="14.4">
      <c r="M678" s="10"/>
      <c r="N678" s="10"/>
      <c r="O678" s="11"/>
      <c r="P678" s="12"/>
      <c r="R678" s="12"/>
    </row>
    <row r="679" spans="13:18" ht="14.4">
      <c r="M679" s="10"/>
      <c r="N679" s="10"/>
      <c r="O679" s="11"/>
      <c r="P679" s="12"/>
      <c r="R679" s="12"/>
    </row>
    <row r="680" spans="13:18" ht="14.4">
      <c r="M680" s="10"/>
      <c r="N680" s="10"/>
      <c r="O680" s="11"/>
      <c r="P680" s="12"/>
      <c r="R680" s="12"/>
    </row>
    <row r="681" spans="13:18" ht="14.4">
      <c r="M681" s="10"/>
      <c r="N681" s="10"/>
      <c r="O681" s="11"/>
      <c r="P681" s="12"/>
      <c r="R681" s="12"/>
    </row>
    <row r="682" spans="13:18" ht="14.4">
      <c r="M682" s="10"/>
      <c r="N682" s="10"/>
      <c r="O682" s="11"/>
      <c r="P682" s="12"/>
      <c r="R682" s="12"/>
    </row>
    <row r="683" spans="13:18" ht="14.4">
      <c r="M683" s="10"/>
      <c r="N683" s="10"/>
      <c r="O683" s="11"/>
      <c r="P683" s="12"/>
      <c r="R683" s="12"/>
    </row>
    <row r="684" spans="13:18" ht="14.4">
      <c r="M684" s="10"/>
      <c r="N684" s="10"/>
      <c r="O684" s="11"/>
      <c r="P684" s="12"/>
      <c r="R684" s="12"/>
    </row>
    <row r="685" spans="13:18" ht="14.4">
      <c r="M685" s="10"/>
      <c r="N685" s="10"/>
      <c r="O685" s="11"/>
      <c r="P685" s="12"/>
      <c r="R685" s="12"/>
    </row>
    <row r="686" spans="13:18" ht="14.4">
      <c r="M686" s="10"/>
      <c r="N686" s="10"/>
      <c r="O686" s="11"/>
      <c r="P686" s="12"/>
      <c r="R686" s="12"/>
    </row>
  </sheetData>
  <sheetProtection algorithmName="SHA-512" hashValue="lHSjQmPjRZ1OHtKr+snMUKwoR+uBeQj4PFtTFLuFE9Vi7bGwiAhV+vI/DrKNxOO6UAnW4cs9WaqHoHn9ArAuGw==" saltValue="6hNLUOMbz5fbDiE0VfCaVg==" spinCount="100000" sheet="1" formatCells="0" formatColumns="0" formatRows="0" insertColumns="0" insertRows="0" insertHyperlinks="0" deleteColumns="0" deleteRows="0" sort="0" autoFilter="0" pivotTables="0"/>
  <autoFilter ref="A2:K576" xr:uid="{621F47A2-BD33-4A60-883B-78C8E62AD461}">
    <sortState xmlns:xlrd2="http://schemas.microsoft.com/office/spreadsheetml/2017/richdata2" ref="A2:K576">
      <sortCondition ref="H2:H551"/>
    </sortState>
  </autoFilter>
  <mergeCells count="8">
    <mergeCell ref="B584:D584"/>
    <mergeCell ref="B585:D585"/>
    <mergeCell ref="A1:J1"/>
    <mergeCell ref="N1:N2"/>
    <mergeCell ref="B580:D580"/>
    <mergeCell ref="B581:D581"/>
    <mergeCell ref="B582:D582"/>
    <mergeCell ref="B583:D583"/>
  </mergeCells>
  <conditionalFormatting sqref="H2">
    <cfRule type="containsText" dxfId="6" priority="23" operator="containsText" text="Please">
      <formula>NOT(ISERROR(SEARCH("Please",H2)))</formula>
    </cfRule>
  </conditionalFormatting>
  <conditionalFormatting sqref="H3:H5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76">
    <cfRule type="containsText" dxfId="5" priority="2" operator="containsText" text="В">
      <formula>NOT(ISERROR(SEARCH("В",H3)))</formula>
    </cfRule>
    <cfRule type="containsText" dxfId="4" priority="3" operator="containsText" text="А">
      <formula>NOT(ISERROR(SEARCH("А",H3)))</formula>
    </cfRule>
    <cfRule type="containsText" dxfId="3" priority="4" operator="containsText" text="С">
      <formula>NOT(ISERROR(SEARCH("С",H3)))</formula>
    </cfRule>
  </conditionalFormatting>
  <conditionalFormatting sqref="H51:H13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K2 J3:J1048576">
    <cfRule type="containsText" dxfId="2" priority="25" operator="containsText" text="Please">
      <formula>NOT(ISERROR(SEARCH("Please",J2)))</formula>
    </cfRule>
  </conditionalFormatting>
  <conditionalFormatting sqref="R1">
    <cfRule type="expression" dxfId="1" priority="24">
      <formula>"&gt;0"</formula>
    </cfRule>
  </conditionalFormatting>
  <conditionalFormatting sqref="H286:H575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2:H575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76">
    <cfRule type="duplicateValues" dxfId="0" priority="392"/>
  </conditionalFormatting>
  <dataValidations disablePrompts="1" count="1">
    <dataValidation type="custom" allowBlank="1" showInputMessage="1" showErrorMessage="1" error="Order quantity must be a multiple of Sales per Unit Case (See Column E)." prompt="Order quantity must be a multiple of Sales per Unit Case (See Column E)." sqref="I3:I551" xr:uid="{EA088C5B-3C80-44E2-9F48-F701057DBACA}">
      <formula1>MOD(I3,E3)=0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(Nature's Way)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1404-WHLS_PRICE_LIST_JAN2023-V3.indd</dc:title>
  <dc:creator>Acer</dc:creator>
  <cp:lastModifiedBy>Денис Хомик</cp:lastModifiedBy>
  <dcterms:created xsi:type="dcterms:W3CDTF">2023-03-23T08:14:34Z</dcterms:created>
  <dcterms:modified xsi:type="dcterms:W3CDTF">2026-04-03T12:45:53Z</dcterms:modified>
</cp:coreProperties>
</file>