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ices\Michael's Health\Продаж\"/>
    </mc:Choice>
  </mc:AlternateContent>
  <xr:revisionPtr revIDLastSave="0" documentId="13_ncr:1_{3D88A00E-C3F7-4F4C-B14E-3EF968F79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hael's Health" sheetId="1" r:id="rId1"/>
  </sheets>
  <definedNames>
    <definedName name="_xlnm._FilterDatabase" localSheetId="0" hidden="1">'Michael''s Health'!$A$2:$O$102</definedName>
    <definedName name="_xlnm.Print_Titles" localSheetId="0">'Michael''s Health'!$2:$2</definedName>
    <definedName name="_xlnm.Print_Area" localSheetId="0">'Michael''s Health'!$A$2:$D$100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3" i="1"/>
  <c r="R4" i="1"/>
  <c r="U4" i="1"/>
  <c r="R5" i="1"/>
  <c r="S5" i="1"/>
  <c r="U5" i="1"/>
  <c r="R6" i="1"/>
  <c r="S6" i="1"/>
  <c r="U6" i="1"/>
  <c r="R7" i="1"/>
  <c r="S7" i="1"/>
  <c r="U7" i="1"/>
  <c r="R8" i="1"/>
  <c r="S8" i="1"/>
  <c r="U8" i="1"/>
  <c r="R9" i="1"/>
  <c r="S9" i="1"/>
  <c r="U9" i="1"/>
  <c r="W9" i="1" s="1"/>
  <c r="R10" i="1"/>
  <c r="S10" i="1"/>
  <c r="U10" i="1"/>
  <c r="R11" i="1"/>
  <c r="S11" i="1"/>
  <c r="U11" i="1"/>
  <c r="R12" i="1"/>
  <c r="S12" i="1"/>
  <c r="U12" i="1"/>
  <c r="R13" i="1"/>
  <c r="S13" i="1"/>
  <c r="U13" i="1"/>
  <c r="R14" i="1"/>
  <c r="S14" i="1"/>
  <c r="U14" i="1"/>
  <c r="R15" i="1"/>
  <c r="S15" i="1"/>
  <c r="U15" i="1"/>
  <c r="W15" i="1" s="1"/>
  <c r="R16" i="1"/>
  <c r="S16" i="1"/>
  <c r="U16" i="1"/>
  <c r="R17" i="1"/>
  <c r="S17" i="1"/>
  <c r="U17" i="1"/>
  <c r="R18" i="1"/>
  <c r="S18" i="1"/>
  <c r="U18" i="1"/>
  <c r="R19" i="1"/>
  <c r="S19" i="1"/>
  <c r="U19" i="1"/>
  <c r="R20" i="1"/>
  <c r="S20" i="1"/>
  <c r="U20" i="1"/>
  <c r="R21" i="1"/>
  <c r="S21" i="1"/>
  <c r="U21" i="1"/>
  <c r="R22" i="1"/>
  <c r="S22" i="1"/>
  <c r="U22" i="1"/>
  <c r="R23" i="1"/>
  <c r="S23" i="1"/>
  <c r="U23" i="1"/>
  <c r="W23" i="1" s="1"/>
  <c r="R24" i="1"/>
  <c r="S24" i="1"/>
  <c r="U24" i="1"/>
  <c r="R25" i="1"/>
  <c r="S25" i="1"/>
  <c r="U25" i="1"/>
  <c r="R26" i="1"/>
  <c r="S26" i="1"/>
  <c r="U26" i="1"/>
  <c r="R27" i="1"/>
  <c r="S27" i="1"/>
  <c r="U27" i="1"/>
  <c r="R28" i="1"/>
  <c r="S28" i="1"/>
  <c r="U28" i="1"/>
  <c r="R29" i="1"/>
  <c r="S29" i="1"/>
  <c r="U29" i="1"/>
  <c r="R30" i="1"/>
  <c r="S30" i="1"/>
  <c r="U30" i="1"/>
  <c r="R31" i="1"/>
  <c r="S31" i="1"/>
  <c r="U31" i="1"/>
  <c r="W31" i="1" s="1"/>
  <c r="R32" i="1"/>
  <c r="S32" i="1"/>
  <c r="U32" i="1"/>
  <c r="R33" i="1"/>
  <c r="S33" i="1"/>
  <c r="U33" i="1"/>
  <c r="R34" i="1"/>
  <c r="S34" i="1"/>
  <c r="U34" i="1"/>
  <c r="R35" i="1"/>
  <c r="S35" i="1"/>
  <c r="U35" i="1"/>
  <c r="R36" i="1"/>
  <c r="S36" i="1"/>
  <c r="U36" i="1"/>
  <c r="R37" i="1"/>
  <c r="S37" i="1"/>
  <c r="U37" i="1"/>
  <c r="R38" i="1"/>
  <c r="S38" i="1"/>
  <c r="U38" i="1"/>
  <c r="R39" i="1"/>
  <c r="S39" i="1"/>
  <c r="U39" i="1"/>
  <c r="W39" i="1" s="1"/>
  <c r="R40" i="1"/>
  <c r="S40" i="1"/>
  <c r="U40" i="1"/>
  <c r="R41" i="1"/>
  <c r="S41" i="1"/>
  <c r="U41" i="1"/>
  <c r="R42" i="1"/>
  <c r="S42" i="1"/>
  <c r="U42" i="1"/>
  <c r="R43" i="1"/>
  <c r="S43" i="1"/>
  <c r="U43" i="1"/>
  <c r="R44" i="1"/>
  <c r="S44" i="1"/>
  <c r="U44" i="1"/>
  <c r="W44" i="1" s="1"/>
  <c r="R45" i="1"/>
  <c r="S45" i="1"/>
  <c r="U45" i="1"/>
  <c r="R46" i="1"/>
  <c r="S46" i="1"/>
  <c r="U46" i="1"/>
  <c r="R47" i="1"/>
  <c r="S47" i="1"/>
  <c r="U47" i="1"/>
  <c r="R48" i="1"/>
  <c r="S48" i="1"/>
  <c r="U48" i="1"/>
  <c r="R49" i="1"/>
  <c r="S49" i="1"/>
  <c r="U49" i="1"/>
  <c r="R50" i="1"/>
  <c r="S50" i="1"/>
  <c r="U50" i="1"/>
  <c r="R51" i="1"/>
  <c r="S51" i="1"/>
  <c r="U51" i="1"/>
  <c r="R52" i="1"/>
  <c r="S52" i="1"/>
  <c r="U52" i="1"/>
  <c r="R53" i="1"/>
  <c r="S53" i="1"/>
  <c r="U53" i="1"/>
  <c r="R54" i="1"/>
  <c r="S54" i="1"/>
  <c r="U54" i="1"/>
  <c r="R55" i="1"/>
  <c r="S55" i="1"/>
  <c r="U55" i="1"/>
  <c r="R56" i="1"/>
  <c r="S56" i="1"/>
  <c r="U56" i="1"/>
  <c r="R57" i="1"/>
  <c r="S57" i="1"/>
  <c r="U57" i="1"/>
  <c r="R58" i="1"/>
  <c r="S58" i="1"/>
  <c r="U58" i="1"/>
  <c r="R59" i="1"/>
  <c r="S59" i="1"/>
  <c r="U59" i="1"/>
  <c r="R60" i="1"/>
  <c r="S60" i="1"/>
  <c r="U60" i="1"/>
  <c r="R61" i="1"/>
  <c r="S61" i="1"/>
  <c r="U61" i="1"/>
  <c r="R62" i="1"/>
  <c r="S62" i="1"/>
  <c r="U62" i="1"/>
  <c r="R63" i="1"/>
  <c r="S63" i="1"/>
  <c r="U63" i="1"/>
  <c r="R64" i="1"/>
  <c r="S64" i="1"/>
  <c r="U64" i="1"/>
  <c r="R65" i="1"/>
  <c r="S65" i="1"/>
  <c r="U65" i="1"/>
  <c r="R66" i="1"/>
  <c r="S66" i="1"/>
  <c r="U66" i="1"/>
  <c r="R67" i="1"/>
  <c r="S67" i="1"/>
  <c r="U67" i="1"/>
  <c r="R68" i="1"/>
  <c r="S68" i="1"/>
  <c r="U68" i="1"/>
  <c r="R69" i="1"/>
  <c r="S69" i="1"/>
  <c r="U69" i="1"/>
  <c r="R70" i="1"/>
  <c r="S70" i="1"/>
  <c r="U70" i="1"/>
  <c r="R71" i="1"/>
  <c r="S71" i="1"/>
  <c r="U71" i="1"/>
  <c r="R72" i="1"/>
  <c r="S72" i="1"/>
  <c r="U72" i="1"/>
  <c r="R73" i="1"/>
  <c r="S73" i="1"/>
  <c r="U73" i="1"/>
  <c r="R74" i="1"/>
  <c r="S74" i="1"/>
  <c r="U74" i="1"/>
  <c r="R75" i="1"/>
  <c r="S75" i="1"/>
  <c r="U75" i="1"/>
  <c r="R76" i="1"/>
  <c r="S76" i="1"/>
  <c r="U76" i="1"/>
  <c r="R77" i="1"/>
  <c r="S77" i="1"/>
  <c r="U77" i="1"/>
  <c r="W77" i="1" s="1"/>
  <c r="R78" i="1"/>
  <c r="S78" i="1"/>
  <c r="U78" i="1"/>
  <c r="R79" i="1"/>
  <c r="S79" i="1"/>
  <c r="U79" i="1"/>
  <c r="W79" i="1" s="1"/>
  <c r="R80" i="1"/>
  <c r="S80" i="1"/>
  <c r="U80" i="1"/>
  <c r="R81" i="1"/>
  <c r="S81" i="1"/>
  <c r="U81" i="1"/>
  <c r="R82" i="1"/>
  <c r="S82" i="1"/>
  <c r="U82" i="1"/>
  <c r="R83" i="1"/>
  <c r="S83" i="1"/>
  <c r="U83" i="1"/>
  <c r="R84" i="1"/>
  <c r="S84" i="1"/>
  <c r="U84" i="1"/>
  <c r="R85" i="1"/>
  <c r="S85" i="1"/>
  <c r="U85" i="1"/>
  <c r="W85" i="1" s="1"/>
  <c r="R86" i="1"/>
  <c r="S86" i="1"/>
  <c r="U86" i="1"/>
  <c r="R87" i="1"/>
  <c r="S87" i="1"/>
  <c r="U87" i="1"/>
  <c r="R88" i="1"/>
  <c r="S88" i="1"/>
  <c r="U88" i="1"/>
  <c r="R89" i="1"/>
  <c r="S89" i="1"/>
  <c r="U89" i="1"/>
  <c r="R90" i="1"/>
  <c r="S90" i="1"/>
  <c r="U90" i="1"/>
  <c r="R91" i="1"/>
  <c r="S91" i="1"/>
  <c r="U91" i="1"/>
  <c r="R92" i="1"/>
  <c r="S92" i="1"/>
  <c r="U92" i="1"/>
  <c r="W92" i="1" s="1"/>
  <c r="R93" i="1"/>
  <c r="S93" i="1"/>
  <c r="U93" i="1"/>
  <c r="R94" i="1"/>
  <c r="S94" i="1"/>
  <c r="U94" i="1"/>
  <c r="R95" i="1"/>
  <c r="S95" i="1"/>
  <c r="U95" i="1"/>
  <c r="R96" i="1"/>
  <c r="S96" i="1"/>
  <c r="U96" i="1"/>
  <c r="R97" i="1"/>
  <c r="S97" i="1"/>
  <c r="U97" i="1"/>
  <c r="R98" i="1"/>
  <c r="S98" i="1"/>
  <c r="U98" i="1"/>
  <c r="R99" i="1"/>
  <c r="S99" i="1"/>
  <c r="U99" i="1"/>
  <c r="R100" i="1"/>
  <c r="S100" i="1"/>
  <c r="U100" i="1"/>
  <c r="W100" i="1" s="1"/>
  <c r="U3" i="1"/>
  <c r="S3" i="1"/>
  <c r="R3" i="1"/>
  <c r="O4" i="1"/>
  <c r="O5" i="1"/>
  <c r="O6" i="1"/>
  <c r="W6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W27" i="1" s="1"/>
  <c r="O28" i="1"/>
  <c r="O29" i="1"/>
  <c r="O30" i="1"/>
  <c r="W30" i="1" s="1"/>
  <c r="O31" i="1"/>
  <c r="O32" i="1"/>
  <c r="O33" i="1"/>
  <c r="O34" i="1"/>
  <c r="O35" i="1"/>
  <c r="W35" i="1" s="1"/>
  <c r="O36" i="1"/>
  <c r="O37" i="1"/>
  <c r="O38" i="1"/>
  <c r="O39" i="1"/>
  <c r="O40" i="1"/>
  <c r="O41" i="1"/>
  <c r="O42" i="1"/>
  <c r="W42" i="1" s="1"/>
  <c r="O43" i="1"/>
  <c r="O44" i="1"/>
  <c r="O45" i="1"/>
  <c r="O46" i="1"/>
  <c r="O47" i="1"/>
  <c r="W47" i="1" s="1"/>
  <c r="O48" i="1"/>
  <c r="O49" i="1"/>
  <c r="O50" i="1"/>
  <c r="O51" i="1"/>
  <c r="O52" i="1"/>
  <c r="O53" i="1"/>
  <c r="O54" i="1"/>
  <c r="O55" i="1"/>
  <c r="O56" i="1"/>
  <c r="O57" i="1"/>
  <c r="W57" i="1" s="1"/>
  <c r="O58" i="1"/>
  <c r="O59" i="1"/>
  <c r="O60" i="1"/>
  <c r="O61" i="1"/>
  <c r="O62" i="1"/>
  <c r="W62" i="1" s="1"/>
  <c r="O63" i="1"/>
  <c r="O64" i="1"/>
  <c r="O65" i="1"/>
  <c r="O66" i="1"/>
  <c r="O67" i="1"/>
  <c r="O68" i="1"/>
  <c r="O69" i="1"/>
  <c r="O70" i="1"/>
  <c r="O71" i="1"/>
  <c r="O72" i="1"/>
  <c r="O73" i="1"/>
  <c r="W73" i="1" s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W91" i="1" s="1"/>
  <c r="O92" i="1"/>
  <c r="O93" i="1"/>
  <c r="O94" i="1"/>
  <c r="O95" i="1"/>
  <c r="O96" i="1"/>
  <c r="O97" i="1"/>
  <c r="O98" i="1"/>
  <c r="O99" i="1"/>
  <c r="W99" i="1" s="1"/>
  <c r="O100" i="1"/>
  <c r="O3" i="1"/>
  <c r="W34" i="1" l="1"/>
  <c r="W26" i="1"/>
  <c r="W18" i="1"/>
  <c r="W10" i="1"/>
  <c r="W5" i="1"/>
  <c r="W49" i="1"/>
  <c r="W81" i="1"/>
  <c r="W52" i="1"/>
  <c r="W54" i="1"/>
  <c r="W46" i="1"/>
  <c r="W33" i="1"/>
  <c r="W25" i="1"/>
  <c r="W17" i="1"/>
  <c r="W80" i="1"/>
  <c r="T2" i="1"/>
  <c r="W98" i="1"/>
  <c r="W90" i="1"/>
  <c r="W72" i="1"/>
  <c r="W64" i="1"/>
  <c r="W3" i="1"/>
  <c r="W95" i="1"/>
  <c r="W87" i="1"/>
  <c r="W82" i="1"/>
  <c r="W74" i="1"/>
  <c r="W69" i="1"/>
  <c r="W61" i="1"/>
  <c r="W51" i="1"/>
  <c r="W41" i="1"/>
  <c r="W36" i="1"/>
  <c r="W28" i="1"/>
  <c r="W20" i="1"/>
  <c r="W59" i="1"/>
  <c r="W43" i="1"/>
  <c r="W97" i="1"/>
  <c r="W38" i="1"/>
  <c r="W19" i="1"/>
  <c r="W11" i="1"/>
  <c r="W65" i="1"/>
  <c r="W32" i="1"/>
  <c r="W24" i="1"/>
  <c r="W16" i="1"/>
  <c r="W67" i="1"/>
  <c r="U2" i="1"/>
  <c r="W50" i="1"/>
  <c r="W40" i="1"/>
  <c r="W68" i="1"/>
  <c r="W60" i="1"/>
  <c r="W96" i="1"/>
  <c r="W88" i="1"/>
  <c r="W83" i="1"/>
  <c r="W75" i="1"/>
  <c r="W21" i="1"/>
  <c r="W13" i="1"/>
  <c r="W8" i="1"/>
  <c r="W58" i="1"/>
  <c r="W93" i="1"/>
  <c r="W53" i="1"/>
  <c r="W45" i="1"/>
  <c r="W37" i="1"/>
  <c r="W29" i="1"/>
  <c r="W12" i="1"/>
  <c r="W84" i="1"/>
  <c r="W76" i="1"/>
  <c r="W66" i="1"/>
  <c r="W94" i="1"/>
  <c r="W89" i="1"/>
  <c r="W4" i="1"/>
  <c r="W71" i="1"/>
  <c r="W63" i="1"/>
  <c r="W55" i="1"/>
  <c r="W7" i="1"/>
  <c r="W86" i="1"/>
  <c r="W78" i="1"/>
  <c r="W70" i="1"/>
  <c r="W22" i="1"/>
  <c r="W14" i="1"/>
  <c r="W48" i="1"/>
  <c r="W56" i="1"/>
  <c r="P2" i="1"/>
  <c r="W1" i="1" l="1"/>
  <c r="S4" i="1"/>
</calcChain>
</file>

<file path=xl/sharedStrings.xml><?xml version="1.0" encoding="utf-8"?>
<sst xmlns="http://schemas.openxmlformats.org/spreadsheetml/2006/main" count="316" uniqueCount="107">
  <si>
    <t>UPC</t>
  </si>
  <si>
    <t>SKU</t>
  </si>
  <si>
    <t>PRODUCT</t>
  </si>
  <si>
    <t>Quick Immune Response</t>
  </si>
  <si>
    <t>60 TB</t>
  </si>
  <si>
    <t>90 TB</t>
  </si>
  <si>
    <t>120 TB</t>
  </si>
  <si>
    <t>Paraherbs</t>
  </si>
  <si>
    <t>60 VC</t>
  </si>
  <si>
    <t>120 VC</t>
  </si>
  <si>
    <t>LNG</t>
  </si>
  <si>
    <t>90 VC</t>
  </si>
  <si>
    <t>180 TB</t>
  </si>
  <si>
    <t>Ultimate Detox &amp; Cleanse</t>
  </si>
  <si>
    <t>1 Kit</t>
  </si>
  <si>
    <t>1 Week Flush</t>
  </si>
  <si>
    <t>Cholesterol Metabolism Factors</t>
  </si>
  <si>
    <t>270 TB</t>
  </si>
  <si>
    <t>Liver Wellness</t>
  </si>
  <si>
    <t>Thyroid Factors</t>
  </si>
  <si>
    <t>Kidney Factors</t>
  </si>
  <si>
    <t>Digestive Enzymes</t>
  </si>
  <si>
    <t>90 CP</t>
  </si>
  <si>
    <t>180 CP</t>
  </si>
  <si>
    <t>1000 TB</t>
  </si>
  <si>
    <t>30 TB</t>
  </si>
  <si>
    <t>30 VC</t>
  </si>
  <si>
    <t>Thyrodrenal</t>
  </si>
  <si>
    <t>Blood Pressure Factors</t>
  </si>
  <si>
    <t>Antisid</t>
  </si>
  <si>
    <t>60 CW</t>
  </si>
  <si>
    <t>90 CW</t>
  </si>
  <si>
    <t>Joint Mobility Factors</t>
  </si>
  <si>
    <t>Prostate Factors</t>
  </si>
  <si>
    <t>Male Reproductive Factors</t>
  </si>
  <si>
    <t>Female Reproductive Factors</t>
  </si>
  <si>
    <t>Couples Pak</t>
  </si>
  <si>
    <t>60/60 TB</t>
  </si>
  <si>
    <t xml:space="preserve">For Women's Changes </t>
  </si>
  <si>
    <t xml:space="preserve">Memory Factors </t>
  </si>
  <si>
    <t>Skin Factors</t>
  </si>
  <si>
    <t>Fat Metabolism Factors</t>
  </si>
  <si>
    <t>Water Balance Factors</t>
  </si>
  <si>
    <t>Teen Boys Tabs Daily Multi Vitamin</t>
  </si>
  <si>
    <t>Teen Boys Caps Daily Multi Vitamin</t>
  </si>
  <si>
    <t>Pre-Teen Boys Daily Multi Vitamin</t>
  </si>
  <si>
    <t>Teen Girls Tabs Daily Multi Vitamin</t>
  </si>
  <si>
    <t>Teen Girls Caps Daily Multi Vitamin</t>
  </si>
  <si>
    <t>Pre-Teen Girls Daily Multi Vitamin</t>
  </si>
  <si>
    <t>Children's Chewables Daily Multi Vitamin</t>
  </si>
  <si>
    <t>120 CW</t>
  </si>
  <si>
    <t>Essential Minerals</t>
  </si>
  <si>
    <t>240 TB</t>
  </si>
  <si>
    <t>Lung Factors</t>
  </si>
  <si>
    <t xml:space="preserve">Vitamin D3 (5000 IU) with Vitamin K2 </t>
  </si>
  <si>
    <t>Sleep Factors</t>
  </si>
  <si>
    <t>Testosterone Factors</t>
  </si>
  <si>
    <t>Chewable Minerals</t>
  </si>
  <si>
    <t>45 TB</t>
  </si>
  <si>
    <t>Sugar Metabolism Factors</t>
  </si>
  <si>
    <t xml:space="preserve">Sugar Metabolism Factors </t>
  </si>
  <si>
    <t>Black Walnut Hull Complex</t>
  </si>
  <si>
    <t>Fenugreek Seed Complex</t>
  </si>
  <si>
    <t>For Men</t>
  </si>
  <si>
    <t>For Women</t>
  </si>
  <si>
    <t>SIZE</t>
  </si>
  <si>
    <t>HEIGHT</t>
  </si>
  <si>
    <t>WIDTH</t>
  </si>
  <si>
    <t>DEPTH</t>
  </si>
  <si>
    <t>WEIGHT</t>
  </si>
  <si>
    <t>CASE AMOUNT</t>
  </si>
  <si>
    <t>CASE WEIGHT</t>
  </si>
  <si>
    <t>CASE DIMENSIONS</t>
  </si>
  <si>
    <t>14x9.25x4.25</t>
  </si>
  <si>
    <t>14.50x10.25x4.75</t>
  </si>
  <si>
    <t>16x11x5.50</t>
  </si>
  <si>
    <t>14x9.5x4.25</t>
  </si>
  <si>
    <t>14x9.50x4.25</t>
  </si>
  <si>
    <t>12x12x6</t>
  </si>
  <si>
    <t>12x9.25x5.75</t>
  </si>
  <si>
    <t>14.5x10.25</t>
  </si>
  <si>
    <t>13.25x9x4.25</t>
  </si>
  <si>
    <t>Energy Adrenal Support</t>
  </si>
  <si>
    <t>Stress Adrenal Support</t>
  </si>
  <si>
    <t>Recovery Zymes - 10X Pancreatin</t>
  </si>
  <si>
    <t>3.1 OZ</t>
  </si>
  <si>
    <t>11.75x9x4</t>
  </si>
  <si>
    <t>Arginine Citrulline Powder</t>
  </si>
  <si>
    <t>Arginine Citrulline</t>
  </si>
  <si>
    <t>Synergistic Nail Complex</t>
  </si>
  <si>
    <t>Essential Immune Nutrients</t>
  </si>
  <si>
    <t>Fácil</t>
  </si>
  <si>
    <t>1.69 OZ</t>
  </si>
  <si>
    <t>8x8x6</t>
  </si>
  <si>
    <t>Noeyjing</t>
  </si>
  <si>
    <t>A, D, &amp; E Oil</t>
  </si>
  <si>
    <t>Order</t>
  </si>
  <si>
    <t>Total</t>
  </si>
  <si>
    <t>Price</t>
  </si>
  <si>
    <r>
      <rPr>
        <b/>
        <sz val="10"/>
        <color rgb="FFEE0000"/>
        <rFont val="Arial"/>
        <family val="2"/>
        <charset val="204"/>
      </rPr>
      <t>Importantly!</t>
    </r>
    <r>
      <rPr>
        <sz val="10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</si>
  <si>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09.07.2025</t>
  </si>
  <si>
    <t>WEIGHT, KG</t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</si>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</sst>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-[$$-2809]* #,##0.00_-;\-[$$-2809]* #,##0.00_-;_-[$$-2809]* &quot;-&quot;??_-;_-@_-"/>
    <numFmt numFmtId="166" formatCode="_-[$$-3C09]* #,##0.00_-;\-[$$-3C09]* #,##0.00_-;_-[$$-3C09]* &quot;-&quot;??_-;_-@_-"/>
    <numFmt numFmtId="167" formatCode="_-[$$-409]* #,##0.00_ ;_-[$$-409]* \-#,##0.00\ ;_-[$$-409]* &quot;-&quot;??_ ;_-@_ "/>
    <numFmt numFmtId="168" formatCode="[$$-409]#,##0.00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1"/>
      <color theme="0"/>
      <name val="Georgia"/>
      <family val="1"/>
    </font>
    <font>
      <b/>
      <sz val="10"/>
      <name val="Arial"/>
      <family val="2"/>
      <charset val="204"/>
    </font>
    <font>
      <b/>
      <sz val="10"/>
      <color rgb="FFEE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0"/>
      <name val="Georgia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8686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Protection="0"/>
  </cellStyleXfs>
  <cellXfs count="44">
    <xf numFmtId="0" fontId="0" fillId="0" borderId="0" xfId="0"/>
    <xf numFmtId="49" fontId="2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wrapText="1"/>
    </xf>
    <xf numFmtId="4" fontId="5" fillId="2" borderId="2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" fontId="5" fillId="2" borderId="3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166" fontId="5" fillId="2" borderId="2" xfId="0" applyNumberFormat="1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4" fontId="9" fillId="2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2" fontId="5" fillId="2" borderId="3" xfId="0" applyNumberFormat="1" applyFont="1" applyFill="1" applyBorder="1" applyAlignment="1">
      <alignment horizontal="center" vertical="center" wrapText="1"/>
    </xf>
    <xf numFmtId="14" fontId="10" fillId="3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67" fontId="11" fillId="3" borderId="4" xfId="0" applyNumberFormat="1" applyFont="1" applyFill="1" applyBorder="1" applyAlignment="1" applyProtection="1">
      <alignment horizontal="center" vertical="center" wrapText="1" readingOrder="1"/>
      <protection hidden="1"/>
    </xf>
    <xf numFmtId="168" fontId="10" fillId="3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 applyProtection="1">
      <alignment horizontal="center" vertical="center" wrapText="1" readingOrder="1"/>
      <protection locked="0"/>
    </xf>
    <xf numFmtId="4" fontId="10" fillId="4" borderId="6" xfId="0" applyNumberFormat="1" applyFont="1" applyFill="1" applyBorder="1" applyAlignment="1">
      <alignment horizontal="center" vertical="center"/>
    </xf>
    <xf numFmtId="167" fontId="11" fillId="4" borderId="4" xfId="0" applyNumberFormat="1" applyFont="1" applyFill="1" applyBorder="1" applyAlignment="1" applyProtection="1">
      <alignment horizontal="center" vertical="center" wrapText="1" readingOrder="1"/>
      <protection hidden="1"/>
    </xf>
    <xf numFmtId="167" fontId="11" fillId="0" borderId="0" xfId="0" applyNumberFormat="1" applyFont="1" applyAlignment="1" applyProtection="1">
      <alignment vertical="center" wrapText="1" readingOrder="1"/>
      <protection hidden="1"/>
    </xf>
    <xf numFmtId="0" fontId="10" fillId="5" borderId="4" xfId="0" applyFont="1" applyFill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14" fontId="10" fillId="3" borderId="5" xfId="0" applyNumberFormat="1" applyFont="1" applyFill="1" applyBorder="1" applyAlignment="1">
      <alignment horizontal="center" vertical="center" wrapText="1"/>
    </xf>
    <xf numFmtId="14" fontId="10" fillId="3" borderId="6" xfId="0" applyNumberFormat="1" applyFont="1" applyFill="1" applyBorder="1" applyAlignment="1">
      <alignment horizontal="center" vertical="center" wrapText="1"/>
    </xf>
  </cellXfs>
  <cellStyles count="3">
    <cellStyle name="Normal 2" xfId="2" xr:uid="{2C888308-0899-473C-BE89-A9EEBBFEA48C}"/>
    <cellStyle name="Грошовий" xfId="1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186862"/>
      <color rgb="FF215F28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358591</xdr:colOff>
      <xdr:row>0</xdr:row>
      <xdr:rowOff>143436</xdr:rowOff>
    </xdr:from>
    <xdr:to>
      <xdr:col>14</xdr:col>
      <xdr:colOff>573742</xdr:colOff>
      <xdr:row>0</xdr:row>
      <xdr:rowOff>930876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C8CAB2D-6F9D-54DF-F6D7-0F5820BB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8544" y="143436"/>
          <a:ext cx="4078938" cy="787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>
    <pageSetUpPr fitToPage="1"/>
  </sheetPr>
  <dimension ref="A1:W728"/>
  <sheetViews>
    <sheetView tabSelected="1" zoomScale="70" zoomScaleNormal="70" workbookViewId="0">
      <pane ySplit="2" topLeftCell="A3" activePane="bottomLeft" state="frozen"/>
      <selection pane="bottomLeft" activeCell="J3" sqref="J3:J100"/>
    </sheetView>
  </sheetViews>
  <sheetFormatPr defaultRowHeight="13.2" x14ac:dyDescent="0.25"/>
  <cols>
    <col min="1" max="1" width="16.44140625" style="13" bestFit="1" customWidth="1"/>
    <col min="2" max="2" width="8.6640625" customWidth="1"/>
    <col min="3" max="3" width="32.44140625" customWidth="1"/>
    <col min="4" max="4" width="15.33203125" style="5" customWidth="1"/>
    <col min="5" max="10" width="11.6640625" customWidth="1"/>
    <col min="11" max="11" width="11.6640625" hidden="1" customWidth="1"/>
    <col min="12" max="12" width="19.5546875" customWidth="1"/>
    <col min="13" max="13" width="13" customWidth="1"/>
    <col min="14" max="14" width="12.109375" style="26" customWidth="1"/>
    <col min="15" max="15" width="16" customWidth="1"/>
    <col min="16" max="16" width="17.109375" customWidth="1"/>
    <col min="18" max="21" width="13.88671875" customWidth="1"/>
    <col min="22" max="22" width="5.5546875" customWidth="1"/>
    <col min="23" max="23" width="13.88671875" customWidth="1"/>
  </cols>
  <sheetData>
    <row r="1" spans="1:23" ht="84" customHeight="1" thickBot="1" x14ac:dyDescent="0.3">
      <c r="A1" s="40" t="s">
        <v>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23" t="s">
        <v>100</v>
      </c>
      <c r="R1" s="28" t="s">
        <v>102</v>
      </c>
      <c r="S1" s="42" t="s">
        <v>103</v>
      </c>
      <c r="T1" s="29" t="s">
        <v>104</v>
      </c>
      <c r="U1" s="30" t="s">
        <v>105</v>
      </c>
      <c r="W1" s="31" t="str">
        <f>IFERROR(IF(SUM(W3:W277)=0, "-", P2+U2), "-")</f>
        <v>-</v>
      </c>
    </row>
    <row r="2" spans="1:23" ht="49.2" customHeight="1" thickBot="1" x14ac:dyDescent="0.3">
      <c r="A2" s="17" t="s">
        <v>0</v>
      </c>
      <c r="B2" s="18" t="s">
        <v>1</v>
      </c>
      <c r="C2" s="18" t="s">
        <v>2</v>
      </c>
      <c r="D2" s="18" t="s">
        <v>65</v>
      </c>
      <c r="E2" s="19" t="s">
        <v>66</v>
      </c>
      <c r="F2" s="19" t="s">
        <v>67</v>
      </c>
      <c r="G2" s="19" t="s">
        <v>68</v>
      </c>
      <c r="H2" s="19" t="s">
        <v>69</v>
      </c>
      <c r="I2" s="27" t="s">
        <v>101</v>
      </c>
      <c r="J2" s="19" t="s">
        <v>70</v>
      </c>
      <c r="K2" s="19" t="s">
        <v>71</v>
      </c>
      <c r="L2" s="19" t="s">
        <v>72</v>
      </c>
      <c r="M2" s="16" t="s">
        <v>98</v>
      </c>
      <c r="N2" s="24" t="s">
        <v>96</v>
      </c>
      <c r="O2" s="16" t="s">
        <v>97</v>
      </c>
      <c r="P2" s="22">
        <f>SUM(O3:O100)</f>
        <v>0</v>
      </c>
      <c r="R2" s="32"/>
      <c r="S2" s="43"/>
      <c r="T2" s="33" t="str">
        <f>IF(SUM(T3:T277)=0, "-", SUM(T3:T277))</f>
        <v>-</v>
      </c>
      <c r="U2" s="34" t="str">
        <f>IF(SUM(U3:U277)=0, "-", SUM(U3:U277))</f>
        <v>-</v>
      </c>
      <c r="V2" s="35"/>
      <c r="W2" s="36" t="s">
        <v>106</v>
      </c>
    </row>
    <row r="3" spans="1:23" ht="15" customHeight="1" x14ac:dyDescent="0.25">
      <c r="A3" s="10">
        <v>755929010004</v>
      </c>
      <c r="B3" s="8">
        <v>1000</v>
      </c>
      <c r="C3" s="1" t="s">
        <v>3</v>
      </c>
      <c r="D3" s="7" t="s">
        <v>4</v>
      </c>
      <c r="E3" s="6">
        <v>3.95</v>
      </c>
      <c r="F3" s="6">
        <v>2.13</v>
      </c>
      <c r="G3" s="6">
        <v>2.13</v>
      </c>
      <c r="H3" s="7">
        <v>0.25</v>
      </c>
      <c r="I3" s="6">
        <v>0.11325</v>
      </c>
      <c r="J3" s="7">
        <v>24</v>
      </c>
      <c r="K3" s="6">
        <v>6.4</v>
      </c>
      <c r="L3" s="7" t="s">
        <v>73</v>
      </c>
      <c r="M3" s="20">
        <v>15.592500000000001</v>
      </c>
      <c r="N3" s="25"/>
      <c r="O3" s="21">
        <f>N3*M3</f>
        <v>0</v>
      </c>
      <c r="R3" s="37" t="str">
        <f>IFERROR(IF($R$2*I3=0, "-", $R$2*I3), "-")</f>
        <v>-</v>
      </c>
      <c r="S3" s="37" t="str">
        <f>IF(N3&gt;0,M3+I3*N3/$T$2*$U$2/N3,"-")</f>
        <v>-</v>
      </c>
      <c r="T3" s="38" t="str">
        <f>IF(N3&gt;0,N3*I3*1.113, "-")</f>
        <v>-</v>
      </c>
      <c r="U3" s="39" t="str">
        <f>IFERROR(IF($R$2&gt;0, $R$2*T3, "-"), "-")</f>
        <v>-</v>
      </c>
      <c r="W3" s="39" t="str">
        <f>IFERROR(IF(U3+O3=0, "-", IF(U3&gt;0, U3+O3, "-")), "-")</f>
        <v>-</v>
      </c>
    </row>
    <row r="4" spans="1:23" ht="15" customHeight="1" x14ac:dyDescent="0.25">
      <c r="A4" s="10">
        <v>755929010011</v>
      </c>
      <c r="B4" s="8">
        <v>1001</v>
      </c>
      <c r="C4" s="1" t="s">
        <v>3</v>
      </c>
      <c r="D4" s="7" t="s">
        <v>5</v>
      </c>
      <c r="E4" s="6">
        <v>4.13</v>
      </c>
      <c r="F4" s="6">
        <v>2.13</v>
      </c>
      <c r="G4" s="6">
        <v>2.13</v>
      </c>
      <c r="H4" s="7">
        <v>0.35</v>
      </c>
      <c r="I4" s="6">
        <v>0.15855</v>
      </c>
      <c r="J4" s="7">
        <v>24</v>
      </c>
      <c r="K4" s="6">
        <v>8.9</v>
      </c>
      <c r="L4" s="7" t="s">
        <v>74</v>
      </c>
      <c r="M4" s="20">
        <v>21.734999999999996</v>
      </c>
      <c r="N4" s="25"/>
      <c r="O4" s="21">
        <f t="shared" ref="O4:O67" si="0">N4*M4</f>
        <v>0</v>
      </c>
      <c r="R4" s="37" t="str">
        <f t="shared" ref="R4:R67" si="1">IFERROR(IF($R$2*I4=0, "-", $R$2*I4), "-")</f>
        <v>-</v>
      </c>
      <c r="S4" s="37" t="str">
        <f t="shared" ref="S4:S67" si="2">IF(N4&gt;0,M4+I4*N4/$T$2*$U$2/N4,"-")</f>
        <v>-</v>
      </c>
      <c r="T4" s="38" t="str">
        <f t="shared" ref="T4:T67" si="3">IF(N4&gt;0,N4*I4*1.113, "-")</f>
        <v>-</v>
      </c>
      <c r="U4" s="39" t="str">
        <f t="shared" ref="U4:U67" si="4">IFERROR(IF($R$2&gt;0, $R$2*T4, "-"), "-")</f>
        <v>-</v>
      </c>
      <c r="W4" s="39" t="str">
        <f t="shared" ref="W4:W67" si="5">IFERROR(IF(U4+O4=0, "-", IF(U4&gt;0, U4+O4, "-")), "-")</f>
        <v>-</v>
      </c>
    </row>
    <row r="5" spans="1:23" ht="15" customHeight="1" x14ac:dyDescent="0.25">
      <c r="A5" s="10">
        <v>755929010028</v>
      </c>
      <c r="B5" s="8">
        <v>1002</v>
      </c>
      <c r="C5" s="1" t="s">
        <v>3</v>
      </c>
      <c r="D5" s="7" t="s">
        <v>6</v>
      </c>
      <c r="E5" s="6">
        <v>4.9400000000000004</v>
      </c>
      <c r="F5" s="6">
        <v>2.95</v>
      </c>
      <c r="G5" s="6">
        <v>2.95</v>
      </c>
      <c r="H5" s="7">
        <v>0.45</v>
      </c>
      <c r="I5" s="6">
        <v>0.20385</v>
      </c>
      <c r="J5" s="7">
        <v>24</v>
      </c>
      <c r="K5" s="6">
        <v>11.55</v>
      </c>
      <c r="L5" s="7" t="s">
        <v>75</v>
      </c>
      <c r="M5" s="20">
        <v>26.669999999999998</v>
      </c>
      <c r="N5" s="25"/>
      <c r="O5" s="21">
        <f t="shared" si="0"/>
        <v>0</v>
      </c>
      <c r="R5" s="37" t="str">
        <f t="shared" si="1"/>
        <v>-</v>
      </c>
      <c r="S5" s="37" t="str">
        <f t="shared" si="2"/>
        <v>-</v>
      </c>
      <c r="T5" s="38" t="str">
        <f t="shared" si="3"/>
        <v>-</v>
      </c>
      <c r="U5" s="39" t="str">
        <f t="shared" si="4"/>
        <v>-</v>
      </c>
      <c r="W5" s="39" t="str">
        <f t="shared" si="5"/>
        <v>-</v>
      </c>
    </row>
    <row r="6" spans="1:23" ht="15" customHeight="1" x14ac:dyDescent="0.25">
      <c r="A6" s="10">
        <v>755929010059</v>
      </c>
      <c r="B6" s="8">
        <v>1005</v>
      </c>
      <c r="C6" s="1" t="s">
        <v>90</v>
      </c>
      <c r="D6" s="7" t="s">
        <v>4</v>
      </c>
      <c r="E6" s="6">
        <v>3.95</v>
      </c>
      <c r="F6" s="6">
        <v>2.13</v>
      </c>
      <c r="G6" s="6">
        <v>2.13</v>
      </c>
      <c r="H6" s="7">
        <v>0.15</v>
      </c>
      <c r="I6" s="6">
        <v>6.7949999999999997E-2</v>
      </c>
      <c r="J6" s="7">
        <v>24</v>
      </c>
      <c r="K6" s="6">
        <v>4.4000000000000004</v>
      </c>
      <c r="L6" s="7" t="s">
        <v>76</v>
      </c>
      <c r="M6" s="20">
        <v>11.602500000000001</v>
      </c>
      <c r="N6" s="25"/>
      <c r="O6" s="21">
        <f t="shared" si="0"/>
        <v>0</v>
      </c>
      <c r="R6" s="37" t="str">
        <f t="shared" si="1"/>
        <v>-</v>
      </c>
      <c r="S6" s="37" t="str">
        <f t="shared" si="2"/>
        <v>-</v>
      </c>
      <c r="T6" s="38" t="str">
        <f t="shared" si="3"/>
        <v>-</v>
      </c>
      <c r="U6" s="39" t="str">
        <f t="shared" si="4"/>
        <v>-</v>
      </c>
      <c r="W6" s="39" t="str">
        <f t="shared" si="5"/>
        <v>-</v>
      </c>
    </row>
    <row r="7" spans="1:23" ht="15" customHeight="1" x14ac:dyDescent="0.25">
      <c r="A7" s="10">
        <v>755929010073</v>
      </c>
      <c r="B7" s="8">
        <v>1007</v>
      </c>
      <c r="C7" s="1" t="s">
        <v>94</v>
      </c>
      <c r="D7" s="7" t="s">
        <v>4</v>
      </c>
      <c r="E7" s="6">
        <v>3.95</v>
      </c>
      <c r="F7" s="6">
        <v>2.13</v>
      </c>
      <c r="G7" s="6">
        <v>2.13</v>
      </c>
      <c r="H7" s="7">
        <v>0.15</v>
      </c>
      <c r="I7" s="6">
        <v>6.7949999999999997E-2</v>
      </c>
      <c r="J7" s="7">
        <v>24</v>
      </c>
      <c r="K7" s="6">
        <v>4.4000000000000004</v>
      </c>
      <c r="L7" s="7" t="s">
        <v>76</v>
      </c>
      <c r="M7" s="20">
        <v>11.602500000000001</v>
      </c>
      <c r="N7" s="25"/>
      <c r="O7" s="21">
        <f t="shared" si="0"/>
        <v>0</v>
      </c>
      <c r="R7" s="37" t="str">
        <f t="shared" si="1"/>
        <v>-</v>
      </c>
      <c r="S7" s="37" t="str">
        <f t="shared" si="2"/>
        <v>-</v>
      </c>
      <c r="T7" s="38" t="str">
        <f t="shared" si="3"/>
        <v>-</v>
      </c>
      <c r="U7" s="39" t="str">
        <f t="shared" si="4"/>
        <v>-</v>
      </c>
      <c r="W7" s="39" t="str">
        <f t="shared" si="5"/>
        <v>-</v>
      </c>
    </row>
    <row r="8" spans="1:23" ht="15" customHeight="1" x14ac:dyDescent="0.25">
      <c r="A8" s="10">
        <v>755929010202</v>
      </c>
      <c r="B8" s="8">
        <v>1020</v>
      </c>
      <c r="C8" s="1" t="s">
        <v>7</v>
      </c>
      <c r="D8" s="7" t="s">
        <v>8</v>
      </c>
      <c r="E8" s="6">
        <v>3.95</v>
      </c>
      <c r="F8" s="6">
        <v>2.13</v>
      </c>
      <c r="G8" s="6">
        <v>2.13</v>
      </c>
      <c r="H8" s="7">
        <v>0.15</v>
      </c>
      <c r="I8" s="6">
        <v>6.7949999999999997E-2</v>
      </c>
      <c r="J8" s="7">
        <v>24</v>
      </c>
      <c r="K8" s="6">
        <v>4.4000000000000004</v>
      </c>
      <c r="L8" s="7" t="s">
        <v>76</v>
      </c>
      <c r="M8" s="20">
        <v>15.277500000000002</v>
      </c>
      <c r="N8" s="25"/>
      <c r="O8" s="21">
        <f t="shared" si="0"/>
        <v>0</v>
      </c>
      <c r="R8" s="37" t="str">
        <f t="shared" si="1"/>
        <v>-</v>
      </c>
      <c r="S8" s="37" t="str">
        <f t="shared" si="2"/>
        <v>-</v>
      </c>
      <c r="T8" s="38" t="str">
        <f t="shared" si="3"/>
        <v>-</v>
      </c>
      <c r="U8" s="39" t="str">
        <f t="shared" si="4"/>
        <v>-</v>
      </c>
      <c r="W8" s="39" t="str">
        <f t="shared" si="5"/>
        <v>-</v>
      </c>
    </row>
    <row r="9" spans="1:23" ht="15" customHeight="1" x14ac:dyDescent="0.25">
      <c r="A9" s="10">
        <v>755929010219</v>
      </c>
      <c r="B9" s="8">
        <v>1021</v>
      </c>
      <c r="C9" s="1" t="s">
        <v>7</v>
      </c>
      <c r="D9" s="7" t="s">
        <v>9</v>
      </c>
      <c r="E9" s="6">
        <v>4.9400000000000004</v>
      </c>
      <c r="F9" s="6">
        <v>2.95</v>
      </c>
      <c r="G9" s="6">
        <v>2.95</v>
      </c>
      <c r="H9" s="7">
        <v>0.3</v>
      </c>
      <c r="I9" s="6">
        <v>0.13589999999999999</v>
      </c>
      <c r="J9" s="7">
        <v>24</v>
      </c>
      <c r="K9" s="6">
        <v>7.5</v>
      </c>
      <c r="L9" s="7" t="s">
        <v>75</v>
      </c>
      <c r="M9" s="20">
        <v>19.53</v>
      </c>
      <c r="N9" s="25"/>
      <c r="O9" s="21">
        <f t="shared" si="0"/>
        <v>0</v>
      </c>
      <c r="R9" s="37" t="str">
        <f t="shared" si="1"/>
        <v>-</v>
      </c>
      <c r="S9" s="37" t="str">
        <f t="shared" si="2"/>
        <v>-</v>
      </c>
      <c r="T9" s="38" t="str">
        <f t="shared" si="3"/>
        <v>-</v>
      </c>
      <c r="U9" s="39" t="str">
        <f t="shared" si="4"/>
        <v>-</v>
      </c>
      <c r="W9" s="39" t="str">
        <f t="shared" si="5"/>
        <v>-</v>
      </c>
    </row>
    <row r="10" spans="1:23" ht="15" customHeight="1" x14ac:dyDescent="0.25">
      <c r="A10" s="10">
        <v>755929010301</v>
      </c>
      <c r="B10" s="8">
        <v>1030</v>
      </c>
      <c r="C10" s="1" t="s">
        <v>10</v>
      </c>
      <c r="D10" s="7" t="s">
        <v>4</v>
      </c>
      <c r="E10" s="6">
        <v>3.95</v>
      </c>
      <c r="F10" s="6">
        <v>2.13</v>
      </c>
      <c r="G10" s="6">
        <v>2.13</v>
      </c>
      <c r="H10" s="7">
        <v>0.25</v>
      </c>
      <c r="I10" s="6">
        <v>0.11325</v>
      </c>
      <c r="J10" s="7">
        <v>24</v>
      </c>
      <c r="K10" s="6">
        <v>6.85</v>
      </c>
      <c r="L10" s="7" t="s">
        <v>77</v>
      </c>
      <c r="M10" s="20">
        <v>15.277500000000002</v>
      </c>
      <c r="N10" s="25"/>
      <c r="O10" s="21">
        <f t="shared" si="0"/>
        <v>0</v>
      </c>
      <c r="R10" s="37" t="str">
        <f t="shared" si="1"/>
        <v>-</v>
      </c>
      <c r="S10" s="37" t="str">
        <f t="shared" si="2"/>
        <v>-</v>
      </c>
      <c r="T10" s="38" t="str">
        <f t="shared" si="3"/>
        <v>-</v>
      </c>
      <c r="U10" s="39" t="str">
        <f t="shared" si="4"/>
        <v>-</v>
      </c>
      <c r="W10" s="39" t="str">
        <f t="shared" si="5"/>
        <v>-</v>
      </c>
    </row>
    <row r="11" spans="1:23" ht="15" customHeight="1" x14ac:dyDescent="0.25">
      <c r="A11" s="10">
        <v>755929010318</v>
      </c>
      <c r="B11" s="8">
        <v>1031</v>
      </c>
      <c r="C11" s="1" t="s">
        <v>10</v>
      </c>
      <c r="D11" s="7" t="s">
        <v>6</v>
      </c>
      <c r="E11" s="6">
        <v>4.6900000000000004</v>
      </c>
      <c r="F11" s="6">
        <v>2.52</v>
      </c>
      <c r="G11" s="6">
        <v>2.52</v>
      </c>
      <c r="H11" s="7">
        <v>0.5</v>
      </c>
      <c r="I11" s="6">
        <v>0.22650000000000001</v>
      </c>
      <c r="J11" s="7">
        <v>24</v>
      </c>
      <c r="K11" s="6">
        <v>12</v>
      </c>
      <c r="L11" s="7" t="s">
        <v>75</v>
      </c>
      <c r="M11" s="20">
        <v>24.8325</v>
      </c>
      <c r="N11" s="25"/>
      <c r="O11" s="21">
        <f t="shared" si="0"/>
        <v>0</v>
      </c>
      <c r="R11" s="37" t="str">
        <f t="shared" si="1"/>
        <v>-</v>
      </c>
      <c r="S11" s="37" t="str">
        <f t="shared" si="2"/>
        <v>-</v>
      </c>
      <c r="T11" s="38" t="str">
        <f t="shared" si="3"/>
        <v>-</v>
      </c>
      <c r="U11" s="39" t="str">
        <f t="shared" si="4"/>
        <v>-</v>
      </c>
      <c r="W11" s="39" t="str">
        <f t="shared" si="5"/>
        <v>-</v>
      </c>
    </row>
    <row r="12" spans="1:23" ht="15" customHeight="1" x14ac:dyDescent="0.25">
      <c r="A12" s="11">
        <v>755929010523</v>
      </c>
      <c r="B12" s="9">
        <v>1052</v>
      </c>
      <c r="C12" s="2" t="s">
        <v>13</v>
      </c>
      <c r="D12" s="14" t="s">
        <v>14</v>
      </c>
      <c r="E12" s="6">
        <v>4</v>
      </c>
      <c r="F12" s="6">
        <v>5</v>
      </c>
      <c r="G12" s="6">
        <v>3</v>
      </c>
      <c r="H12" s="7">
        <v>0.6</v>
      </c>
      <c r="I12" s="6">
        <v>0.27179999999999999</v>
      </c>
      <c r="J12" s="7">
        <v>12</v>
      </c>
      <c r="K12" s="6">
        <v>7.1999999999999993</v>
      </c>
      <c r="L12" s="7" t="s">
        <v>75</v>
      </c>
      <c r="M12" s="20">
        <v>27.5625</v>
      </c>
      <c r="N12" s="25"/>
      <c r="O12" s="21">
        <f t="shared" si="0"/>
        <v>0</v>
      </c>
      <c r="R12" s="37" t="str">
        <f t="shared" si="1"/>
        <v>-</v>
      </c>
      <c r="S12" s="37" t="str">
        <f t="shared" si="2"/>
        <v>-</v>
      </c>
      <c r="T12" s="38" t="str">
        <f t="shared" si="3"/>
        <v>-</v>
      </c>
      <c r="U12" s="39" t="str">
        <f t="shared" si="4"/>
        <v>-</v>
      </c>
      <c r="W12" s="39" t="str">
        <f t="shared" si="5"/>
        <v>-</v>
      </c>
    </row>
    <row r="13" spans="1:23" ht="15" customHeight="1" x14ac:dyDescent="0.25">
      <c r="A13" s="10">
        <v>755929010592</v>
      </c>
      <c r="B13" s="8">
        <v>1059</v>
      </c>
      <c r="C13" s="1" t="s">
        <v>15</v>
      </c>
      <c r="D13" s="8" t="s">
        <v>14</v>
      </c>
      <c r="E13" s="6">
        <v>4.25</v>
      </c>
      <c r="F13" s="6">
        <v>3.5</v>
      </c>
      <c r="G13" s="6">
        <v>3.5</v>
      </c>
      <c r="H13" s="7">
        <v>0.45</v>
      </c>
      <c r="I13" s="6">
        <v>0.20385</v>
      </c>
      <c r="J13" s="7">
        <v>12</v>
      </c>
      <c r="K13" s="6">
        <v>5.4</v>
      </c>
      <c r="L13" s="7" t="s">
        <v>78</v>
      </c>
      <c r="M13" s="20">
        <v>17.377500000000001</v>
      </c>
      <c r="N13" s="25"/>
      <c r="O13" s="21">
        <f t="shared" si="0"/>
        <v>0</v>
      </c>
      <c r="R13" s="37" t="str">
        <f t="shared" si="1"/>
        <v>-</v>
      </c>
      <c r="S13" s="37" t="str">
        <f t="shared" si="2"/>
        <v>-</v>
      </c>
      <c r="T13" s="38" t="str">
        <f t="shared" si="3"/>
        <v>-</v>
      </c>
      <c r="U13" s="39" t="str">
        <f t="shared" si="4"/>
        <v>-</v>
      </c>
      <c r="W13" s="39" t="str">
        <f t="shared" si="5"/>
        <v>-</v>
      </c>
    </row>
    <row r="14" spans="1:23" ht="15" customHeight="1" x14ac:dyDescent="0.25">
      <c r="A14" s="10">
        <v>755929010752</v>
      </c>
      <c r="B14" s="8">
        <v>1075</v>
      </c>
      <c r="C14" s="1" t="s">
        <v>16</v>
      </c>
      <c r="D14" s="7" t="s">
        <v>17</v>
      </c>
      <c r="E14" s="6">
        <v>5.13</v>
      </c>
      <c r="F14" s="6">
        <v>2.88</v>
      </c>
      <c r="G14" s="6">
        <v>2.88</v>
      </c>
      <c r="H14" s="7">
        <v>0.75</v>
      </c>
      <c r="I14" s="6">
        <v>0.33975</v>
      </c>
      <c r="J14" s="7">
        <v>12</v>
      </c>
      <c r="K14" s="6">
        <v>9</v>
      </c>
      <c r="L14" s="7" t="s">
        <v>79</v>
      </c>
      <c r="M14" s="20">
        <v>39.69</v>
      </c>
      <c r="N14" s="25"/>
      <c r="O14" s="21">
        <f t="shared" si="0"/>
        <v>0</v>
      </c>
      <c r="R14" s="37" t="str">
        <f t="shared" si="1"/>
        <v>-</v>
      </c>
      <c r="S14" s="37" t="str">
        <f t="shared" si="2"/>
        <v>-</v>
      </c>
      <c r="T14" s="38" t="str">
        <f t="shared" si="3"/>
        <v>-</v>
      </c>
      <c r="U14" s="39" t="str">
        <f t="shared" si="4"/>
        <v>-</v>
      </c>
      <c r="W14" s="39" t="str">
        <f t="shared" si="5"/>
        <v>-</v>
      </c>
    </row>
    <row r="15" spans="1:23" ht="15" customHeight="1" x14ac:dyDescent="0.25">
      <c r="A15" s="10">
        <v>755929010769</v>
      </c>
      <c r="B15" s="8">
        <v>1076</v>
      </c>
      <c r="C15" s="1" t="s">
        <v>16</v>
      </c>
      <c r="D15" s="7" t="s">
        <v>12</v>
      </c>
      <c r="E15" s="6">
        <v>4.9400000000000004</v>
      </c>
      <c r="F15" s="6">
        <v>2.95</v>
      </c>
      <c r="G15" s="6">
        <v>2.95</v>
      </c>
      <c r="H15" s="7">
        <v>0.5</v>
      </c>
      <c r="I15" s="6">
        <v>0.22650000000000001</v>
      </c>
      <c r="J15" s="7">
        <v>24</v>
      </c>
      <c r="K15" s="6">
        <v>12</v>
      </c>
      <c r="L15" s="7" t="s">
        <v>75</v>
      </c>
      <c r="M15" s="20">
        <v>29.767500000000002</v>
      </c>
      <c r="N15" s="25"/>
      <c r="O15" s="21">
        <f t="shared" si="0"/>
        <v>0</v>
      </c>
      <c r="R15" s="37" t="str">
        <f t="shared" si="1"/>
        <v>-</v>
      </c>
      <c r="S15" s="37" t="str">
        <f t="shared" si="2"/>
        <v>-</v>
      </c>
      <c r="T15" s="38" t="str">
        <f t="shared" si="3"/>
        <v>-</v>
      </c>
      <c r="U15" s="39" t="str">
        <f t="shared" si="4"/>
        <v>-</v>
      </c>
      <c r="W15" s="39" t="str">
        <f t="shared" si="5"/>
        <v>-</v>
      </c>
    </row>
    <row r="16" spans="1:23" ht="15" customHeight="1" x14ac:dyDescent="0.25">
      <c r="A16" s="10">
        <v>755929010776</v>
      </c>
      <c r="B16" s="8">
        <v>1077</v>
      </c>
      <c r="C16" s="1" t="s">
        <v>16</v>
      </c>
      <c r="D16" s="7" t="s">
        <v>5</v>
      </c>
      <c r="E16" s="6">
        <v>4.13</v>
      </c>
      <c r="F16" s="6">
        <v>2.13</v>
      </c>
      <c r="G16" s="6">
        <v>2.13</v>
      </c>
      <c r="H16" s="7">
        <v>0.3</v>
      </c>
      <c r="I16" s="6">
        <v>0.13589999999999999</v>
      </c>
      <c r="J16" s="7">
        <v>24</v>
      </c>
      <c r="K16" s="6">
        <v>7.1999999999999993</v>
      </c>
      <c r="L16" s="7" t="s">
        <v>74</v>
      </c>
      <c r="M16" s="20">
        <v>18.0075</v>
      </c>
      <c r="N16" s="25"/>
      <c r="O16" s="21">
        <f t="shared" si="0"/>
        <v>0</v>
      </c>
      <c r="R16" s="37" t="str">
        <f t="shared" si="1"/>
        <v>-</v>
      </c>
      <c r="S16" s="37" t="str">
        <f t="shared" si="2"/>
        <v>-</v>
      </c>
      <c r="T16" s="38" t="str">
        <f t="shared" si="3"/>
        <v>-</v>
      </c>
      <c r="U16" s="39" t="str">
        <f t="shared" si="4"/>
        <v>-</v>
      </c>
      <c r="W16" s="39" t="str">
        <f t="shared" si="5"/>
        <v>-</v>
      </c>
    </row>
    <row r="17" spans="1:23" ht="15" customHeight="1" x14ac:dyDescent="0.25">
      <c r="A17" s="10">
        <v>755929011025</v>
      </c>
      <c r="B17" s="8">
        <v>1102</v>
      </c>
      <c r="C17" s="1" t="s">
        <v>18</v>
      </c>
      <c r="D17" s="3" t="s">
        <v>5</v>
      </c>
      <c r="E17" s="6">
        <v>4.13</v>
      </c>
      <c r="F17" s="6">
        <v>2.13</v>
      </c>
      <c r="G17" s="6">
        <v>2.13</v>
      </c>
      <c r="H17" s="7">
        <v>0.4</v>
      </c>
      <c r="I17" s="6">
        <v>0.18120000000000003</v>
      </c>
      <c r="J17" s="7">
        <v>24</v>
      </c>
      <c r="K17" s="6">
        <v>9.6000000000000014</v>
      </c>
      <c r="L17" s="7" t="s">
        <v>74</v>
      </c>
      <c r="M17" s="20">
        <v>18.322499999999998</v>
      </c>
      <c r="N17" s="25"/>
      <c r="O17" s="21">
        <f t="shared" si="0"/>
        <v>0</v>
      </c>
      <c r="R17" s="37" t="str">
        <f t="shared" si="1"/>
        <v>-</v>
      </c>
      <c r="S17" s="37" t="str">
        <f t="shared" si="2"/>
        <v>-</v>
      </c>
      <c r="T17" s="38" t="str">
        <f t="shared" si="3"/>
        <v>-</v>
      </c>
      <c r="U17" s="39" t="str">
        <f t="shared" si="4"/>
        <v>-</v>
      </c>
      <c r="W17" s="39" t="str">
        <f t="shared" si="5"/>
        <v>-</v>
      </c>
    </row>
    <row r="18" spans="1:23" ht="15" customHeight="1" x14ac:dyDescent="0.25">
      <c r="A18" s="10">
        <v>755929011063</v>
      </c>
      <c r="B18" s="8">
        <v>1106</v>
      </c>
      <c r="C18" s="1" t="s">
        <v>89</v>
      </c>
      <c r="D18" s="3" t="s">
        <v>4</v>
      </c>
      <c r="E18" s="6">
        <v>4.13</v>
      </c>
      <c r="F18" s="6">
        <v>2.13</v>
      </c>
      <c r="G18" s="6">
        <v>2.13</v>
      </c>
      <c r="H18" s="7">
        <v>0.3</v>
      </c>
      <c r="I18" s="6">
        <v>0.13589999999999999</v>
      </c>
      <c r="J18" s="7">
        <v>24</v>
      </c>
      <c r="K18" s="6">
        <v>7.1999999999999993</v>
      </c>
      <c r="L18" s="7" t="s">
        <v>74</v>
      </c>
      <c r="M18" s="20">
        <v>13.9125</v>
      </c>
      <c r="N18" s="25"/>
      <c r="O18" s="21">
        <f t="shared" si="0"/>
        <v>0</v>
      </c>
      <c r="R18" s="37" t="str">
        <f t="shared" si="1"/>
        <v>-</v>
      </c>
      <c r="S18" s="37" t="str">
        <f t="shared" si="2"/>
        <v>-</v>
      </c>
      <c r="T18" s="38" t="str">
        <f t="shared" si="3"/>
        <v>-</v>
      </c>
      <c r="U18" s="39" t="str">
        <f t="shared" si="4"/>
        <v>-</v>
      </c>
      <c r="W18" s="39" t="str">
        <f t="shared" si="5"/>
        <v>-</v>
      </c>
    </row>
    <row r="19" spans="1:23" ht="15" customHeight="1" x14ac:dyDescent="0.25">
      <c r="A19" s="10">
        <v>755929011087</v>
      </c>
      <c r="B19" s="8">
        <v>1108</v>
      </c>
      <c r="C19" s="1" t="s">
        <v>89</v>
      </c>
      <c r="D19" s="3" t="s">
        <v>5</v>
      </c>
      <c r="E19" s="6">
        <v>3.95</v>
      </c>
      <c r="F19" s="6">
        <v>2.13</v>
      </c>
      <c r="G19" s="6">
        <v>2.13</v>
      </c>
      <c r="H19" s="7">
        <v>0.2</v>
      </c>
      <c r="I19" s="6">
        <v>9.0600000000000014E-2</v>
      </c>
      <c r="J19" s="7">
        <v>24</v>
      </c>
      <c r="K19" s="6">
        <v>4.8000000000000007</v>
      </c>
      <c r="L19" s="7" t="s">
        <v>74</v>
      </c>
      <c r="M19" s="20">
        <v>17.745000000000001</v>
      </c>
      <c r="N19" s="25"/>
      <c r="O19" s="21">
        <f t="shared" si="0"/>
        <v>0</v>
      </c>
      <c r="R19" s="37" t="str">
        <f t="shared" si="1"/>
        <v>-</v>
      </c>
      <c r="S19" s="37" t="str">
        <f t="shared" si="2"/>
        <v>-</v>
      </c>
      <c r="T19" s="38" t="str">
        <f t="shared" si="3"/>
        <v>-</v>
      </c>
      <c r="U19" s="39" t="str">
        <f t="shared" si="4"/>
        <v>-</v>
      </c>
      <c r="W19" s="39" t="str">
        <f t="shared" si="5"/>
        <v>-</v>
      </c>
    </row>
    <row r="20" spans="1:23" ht="15" customHeight="1" x14ac:dyDescent="0.25">
      <c r="A20" s="10">
        <v>755929011100</v>
      </c>
      <c r="B20" s="8">
        <v>1110</v>
      </c>
      <c r="C20" s="1" t="s">
        <v>18</v>
      </c>
      <c r="D20" s="3" t="s">
        <v>4</v>
      </c>
      <c r="E20" s="6">
        <v>3.95</v>
      </c>
      <c r="F20" s="6">
        <v>2.13</v>
      </c>
      <c r="G20" s="6">
        <v>2.13</v>
      </c>
      <c r="H20" s="7">
        <v>0.3</v>
      </c>
      <c r="I20" s="6">
        <v>0.13589999999999999</v>
      </c>
      <c r="J20" s="7">
        <v>24</v>
      </c>
      <c r="K20" s="6">
        <v>7.1999999999999993</v>
      </c>
      <c r="L20" s="7" t="s">
        <v>77</v>
      </c>
      <c r="M20" s="20">
        <v>15.277500000000002</v>
      </c>
      <c r="N20" s="25"/>
      <c r="O20" s="21">
        <f t="shared" si="0"/>
        <v>0</v>
      </c>
      <c r="R20" s="37" t="str">
        <f t="shared" si="1"/>
        <v>-</v>
      </c>
      <c r="S20" s="37" t="str">
        <f t="shared" si="2"/>
        <v>-</v>
      </c>
      <c r="T20" s="38" t="str">
        <f t="shared" si="3"/>
        <v>-</v>
      </c>
      <c r="U20" s="39" t="str">
        <f t="shared" si="4"/>
        <v>-</v>
      </c>
      <c r="W20" s="39" t="str">
        <f t="shared" si="5"/>
        <v>-</v>
      </c>
    </row>
    <row r="21" spans="1:23" ht="15" customHeight="1" x14ac:dyDescent="0.25">
      <c r="A21" s="10">
        <v>755929011209</v>
      </c>
      <c r="B21" s="8">
        <v>1120</v>
      </c>
      <c r="C21" s="1" t="s">
        <v>19</v>
      </c>
      <c r="D21" s="7" t="s">
        <v>8</v>
      </c>
      <c r="E21" s="6">
        <v>3.75</v>
      </c>
      <c r="F21" s="6">
        <v>2</v>
      </c>
      <c r="G21" s="6">
        <v>2</v>
      </c>
      <c r="H21" s="7">
        <v>0.15</v>
      </c>
      <c r="I21" s="6">
        <v>6.7949999999999997E-2</v>
      </c>
      <c r="J21" s="7">
        <v>24</v>
      </c>
      <c r="K21" s="6">
        <v>3.5999999999999996</v>
      </c>
      <c r="L21" s="7" t="s">
        <v>77</v>
      </c>
      <c r="M21" s="20">
        <v>14.647499999999999</v>
      </c>
      <c r="N21" s="25"/>
      <c r="O21" s="21">
        <f t="shared" si="0"/>
        <v>0</v>
      </c>
      <c r="R21" s="37" t="str">
        <f t="shared" si="1"/>
        <v>-</v>
      </c>
      <c r="S21" s="37" t="str">
        <f t="shared" si="2"/>
        <v>-</v>
      </c>
      <c r="T21" s="38" t="str">
        <f t="shared" si="3"/>
        <v>-</v>
      </c>
      <c r="U21" s="39" t="str">
        <f t="shared" si="4"/>
        <v>-</v>
      </c>
      <c r="W21" s="39" t="str">
        <f t="shared" si="5"/>
        <v>-</v>
      </c>
    </row>
    <row r="22" spans="1:23" ht="15" customHeight="1" x14ac:dyDescent="0.25">
      <c r="A22" s="10">
        <v>755929011216</v>
      </c>
      <c r="B22" s="8">
        <v>1121</v>
      </c>
      <c r="C22" s="1" t="s">
        <v>19</v>
      </c>
      <c r="D22" s="7" t="s">
        <v>11</v>
      </c>
      <c r="E22" s="6">
        <v>3.95</v>
      </c>
      <c r="F22" s="6">
        <v>2.13</v>
      </c>
      <c r="G22" s="6">
        <v>2.13</v>
      </c>
      <c r="H22" s="7">
        <v>0.2</v>
      </c>
      <c r="I22" s="6">
        <v>9.0600000000000014E-2</v>
      </c>
      <c r="J22" s="7">
        <v>24</v>
      </c>
      <c r="K22" s="6">
        <v>4.8000000000000007</v>
      </c>
      <c r="L22" s="7" t="s">
        <v>77</v>
      </c>
      <c r="M22" s="20">
        <v>18.322499999999998</v>
      </c>
      <c r="N22" s="25"/>
      <c r="O22" s="21">
        <f t="shared" si="0"/>
        <v>0</v>
      </c>
      <c r="R22" s="37" t="str">
        <f t="shared" si="1"/>
        <v>-</v>
      </c>
      <c r="S22" s="37" t="str">
        <f t="shared" si="2"/>
        <v>-</v>
      </c>
      <c r="T22" s="38" t="str">
        <f t="shared" si="3"/>
        <v>-</v>
      </c>
      <c r="U22" s="39" t="str">
        <f t="shared" si="4"/>
        <v>-</v>
      </c>
      <c r="W22" s="39" t="str">
        <f t="shared" si="5"/>
        <v>-</v>
      </c>
    </row>
    <row r="23" spans="1:23" ht="15" customHeight="1" x14ac:dyDescent="0.25">
      <c r="A23" s="10">
        <v>755929011223</v>
      </c>
      <c r="B23" s="8">
        <v>1122</v>
      </c>
      <c r="C23" s="1" t="s">
        <v>19</v>
      </c>
      <c r="D23" s="7" t="s">
        <v>9</v>
      </c>
      <c r="E23" s="6">
        <v>4.13</v>
      </c>
      <c r="F23" s="6">
        <v>2.13</v>
      </c>
      <c r="G23" s="6">
        <v>2.13</v>
      </c>
      <c r="H23" s="7">
        <v>0.3</v>
      </c>
      <c r="I23" s="6">
        <v>0.13589999999999999</v>
      </c>
      <c r="J23" s="7">
        <v>24</v>
      </c>
      <c r="K23" s="6">
        <v>7.1999999999999993</v>
      </c>
      <c r="L23" s="7" t="s">
        <v>74</v>
      </c>
      <c r="M23" s="20">
        <v>23.625</v>
      </c>
      <c r="N23" s="25"/>
      <c r="O23" s="21">
        <f t="shared" si="0"/>
        <v>0</v>
      </c>
      <c r="R23" s="37" t="str">
        <f t="shared" si="1"/>
        <v>-</v>
      </c>
      <c r="S23" s="37" t="str">
        <f t="shared" si="2"/>
        <v>-</v>
      </c>
      <c r="T23" s="38" t="str">
        <f t="shared" si="3"/>
        <v>-</v>
      </c>
      <c r="U23" s="39" t="str">
        <f t="shared" si="4"/>
        <v>-</v>
      </c>
      <c r="W23" s="39" t="str">
        <f t="shared" si="5"/>
        <v>-</v>
      </c>
    </row>
    <row r="24" spans="1:23" ht="15" customHeight="1" x14ac:dyDescent="0.25">
      <c r="A24" s="10">
        <v>755929011322</v>
      </c>
      <c r="B24" s="8">
        <v>1132</v>
      </c>
      <c r="C24" s="1" t="s">
        <v>20</v>
      </c>
      <c r="D24" s="7" t="s">
        <v>4</v>
      </c>
      <c r="E24" s="6">
        <v>3.75</v>
      </c>
      <c r="F24" s="6">
        <v>2</v>
      </c>
      <c r="G24" s="6">
        <v>2</v>
      </c>
      <c r="H24" s="7">
        <v>0.25</v>
      </c>
      <c r="I24" s="6">
        <v>0.11325</v>
      </c>
      <c r="J24" s="7">
        <v>24</v>
      </c>
      <c r="K24" s="6">
        <v>6</v>
      </c>
      <c r="L24" s="7" t="s">
        <v>77</v>
      </c>
      <c r="M24" s="20">
        <v>15.277500000000002</v>
      </c>
      <c r="N24" s="25"/>
      <c r="O24" s="21">
        <f t="shared" si="0"/>
        <v>0</v>
      </c>
      <c r="R24" s="37" t="str">
        <f t="shared" si="1"/>
        <v>-</v>
      </c>
      <c r="S24" s="37" t="str">
        <f t="shared" si="2"/>
        <v>-</v>
      </c>
      <c r="T24" s="38" t="str">
        <f t="shared" si="3"/>
        <v>-</v>
      </c>
      <c r="U24" s="39" t="str">
        <f t="shared" si="4"/>
        <v>-</v>
      </c>
      <c r="W24" s="39" t="str">
        <f t="shared" si="5"/>
        <v>-</v>
      </c>
    </row>
    <row r="25" spans="1:23" ht="15" customHeight="1" x14ac:dyDescent="0.25">
      <c r="A25" s="10">
        <v>755929011339</v>
      </c>
      <c r="B25" s="8">
        <v>1133</v>
      </c>
      <c r="C25" s="1" t="s">
        <v>20</v>
      </c>
      <c r="D25" s="7" t="s">
        <v>6</v>
      </c>
      <c r="E25" s="6">
        <v>4.5</v>
      </c>
      <c r="F25" s="6">
        <v>2.13</v>
      </c>
      <c r="G25" s="6">
        <v>2.13</v>
      </c>
      <c r="H25" s="7">
        <v>0.5</v>
      </c>
      <c r="I25" s="6">
        <v>0.22650000000000001</v>
      </c>
      <c r="J25" s="7">
        <v>24</v>
      </c>
      <c r="K25" s="6">
        <v>12</v>
      </c>
      <c r="L25" s="7" t="s">
        <v>75</v>
      </c>
      <c r="M25" s="20">
        <v>23.887499999999999</v>
      </c>
      <c r="N25" s="25"/>
      <c r="O25" s="21">
        <f t="shared" si="0"/>
        <v>0</v>
      </c>
      <c r="R25" s="37" t="str">
        <f t="shared" si="1"/>
        <v>-</v>
      </c>
      <c r="S25" s="37" t="str">
        <f t="shared" si="2"/>
        <v>-</v>
      </c>
      <c r="T25" s="38" t="str">
        <f t="shared" si="3"/>
        <v>-</v>
      </c>
      <c r="U25" s="39" t="str">
        <f t="shared" si="4"/>
        <v>-</v>
      </c>
      <c r="W25" s="39" t="str">
        <f t="shared" si="5"/>
        <v>-</v>
      </c>
    </row>
    <row r="26" spans="1:23" ht="15" customHeight="1" x14ac:dyDescent="0.25">
      <c r="A26" s="10">
        <v>755929011605</v>
      </c>
      <c r="B26" s="8">
        <v>1160</v>
      </c>
      <c r="C26" s="1" t="s">
        <v>21</v>
      </c>
      <c r="D26" s="7" t="s">
        <v>22</v>
      </c>
      <c r="E26" s="6">
        <v>3.95</v>
      </c>
      <c r="F26" s="6">
        <v>2.13</v>
      </c>
      <c r="G26" s="6">
        <v>2.13</v>
      </c>
      <c r="H26" s="7">
        <v>0.15</v>
      </c>
      <c r="I26" s="6">
        <v>6.7949999999999997E-2</v>
      </c>
      <c r="J26" s="7">
        <v>24</v>
      </c>
      <c r="K26" s="6">
        <v>3.5999999999999996</v>
      </c>
      <c r="L26" s="7" t="s">
        <v>77</v>
      </c>
      <c r="M26" s="20">
        <v>15.592500000000001</v>
      </c>
      <c r="N26" s="25"/>
      <c r="O26" s="21">
        <f t="shared" si="0"/>
        <v>0</v>
      </c>
      <c r="R26" s="37" t="str">
        <f t="shared" si="1"/>
        <v>-</v>
      </c>
      <c r="S26" s="37" t="str">
        <f t="shared" si="2"/>
        <v>-</v>
      </c>
      <c r="T26" s="38" t="str">
        <f t="shared" si="3"/>
        <v>-</v>
      </c>
      <c r="U26" s="39" t="str">
        <f t="shared" si="4"/>
        <v>-</v>
      </c>
      <c r="W26" s="39" t="str">
        <f t="shared" si="5"/>
        <v>-</v>
      </c>
    </row>
    <row r="27" spans="1:23" ht="15" customHeight="1" x14ac:dyDescent="0.25">
      <c r="A27" s="10">
        <v>755929011612</v>
      </c>
      <c r="B27" s="8">
        <v>1161</v>
      </c>
      <c r="C27" s="1" t="s">
        <v>21</v>
      </c>
      <c r="D27" s="7" t="s">
        <v>23</v>
      </c>
      <c r="E27" s="6">
        <v>4.6900000000000004</v>
      </c>
      <c r="F27" s="6">
        <v>2.52</v>
      </c>
      <c r="G27" s="6">
        <v>2.52</v>
      </c>
      <c r="H27" s="7">
        <v>0.3</v>
      </c>
      <c r="I27" s="6">
        <v>0.13589999999999999</v>
      </c>
      <c r="J27" s="7">
        <v>24</v>
      </c>
      <c r="K27" s="6">
        <v>7.1999999999999993</v>
      </c>
      <c r="L27" s="7" t="s">
        <v>75</v>
      </c>
      <c r="M27" s="20">
        <v>21.734999999999996</v>
      </c>
      <c r="N27" s="25"/>
      <c r="O27" s="21">
        <f t="shared" si="0"/>
        <v>0</v>
      </c>
      <c r="R27" s="37" t="str">
        <f t="shared" si="1"/>
        <v>-</v>
      </c>
      <c r="S27" s="37" t="str">
        <f t="shared" si="2"/>
        <v>-</v>
      </c>
      <c r="T27" s="38" t="str">
        <f t="shared" si="3"/>
        <v>-</v>
      </c>
      <c r="U27" s="39" t="str">
        <f t="shared" si="4"/>
        <v>-</v>
      </c>
      <c r="W27" s="39" t="str">
        <f t="shared" si="5"/>
        <v>-</v>
      </c>
    </row>
    <row r="28" spans="1:23" ht="15" customHeight="1" x14ac:dyDescent="0.25">
      <c r="A28" s="10">
        <v>755929011674</v>
      </c>
      <c r="B28" s="8">
        <v>1167</v>
      </c>
      <c r="C28" s="1" t="s">
        <v>84</v>
      </c>
      <c r="D28" s="7" t="s">
        <v>5</v>
      </c>
      <c r="E28" s="6">
        <v>4.13</v>
      </c>
      <c r="F28" s="6">
        <v>2.13</v>
      </c>
      <c r="G28" s="6">
        <v>2.13</v>
      </c>
      <c r="H28" s="7">
        <v>0.2</v>
      </c>
      <c r="I28" s="6">
        <v>9.0600000000000014E-2</v>
      </c>
      <c r="J28" s="7">
        <v>24</v>
      </c>
      <c r="K28" s="6">
        <v>4.8000000000000007</v>
      </c>
      <c r="L28" s="7" t="s">
        <v>74</v>
      </c>
      <c r="M28" s="20">
        <v>21.997499999999995</v>
      </c>
      <c r="N28" s="25"/>
      <c r="O28" s="21">
        <f t="shared" si="0"/>
        <v>0</v>
      </c>
      <c r="R28" s="37" t="str">
        <f t="shared" si="1"/>
        <v>-</v>
      </c>
      <c r="S28" s="37" t="str">
        <f t="shared" si="2"/>
        <v>-</v>
      </c>
      <c r="T28" s="38" t="str">
        <f t="shared" si="3"/>
        <v>-</v>
      </c>
      <c r="U28" s="39" t="str">
        <f t="shared" si="4"/>
        <v>-</v>
      </c>
      <c r="W28" s="39" t="str">
        <f t="shared" si="5"/>
        <v>-</v>
      </c>
    </row>
    <row r="29" spans="1:23" ht="15" customHeight="1" x14ac:dyDescent="0.25">
      <c r="A29" s="10">
        <v>755929011681</v>
      </c>
      <c r="B29" s="8">
        <v>1168</v>
      </c>
      <c r="C29" s="1" t="s">
        <v>84</v>
      </c>
      <c r="D29" s="7" t="s">
        <v>12</v>
      </c>
      <c r="E29" s="6">
        <v>4.9400000000000004</v>
      </c>
      <c r="F29" s="6">
        <v>2.95</v>
      </c>
      <c r="G29" s="6">
        <v>2.95</v>
      </c>
      <c r="H29" s="7">
        <v>0.4</v>
      </c>
      <c r="I29" s="6">
        <v>0.18120000000000003</v>
      </c>
      <c r="J29" s="7">
        <v>24</v>
      </c>
      <c r="K29" s="6">
        <v>9.6000000000000014</v>
      </c>
      <c r="L29" s="7" t="s">
        <v>75</v>
      </c>
      <c r="M29" s="20">
        <v>35.069999999999993</v>
      </c>
      <c r="N29" s="25"/>
      <c r="O29" s="21">
        <f t="shared" si="0"/>
        <v>0</v>
      </c>
      <c r="R29" s="37" t="str">
        <f t="shared" si="1"/>
        <v>-</v>
      </c>
      <c r="S29" s="37" t="str">
        <f t="shared" si="2"/>
        <v>-</v>
      </c>
      <c r="T29" s="38" t="str">
        <f t="shared" si="3"/>
        <v>-</v>
      </c>
      <c r="U29" s="39" t="str">
        <f t="shared" si="4"/>
        <v>-</v>
      </c>
      <c r="W29" s="39" t="str">
        <f t="shared" si="5"/>
        <v>-</v>
      </c>
    </row>
    <row r="30" spans="1:23" ht="15" customHeight="1" x14ac:dyDescent="0.25">
      <c r="A30" s="10">
        <v>755929011698</v>
      </c>
      <c r="B30" s="8">
        <v>1169</v>
      </c>
      <c r="C30" s="1" t="s">
        <v>84</v>
      </c>
      <c r="D30" s="7" t="s">
        <v>17</v>
      </c>
      <c r="E30" s="6">
        <v>5.13</v>
      </c>
      <c r="F30" s="6">
        <v>2.88</v>
      </c>
      <c r="G30" s="6">
        <v>2.88</v>
      </c>
      <c r="H30" s="7">
        <v>0.55000000000000004</v>
      </c>
      <c r="I30" s="6">
        <v>0.24915000000000004</v>
      </c>
      <c r="J30" s="7">
        <v>12</v>
      </c>
      <c r="K30" s="6">
        <v>6.6000000000000005</v>
      </c>
      <c r="L30" s="7" t="s">
        <v>79</v>
      </c>
      <c r="M30" s="20">
        <v>49.97999999999999</v>
      </c>
      <c r="N30" s="25"/>
      <c r="O30" s="21">
        <f t="shared" si="0"/>
        <v>0</v>
      </c>
      <c r="R30" s="37" t="str">
        <f t="shared" si="1"/>
        <v>-</v>
      </c>
      <c r="S30" s="37" t="str">
        <f t="shared" si="2"/>
        <v>-</v>
      </c>
      <c r="T30" s="38" t="str">
        <f t="shared" si="3"/>
        <v>-</v>
      </c>
      <c r="U30" s="39" t="str">
        <f t="shared" si="4"/>
        <v>-</v>
      </c>
      <c r="W30" s="39" t="str">
        <f t="shared" si="5"/>
        <v>-</v>
      </c>
    </row>
    <row r="31" spans="1:23" ht="15" customHeight="1" x14ac:dyDescent="0.25">
      <c r="A31" s="10">
        <v>755929011704</v>
      </c>
      <c r="B31" s="8">
        <v>1170</v>
      </c>
      <c r="C31" s="1" t="s">
        <v>84</v>
      </c>
      <c r="D31" s="7" t="s">
        <v>24</v>
      </c>
      <c r="E31" s="6">
        <v>7.75</v>
      </c>
      <c r="F31" s="6">
        <v>3.5</v>
      </c>
      <c r="G31" s="6">
        <v>3.5</v>
      </c>
      <c r="H31" s="7">
        <v>1.85</v>
      </c>
      <c r="I31" s="6">
        <v>0.83805000000000007</v>
      </c>
      <c r="J31" s="7">
        <v>4</v>
      </c>
      <c r="K31" s="6">
        <v>7.4</v>
      </c>
      <c r="L31" s="7" t="s">
        <v>78</v>
      </c>
      <c r="M31" s="20">
        <v>133.13999999999999</v>
      </c>
      <c r="N31" s="25"/>
      <c r="O31" s="21">
        <f t="shared" si="0"/>
        <v>0</v>
      </c>
      <c r="R31" s="37" t="str">
        <f t="shared" si="1"/>
        <v>-</v>
      </c>
      <c r="S31" s="37" t="str">
        <f t="shared" si="2"/>
        <v>-</v>
      </c>
      <c r="T31" s="38" t="str">
        <f t="shared" si="3"/>
        <v>-</v>
      </c>
      <c r="U31" s="39" t="str">
        <f t="shared" si="4"/>
        <v>-</v>
      </c>
      <c r="W31" s="39" t="str">
        <f t="shared" si="5"/>
        <v>-</v>
      </c>
    </row>
    <row r="32" spans="1:23" ht="15" customHeight="1" x14ac:dyDescent="0.25">
      <c r="A32" s="10">
        <v>755929011780</v>
      </c>
      <c r="B32" s="8">
        <v>1178</v>
      </c>
      <c r="C32" s="1" t="s">
        <v>27</v>
      </c>
      <c r="D32" s="7" t="s">
        <v>8</v>
      </c>
      <c r="E32" s="6">
        <v>3.95</v>
      </c>
      <c r="F32" s="6">
        <v>2.13</v>
      </c>
      <c r="G32" s="6">
        <v>2.13</v>
      </c>
      <c r="H32" s="7">
        <v>0.15</v>
      </c>
      <c r="I32" s="6">
        <v>6.7949999999999997E-2</v>
      </c>
      <c r="J32" s="7">
        <v>24</v>
      </c>
      <c r="K32" s="6">
        <v>3.5999999999999996</v>
      </c>
      <c r="L32" s="7" t="s">
        <v>77</v>
      </c>
      <c r="M32" s="20">
        <v>15.277500000000002</v>
      </c>
      <c r="N32" s="25"/>
      <c r="O32" s="21">
        <f t="shared" si="0"/>
        <v>0</v>
      </c>
      <c r="R32" s="37" t="str">
        <f t="shared" si="1"/>
        <v>-</v>
      </c>
      <c r="S32" s="37" t="str">
        <f t="shared" si="2"/>
        <v>-</v>
      </c>
      <c r="T32" s="38" t="str">
        <f t="shared" si="3"/>
        <v>-</v>
      </c>
      <c r="U32" s="39" t="str">
        <f t="shared" si="4"/>
        <v>-</v>
      </c>
      <c r="W32" s="39" t="str">
        <f t="shared" si="5"/>
        <v>-</v>
      </c>
    </row>
    <row r="33" spans="1:23" ht="15" customHeight="1" x14ac:dyDescent="0.25">
      <c r="A33" s="10">
        <v>755929011797</v>
      </c>
      <c r="B33" s="8">
        <v>1179</v>
      </c>
      <c r="C33" s="1" t="s">
        <v>27</v>
      </c>
      <c r="D33" s="7" t="s">
        <v>9</v>
      </c>
      <c r="E33" s="6">
        <v>4.6900000000000004</v>
      </c>
      <c r="F33" s="6">
        <v>2.52</v>
      </c>
      <c r="G33" s="6">
        <v>2.52</v>
      </c>
      <c r="H33" s="7">
        <v>0.3</v>
      </c>
      <c r="I33" s="6">
        <v>0.13589999999999999</v>
      </c>
      <c r="J33" s="7">
        <v>24</v>
      </c>
      <c r="K33" s="6">
        <v>7.1999999999999993</v>
      </c>
      <c r="L33" s="7" t="s">
        <v>75</v>
      </c>
      <c r="M33" s="20">
        <v>26.092500000000001</v>
      </c>
      <c r="N33" s="25"/>
      <c r="O33" s="21">
        <f t="shared" si="0"/>
        <v>0</v>
      </c>
      <c r="R33" s="37" t="str">
        <f t="shared" si="1"/>
        <v>-</v>
      </c>
      <c r="S33" s="37" t="str">
        <f t="shared" si="2"/>
        <v>-</v>
      </c>
      <c r="T33" s="38" t="str">
        <f t="shared" si="3"/>
        <v>-</v>
      </c>
      <c r="U33" s="39" t="str">
        <f t="shared" si="4"/>
        <v>-</v>
      </c>
      <c r="W33" s="39" t="str">
        <f t="shared" si="5"/>
        <v>-</v>
      </c>
    </row>
    <row r="34" spans="1:23" ht="15" customHeight="1" x14ac:dyDescent="0.25">
      <c r="A34" s="10">
        <v>755929011902</v>
      </c>
      <c r="B34" s="8">
        <v>1190</v>
      </c>
      <c r="C34" s="1" t="s">
        <v>28</v>
      </c>
      <c r="D34" s="7" t="s">
        <v>5</v>
      </c>
      <c r="E34" s="6">
        <v>4.9400000000000004</v>
      </c>
      <c r="F34" s="6">
        <v>2.95</v>
      </c>
      <c r="G34" s="6">
        <v>2.95</v>
      </c>
      <c r="H34" s="7">
        <v>0.4</v>
      </c>
      <c r="I34" s="6">
        <v>0.18120000000000003</v>
      </c>
      <c r="J34" s="7">
        <v>24</v>
      </c>
      <c r="K34" s="6">
        <v>10.4</v>
      </c>
      <c r="L34" s="7" t="s">
        <v>75</v>
      </c>
      <c r="M34" s="20">
        <v>20.317499999999999</v>
      </c>
      <c r="N34" s="25"/>
      <c r="O34" s="21">
        <f t="shared" si="0"/>
        <v>0</v>
      </c>
      <c r="R34" s="37" t="str">
        <f t="shared" si="1"/>
        <v>-</v>
      </c>
      <c r="S34" s="37" t="str">
        <f t="shared" si="2"/>
        <v>-</v>
      </c>
      <c r="T34" s="38" t="str">
        <f t="shared" si="3"/>
        <v>-</v>
      </c>
      <c r="U34" s="39" t="str">
        <f t="shared" si="4"/>
        <v>-</v>
      </c>
      <c r="W34" s="39" t="str">
        <f t="shared" si="5"/>
        <v>-</v>
      </c>
    </row>
    <row r="35" spans="1:23" ht="15" customHeight="1" x14ac:dyDescent="0.25">
      <c r="A35" s="10">
        <v>755929011919</v>
      </c>
      <c r="B35" s="8">
        <v>1191</v>
      </c>
      <c r="C35" s="1" t="s">
        <v>28</v>
      </c>
      <c r="D35" s="7" t="s">
        <v>12</v>
      </c>
      <c r="E35" s="6">
        <v>5.13</v>
      </c>
      <c r="F35" s="6">
        <v>2.88</v>
      </c>
      <c r="G35" s="6">
        <v>2.88</v>
      </c>
      <c r="H35" s="7">
        <v>0.8</v>
      </c>
      <c r="I35" s="6">
        <v>0.36240000000000006</v>
      </c>
      <c r="J35" s="7">
        <v>12</v>
      </c>
      <c r="K35" s="6">
        <v>9.6</v>
      </c>
      <c r="L35" s="7" t="s">
        <v>79</v>
      </c>
      <c r="M35" s="20">
        <v>31.867500000000003</v>
      </c>
      <c r="N35" s="25"/>
      <c r="O35" s="21">
        <f t="shared" si="0"/>
        <v>0</v>
      </c>
      <c r="R35" s="37" t="str">
        <f t="shared" si="1"/>
        <v>-</v>
      </c>
      <c r="S35" s="37" t="str">
        <f t="shared" si="2"/>
        <v>-</v>
      </c>
      <c r="T35" s="38" t="str">
        <f t="shared" si="3"/>
        <v>-</v>
      </c>
      <c r="U35" s="39" t="str">
        <f t="shared" si="4"/>
        <v>-</v>
      </c>
      <c r="W35" s="39" t="str">
        <f t="shared" si="5"/>
        <v>-</v>
      </c>
    </row>
    <row r="36" spans="1:23" ht="15" customHeight="1" x14ac:dyDescent="0.25">
      <c r="A36" s="10">
        <v>755929011926</v>
      </c>
      <c r="B36" s="8">
        <v>1192</v>
      </c>
      <c r="C36" s="1" t="s">
        <v>28</v>
      </c>
      <c r="D36" s="7" t="s">
        <v>4</v>
      </c>
      <c r="E36" s="6">
        <v>3.95</v>
      </c>
      <c r="F36" s="6">
        <v>2.13</v>
      </c>
      <c r="G36" s="6">
        <v>2.13</v>
      </c>
      <c r="H36" s="7">
        <v>0.3</v>
      </c>
      <c r="I36" s="6">
        <v>0.13589999999999999</v>
      </c>
      <c r="J36" s="7">
        <v>24</v>
      </c>
      <c r="K36" s="6">
        <v>7.1999999999999993</v>
      </c>
      <c r="L36" s="7" t="s">
        <v>77</v>
      </c>
      <c r="M36" s="20">
        <v>16.852499999999999</v>
      </c>
      <c r="N36" s="25"/>
      <c r="O36" s="21">
        <f t="shared" si="0"/>
        <v>0</v>
      </c>
      <c r="R36" s="37" t="str">
        <f t="shared" si="1"/>
        <v>-</v>
      </c>
      <c r="S36" s="37" t="str">
        <f t="shared" si="2"/>
        <v>-</v>
      </c>
      <c r="T36" s="38" t="str">
        <f t="shared" si="3"/>
        <v>-</v>
      </c>
      <c r="U36" s="39" t="str">
        <f t="shared" si="4"/>
        <v>-</v>
      </c>
      <c r="W36" s="39" t="str">
        <f t="shared" si="5"/>
        <v>-</v>
      </c>
    </row>
    <row r="37" spans="1:23" ht="15" customHeight="1" x14ac:dyDescent="0.25">
      <c r="A37" s="10">
        <v>755929012053</v>
      </c>
      <c r="B37" s="8">
        <v>1205</v>
      </c>
      <c r="C37" s="1" t="s">
        <v>59</v>
      </c>
      <c r="D37" s="3" t="s">
        <v>5</v>
      </c>
      <c r="E37" s="6">
        <v>4.13</v>
      </c>
      <c r="F37" s="6">
        <v>2.13</v>
      </c>
      <c r="G37" s="6">
        <v>2.13</v>
      </c>
      <c r="H37" s="7">
        <v>0.3</v>
      </c>
      <c r="I37" s="6">
        <v>0.13589999999999999</v>
      </c>
      <c r="J37" s="7">
        <v>24</v>
      </c>
      <c r="K37" s="6">
        <v>7.1999999999999993</v>
      </c>
      <c r="L37" s="7" t="s">
        <v>74</v>
      </c>
      <c r="M37" s="20">
        <v>19.53</v>
      </c>
      <c r="N37" s="25"/>
      <c r="O37" s="21">
        <f t="shared" si="0"/>
        <v>0</v>
      </c>
      <c r="R37" s="37" t="str">
        <f t="shared" si="1"/>
        <v>-</v>
      </c>
      <c r="S37" s="37" t="str">
        <f t="shared" si="2"/>
        <v>-</v>
      </c>
      <c r="T37" s="38" t="str">
        <f t="shared" si="3"/>
        <v>-</v>
      </c>
      <c r="U37" s="39" t="str">
        <f t="shared" si="4"/>
        <v>-</v>
      </c>
      <c r="W37" s="39" t="str">
        <f t="shared" si="5"/>
        <v>-</v>
      </c>
    </row>
    <row r="38" spans="1:23" ht="15" customHeight="1" x14ac:dyDescent="0.25">
      <c r="A38" s="10">
        <v>755929012060</v>
      </c>
      <c r="B38" s="8">
        <v>1206</v>
      </c>
      <c r="C38" s="1" t="s">
        <v>60</v>
      </c>
      <c r="D38" s="3" t="s">
        <v>12</v>
      </c>
      <c r="E38" s="6">
        <v>4.9400000000000004</v>
      </c>
      <c r="F38" s="6">
        <v>2.95</v>
      </c>
      <c r="G38" s="6">
        <v>2.95</v>
      </c>
      <c r="H38" s="7">
        <v>0.55000000000000004</v>
      </c>
      <c r="I38" s="6">
        <v>0.24915000000000004</v>
      </c>
      <c r="J38" s="7">
        <v>24</v>
      </c>
      <c r="K38" s="6">
        <v>13.200000000000001</v>
      </c>
      <c r="L38" s="7" t="s">
        <v>75</v>
      </c>
      <c r="M38" s="20">
        <v>30.712499999999999</v>
      </c>
      <c r="N38" s="25"/>
      <c r="O38" s="21">
        <f t="shared" si="0"/>
        <v>0</v>
      </c>
      <c r="R38" s="37" t="str">
        <f t="shared" si="1"/>
        <v>-</v>
      </c>
      <c r="S38" s="37" t="str">
        <f t="shared" si="2"/>
        <v>-</v>
      </c>
      <c r="T38" s="38" t="str">
        <f t="shared" si="3"/>
        <v>-</v>
      </c>
      <c r="U38" s="39" t="str">
        <f t="shared" si="4"/>
        <v>-</v>
      </c>
      <c r="W38" s="39" t="str">
        <f t="shared" si="5"/>
        <v>-</v>
      </c>
    </row>
    <row r="39" spans="1:23" ht="15" customHeight="1" x14ac:dyDescent="0.25">
      <c r="A39" s="10">
        <v>755929012121</v>
      </c>
      <c r="B39" s="8">
        <v>1212</v>
      </c>
      <c r="C39" s="1" t="s">
        <v>29</v>
      </c>
      <c r="D39" s="15" t="s">
        <v>30</v>
      </c>
      <c r="E39" s="6">
        <v>4.13</v>
      </c>
      <c r="F39" s="6">
        <v>2.13</v>
      </c>
      <c r="G39" s="6">
        <v>2.13</v>
      </c>
      <c r="H39" s="7">
        <v>0.3</v>
      </c>
      <c r="I39" s="6">
        <v>0.13589999999999999</v>
      </c>
      <c r="J39" s="7">
        <v>24</v>
      </c>
      <c r="K39" s="6">
        <v>7.1999999999999993</v>
      </c>
      <c r="L39" s="7" t="s">
        <v>74</v>
      </c>
      <c r="M39" s="20">
        <v>12.7575</v>
      </c>
      <c r="N39" s="25"/>
      <c r="O39" s="21">
        <f t="shared" si="0"/>
        <v>0</v>
      </c>
      <c r="R39" s="37" t="str">
        <f t="shared" si="1"/>
        <v>-</v>
      </c>
      <c r="S39" s="37" t="str">
        <f t="shared" si="2"/>
        <v>-</v>
      </c>
      <c r="T39" s="38" t="str">
        <f t="shared" si="3"/>
        <v>-</v>
      </c>
      <c r="U39" s="39" t="str">
        <f t="shared" si="4"/>
        <v>-</v>
      </c>
      <c r="W39" s="39" t="str">
        <f t="shared" si="5"/>
        <v>-</v>
      </c>
    </row>
    <row r="40" spans="1:23" ht="15" customHeight="1" x14ac:dyDescent="0.25">
      <c r="A40" s="10">
        <v>755929012138</v>
      </c>
      <c r="B40" s="8">
        <v>1213</v>
      </c>
      <c r="C40" s="1" t="s">
        <v>29</v>
      </c>
      <c r="D40" s="15" t="s">
        <v>31</v>
      </c>
      <c r="E40" s="6">
        <v>4.5</v>
      </c>
      <c r="F40" s="6">
        <v>2.13</v>
      </c>
      <c r="G40" s="6">
        <v>2.13</v>
      </c>
      <c r="H40" s="7">
        <v>0.45</v>
      </c>
      <c r="I40" s="6">
        <v>0.20385</v>
      </c>
      <c r="J40" s="7">
        <v>24</v>
      </c>
      <c r="K40" s="6">
        <v>10.8</v>
      </c>
      <c r="L40" s="7" t="s">
        <v>75</v>
      </c>
      <c r="M40" s="20">
        <v>16.537499999999998</v>
      </c>
      <c r="N40" s="25"/>
      <c r="O40" s="21">
        <f t="shared" si="0"/>
        <v>0</v>
      </c>
      <c r="R40" s="37" t="str">
        <f t="shared" si="1"/>
        <v>-</v>
      </c>
      <c r="S40" s="37" t="str">
        <f t="shared" si="2"/>
        <v>-</v>
      </c>
      <c r="T40" s="38" t="str">
        <f t="shared" si="3"/>
        <v>-</v>
      </c>
      <c r="U40" s="39" t="str">
        <f t="shared" si="4"/>
        <v>-</v>
      </c>
      <c r="W40" s="39" t="str">
        <f t="shared" si="5"/>
        <v>-</v>
      </c>
    </row>
    <row r="41" spans="1:23" ht="15" customHeight="1" x14ac:dyDescent="0.25">
      <c r="A41" s="10">
        <v>755929012237</v>
      </c>
      <c r="B41" s="8">
        <v>1223</v>
      </c>
      <c r="C41" s="1" t="s">
        <v>32</v>
      </c>
      <c r="D41" s="15" t="s">
        <v>4</v>
      </c>
      <c r="E41" s="6">
        <v>4.13</v>
      </c>
      <c r="F41" s="6">
        <v>2.13</v>
      </c>
      <c r="G41" s="6">
        <v>2.13</v>
      </c>
      <c r="H41" s="7">
        <v>0.35</v>
      </c>
      <c r="I41" s="6">
        <v>0.15855</v>
      </c>
      <c r="J41" s="7">
        <v>24</v>
      </c>
      <c r="K41" s="6">
        <v>8.3999999999999986</v>
      </c>
      <c r="L41" s="7" t="s">
        <v>74</v>
      </c>
      <c r="M41" s="20">
        <v>14.3325</v>
      </c>
      <c r="N41" s="25"/>
      <c r="O41" s="21">
        <f t="shared" si="0"/>
        <v>0</v>
      </c>
      <c r="R41" s="37" t="str">
        <f t="shared" si="1"/>
        <v>-</v>
      </c>
      <c r="S41" s="37" t="str">
        <f t="shared" si="2"/>
        <v>-</v>
      </c>
      <c r="T41" s="38" t="str">
        <f t="shared" si="3"/>
        <v>-</v>
      </c>
      <c r="U41" s="39" t="str">
        <f t="shared" si="4"/>
        <v>-</v>
      </c>
      <c r="W41" s="39" t="str">
        <f t="shared" si="5"/>
        <v>-</v>
      </c>
    </row>
    <row r="42" spans="1:23" ht="15" customHeight="1" x14ac:dyDescent="0.25">
      <c r="A42" s="10">
        <v>755929012244</v>
      </c>
      <c r="B42" s="8">
        <v>1224</v>
      </c>
      <c r="C42" s="1" t="s">
        <v>32</v>
      </c>
      <c r="D42" s="15" t="s">
        <v>5</v>
      </c>
      <c r="E42" s="6">
        <v>4.6900000000000004</v>
      </c>
      <c r="F42" s="6">
        <v>2.52</v>
      </c>
      <c r="G42" s="6">
        <v>2.52</v>
      </c>
      <c r="H42" s="7">
        <v>0.45</v>
      </c>
      <c r="I42" s="6">
        <v>0.20385</v>
      </c>
      <c r="J42" s="7">
        <v>24</v>
      </c>
      <c r="K42" s="6">
        <v>10.8</v>
      </c>
      <c r="L42" s="7" t="s">
        <v>74</v>
      </c>
      <c r="M42" s="20">
        <v>18.637499999999999</v>
      </c>
      <c r="N42" s="25"/>
      <c r="O42" s="21">
        <f t="shared" si="0"/>
        <v>0</v>
      </c>
      <c r="R42" s="37" t="str">
        <f t="shared" si="1"/>
        <v>-</v>
      </c>
      <c r="S42" s="37" t="str">
        <f t="shared" si="2"/>
        <v>-</v>
      </c>
      <c r="T42" s="38" t="str">
        <f t="shared" si="3"/>
        <v>-</v>
      </c>
      <c r="U42" s="39" t="str">
        <f t="shared" si="4"/>
        <v>-</v>
      </c>
      <c r="W42" s="39" t="str">
        <f t="shared" si="5"/>
        <v>-</v>
      </c>
    </row>
    <row r="43" spans="1:23" ht="15" customHeight="1" x14ac:dyDescent="0.25">
      <c r="A43" s="10">
        <v>755929012251</v>
      </c>
      <c r="B43" s="8">
        <v>1225</v>
      </c>
      <c r="C43" s="1" t="s">
        <v>32</v>
      </c>
      <c r="D43" s="15" t="s">
        <v>6</v>
      </c>
      <c r="E43" s="6">
        <v>5.13</v>
      </c>
      <c r="F43" s="6">
        <v>2.88</v>
      </c>
      <c r="G43" s="6">
        <v>2.88</v>
      </c>
      <c r="H43" s="7">
        <v>0.6</v>
      </c>
      <c r="I43" s="6">
        <v>0.27179999999999999</v>
      </c>
      <c r="J43" s="7">
        <v>24</v>
      </c>
      <c r="K43" s="6">
        <v>14.399999999999999</v>
      </c>
      <c r="L43" s="7" t="s">
        <v>79</v>
      </c>
      <c r="M43" s="20">
        <v>23.887499999999999</v>
      </c>
      <c r="N43" s="25"/>
      <c r="O43" s="21">
        <f t="shared" si="0"/>
        <v>0</v>
      </c>
      <c r="R43" s="37" t="str">
        <f t="shared" si="1"/>
        <v>-</v>
      </c>
      <c r="S43" s="37" t="str">
        <f t="shared" si="2"/>
        <v>-</v>
      </c>
      <c r="T43" s="38" t="str">
        <f t="shared" si="3"/>
        <v>-</v>
      </c>
      <c r="U43" s="39" t="str">
        <f t="shared" si="4"/>
        <v>-</v>
      </c>
      <c r="W43" s="39" t="str">
        <f t="shared" si="5"/>
        <v>-</v>
      </c>
    </row>
    <row r="44" spans="1:23" ht="15" customHeight="1" x14ac:dyDescent="0.25">
      <c r="A44" s="10">
        <v>755929012565</v>
      </c>
      <c r="B44" s="8">
        <v>1256</v>
      </c>
      <c r="C44" s="1" t="s">
        <v>33</v>
      </c>
      <c r="D44" s="7" t="s">
        <v>4</v>
      </c>
      <c r="E44" s="6">
        <v>3.75</v>
      </c>
      <c r="F44" s="6">
        <v>2</v>
      </c>
      <c r="G44" s="6">
        <v>2</v>
      </c>
      <c r="H44" s="7">
        <v>0.2</v>
      </c>
      <c r="I44" s="6">
        <v>9.0600000000000014E-2</v>
      </c>
      <c r="J44" s="7">
        <v>24</v>
      </c>
      <c r="K44" s="6">
        <v>4.8000000000000007</v>
      </c>
      <c r="L44" s="7" t="s">
        <v>77</v>
      </c>
      <c r="M44" s="20">
        <v>14.647499999999999</v>
      </c>
      <c r="N44" s="25"/>
      <c r="O44" s="21">
        <f t="shared" si="0"/>
        <v>0</v>
      </c>
      <c r="R44" s="37" t="str">
        <f t="shared" si="1"/>
        <v>-</v>
      </c>
      <c r="S44" s="37" t="str">
        <f t="shared" si="2"/>
        <v>-</v>
      </c>
      <c r="T44" s="38" t="str">
        <f t="shared" si="3"/>
        <v>-</v>
      </c>
      <c r="U44" s="39" t="str">
        <f t="shared" si="4"/>
        <v>-</v>
      </c>
      <c r="W44" s="39" t="str">
        <f t="shared" si="5"/>
        <v>-</v>
      </c>
    </row>
    <row r="45" spans="1:23" ht="15" customHeight="1" x14ac:dyDescent="0.25">
      <c r="A45" s="10">
        <v>755929012572</v>
      </c>
      <c r="B45" s="8">
        <v>1257</v>
      </c>
      <c r="C45" s="1" t="s">
        <v>33</v>
      </c>
      <c r="D45" s="7" t="s">
        <v>6</v>
      </c>
      <c r="E45" s="6">
        <v>4.13</v>
      </c>
      <c r="F45" s="6">
        <v>2.13</v>
      </c>
      <c r="G45" s="6">
        <v>2.13</v>
      </c>
      <c r="H45" s="7">
        <v>0.4</v>
      </c>
      <c r="I45" s="6">
        <v>0.18120000000000003</v>
      </c>
      <c r="J45" s="7">
        <v>24</v>
      </c>
      <c r="K45" s="6">
        <v>9.6000000000000014</v>
      </c>
      <c r="L45" s="7" t="s">
        <v>74</v>
      </c>
      <c r="M45" s="20">
        <v>23.362499999999997</v>
      </c>
      <c r="N45" s="25"/>
      <c r="O45" s="21">
        <f t="shared" si="0"/>
        <v>0</v>
      </c>
      <c r="R45" s="37" t="str">
        <f t="shared" si="1"/>
        <v>-</v>
      </c>
      <c r="S45" s="37" t="str">
        <f t="shared" si="2"/>
        <v>-</v>
      </c>
      <c r="T45" s="38" t="str">
        <f t="shared" si="3"/>
        <v>-</v>
      </c>
      <c r="U45" s="39" t="str">
        <f t="shared" si="4"/>
        <v>-</v>
      </c>
      <c r="W45" s="39" t="str">
        <f t="shared" si="5"/>
        <v>-</v>
      </c>
    </row>
    <row r="46" spans="1:23" ht="15" customHeight="1" x14ac:dyDescent="0.25">
      <c r="A46" s="10">
        <v>755929012701</v>
      </c>
      <c r="B46" s="8">
        <v>1270</v>
      </c>
      <c r="C46" s="1" t="s">
        <v>34</v>
      </c>
      <c r="D46" s="7" t="s">
        <v>4</v>
      </c>
      <c r="E46" s="6">
        <v>3.95</v>
      </c>
      <c r="F46" s="6">
        <v>2.13</v>
      </c>
      <c r="G46" s="6">
        <v>2.13</v>
      </c>
      <c r="H46" s="7">
        <v>0.3</v>
      </c>
      <c r="I46" s="6">
        <v>0.13589999999999999</v>
      </c>
      <c r="J46" s="7">
        <v>24</v>
      </c>
      <c r="K46" s="6">
        <v>7.1999999999999993</v>
      </c>
      <c r="L46" s="7" t="s">
        <v>77</v>
      </c>
      <c r="M46" s="20">
        <v>22.942500000000003</v>
      </c>
      <c r="N46" s="25"/>
      <c r="O46" s="21">
        <f t="shared" si="0"/>
        <v>0</v>
      </c>
      <c r="R46" s="37" t="str">
        <f t="shared" si="1"/>
        <v>-</v>
      </c>
      <c r="S46" s="37" t="str">
        <f t="shared" si="2"/>
        <v>-</v>
      </c>
      <c r="T46" s="38" t="str">
        <f t="shared" si="3"/>
        <v>-</v>
      </c>
      <c r="U46" s="39" t="str">
        <f t="shared" si="4"/>
        <v>-</v>
      </c>
      <c r="W46" s="39" t="str">
        <f t="shared" si="5"/>
        <v>-</v>
      </c>
    </row>
    <row r="47" spans="1:23" ht="15" customHeight="1" x14ac:dyDescent="0.25">
      <c r="A47" s="10">
        <v>755929012718</v>
      </c>
      <c r="B47" s="8">
        <v>1271</v>
      </c>
      <c r="C47" s="1" t="s">
        <v>35</v>
      </c>
      <c r="D47" s="7" t="s">
        <v>4</v>
      </c>
      <c r="E47" s="6">
        <v>3.95</v>
      </c>
      <c r="F47" s="6">
        <v>2.13</v>
      </c>
      <c r="G47" s="6">
        <v>2.13</v>
      </c>
      <c r="H47" s="7">
        <v>0.35</v>
      </c>
      <c r="I47" s="6">
        <v>0.15855</v>
      </c>
      <c r="J47" s="7">
        <v>24</v>
      </c>
      <c r="K47" s="6">
        <v>8.3999999999999986</v>
      </c>
      <c r="L47" s="7" t="s">
        <v>77</v>
      </c>
      <c r="M47" s="20">
        <v>23.362499999999997</v>
      </c>
      <c r="N47" s="25"/>
      <c r="O47" s="21">
        <f t="shared" si="0"/>
        <v>0</v>
      </c>
      <c r="R47" s="37" t="str">
        <f t="shared" si="1"/>
        <v>-</v>
      </c>
      <c r="S47" s="37" t="str">
        <f t="shared" si="2"/>
        <v>-</v>
      </c>
      <c r="T47" s="38" t="str">
        <f t="shared" si="3"/>
        <v>-</v>
      </c>
      <c r="U47" s="39" t="str">
        <f t="shared" si="4"/>
        <v>-</v>
      </c>
      <c r="W47" s="39" t="str">
        <f t="shared" si="5"/>
        <v>-</v>
      </c>
    </row>
    <row r="48" spans="1:23" ht="15" customHeight="1" x14ac:dyDescent="0.25">
      <c r="A48" s="10">
        <v>755929012732</v>
      </c>
      <c r="B48" s="8">
        <v>1273</v>
      </c>
      <c r="C48" s="1" t="s">
        <v>36</v>
      </c>
      <c r="D48" s="7" t="s">
        <v>37</v>
      </c>
      <c r="E48" s="6">
        <v>3.95</v>
      </c>
      <c r="F48" s="6">
        <v>2.13</v>
      </c>
      <c r="G48" s="6">
        <v>2.13</v>
      </c>
      <c r="H48" s="7">
        <v>0.65</v>
      </c>
      <c r="I48" s="6">
        <v>0.29445000000000005</v>
      </c>
      <c r="J48" s="7">
        <v>12</v>
      </c>
      <c r="K48" s="6">
        <v>15.600000000000001</v>
      </c>
      <c r="L48" s="7" t="s">
        <v>80</v>
      </c>
      <c r="M48" s="20">
        <v>36.644999999999996</v>
      </c>
      <c r="N48" s="25"/>
      <c r="O48" s="21">
        <f t="shared" si="0"/>
        <v>0</v>
      </c>
      <c r="R48" s="37" t="str">
        <f t="shared" si="1"/>
        <v>-</v>
      </c>
      <c r="S48" s="37" t="str">
        <f t="shared" si="2"/>
        <v>-</v>
      </c>
      <c r="T48" s="38" t="str">
        <f t="shared" si="3"/>
        <v>-</v>
      </c>
      <c r="U48" s="39" t="str">
        <f t="shared" si="4"/>
        <v>-</v>
      </c>
      <c r="W48" s="39" t="str">
        <f t="shared" si="5"/>
        <v>-</v>
      </c>
    </row>
    <row r="49" spans="1:23" ht="15" customHeight="1" x14ac:dyDescent="0.25">
      <c r="A49" s="10">
        <v>755929012749</v>
      </c>
      <c r="B49" s="8">
        <v>1274</v>
      </c>
      <c r="C49" s="1" t="s">
        <v>34</v>
      </c>
      <c r="D49" s="7" t="s">
        <v>6</v>
      </c>
      <c r="E49" s="6">
        <v>4.6900000000000004</v>
      </c>
      <c r="F49" s="6">
        <v>2.13</v>
      </c>
      <c r="G49" s="6">
        <v>2.13</v>
      </c>
      <c r="H49" s="7">
        <v>0.45</v>
      </c>
      <c r="I49" s="6">
        <v>0.20385</v>
      </c>
      <c r="J49" s="7">
        <v>24</v>
      </c>
      <c r="K49" s="6">
        <v>10.8</v>
      </c>
      <c r="L49" s="7" t="s">
        <v>75</v>
      </c>
      <c r="M49" s="20">
        <v>40.634999999999998</v>
      </c>
      <c r="N49" s="25"/>
      <c r="O49" s="21">
        <f t="shared" si="0"/>
        <v>0</v>
      </c>
      <c r="R49" s="37" t="str">
        <f t="shared" si="1"/>
        <v>-</v>
      </c>
      <c r="S49" s="37" t="str">
        <f t="shared" si="2"/>
        <v>-</v>
      </c>
      <c r="T49" s="38" t="str">
        <f t="shared" si="3"/>
        <v>-</v>
      </c>
      <c r="U49" s="39" t="str">
        <f t="shared" si="4"/>
        <v>-</v>
      </c>
      <c r="W49" s="39" t="str">
        <f t="shared" si="5"/>
        <v>-</v>
      </c>
    </row>
    <row r="50" spans="1:23" ht="15" customHeight="1" x14ac:dyDescent="0.25">
      <c r="A50" s="10">
        <v>755929012756</v>
      </c>
      <c r="B50" s="8">
        <v>1275</v>
      </c>
      <c r="C50" s="1" t="s">
        <v>35</v>
      </c>
      <c r="D50" s="7" t="s">
        <v>6</v>
      </c>
      <c r="E50" s="6">
        <v>4.6900000000000004</v>
      </c>
      <c r="F50" s="6">
        <v>2.52</v>
      </c>
      <c r="G50" s="6">
        <v>2.52</v>
      </c>
      <c r="H50" s="7">
        <v>0.45</v>
      </c>
      <c r="I50" s="6">
        <v>0.20385</v>
      </c>
      <c r="J50" s="7">
        <v>24</v>
      </c>
      <c r="K50" s="6">
        <v>10.8</v>
      </c>
      <c r="L50" s="7" t="s">
        <v>75</v>
      </c>
      <c r="M50" s="20">
        <v>40.634999999999998</v>
      </c>
      <c r="N50" s="25"/>
      <c r="O50" s="21">
        <f t="shared" si="0"/>
        <v>0</v>
      </c>
      <c r="R50" s="37" t="str">
        <f t="shared" si="1"/>
        <v>-</v>
      </c>
      <c r="S50" s="37" t="str">
        <f t="shared" si="2"/>
        <v>-</v>
      </c>
      <c r="T50" s="38" t="str">
        <f t="shared" si="3"/>
        <v>-</v>
      </c>
      <c r="U50" s="39" t="str">
        <f t="shared" si="4"/>
        <v>-</v>
      </c>
      <c r="W50" s="39" t="str">
        <f t="shared" si="5"/>
        <v>-</v>
      </c>
    </row>
    <row r="51" spans="1:23" ht="15" customHeight="1" x14ac:dyDescent="0.25">
      <c r="A51" s="10">
        <v>755929012831</v>
      </c>
      <c r="B51" s="8">
        <v>1283</v>
      </c>
      <c r="C51" s="1" t="s">
        <v>38</v>
      </c>
      <c r="D51" s="7" t="s">
        <v>5</v>
      </c>
      <c r="E51" s="6">
        <v>4.13</v>
      </c>
      <c r="F51" s="6">
        <v>2.13</v>
      </c>
      <c r="G51" s="6">
        <v>2.13</v>
      </c>
      <c r="H51" s="7">
        <v>0.4</v>
      </c>
      <c r="I51" s="6">
        <v>0.18120000000000003</v>
      </c>
      <c r="J51" s="7">
        <v>24</v>
      </c>
      <c r="K51" s="6">
        <v>9.6000000000000014</v>
      </c>
      <c r="L51" s="7" t="s">
        <v>74</v>
      </c>
      <c r="M51" s="20">
        <v>19.53</v>
      </c>
      <c r="N51" s="25"/>
      <c r="O51" s="21">
        <f t="shared" si="0"/>
        <v>0</v>
      </c>
      <c r="R51" s="37" t="str">
        <f t="shared" si="1"/>
        <v>-</v>
      </c>
      <c r="S51" s="37" t="str">
        <f t="shared" si="2"/>
        <v>-</v>
      </c>
      <c r="T51" s="38" t="str">
        <f t="shared" si="3"/>
        <v>-</v>
      </c>
      <c r="U51" s="39" t="str">
        <f t="shared" si="4"/>
        <v>-</v>
      </c>
      <c r="W51" s="39" t="str">
        <f t="shared" si="5"/>
        <v>-</v>
      </c>
    </row>
    <row r="52" spans="1:23" ht="15" customHeight="1" x14ac:dyDescent="0.25">
      <c r="A52" s="10">
        <v>755929012848</v>
      </c>
      <c r="B52" s="8">
        <v>1284</v>
      </c>
      <c r="C52" s="1" t="s">
        <v>38</v>
      </c>
      <c r="D52" s="7" t="s">
        <v>12</v>
      </c>
      <c r="E52" s="6">
        <v>4.6900000000000004</v>
      </c>
      <c r="F52" s="6">
        <v>2.52</v>
      </c>
      <c r="G52" s="6">
        <v>2.52</v>
      </c>
      <c r="H52" s="7">
        <v>0.5</v>
      </c>
      <c r="I52" s="6">
        <v>0.22650000000000001</v>
      </c>
      <c r="J52" s="7">
        <v>24</v>
      </c>
      <c r="K52" s="6">
        <v>12</v>
      </c>
      <c r="L52" s="7" t="s">
        <v>74</v>
      </c>
      <c r="M52" s="20">
        <v>34.754999999999988</v>
      </c>
      <c r="N52" s="25"/>
      <c r="O52" s="21">
        <f t="shared" si="0"/>
        <v>0</v>
      </c>
      <c r="R52" s="37" t="str">
        <f t="shared" si="1"/>
        <v>-</v>
      </c>
      <c r="S52" s="37" t="str">
        <f t="shared" si="2"/>
        <v>-</v>
      </c>
      <c r="T52" s="38" t="str">
        <f t="shared" si="3"/>
        <v>-</v>
      </c>
      <c r="U52" s="39" t="str">
        <f t="shared" si="4"/>
        <v>-</v>
      </c>
      <c r="W52" s="39" t="str">
        <f t="shared" si="5"/>
        <v>-</v>
      </c>
    </row>
    <row r="53" spans="1:23" ht="15" customHeight="1" x14ac:dyDescent="0.25">
      <c r="A53" s="10">
        <v>755929020300</v>
      </c>
      <c r="B53" s="8">
        <v>2030</v>
      </c>
      <c r="C53" s="1" t="s">
        <v>91</v>
      </c>
      <c r="D53" s="7" t="s">
        <v>92</v>
      </c>
      <c r="E53" s="6">
        <v>4.5</v>
      </c>
      <c r="F53" s="6">
        <v>1.5</v>
      </c>
      <c r="G53" s="6">
        <v>1.5</v>
      </c>
      <c r="H53" s="7">
        <v>0.3</v>
      </c>
      <c r="I53" s="6">
        <v>0.13589999999999999</v>
      </c>
      <c r="J53" s="7">
        <v>12</v>
      </c>
      <c r="K53" s="6">
        <v>3.5999999999999996</v>
      </c>
      <c r="L53" s="7" t="s">
        <v>93</v>
      </c>
      <c r="M53" s="20">
        <v>22.049999999999997</v>
      </c>
      <c r="N53" s="25"/>
      <c r="O53" s="21">
        <f t="shared" si="0"/>
        <v>0</v>
      </c>
      <c r="R53" s="37" t="str">
        <f t="shared" si="1"/>
        <v>-</v>
      </c>
      <c r="S53" s="37" t="str">
        <f t="shared" si="2"/>
        <v>-</v>
      </c>
      <c r="T53" s="38" t="str">
        <f t="shared" si="3"/>
        <v>-</v>
      </c>
      <c r="U53" s="39" t="str">
        <f t="shared" si="4"/>
        <v>-</v>
      </c>
      <c r="W53" s="39" t="str">
        <f t="shared" si="5"/>
        <v>-</v>
      </c>
    </row>
    <row r="54" spans="1:23" ht="15" customHeight="1" x14ac:dyDescent="0.25">
      <c r="A54" s="10">
        <v>755929020348</v>
      </c>
      <c r="B54" s="8">
        <v>2034</v>
      </c>
      <c r="C54" s="1" t="s">
        <v>95</v>
      </c>
      <c r="D54" s="7" t="s">
        <v>92</v>
      </c>
      <c r="E54" s="6">
        <v>4.5</v>
      </c>
      <c r="F54" s="6">
        <v>1.5</v>
      </c>
      <c r="G54" s="6">
        <v>1.5</v>
      </c>
      <c r="H54" s="7">
        <v>0.3</v>
      </c>
      <c r="I54" s="6">
        <v>0.13589999999999999</v>
      </c>
      <c r="J54" s="7">
        <v>12</v>
      </c>
      <c r="K54" s="6">
        <v>3.5999999999999996</v>
      </c>
      <c r="L54" s="7" t="s">
        <v>93</v>
      </c>
      <c r="M54" s="20">
        <v>16.537499999999998</v>
      </c>
      <c r="N54" s="25"/>
      <c r="O54" s="21">
        <f t="shared" si="0"/>
        <v>0</v>
      </c>
      <c r="R54" s="37" t="str">
        <f t="shared" si="1"/>
        <v>-</v>
      </c>
      <c r="S54" s="37" t="str">
        <f t="shared" si="2"/>
        <v>-</v>
      </c>
      <c r="T54" s="38" t="str">
        <f t="shared" si="3"/>
        <v>-</v>
      </c>
      <c r="U54" s="39" t="str">
        <f t="shared" si="4"/>
        <v>-</v>
      </c>
      <c r="W54" s="39" t="str">
        <f t="shared" si="5"/>
        <v>-</v>
      </c>
    </row>
    <row r="55" spans="1:23" ht="15" customHeight="1" x14ac:dyDescent="0.25">
      <c r="A55" s="10">
        <v>755929033089</v>
      </c>
      <c r="B55" s="8">
        <v>3308</v>
      </c>
      <c r="C55" s="1" t="s">
        <v>39</v>
      </c>
      <c r="D55" s="7" t="s">
        <v>4</v>
      </c>
      <c r="E55" s="6">
        <v>3.95</v>
      </c>
      <c r="F55" s="6">
        <v>2.13</v>
      </c>
      <c r="G55" s="6">
        <v>2.13</v>
      </c>
      <c r="H55" s="7">
        <v>0.2</v>
      </c>
      <c r="I55" s="6">
        <v>9.0600000000000014E-2</v>
      </c>
      <c r="J55" s="7">
        <v>24</v>
      </c>
      <c r="K55" s="6">
        <v>4.8000000000000007</v>
      </c>
      <c r="L55" s="7" t="s">
        <v>77</v>
      </c>
      <c r="M55" s="20">
        <v>15.855</v>
      </c>
      <c r="N55" s="25"/>
      <c r="O55" s="21">
        <f t="shared" si="0"/>
        <v>0</v>
      </c>
      <c r="R55" s="37" t="str">
        <f t="shared" si="1"/>
        <v>-</v>
      </c>
      <c r="S55" s="37" t="str">
        <f t="shared" si="2"/>
        <v>-</v>
      </c>
      <c r="T55" s="38" t="str">
        <f t="shared" si="3"/>
        <v>-</v>
      </c>
      <c r="U55" s="39" t="str">
        <f t="shared" si="4"/>
        <v>-</v>
      </c>
      <c r="W55" s="39" t="str">
        <f t="shared" si="5"/>
        <v>-</v>
      </c>
    </row>
    <row r="56" spans="1:23" ht="15" customHeight="1" x14ac:dyDescent="0.25">
      <c r="A56" s="10">
        <v>755929033096</v>
      </c>
      <c r="B56" s="8">
        <v>3309</v>
      </c>
      <c r="C56" s="1" t="s">
        <v>39</v>
      </c>
      <c r="D56" s="7" t="s">
        <v>5</v>
      </c>
      <c r="E56" s="6">
        <v>4.13</v>
      </c>
      <c r="F56" s="6">
        <v>2.13</v>
      </c>
      <c r="G56" s="6">
        <v>2.13</v>
      </c>
      <c r="H56" s="7">
        <v>0.3</v>
      </c>
      <c r="I56" s="6">
        <v>0.13589999999999999</v>
      </c>
      <c r="J56" s="7">
        <v>24</v>
      </c>
      <c r="K56" s="6">
        <v>7.1999999999999993</v>
      </c>
      <c r="L56" s="7" t="s">
        <v>74</v>
      </c>
      <c r="M56" s="20">
        <v>18.322499999999998</v>
      </c>
      <c r="N56" s="25"/>
      <c r="O56" s="21">
        <f t="shared" si="0"/>
        <v>0</v>
      </c>
      <c r="R56" s="37" t="str">
        <f t="shared" si="1"/>
        <v>-</v>
      </c>
      <c r="S56" s="37" t="str">
        <f t="shared" si="2"/>
        <v>-</v>
      </c>
      <c r="T56" s="38" t="str">
        <f t="shared" si="3"/>
        <v>-</v>
      </c>
      <c r="U56" s="39" t="str">
        <f t="shared" si="4"/>
        <v>-</v>
      </c>
      <c r="W56" s="39" t="str">
        <f t="shared" si="5"/>
        <v>-</v>
      </c>
    </row>
    <row r="57" spans="1:23" ht="15" customHeight="1" x14ac:dyDescent="0.25">
      <c r="A57" s="10">
        <v>755929033102</v>
      </c>
      <c r="B57" s="8">
        <v>3310</v>
      </c>
      <c r="C57" s="1" t="s">
        <v>40</v>
      </c>
      <c r="D57" s="7" t="s">
        <v>5</v>
      </c>
      <c r="E57" s="6">
        <v>3.95</v>
      </c>
      <c r="F57" s="6">
        <v>2.13</v>
      </c>
      <c r="G57" s="6">
        <v>2.13</v>
      </c>
      <c r="H57" s="7">
        <v>0.25</v>
      </c>
      <c r="I57" s="6">
        <v>0.11325</v>
      </c>
      <c r="J57" s="7">
        <v>24</v>
      </c>
      <c r="K57" s="6">
        <v>6</v>
      </c>
      <c r="L57" s="7" t="s">
        <v>77</v>
      </c>
      <c r="M57" s="20">
        <v>15.592500000000001</v>
      </c>
      <c r="N57" s="25"/>
      <c r="O57" s="21">
        <f t="shared" si="0"/>
        <v>0</v>
      </c>
      <c r="R57" s="37" t="str">
        <f t="shared" si="1"/>
        <v>-</v>
      </c>
      <c r="S57" s="37" t="str">
        <f t="shared" si="2"/>
        <v>-</v>
      </c>
      <c r="T57" s="38" t="str">
        <f t="shared" si="3"/>
        <v>-</v>
      </c>
      <c r="U57" s="39" t="str">
        <f t="shared" si="4"/>
        <v>-</v>
      </c>
      <c r="W57" s="39" t="str">
        <f t="shared" si="5"/>
        <v>-</v>
      </c>
    </row>
    <row r="58" spans="1:23" ht="15" customHeight="1" x14ac:dyDescent="0.25">
      <c r="A58" s="10">
        <v>755929033126</v>
      </c>
      <c r="B58" s="8">
        <v>3312</v>
      </c>
      <c r="C58" s="1" t="s">
        <v>40</v>
      </c>
      <c r="D58" s="7" t="s">
        <v>12</v>
      </c>
      <c r="E58" s="6">
        <v>4.9400000000000004</v>
      </c>
      <c r="F58" s="6">
        <v>2.95</v>
      </c>
      <c r="G58" s="6">
        <v>2.95</v>
      </c>
      <c r="H58" s="7">
        <v>0.5</v>
      </c>
      <c r="I58" s="6">
        <v>0.22650000000000001</v>
      </c>
      <c r="J58" s="7">
        <v>24</v>
      </c>
      <c r="K58" s="6">
        <v>12</v>
      </c>
      <c r="L58" s="7" t="s">
        <v>75</v>
      </c>
      <c r="M58" s="20">
        <v>23.625</v>
      </c>
      <c r="N58" s="25"/>
      <c r="O58" s="21">
        <f t="shared" si="0"/>
        <v>0</v>
      </c>
      <c r="R58" s="37" t="str">
        <f t="shared" si="1"/>
        <v>-</v>
      </c>
      <c r="S58" s="37" t="str">
        <f t="shared" si="2"/>
        <v>-</v>
      </c>
      <c r="T58" s="38" t="str">
        <f t="shared" si="3"/>
        <v>-</v>
      </c>
      <c r="U58" s="39" t="str">
        <f t="shared" si="4"/>
        <v>-</v>
      </c>
      <c r="W58" s="39" t="str">
        <f t="shared" si="5"/>
        <v>-</v>
      </c>
    </row>
    <row r="59" spans="1:23" ht="15" customHeight="1" x14ac:dyDescent="0.25">
      <c r="A59" s="10">
        <v>755929036004</v>
      </c>
      <c r="B59" s="8">
        <v>3600</v>
      </c>
      <c r="C59" s="1" t="s">
        <v>41</v>
      </c>
      <c r="D59" s="7" t="s">
        <v>5</v>
      </c>
      <c r="E59" s="6">
        <v>4.13</v>
      </c>
      <c r="F59" s="6">
        <v>2.13</v>
      </c>
      <c r="G59" s="6">
        <v>2.13</v>
      </c>
      <c r="H59" s="7">
        <v>0.35</v>
      </c>
      <c r="I59" s="6">
        <v>0.15855</v>
      </c>
      <c r="J59" s="7">
        <v>24</v>
      </c>
      <c r="K59" s="6">
        <v>8.3999999999999986</v>
      </c>
      <c r="L59" s="7" t="s">
        <v>74</v>
      </c>
      <c r="M59" s="20">
        <v>19.267500000000002</v>
      </c>
      <c r="N59" s="25"/>
      <c r="O59" s="21">
        <f t="shared" si="0"/>
        <v>0</v>
      </c>
      <c r="R59" s="37" t="str">
        <f t="shared" si="1"/>
        <v>-</v>
      </c>
      <c r="S59" s="37" t="str">
        <f t="shared" si="2"/>
        <v>-</v>
      </c>
      <c r="T59" s="38" t="str">
        <f t="shared" si="3"/>
        <v>-</v>
      </c>
      <c r="U59" s="39" t="str">
        <f t="shared" si="4"/>
        <v>-</v>
      </c>
      <c r="W59" s="39" t="str">
        <f t="shared" si="5"/>
        <v>-</v>
      </c>
    </row>
    <row r="60" spans="1:23" ht="15" customHeight="1" x14ac:dyDescent="0.25">
      <c r="A60" s="10">
        <v>755929036011</v>
      </c>
      <c r="B60" s="8">
        <v>3601</v>
      </c>
      <c r="C60" s="1" t="s">
        <v>41</v>
      </c>
      <c r="D60" s="7" t="s">
        <v>12</v>
      </c>
      <c r="E60" s="6">
        <v>4.6900000000000004</v>
      </c>
      <c r="F60" s="6">
        <v>2.52</v>
      </c>
      <c r="G60" s="6">
        <v>2.52</v>
      </c>
      <c r="H60" s="7">
        <v>0.6</v>
      </c>
      <c r="I60" s="6">
        <v>0.27179999999999999</v>
      </c>
      <c r="J60" s="7">
        <v>24</v>
      </c>
      <c r="K60" s="6">
        <v>14.399999999999999</v>
      </c>
      <c r="L60" s="7" t="s">
        <v>75</v>
      </c>
      <c r="M60" s="20">
        <v>25.987499999999997</v>
      </c>
      <c r="N60" s="25"/>
      <c r="O60" s="21">
        <f t="shared" si="0"/>
        <v>0</v>
      </c>
      <c r="R60" s="37" t="str">
        <f t="shared" si="1"/>
        <v>-</v>
      </c>
      <c r="S60" s="37" t="str">
        <f t="shared" si="2"/>
        <v>-</v>
      </c>
      <c r="T60" s="38" t="str">
        <f t="shared" si="3"/>
        <v>-</v>
      </c>
      <c r="U60" s="39" t="str">
        <f t="shared" si="4"/>
        <v>-</v>
      </c>
      <c r="W60" s="39" t="str">
        <f t="shared" si="5"/>
        <v>-</v>
      </c>
    </row>
    <row r="61" spans="1:23" ht="15" customHeight="1" x14ac:dyDescent="0.25">
      <c r="A61" s="10">
        <v>755929036042</v>
      </c>
      <c r="B61" s="8">
        <v>3604</v>
      </c>
      <c r="C61" s="1" t="s">
        <v>42</v>
      </c>
      <c r="D61" s="7" t="s">
        <v>6</v>
      </c>
      <c r="E61" s="6">
        <v>5.13</v>
      </c>
      <c r="F61" s="6">
        <v>2.88</v>
      </c>
      <c r="G61" s="6">
        <v>2.88</v>
      </c>
      <c r="H61" s="7">
        <v>0.5</v>
      </c>
      <c r="I61" s="6">
        <v>0.22650000000000001</v>
      </c>
      <c r="J61" s="7">
        <v>12</v>
      </c>
      <c r="K61" s="6">
        <v>6</v>
      </c>
      <c r="L61" s="7" t="s">
        <v>79</v>
      </c>
      <c r="M61" s="20">
        <v>27.5625</v>
      </c>
      <c r="N61" s="25"/>
      <c r="O61" s="21">
        <f t="shared" si="0"/>
        <v>0</v>
      </c>
      <c r="R61" s="37" t="str">
        <f t="shared" si="1"/>
        <v>-</v>
      </c>
      <c r="S61" s="37" t="str">
        <f t="shared" si="2"/>
        <v>-</v>
      </c>
      <c r="T61" s="38" t="str">
        <f t="shared" si="3"/>
        <v>-</v>
      </c>
      <c r="U61" s="39" t="str">
        <f t="shared" si="4"/>
        <v>-</v>
      </c>
      <c r="W61" s="39" t="str">
        <f t="shared" si="5"/>
        <v>-</v>
      </c>
    </row>
    <row r="62" spans="1:23" ht="15" customHeight="1" x14ac:dyDescent="0.25">
      <c r="A62" s="10">
        <v>755929036059</v>
      </c>
      <c r="B62" s="8">
        <v>3605</v>
      </c>
      <c r="C62" s="1" t="s">
        <v>42</v>
      </c>
      <c r="D62" s="7" t="s">
        <v>4</v>
      </c>
      <c r="E62" s="6">
        <v>4.13</v>
      </c>
      <c r="F62" s="6">
        <v>2.13</v>
      </c>
      <c r="G62" s="6">
        <v>2.13</v>
      </c>
      <c r="H62" s="7">
        <v>0.3</v>
      </c>
      <c r="I62" s="6">
        <v>0.13589999999999999</v>
      </c>
      <c r="J62" s="7">
        <v>24</v>
      </c>
      <c r="K62" s="6">
        <v>7.1999999999999993</v>
      </c>
      <c r="L62" s="7" t="s">
        <v>74</v>
      </c>
      <c r="M62" s="20">
        <v>14.91</v>
      </c>
      <c r="N62" s="25"/>
      <c r="O62" s="21">
        <f t="shared" si="0"/>
        <v>0</v>
      </c>
      <c r="R62" s="37" t="str">
        <f t="shared" si="1"/>
        <v>-</v>
      </c>
      <c r="S62" s="37" t="str">
        <f t="shared" si="2"/>
        <v>-</v>
      </c>
      <c r="T62" s="38" t="str">
        <f t="shared" si="3"/>
        <v>-</v>
      </c>
      <c r="U62" s="39" t="str">
        <f t="shared" si="4"/>
        <v>-</v>
      </c>
      <c r="W62" s="39" t="str">
        <f t="shared" si="5"/>
        <v>-</v>
      </c>
    </row>
    <row r="63" spans="1:23" ht="15" customHeight="1" x14ac:dyDescent="0.25">
      <c r="A63" s="10">
        <v>755929036066</v>
      </c>
      <c r="B63" s="8">
        <v>3606</v>
      </c>
      <c r="C63" s="1" t="s">
        <v>42</v>
      </c>
      <c r="D63" s="7" t="s">
        <v>5</v>
      </c>
      <c r="E63" s="6">
        <v>4.9400000000000004</v>
      </c>
      <c r="F63" s="6">
        <v>2.95</v>
      </c>
      <c r="G63" s="6">
        <v>2.95</v>
      </c>
      <c r="H63" s="7">
        <v>0.4</v>
      </c>
      <c r="I63" s="6">
        <v>0.18120000000000003</v>
      </c>
      <c r="J63" s="7">
        <v>24</v>
      </c>
      <c r="K63" s="6">
        <v>9.6000000000000014</v>
      </c>
      <c r="L63" s="7" t="s">
        <v>75</v>
      </c>
      <c r="M63" s="20">
        <v>21.524999999999999</v>
      </c>
      <c r="N63" s="25"/>
      <c r="O63" s="21">
        <f t="shared" si="0"/>
        <v>0</v>
      </c>
      <c r="R63" s="37" t="str">
        <f t="shared" si="1"/>
        <v>-</v>
      </c>
      <c r="S63" s="37" t="str">
        <f t="shared" si="2"/>
        <v>-</v>
      </c>
      <c r="T63" s="38" t="str">
        <f t="shared" si="3"/>
        <v>-</v>
      </c>
      <c r="U63" s="39" t="str">
        <f t="shared" si="4"/>
        <v>-</v>
      </c>
      <c r="W63" s="39" t="str">
        <f t="shared" si="5"/>
        <v>-</v>
      </c>
    </row>
    <row r="64" spans="1:23" ht="15" customHeight="1" x14ac:dyDescent="0.25">
      <c r="A64" s="10">
        <v>755929040032</v>
      </c>
      <c r="B64" s="8">
        <v>4003</v>
      </c>
      <c r="C64" s="1" t="s">
        <v>63</v>
      </c>
      <c r="D64" s="7" t="s">
        <v>11</v>
      </c>
      <c r="E64" s="6">
        <v>4.13</v>
      </c>
      <c r="F64" s="6">
        <v>2.13</v>
      </c>
      <c r="G64" s="6">
        <v>2.13</v>
      </c>
      <c r="H64" s="7">
        <v>0.3</v>
      </c>
      <c r="I64" s="6">
        <v>0.13589999999999999</v>
      </c>
      <c r="J64" s="7">
        <v>24</v>
      </c>
      <c r="K64" s="6">
        <v>7.5</v>
      </c>
      <c r="L64" s="7" t="s">
        <v>74</v>
      </c>
      <c r="M64" s="20">
        <v>19.267500000000002</v>
      </c>
      <c r="N64" s="25"/>
      <c r="O64" s="21">
        <f t="shared" si="0"/>
        <v>0</v>
      </c>
      <c r="R64" s="37" t="str">
        <f t="shared" si="1"/>
        <v>-</v>
      </c>
      <c r="S64" s="37" t="str">
        <f t="shared" si="2"/>
        <v>-</v>
      </c>
      <c r="T64" s="38" t="str">
        <f t="shared" si="3"/>
        <v>-</v>
      </c>
      <c r="U64" s="39" t="str">
        <f t="shared" si="4"/>
        <v>-</v>
      </c>
      <c r="W64" s="39" t="str">
        <f t="shared" si="5"/>
        <v>-</v>
      </c>
    </row>
    <row r="65" spans="1:23" ht="15" customHeight="1" x14ac:dyDescent="0.25">
      <c r="A65" s="10">
        <v>755929041008</v>
      </c>
      <c r="B65" s="8">
        <v>4100</v>
      </c>
      <c r="C65" s="1" t="s">
        <v>43</v>
      </c>
      <c r="D65" s="7" t="s">
        <v>4</v>
      </c>
      <c r="E65" s="6">
        <v>3.95</v>
      </c>
      <c r="F65" s="6">
        <v>2.13</v>
      </c>
      <c r="G65" s="6">
        <v>2.13</v>
      </c>
      <c r="H65" s="7">
        <v>0.2</v>
      </c>
      <c r="I65" s="6">
        <v>9.0600000000000014E-2</v>
      </c>
      <c r="J65" s="7">
        <v>24</v>
      </c>
      <c r="K65" s="6">
        <v>4.8000000000000007</v>
      </c>
      <c r="L65" s="7" t="s">
        <v>77</v>
      </c>
      <c r="M65" s="20">
        <v>14.647499999999999</v>
      </c>
      <c r="N65" s="25"/>
      <c r="O65" s="21">
        <f t="shared" si="0"/>
        <v>0</v>
      </c>
      <c r="R65" s="37" t="str">
        <f t="shared" si="1"/>
        <v>-</v>
      </c>
      <c r="S65" s="37" t="str">
        <f t="shared" si="2"/>
        <v>-</v>
      </c>
      <c r="T65" s="38" t="str">
        <f t="shared" si="3"/>
        <v>-</v>
      </c>
      <c r="U65" s="39" t="str">
        <f t="shared" si="4"/>
        <v>-</v>
      </c>
      <c r="W65" s="39" t="str">
        <f t="shared" si="5"/>
        <v>-</v>
      </c>
    </row>
    <row r="66" spans="1:23" ht="15" customHeight="1" x14ac:dyDescent="0.25">
      <c r="A66" s="10">
        <v>755929041015</v>
      </c>
      <c r="B66" s="8">
        <v>4101</v>
      </c>
      <c r="C66" s="1" t="s">
        <v>43</v>
      </c>
      <c r="D66" s="7" t="s">
        <v>5</v>
      </c>
      <c r="E66" s="6">
        <v>4.13</v>
      </c>
      <c r="F66" s="6">
        <v>2.13</v>
      </c>
      <c r="G66" s="6">
        <v>2.13</v>
      </c>
      <c r="H66" s="7">
        <v>0.3</v>
      </c>
      <c r="I66" s="6">
        <v>0.13589999999999999</v>
      </c>
      <c r="J66" s="7">
        <v>24</v>
      </c>
      <c r="K66" s="6">
        <v>7.1999999999999993</v>
      </c>
      <c r="L66" s="7" t="s">
        <v>74</v>
      </c>
      <c r="M66" s="20">
        <v>18.059999999999995</v>
      </c>
      <c r="N66" s="25"/>
      <c r="O66" s="21">
        <f t="shared" si="0"/>
        <v>0</v>
      </c>
      <c r="R66" s="37" t="str">
        <f t="shared" si="1"/>
        <v>-</v>
      </c>
      <c r="S66" s="37" t="str">
        <f t="shared" si="2"/>
        <v>-</v>
      </c>
      <c r="T66" s="38" t="str">
        <f t="shared" si="3"/>
        <v>-</v>
      </c>
      <c r="U66" s="39" t="str">
        <f t="shared" si="4"/>
        <v>-</v>
      </c>
      <c r="W66" s="39" t="str">
        <f t="shared" si="5"/>
        <v>-</v>
      </c>
    </row>
    <row r="67" spans="1:23" ht="15" customHeight="1" x14ac:dyDescent="0.25">
      <c r="A67" s="10">
        <v>755929041107</v>
      </c>
      <c r="B67" s="8">
        <v>4110</v>
      </c>
      <c r="C67" s="1" t="s">
        <v>44</v>
      </c>
      <c r="D67" s="7" t="s">
        <v>8</v>
      </c>
      <c r="E67" s="6">
        <v>4.13</v>
      </c>
      <c r="F67" s="6">
        <v>2.13</v>
      </c>
      <c r="G67" s="6">
        <v>2.13</v>
      </c>
      <c r="H67" s="7">
        <v>0.2</v>
      </c>
      <c r="I67" s="6">
        <v>9.0600000000000014E-2</v>
      </c>
      <c r="J67" s="7">
        <v>24</v>
      </c>
      <c r="K67" s="6">
        <v>4.8000000000000007</v>
      </c>
      <c r="L67" s="7" t="s">
        <v>74</v>
      </c>
      <c r="M67" s="20">
        <v>15.277500000000002</v>
      </c>
      <c r="N67" s="25"/>
      <c r="O67" s="21">
        <f t="shared" si="0"/>
        <v>0</v>
      </c>
      <c r="R67" s="37" t="str">
        <f t="shared" si="1"/>
        <v>-</v>
      </c>
      <c r="S67" s="37" t="str">
        <f t="shared" si="2"/>
        <v>-</v>
      </c>
      <c r="T67" s="38" t="str">
        <f t="shared" si="3"/>
        <v>-</v>
      </c>
      <c r="U67" s="39" t="str">
        <f t="shared" si="4"/>
        <v>-</v>
      </c>
      <c r="W67" s="39" t="str">
        <f t="shared" si="5"/>
        <v>-</v>
      </c>
    </row>
    <row r="68" spans="1:23" ht="15" customHeight="1" x14ac:dyDescent="0.25">
      <c r="A68" s="10">
        <v>755929041114</v>
      </c>
      <c r="B68" s="8">
        <v>4111</v>
      </c>
      <c r="C68" s="1" t="s">
        <v>44</v>
      </c>
      <c r="D68" s="7" t="s">
        <v>9</v>
      </c>
      <c r="E68" s="6">
        <v>5</v>
      </c>
      <c r="F68" s="6">
        <v>2.5</v>
      </c>
      <c r="G68" s="6">
        <v>2.5</v>
      </c>
      <c r="H68" s="7">
        <v>0.3</v>
      </c>
      <c r="I68" s="6">
        <v>0.13589999999999999</v>
      </c>
      <c r="J68" s="7">
        <v>24</v>
      </c>
      <c r="K68" s="6">
        <v>7.1999999999999993</v>
      </c>
      <c r="L68" s="7" t="s">
        <v>75</v>
      </c>
      <c r="M68" s="20">
        <v>25.462499999999999</v>
      </c>
      <c r="N68" s="25"/>
      <c r="O68" s="21">
        <f t="shared" ref="O68:O100" si="6">N68*M68</f>
        <v>0</v>
      </c>
      <c r="R68" s="37" t="str">
        <f t="shared" ref="R68:R100" si="7">IFERROR(IF($R$2*I68=0, "-", $R$2*I68), "-")</f>
        <v>-</v>
      </c>
      <c r="S68" s="37" t="str">
        <f t="shared" ref="S68:S100" si="8">IF(N68&gt;0,M68+I68*N68/$T$2*$U$2/N68,"-")</f>
        <v>-</v>
      </c>
      <c r="T68" s="38" t="str">
        <f t="shared" ref="T68:T100" si="9">IF(N68&gt;0,N68*I68*1.113, "-")</f>
        <v>-</v>
      </c>
      <c r="U68" s="39" t="str">
        <f t="shared" ref="U68:U100" si="10">IFERROR(IF($R$2&gt;0, $R$2*T68, "-"), "-")</f>
        <v>-</v>
      </c>
      <c r="W68" s="39" t="str">
        <f t="shared" ref="W68:W100" si="11">IFERROR(IF(U68+O68=0, "-", IF(U68&gt;0, U68+O68, "-")), "-")</f>
        <v>-</v>
      </c>
    </row>
    <row r="69" spans="1:23" ht="15" customHeight="1" x14ac:dyDescent="0.25">
      <c r="A69" s="10">
        <v>755929042012</v>
      </c>
      <c r="B69" s="8">
        <v>4201</v>
      </c>
      <c r="C69" s="1" t="s">
        <v>45</v>
      </c>
      <c r="D69" s="7" t="s">
        <v>4</v>
      </c>
      <c r="E69" s="6">
        <v>4.13</v>
      </c>
      <c r="F69" s="6">
        <v>2.13</v>
      </c>
      <c r="G69" s="6">
        <v>2.13</v>
      </c>
      <c r="H69" s="7">
        <v>0.25</v>
      </c>
      <c r="I69" s="6">
        <v>0.11325</v>
      </c>
      <c r="J69" s="7">
        <v>24</v>
      </c>
      <c r="K69" s="6">
        <v>6</v>
      </c>
      <c r="L69" s="7" t="s">
        <v>74</v>
      </c>
      <c r="M69" s="20">
        <v>16.432500000000001</v>
      </c>
      <c r="N69" s="25"/>
      <c r="O69" s="21">
        <f t="shared" si="6"/>
        <v>0</v>
      </c>
      <c r="R69" s="37" t="str">
        <f t="shared" si="7"/>
        <v>-</v>
      </c>
      <c r="S69" s="37" t="str">
        <f t="shared" si="8"/>
        <v>-</v>
      </c>
      <c r="T69" s="38" t="str">
        <f t="shared" si="9"/>
        <v>-</v>
      </c>
      <c r="U69" s="39" t="str">
        <f t="shared" si="10"/>
        <v>-</v>
      </c>
      <c r="W69" s="39" t="str">
        <f t="shared" si="11"/>
        <v>-</v>
      </c>
    </row>
    <row r="70" spans="1:23" ht="15" customHeight="1" x14ac:dyDescent="0.25">
      <c r="A70" s="10">
        <v>755929043033</v>
      </c>
      <c r="B70" s="8">
        <v>4303</v>
      </c>
      <c r="C70" s="1" t="s">
        <v>64</v>
      </c>
      <c r="D70" s="7" t="s">
        <v>11</v>
      </c>
      <c r="E70" s="6">
        <v>4.13</v>
      </c>
      <c r="F70" s="6">
        <v>2.13</v>
      </c>
      <c r="G70" s="6">
        <v>2.13</v>
      </c>
      <c r="H70" s="7">
        <v>0.3</v>
      </c>
      <c r="I70" s="6">
        <v>0.13589999999999999</v>
      </c>
      <c r="J70" s="7">
        <v>24</v>
      </c>
      <c r="K70" s="6">
        <v>7.5</v>
      </c>
      <c r="L70" s="7" t="s">
        <v>74</v>
      </c>
      <c r="M70" s="20">
        <v>17.115000000000002</v>
      </c>
      <c r="N70" s="25"/>
      <c r="O70" s="21">
        <f t="shared" si="6"/>
        <v>0</v>
      </c>
      <c r="R70" s="37" t="str">
        <f t="shared" si="7"/>
        <v>-</v>
      </c>
      <c r="S70" s="37" t="str">
        <f t="shared" si="8"/>
        <v>-</v>
      </c>
      <c r="T70" s="38" t="str">
        <f t="shared" si="9"/>
        <v>-</v>
      </c>
      <c r="U70" s="39" t="str">
        <f t="shared" si="10"/>
        <v>-</v>
      </c>
      <c r="W70" s="39" t="str">
        <f t="shared" si="11"/>
        <v>-</v>
      </c>
    </row>
    <row r="71" spans="1:23" ht="15" customHeight="1" x14ac:dyDescent="0.25">
      <c r="A71" s="10">
        <v>755929044009</v>
      </c>
      <c r="B71" s="8">
        <v>4400</v>
      </c>
      <c r="C71" s="1" t="s">
        <v>46</v>
      </c>
      <c r="D71" s="7" t="s">
        <v>4</v>
      </c>
      <c r="E71" s="6">
        <v>3.95</v>
      </c>
      <c r="F71" s="6">
        <v>2.13</v>
      </c>
      <c r="G71" s="6">
        <v>2.13</v>
      </c>
      <c r="H71" s="7">
        <v>0.2</v>
      </c>
      <c r="I71" s="6">
        <v>9.0600000000000014E-2</v>
      </c>
      <c r="J71" s="7">
        <v>24</v>
      </c>
      <c r="K71" s="6">
        <v>4.8000000000000007</v>
      </c>
      <c r="L71" s="7" t="s">
        <v>77</v>
      </c>
      <c r="M71" s="20">
        <v>15.277500000000002</v>
      </c>
      <c r="N71" s="25"/>
      <c r="O71" s="21">
        <f t="shared" si="6"/>
        <v>0</v>
      </c>
      <c r="R71" s="37" t="str">
        <f t="shared" si="7"/>
        <v>-</v>
      </c>
      <c r="S71" s="37" t="str">
        <f t="shared" si="8"/>
        <v>-</v>
      </c>
      <c r="T71" s="38" t="str">
        <f t="shared" si="9"/>
        <v>-</v>
      </c>
      <c r="U71" s="39" t="str">
        <f t="shared" si="10"/>
        <v>-</v>
      </c>
      <c r="W71" s="39" t="str">
        <f t="shared" si="11"/>
        <v>-</v>
      </c>
    </row>
    <row r="72" spans="1:23" ht="15" customHeight="1" x14ac:dyDescent="0.25">
      <c r="A72" s="10">
        <v>755929044016</v>
      </c>
      <c r="B72" s="8">
        <v>4401</v>
      </c>
      <c r="C72" s="1" t="s">
        <v>46</v>
      </c>
      <c r="D72" s="7" t="s">
        <v>5</v>
      </c>
      <c r="E72" s="6">
        <v>4.13</v>
      </c>
      <c r="F72" s="6">
        <v>2.13</v>
      </c>
      <c r="G72" s="6">
        <v>2.13</v>
      </c>
      <c r="H72" s="7">
        <v>0.3</v>
      </c>
      <c r="I72" s="6">
        <v>0.13589999999999999</v>
      </c>
      <c r="J72" s="7">
        <v>24</v>
      </c>
      <c r="K72" s="6">
        <v>7.1999999999999993</v>
      </c>
      <c r="L72" s="7" t="s">
        <v>74</v>
      </c>
      <c r="M72" s="20">
        <v>19.004999999999999</v>
      </c>
      <c r="N72" s="25"/>
      <c r="O72" s="21">
        <f t="shared" si="6"/>
        <v>0</v>
      </c>
      <c r="R72" s="37" t="str">
        <f t="shared" si="7"/>
        <v>-</v>
      </c>
      <c r="S72" s="37" t="str">
        <f t="shared" si="8"/>
        <v>-</v>
      </c>
      <c r="T72" s="38" t="str">
        <f t="shared" si="9"/>
        <v>-</v>
      </c>
      <c r="U72" s="39" t="str">
        <f t="shared" si="10"/>
        <v>-</v>
      </c>
      <c r="W72" s="39" t="str">
        <f t="shared" si="11"/>
        <v>-</v>
      </c>
    </row>
    <row r="73" spans="1:23" ht="15" customHeight="1" x14ac:dyDescent="0.25">
      <c r="A73" s="10">
        <v>755929044108</v>
      </c>
      <c r="B73" s="8">
        <v>4410</v>
      </c>
      <c r="C73" s="1" t="s">
        <v>47</v>
      </c>
      <c r="D73" s="7" t="s">
        <v>8</v>
      </c>
      <c r="E73" s="6">
        <v>4.13</v>
      </c>
      <c r="F73" s="6">
        <v>2.13</v>
      </c>
      <c r="G73" s="6">
        <v>2.13</v>
      </c>
      <c r="H73" s="7">
        <v>0.2</v>
      </c>
      <c r="I73" s="6">
        <v>9.0600000000000014E-2</v>
      </c>
      <c r="J73" s="7">
        <v>24</v>
      </c>
      <c r="K73" s="6">
        <v>4.8000000000000007</v>
      </c>
      <c r="L73" s="7" t="s">
        <v>74</v>
      </c>
      <c r="M73" s="20">
        <v>15.277500000000002</v>
      </c>
      <c r="N73" s="25"/>
      <c r="O73" s="21">
        <f t="shared" si="6"/>
        <v>0</v>
      </c>
      <c r="R73" s="37" t="str">
        <f t="shared" si="7"/>
        <v>-</v>
      </c>
      <c r="S73" s="37" t="str">
        <f t="shared" si="8"/>
        <v>-</v>
      </c>
      <c r="T73" s="38" t="str">
        <f t="shared" si="9"/>
        <v>-</v>
      </c>
      <c r="U73" s="39" t="str">
        <f t="shared" si="10"/>
        <v>-</v>
      </c>
      <c r="W73" s="39" t="str">
        <f t="shared" si="11"/>
        <v>-</v>
      </c>
    </row>
    <row r="74" spans="1:23" ht="15" customHeight="1" x14ac:dyDescent="0.25">
      <c r="A74" s="10">
        <v>755929044115</v>
      </c>
      <c r="B74" s="8">
        <v>4411</v>
      </c>
      <c r="C74" s="1" t="s">
        <v>47</v>
      </c>
      <c r="D74" s="7" t="s">
        <v>9</v>
      </c>
      <c r="E74" s="6">
        <v>5</v>
      </c>
      <c r="F74" s="6">
        <v>2.5</v>
      </c>
      <c r="G74" s="6">
        <v>2.5</v>
      </c>
      <c r="H74" s="7">
        <v>0.3</v>
      </c>
      <c r="I74" s="6">
        <v>0.13589999999999999</v>
      </c>
      <c r="J74" s="7">
        <v>24</v>
      </c>
      <c r="K74" s="6">
        <v>7.1999999999999993</v>
      </c>
      <c r="L74" s="7" t="s">
        <v>75</v>
      </c>
      <c r="M74" s="20">
        <v>25.7775</v>
      </c>
      <c r="N74" s="25"/>
      <c r="O74" s="21">
        <f t="shared" si="6"/>
        <v>0</v>
      </c>
      <c r="R74" s="37" t="str">
        <f t="shared" si="7"/>
        <v>-</v>
      </c>
      <c r="S74" s="37" t="str">
        <f t="shared" si="8"/>
        <v>-</v>
      </c>
      <c r="T74" s="38" t="str">
        <f t="shared" si="9"/>
        <v>-</v>
      </c>
      <c r="U74" s="39" t="str">
        <f t="shared" si="10"/>
        <v>-</v>
      </c>
      <c r="W74" s="39" t="str">
        <f t="shared" si="11"/>
        <v>-</v>
      </c>
    </row>
    <row r="75" spans="1:23" ht="15" customHeight="1" x14ac:dyDescent="0.25">
      <c r="A75" s="10">
        <v>755929045006</v>
      </c>
      <c r="B75" s="8">
        <v>4500</v>
      </c>
      <c r="C75" s="1" t="s">
        <v>48</v>
      </c>
      <c r="D75" s="7" t="s">
        <v>4</v>
      </c>
      <c r="E75" s="6">
        <v>3.95</v>
      </c>
      <c r="F75" s="6">
        <v>2.13</v>
      </c>
      <c r="G75" s="6">
        <v>2.13</v>
      </c>
      <c r="H75" s="7">
        <v>0.2</v>
      </c>
      <c r="I75" s="6">
        <v>9.0600000000000014E-2</v>
      </c>
      <c r="J75" s="7">
        <v>24</v>
      </c>
      <c r="K75" s="6">
        <v>4.8000000000000007</v>
      </c>
      <c r="L75" s="7" t="s">
        <v>77</v>
      </c>
      <c r="M75" s="20">
        <v>14.3325</v>
      </c>
      <c r="N75" s="25"/>
      <c r="O75" s="21">
        <f t="shared" si="6"/>
        <v>0</v>
      </c>
      <c r="R75" s="37" t="str">
        <f t="shared" si="7"/>
        <v>-</v>
      </c>
      <c r="S75" s="37" t="str">
        <f t="shared" si="8"/>
        <v>-</v>
      </c>
      <c r="T75" s="38" t="str">
        <f t="shared" si="9"/>
        <v>-</v>
      </c>
      <c r="U75" s="39" t="str">
        <f t="shared" si="10"/>
        <v>-</v>
      </c>
      <c r="W75" s="39" t="str">
        <f t="shared" si="11"/>
        <v>-</v>
      </c>
    </row>
    <row r="76" spans="1:23" ht="15" customHeight="1" x14ac:dyDescent="0.25">
      <c r="A76" s="10">
        <v>755929045013</v>
      </c>
      <c r="B76" s="8">
        <v>4501</v>
      </c>
      <c r="C76" s="1" t="s">
        <v>48</v>
      </c>
      <c r="D76" s="7" t="s">
        <v>6</v>
      </c>
      <c r="E76" s="6">
        <v>4.13</v>
      </c>
      <c r="F76" s="6">
        <v>2.13</v>
      </c>
      <c r="G76" s="6">
        <v>2.13</v>
      </c>
      <c r="H76" s="7">
        <v>0.3</v>
      </c>
      <c r="I76" s="6">
        <v>0.13589999999999999</v>
      </c>
      <c r="J76" s="7">
        <v>24</v>
      </c>
      <c r="K76" s="6">
        <v>7.1999999999999993</v>
      </c>
      <c r="L76" s="7" t="s">
        <v>74</v>
      </c>
      <c r="M76" s="20">
        <v>18.0075</v>
      </c>
      <c r="N76" s="25"/>
      <c r="O76" s="21">
        <f t="shared" si="6"/>
        <v>0</v>
      </c>
      <c r="R76" s="37" t="str">
        <f t="shared" si="7"/>
        <v>-</v>
      </c>
      <c r="S76" s="37" t="str">
        <f t="shared" si="8"/>
        <v>-</v>
      </c>
      <c r="T76" s="38" t="str">
        <f t="shared" si="9"/>
        <v>-</v>
      </c>
      <c r="U76" s="39" t="str">
        <f t="shared" si="10"/>
        <v>-</v>
      </c>
      <c r="W76" s="39" t="str">
        <f t="shared" si="11"/>
        <v>-</v>
      </c>
    </row>
    <row r="77" spans="1:23" ht="15" customHeight="1" x14ac:dyDescent="0.25">
      <c r="A77" s="10">
        <v>755929045020</v>
      </c>
      <c r="B77" s="8">
        <v>4502</v>
      </c>
      <c r="C77" s="1" t="s">
        <v>48</v>
      </c>
      <c r="D77" s="7" t="s">
        <v>25</v>
      </c>
      <c r="E77" s="6">
        <v>3.79</v>
      </c>
      <c r="F77" s="6">
        <v>2.0099999999999998</v>
      </c>
      <c r="G77" s="6">
        <v>2.0099999999999998</v>
      </c>
      <c r="H77" s="7">
        <v>0.1</v>
      </c>
      <c r="I77" s="6">
        <v>4.5300000000000007E-2</v>
      </c>
      <c r="J77" s="7">
        <v>24</v>
      </c>
      <c r="K77" s="6">
        <v>2.4000000000000004</v>
      </c>
      <c r="L77" s="7" t="s">
        <v>77</v>
      </c>
      <c r="M77" s="20">
        <v>10.605</v>
      </c>
      <c r="N77" s="25"/>
      <c r="O77" s="21">
        <f t="shared" si="6"/>
        <v>0</v>
      </c>
      <c r="R77" s="37" t="str">
        <f t="shared" si="7"/>
        <v>-</v>
      </c>
      <c r="S77" s="37" t="str">
        <f t="shared" si="8"/>
        <v>-</v>
      </c>
      <c r="T77" s="38" t="str">
        <f t="shared" si="9"/>
        <v>-</v>
      </c>
      <c r="U77" s="39" t="str">
        <f t="shared" si="10"/>
        <v>-</v>
      </c>
      <c r="W77" s="39" t="str">
        <f t="shared" si="11"/>
        <v>-</v>
      </c>
    </row>
    <row r="78" spans="1:23" ht="15" customHeight="1" x14ac:dyDescent="0.25">
      <c r="A78" s="10">
        <v>755929046317</v>
      </c>
      <c r="B78" s="8">
        <v>4631</v>
      </c>
      <c r="C78" s="1" t="s">
        <v>49</v>
      </c>
      <c r="D78" s="7" t="s">
        <v>30</v>
      </c>
      <c r="E78" s="6">
        <v>4.13</v>
      </c>
      <c r="F78" s="6">
        <v>2.13</v>
      </c>
      <c r="G78" s="6">
        <v>2.13</v>
      </c>
      <c r="H78" s="7">
        <v>0.3</v>
      </c>
      <c r="I78" s="6">
        <v>0.13589999999999999</v>
      </c>
      <c r="J78" s="7">
        <v>24</v>
      </c>
      <c r="K78" s="6">
        <v>7.1999999999999993</v>
      </c>
      <c r="L78" s="7" t="s">
        <v>74</v>
      </c>
      <c r="M78" s="20">
        <v>13.0725</v>
      </c>
      <c r="N78" s="25"/>
      <c r="O78" s="21">
        <f t="shared" si="6"/>
        <v>0</v>
      </c>
      <c r="R78" s="37" t="str">
        <f t="shared" si="7"/>
        <v>-</v>
      </c>
      <c r="S78" s="37" t="str">
        <f t="shared" si="8"/>
        <v>-</v>
      </c>
      <c r="T78" s="38" t="str">
        <f t="shared" si="9"/>
        <v>-</v>
      </c>
      <c r="U78" s="39" t="str">
        <f t="shared" si="10"/>
        <v>-</v>
      </c>
      <c r="W78" s="39" t="str">
        <f t="shared" si="11"/>
        <v>-</v>
      </c>
    </row>
    <row r="79" spans="1:23" ht="15" customHeight="1" x14ac:dyDescent="0.25">
      <c r="A79" s="10">
        <v>755929046324</v>
      </c>
      <c r="B79" s="8">
        <v>4632</v>
      </c>
      <c r="C79" s="1" t="s">
        <v>49</v>
      </c>
      <c r="D79" s="7" t="s">
        <v>50</v>
      </c>
      <c r="E79" s="6">
        <v>5</v>
      </c>
      <c r="F79" s="6">
        <v>2.5</v>
      </c>
      <c r="G79" s="6">
        <v>2.5</v>
      </c>
      <c r="H79" s="7">
        <v>0.5</v>
      </c>
      <c r="I79" s="6">
        <v>0.22650000000000001</v>
      </c>
      <c r="J79" s="7">
        <v>24</v>
      </c>
      <c r="K79" s="6">
        <v>12</v>
      </c>
      <c r="L79" s="7" t="s">
        <v>75</v>
      </c>
      <c r="M79" s="20">
        <v>23.362499999999997</v>
      </c>
      <c r="N79" s="25"/>
      <c r="O79" s="21">
        <f t="shared" si="6"/>
        <v>0</v>
      </c>
      <c r="R79" s="37" t="str">
        <f t="shared" si="7"/>
        <v>-</v>
      </c>
      <c r="S79" s="37" t="str">
        <f t="shared" si="8"/>
        <v>-</v>
      </c>
      <c r="T79" s="38" t="str">
        <f t="shared" si="9"/>
        <v>-</v>
      </c>
      <c r="U79" s="39" t="str">
        <f t="shared" si="10"/>
        <v>-</v>
      </c>
      <c r="W79" s="39" t="str">
        <f t="shared" si="11"/>
        <v>-</v>
      </c>
    </row>
    <row r="80" spans="1:23" ht="15" customHeight="1" x14ac:dyDescent="0.25">
      <c r="A80" s="10">
        <v>755929050086</v>
      </c>
      <c r="B80" s="8">
        <v>5008</v>
      </c>
      <c r="C80" s="1" t="s">
        <v>51</v>
      </c>
      <c r="D80" s="7" t="s">
        <v>6</v>
      </c>
      <c r="E80" s="6">
        <v>5</v>
      </c>
      <c r="F80" s="6">
        <v>2.5</v>
      </c>
      <c r="G80" s="6">
        <v>2.5</v>
      </c>
      <c r="H80" s="7">
        <v>0.45</v>
      </c>
      <c r="I80" s="6">
        <v>0.20385</v>
      </c>
      <c r="J80" s="7">
        <v>24</v>
      </c>
      <c r="K80" s="6">
        <v>10.8</v>
      </c>
      <c r="L80" s="7" t="s">
        <v>75</v>
      </c>
      <c r="M80" s="20">
        <v>15.277500000000002</v>
      </c>
      <c r="N80" s="25"/>
      <c r="O80" s="21">
        <f t="shared" si="6"/>
        <v>0</v>
      </c>
      <c r="R80" s="37" t="str">
        <f t="shared" si="7"/>
        <v>-</v>
      </c>
      <c r="S80" s="37" t="str">
        <f t="shared" si="8"/>
        <v>-</v>
      </c>
      <c r="T80" s="38" t="str">
        <f t="shared" si="9"/>
        <v>-</v>
      </c>
      <c r="U80" s="39" t="str">
        <f t="shared" si="10"/>
        <v>-</v>
      </c>
      <c r="W80" s="39" t="str">
        <f t="shared" si="11"/>
        <v>-</v>
      </c>
    </row>
    <row r="81" spans="1:23" ht="15" customHeight="1" x14ac:dyDescent="0.25">
      <c r="A81" s="10">
        <v>755929050093</v>
      </c>
      <c r="B81" s="8">
        <v>5009</v>
      </c>
      <c r="C81" s="1" t="s">
        <v>51</v>
      </c>
      <c r="D81" s="7" t="s">
        <v>52</v>
      </c>
      <c r="E81" s="6">
        <v>5.25</v>
      </c>
      <c r="F81" s="6">
        <v>3</v>
      </c>
      <c r="G81" s="6">
        <v>3</v>
      </c>
      <c r="H81" s="7">
        <v>0.75</v>
      </c>
      <c r="I81" s="6">
        <v>0.33975</v>
      </c>
      <c r="J81" s="7">
        <v>12</v>
      </c>
      <c r="K81" s="6">
        <v>9</v>
      </c>
      <c r="L81" s="7" t="s">
        <v>79</v>
      </c>
      <c r="M81" s="20">
        <v>26.092500000000001</v>
      </c>
      <c r="N81" s="25"/>
      <c r="O81" s="21">
        <f t="shared" si="6"/>
        <v>0</v>
      </c>
      <c r="R81" s="37" t="str">
        <f t="shared" si="7"/>
        <v>-</v>
      </c>
      <c r="S81" s="37" t="str">
        <f t="shared" si="8"/>
        <v>-</v>
      </c>
      <c r="T81" s="38" t="str">
        <f t="shared" si="9"/>
        <v>-</v>
      </c>
      <c r="U81" s="39" t="str">
        <f t="shared" si="10"/>
        <v>-</v>
      </c>
      <c r="W81" s="39" t="str">
        <f t="shared" si="11"/>
        <v>-</v>
      </c>
    </row>
    <row r="82" spans="1:23" ht="15" customHeight="1" x14ac:dyDescent="0.25">
      <c r="A82" s="10">
        <v>755929050154</v>
      </c>
      <c r="B82" s="8">
        <v>5015</v>
      </c>
      <c r="C82" s="1" t="s">
        <v>57</v>
      </c>
      <c r="D82" s="7" t="s">
        <v>31</v>
      </c>
      <c r="E82" s="6">
        <v>5.25</v>
      </c>
      <c r="F82" s="6">
        <v>3</v>
      </c>
      <c r="G82" s="6">
        <v>3</v>
      </c>
      <c r="H82" s="7">
        <v>0.6</v>
      </c>
      <c r="I82" s="6">
        <v>0.27179999999999999</v>
      </c>
      <c r="J82" s="7">
        <v>12</v>
      </c>
      <c r="K82" s="6">
        <v>7.1999999999999993</v>
      </c>
      <c r="L82" s="7" t="s">
        <v>79</v>
      </c>
      <c r="M82" s="20">
        <v>15.855</v>
      </c>
      <c r="N82" s="25"/>
      <c r="O82" s="21">
        <f t="shared" si="6"/>
        <v>0</v>
      </c>
      <c r="R82" s="37" t="str">
        <f t="shared" si="7"/>
        <v>-</v>
      </c>
      <c r="S82" s="37" t="str">
        <f t="shared" si="8"/>
        <v>-</v>
      </c>
      <c r="T82" s="38" t="str">
        <f t="shared" si="9"/>
        <v>-</v>
      </c>
      <c r="U82" s="39" t="str">
        <f t="shared" si="10"/>
        <v>-</v>
      </c>
      <c r="W82" s="39" t="str">
        <f t="shared" si="11"/>
        <v>-</v>
      </c>
    </row>
    <row r="83" spans="1:23" ht="15" customHeight="1" x14ac:dyDescent="0.25">
      <c r="A83" s="10">
        <v>755929060009</v>
      </c>
      <c r="B83" s="8">
        <v>6000</v>
      </c>
      <c r="C83" s="1" t="s">
        <v>88</v>
      </c>
      <c r="D83" s="7" t="s">
        <v>58</v>
      </c>
      <c r="E83" s="6">
        <v>4.13</v>
      </c>
      <c r="F83" s="6">
        <v>2.13</v>
      </c>
      <c r="G83" s="6">
        <v>2.13</v>
      </c>
      <c r="H83" s="7">
        <v>0.25</v>
      </c>
      <c r="I83" s="6">
        <v>0.11325</v>
      </c>
      <c r="J83" s="7">
        <v>24</v>
      </c>
      <c r="K83" s="6">
        <v>6</v>
      </c>
      <c r="L83" s="7" t="s">
        <v>74</v>
      </c>
      <c r="M83" s="20">
        <v>11.4975</v>
      </c>
      <c r="N83" s="25"/>
      <c r="O83" s="21">
        <f t="shared" si="6"/>
        <v>0</v>
      </c>
      <c r="R83" s="37" t="str">
        <f t="shared" si="7"/>
        <v>-</v>
      </c>
      <c r="S83" s="37" t="str">
        <f t="shared" si="8"/>
        <v>-</v>
      </c>
      <c r="T83" s="38" t="str">
        <f t="shared" si="9"/>
        <v>-</v>
      </c>
      <c r="U83" s="39" t="str">
        <f t="shared" si="10"/>
        <v>-</v>
      </c>
      <c r="W83" s="39" t="str">
        <f t="shared" si="11"/>
        <v>-</v>
      </c>
    </row>
    <row r="84" spans="1:23" ht="15" customHeight="1" x14ac:dyDescent="0.25">
      <c r="A84" s="10">
        <v>755929060016</v>
      </c>
      <c r="B84" s="8">
        <v>6001</v>
      </c>
      <c r="C84" s="1" t="s">
        <v>88</v>
      </c>
      <c r="D84" s="7" t="s">
        <v>5</v>
      </c>
      <c r="E84" s="6">
        <v>5</v>
      </c>
      <c r="F84" s="6">
        <v>2.5</v>
      </c>
      <c r="G84" s="6">
        <v>2.5</v>
      </c>
      <c r="H84" s="7">
        <v>0.45</v>
      </c>
      <c r="I84" s="6">
        <v>0.20385</v>
      </c>
      <c r="J84" s="7">
        <v>24</v>
      </c>
      <c r="K84" s="6">
        <v>10.8</v>
      </c>
      <c r="L84" s="7" t="s">
        <v>75</v>
      </c>
      <c r="M84" s="20">
        <v>17.745000000000001</v>
      </c>
      <c r="N84" s="25"/>
      <c r="O84" s="21">
        <f t="shared" si="6"/>
        <v>0</v>
      </c>
      <c r="R84" s="37" t="str">
        <f t="shared" si="7"/>
        <v>-</v>
      </c>
      <c r="S84" s="37" t="str">
        <f t="shared" si="8"/>
        <v>-</v>
      </c>
      <c r="T84" s="38" t="str">
        <f t="shared" si="9"/>
        <v>-</v>
      </c>
      <c r="U84" s="39" t="str">
        <f t="shared" si="10"/>
        <v>-</v>
      </c>
      <c r="W84" s="39" t="str">
        <f t="shared" si="11"/>
        <v>-</v>
      </c>
    </row>
    <row r="85" spans="1:23" ht="15" customHeight="1" x14ac:dyDescent="0.25">
      <c r="A85" s="10">
        <v>755929060030</v>
      </c>
      <c r="B85" s="8">
        <v>6003</v>
      </c>
      <c r="C85" s="1" t="s">
        <v>87</v>
      </c>
      <c r="D85" s="7" t="s">
        <v>85</v>
      </c>
      <c r="E85" s="6">
        <v>3.2</v>
      </c>
      <c r="F85" s="6">
        <v>2.9</v>
      </c>
      <c r="G85" s="6">
        <v>2.9</v>
      </c>
      <c r="H85" s="7">
        <v>0.3</v>
      </c>
      <c r="I85" s="6">
        <v>0.13589999999999999</v>
      </c>
      <c r="J85" s="7">
        <v>12</v>
      </c>
      <c r="K85" s="6">
        <v>3.65</v>
      </c>
      <c r="L85" s="7" t="s">
        <v>86</v>
      </c>
      <c r="M85" s="20">
        <v>8.2949999999999999</v>
      </c>
      <c r="N85" s="25"/>
      <c r="O85" s="21">
        <f t="shared" si="6"/>
        <v>0</v>
      </c>
      <c r="R85" s="37" t="str">
        <f t="shared" si="7"/>
        <v>-</v>
      </c>
      <c r="S85" s="37" t="str">
        <f t="shared" si="8"/>
        <v>-</v>
      </c>
      <c r="T85" s="38" t="str">
        <f t="shared" si="9"/>
        <v>-</v>
      </c>
      <c r="U85" s="39" t="str">
        <f t="shared" si="10"/>
        <v>-</v>
      </c>
      <c r="W85" s="39" t="str">
        <f t="shared" si="11"/>
        <v>-</v>
      </c>
    </row>
    <row r="86" spans="1:23" ht="15" customHeight="1" x14ac:dyDescent="0.25">
      <c r="A86" s="10">
        <v>755929102808</v>
      </c>
      <c r="B86" s="8">
        <v>10280</v>
      </c>
      <c r="C86" s="1" t="s">
        <v>53</v>
      </c>
      <c r="D86" s="7" t="s">
        <v>4</v>
      </c>
      <c r="E86" s="6">
        <v>3.95</v>
      </c>
      <c r="F86" s="6">
        <v>2.13</v>
      </c>
      <c r="G86" s="6">
        <v>2.13</v>
      </c>
      <c r="H86" s="7">
        <v>0.25</v>
      </c>
      <c r="I86" s="6">
        <v>0.11325</v>
      </c>
      <c r="J86" s="7">
        <v>24</v>
      </c>
      <c r="K86" s="6">
        <v>6</v>
      </c>
      <c r="L86" s="7" t="s">
        <v>77</v>
      </c>
      <c r="M86" s="20">
        <v>13.702500000000001</v>
      </c>
      <c r="N86" s="25"/>
      <c r="O86" s="21">
        <f t="shared" si="6"/>
        <v>0</v>
      </c>
      <c r="R86" s="37" t="str">
        <f t="shared" si="7"/>
        <v>-</v>
      </c>
      <c r="S86" s="37" t="str">
        <f t="shared" si="8"/>
        <v>-</v>
      </c>
      <c r="T86" s="38" t="str">
        <f t="shared" si="9"/>
        <v>-</v>
      </c>
      <c r="U86" s="39" t="str">
        <f t="shared" si="10"/>
        <v>-</v>
      </c>
      <c r="W86" s="39" t="str">
        <f t="shared" si="11"/>
        <v>-</v>
      </c>
    </row>
    <row r="87" spans="1:23" ht="15" customHeight="1" x14ac:dyDescent="0.25">
      <c r="A87" s="10">
        <v>755929102815</v>
      </c>
      <c r="B87" s="8">
        <v>10281</v>
      </c>
      <c r="C87" s="1" t="s">
        <v>53</v>
      </c>
      <c r="D87" s="7" t="s">
        <v>6</v>
      </c>
      <c r="E87" s="6">
        <v>4.13</v>
      </c>
      <c r="F87" s="6">
        <v>2.13</v>
      </c>
      <c r="G87" s="6">
        <v>2.13</v>
      </c>
      <c r="H87" s="7">
        <v>0.4</v>
      </c>
      <c r="I87" s="6">
        <v>0.18120000000000003</v>
      </c>
      <c r="J87" s="7">
        <v>24</v>
      </c>
      <c r="K87" s="6">
        <v>9.6000000000000014</v>
      </c>
      <c r="L87" s="7" t="s">
        <v>74</v>
      </c>
      <c r="M87" s="20">
        <v>18.322499999999998</v>
      </c>
      <c r="N87" s="25"/>
      <c r="O87" s="21">
        <f t="shared" si="6"/>
        <v>0</v>
      </c>
      <c r="R87" s="37" t="str">
        <f t="shared" si="7"/>
        <v>-</v>
      </c>
      <c r="S87" s="37" t="str">
        <f t="shared" si="8"/>
        <v>-</v>
      </c>
      <c r="T87" s="38" t="str">
        <f t="shared" si="9"/>
        <v>-</v>
      </c>
      <c r="U87" s="39" t="str">
        <f t="shared" si="10"/>
        <v>-</v>
      </c>
      <c r="W87" s="39" t="str">
        <f t="shared" si="11"/>
        <v>-</v>
      </c>
    </row>
    <row r="88" spans="1:23" ht="15" customHeight="1" x14ac:dyDescent="0.25">
      <c r="A88" s="12">
        <v>755929104031</v>
      </c>
      <c r="B88" s="7">
        <v>10403</v>
      </c>
      <c r="C88" s="4" t="s">
        <v>54</v>
      </c>
      <c r="D88" s="3" t="s">
        <v>5</v>
      </c>
      <c r="E88" s="6">
        <v>3.75</v>
      </c>
      <c r="F88" s="6">
        <v>2</v>
      </c>
      <c r="G88" s="6">
        <v>2</v>
      </c>
      <c r="H88" s="7">
        <v>0.13</v>
      </c>
      <c r="I88" s="6">
        <v>5.8890000000000005E-2</v>
      </c>
      <c r="J88" s="7">
        <v>24</v>
      </c>
      <c r="K88" s="6">
        <v>3.2</v>
      </c>
      <c r="L88" s="7" t="s">
        <v>81</v>
      </c>
      <c r="M88" s="20">
        <v>15.6975</v>
      </c>
      <c r="N88" s="25"/>
      <c r="O88" s="21">
        <f t="shared" si="6"/>
        <v>0</v>
      </c>
      <c r="R88" s="37" t="str">
        <f t="shared" si="7"/>
        <v>-</v>
      </c>
      <c r="S88" s="37" t="str">
        <f t="shared" si="8"/>
        <v>-</v>
      </c>
      <c r="T88" s="38" t="str">
        <f t="shared" si="9"/>
        <v>-</v>
      </c>
      <c r="U88" s="39" t="str">
        <f t="shared" si="10"/>
        <v>-</v>
      </c>
      <c r="W88" s="39" t="str">
        <f t="shared" si="11"/>
        <v>-</v>
      </c>
    </row>
    <row r="89" spans="1:23" ht="15" customHeight="1" x14ac:dyDescent="0.25">
      <c r="A89" s="12">
        <v>755929118809</v>
      </c>
      <c r="B89" s="7">
        <v>11880</v>
      </c>
      <c r="C89" s="4" t="s">
        <v>55</v>
      </c>
      <c r="D89" s="3" t="s">
        <v>26</v>
      </c>
      <c r="E89" s="6">
        <v>3.92</v>
      </c>
      <c r="F89" s="6">
        <v>2.16</v>
      </c>
      <c r="G89" s="6">
        <v>2.16</v>
      </c>
      <c r="H89" s="7">
        <v>0.1</v>
      </c>
      <c r="I89" s="6">
        <v>4.5300000000000007E-2</v>
      </c>
      <c r="J89" s="7">
        <v>24</v>
      </c>
      <c r="K89" s="6">
        <v>2.4000000000000004</v>
      </c>
      <c r="L89" s="7" t="s">
        <v>77</v>
      </c>
      <c r="M89" s="20">
        <v>10.342500000000001</v>
      </c>
      <c r="N89" s="25"/>
      <c r="O89" s="21">
        <f t="shared" si="6"/>
        <v>0</v>
      </c>
      <c r="R89" s="37" t="str">
        <f t="shared" si="7"/>
        <v>-</v>
      </c>
      <c r="S89" s="37" t="str">
        <f t="shared" si="8"/>
        <v>-</v>
      </c>
      <c r="T89" s="38" t="str">
        <f t="shared" si="9"/>
        <v>-</v>
      </c>
      <c r="U89" s="39" t="str">
        <f t="shared" si="10"/>
        <v>-</v>
      </c>
      <c r="W89" s="39" t="str">
        <f t="shared" si="11"/>
        <v>-</v>
      </c>
    </row>
    <row r="90" spans="1:23" ht="15" customHeight="1" x14ac:dyDescent="0.25">
      <c r="A90" s="12">
        <v>755929118816</v>
      </c>
      <c r="B90" s="7">
        <v>11881</v>
      </c>
      <c r="C90" s="4" t="s">
        <v>55</v>
      </c>
      <c r="D90" s="3" t="s">
        <v>8</v>
      </c>
      <c r="E90" s="6">
        <v>4.1399999999999997</v>
      </c>
      <c r="F90" s="6">
        <v>2.36</v>
      </c>
      <c r="G90" s="6">
        <v>2.36</v>
      </c>
      <c r="H90" s="7">
        <v>0.15</v>
      </c>
      <c r="I90" s="6">
        <v>6.7949999999999997E-2</v>
      </c>
      <c r="J90" s="7">
        <v>24</v>
      </c>
      <c r="K90" s="6">
        <v>3.5999999999999996</v>
      </c>
      <c r="L90" s="7" t="s">
        <v>74</v>
      </c>
      <c r="M90" s="20">
        <v>18.322499999999998</v>
      </c>
      <c r="N90" s="25"/>
      <c r="O90" s="21">
        <f t="shared" si="6"/>
        <v>0</v>
      </c>
      <c r="R90" s="37" t="str">
        <f t="shared" si="7"/>
        <v>-</v>
      </c>
      <c r="S90" s="37" t="str">
        <f t="shared" si="8"/>
        <v>-</v>
      </c>
      <c r="T90" s="38" t="str">
        <f t="shared" si="9"/>
        <v>-</v>
      </c>
      <c r="U90" s="39" t="str">
        <f t="shared" si="10"/>
        <v>-</v>
      </c>
      <c r="W90" s="39" t="str">
        <f t="shared" si="11"/>
        <v>-</v>
      </c>
    </row>
    <row r="91" spans="1:23" ht="15" customHeight="1" x14ac:dyDescent="0.25">
      <c r="A91" s="12">
        <v>755929118823</v>
      </c>
      <c r="B91" s="7">
        <v>11882</v>
      </c>
      <c r="C91" s="4" t="s">
        <v>55</v>
      </c>
      <c r="D91" s="3" t="s">
        <v>11</v>
      </c>
      <c r="E91" s="6">
        <v>4.6900000000000004</v>
      </c>
      <c r="F91" s="6">
        <v>2.52</v>
      </c>
      <c r="G91" s="6">
        <v>2.52</v>
      </c>
      <c r="H91" s="7">
        <v>0.25</v>
      </c>
      <c r="I91" s="6">
        <v>0.11325</v>
      </c>
      <c r="J91" s="7">
        <v>24</v>
      </c>
      <c r="K91" s="6">
        <v>6</v>
      </c>
      <c r="L91" s="7" t="s">
        <v>75</v>
      </c>
      <c r="M91" s="20">
        <v>22.942500000000003</v>
      </c>
      <c r="N91" s="25"/>
      <c r="O91" s="21">
        <f t="shared" si="6"/>
        <v>0</v>
      </c>
      <c r="R91" s="37" t="str">
        <f t="shared" si="7"/>
        <v>-</v>
      </c>
      <c r="S91" s="37" t="str">
        <f t="shared" si="8"/>
        <v>-</v>
      </c>
      <c r="T91" s="38" t="str">
        <f t="shared" si="9"/>
        <v>-</v>
      </c>
      <c r="U91" s="39" t="str">
        <f t="shared" si="10"/>
        <v>-</v>
      </c>
      <c r="W91" s="39" t="str">
        <f t="shared" si="11"/>
        <v>-</v>
      </c>
    </row>
    <row r="92" spans="1:23" ht="15" customHeight="1" x14ac:dyDescent="0.25">
      <c r="A92" s="12">
        <v>755929120024</v>
      </c>
      <c r="B92" s="7">
        <v>12002</v>
      </c>
      <c r="C92" s="4" t="s">
        <v>61</v>
      </c>
      <c r="D92" s="3" t="s">
        <v>8</v>
      </c>
      <c r="E92" s="6">
        <v>3.95</v>
      </c>
      <c r="F92" s="6">
        <v>2.13</v>
      </c>
      <c r="G92" s="6">
        <v>2.13</v>
      </c>
      <c r="H92" s="7">
        <v>0.15</v>
      </c>
      <c r="I92" s="6">
        <v>6.7949999999999997E-2</v>
      </c>
      <c r="J92" s="7">
        <v>24</v>
      </c>
      <c r="K92" s="6">
        <v>4.4000000000000004</v>
      </c>
      <c r="L92" s="7" t="s">
        <v>76</v>
      </c>
      <c r="M92" s="20">
        <v>15.277500000000002</v>
      </c>
      <c r="N92" s="25"/>
      <c r="O92" s="21">
        <f t="shared" si="6"/>
        <v>0</v>
      </c>
      <c r="R92" s="37" t="str">
        <f t="shared" si="7"/>
        <v>-</v>
      </c>
      <c r="S92" s="37" t="str">
        <f t="shared" si="8"/>
        <v>-</v>
      </c>
      <c r="T92" s="38" t="str">
        <f t="shared" si="9"/>
        <v>-</v>
      </c>
      <c r="U92" s="39" t="str">
        <f t="shared" si="10"/>
        <v>-</v>
      </c>
      <c r="W92" s="39" t="str">
        <f t="shared" si="11"/>
        <v>-</v>
      </c>
    </row>
    <row r="93" spans="1:23" ht="15" customHeight="1" x14ac:dyDescent="0.25">
      <c r="A93" s="12">
        <v>755929120031</v>
      </c>
      <c r="B93" s="7">
        <v>12003</v>
      </c>
      <c r="C93" s="4" t="s">
        <v>62</v>
      </c>
      <c r="D93" s="3" t="s">
        <v>4</v>
      </c>
      <c r="E93" s="6">
        <v>3.95</v>
      </c>
      <c r="F93" s="6">
        <v>2.13</v>
      </c>
      <c r="G93" s="6">
        <v>2.13</v>
      </c>
      <c r="H93" s="7">
        <v>0.25</v>
      </c>
      <c r="I93" s="6">
        <v>0.11325</v>
      </c>
      <c r="J93" s="7">
        <v>24</v>
      </c>
      <c r="K93" s="6">
        <v>6.85</v>
      </c>
      <c r="L93" s="7" t="s">
        <v>77</v>
      </c>
      <c r="M93" s="20">
        <v>15.855</v>
      </c>
      <c r="N93" s="25"/>
      <c r="O93" s="21">
        <f t="shared" si="6"/>
        <v>0</v>
      </c>
      <c r="R93" s="37" t="str">
        <f t="shared" si="7"/>
        <v>-</v>
      </c>
      <c r="S93" s="37" t="str">
        <f t="shared" si="8"/>
        <v>-</v>
      </c>
      <c r="T93" s="38" t="str">
        <f t="shared" si="9"/>
        <v>-</v>
      </c>
      <c r="U93" s="39" t="str">
        <f t="shared" si="10"/>
        <v>-</v>
      </c>
      <c r="W93" s="39" t="str">
        <f t="shared" si="11"/>
        <v>-</v>
      </c>
    </row>
    <row r="94" spans="1:23" ht="15" customHeight="1" x14ac:dyDescent="0.25">
      <c r="A94" s="10">
        <v>755929310012</v>
      </c>
      <c r="B94" s="8">
        <v>31001</v>
      </c>
      <c r="C94" s="1" t="s">
        <v>83</v>
      </c>
      <c r="D94" s="15" t="s">
        <v>4</v>
      </c>
      <c r="E94" s="6">
        <v>3.95</v>
      </c>
      <c r="F94" s="6">
        <v>2.13</v>
      </c>
      <c r="G94" s="6">
        <v>2.13</v>
      </c>
      <c r="H94" s="7">
        <v>0.25</v>
      </c>
      <c r="I94" s="6">
        <v>0.11325</v>
      </c>
      <c r="J94" s="7">
        <v>24</v>
      </c>
      <c r="K94" s="6">
        <v>6</v>
      </c>
      <c r="L94" s="7" t="s">
        <v>77</v>
      </c>
      <c r="M94" s="20">
        <v>17.115000000000002</v>
      </c>
      <c r="N94" s="25"/>
      <c r="O94" s="21">
        <f t="shared" si="6"/>
        <v>0</v>
      </c>
      <c r="R94" s="37" t="str">
        <f t="shared" si="7"/>
        <v>-</v>
      </c>
      <c r="S94" s="37" t="str">
        <f t="shared" si="8"/>
        <v>-</v>
      </c>
      <c r="T94" s="38" t="str">
        <f t="shared" si="9"/>
        <v>-</v>
      </c>
      <c r="U94" s="39" t="str">
        <f t="shared" si="10"/>
        <v>-</v>
      </c>
      <c r="W94" s="39" t="str">
        <f t="shared" si="11"/>
        <v>-</v>
      </c>
    </row>
    <row r="95" spans="1:23" ht="15" customHeight="1" x14ac:dyDescent="0.25">
      <c r="A95" s="10">
        <v>755929310029</v>
      </c>
      <c r="B95" s="8">
        <v>31002</v>
      </c>
      <c r="C95" s="1" t="s">
        <v>83</v>
      </c>
      <c r="D95" s="15" t="s">
        <v>5</v>
      </c>
      <c r="E95" s="6">
        <v>4.13</v>
      </c>
      <c r="F95" s="6">
        <v>2.13</v>
      </c>
      <c r="G95" s="6">
        <v>2.13</v>
      </c>
      <c r="H95" s="7">
        <v>0.35</v>
      </c>
      <c r="I95" s="6">
        <v>0.15855</v>
      </c>
      <c r="J95" s="7">
        <v>24</v>
      </c>
      <c r="K95" s="6">
        <v>8.3999999999999986</v>
      </c>
      <c r="L95" s="7" t="s">
        <v>74</v>
      </c>
      <c r="M95" s="20">
        <v>21.157499999999999</v>
      </c>
      <c r="N95" s="25"/>
      <c r="O95" s="21">
        <f t="shared" si="6"/>
        <v>0</v>
      </c>
      <c r="R95" s="37" t="str">
        <f t="shared" si="7"/>
        <v>-</v>
      </c>
      <c r="S95" s="37" t="str">
        <f t="shared" si="8"/>
        <v>-</v>
      </c>
      <c r="T95" s="38" t="str">
        <f t="shared" si="9"/>
        <v>-</v>
      </c>
      <c r="U95" s="39" t="str">
        <f t="shared" si="10"/>
        <v>-</v>
      </c>
      <c r="W95" s="39" t="str">
        <f t="shared" si="11"/>
        <v>-</v>
      </c>
    </row>
    <row r="96" spans="1:23" ht="15" customHeight="1" x14ac:dyDescent="0.25">
      <c r="A96" s="10">
        <v>755929310050</v>
      </c>
      <c r="B96" s="8">
        <v>31005</v>
      </c>
      <c r="C96" s="1" t="s">
        <v>56</v>
      </c>
      <c r="D96" s="7" t="s">
        <v>4</v>
      </c>
      <c r="E96" s="6">
        <v>3.95</v>
      </c>
      <c r="F96" s="6">
        <v>2.13</v>
      </c>
      <c r="G96" s="6">
        <v>2.13</v>
      </c>
      <c r="H96" s="7">
        <v>0.25</v>
      </c>
      <c r="I96" s="6">
        <v>0.11325</v>
      </c>
      <c r="J96" s="7">
        <v>24</v>
      </c>
      <c r="K96" s="6">
        <v>6</v>
      </c>
      <c r="L96" s="7" t="s">
        <v>77</v>
      </c>
      <c r="M96" s="20">
        <v>19.267500000000002</v>
      </c>
      <c r="N96" s="25"/>
      <c r="O96" s="21">
        <f t="shared" si="6"/>
        <v>0</v>
      </c>
      <c r="R96" s="37" t="str">
        <f t="shared" si="7"/>
        <v>-</v>
      </c>
      <c r="S96" s="37" t="str">
        <f t="shared" si="8"/>
        <v>-</v>
      </c>
      <c r="T96" s="38" t="str">
        <f t="shared" si="9"/>
        <v>-</v>
      </c>
      <c r="U96" s="39" t="str">
        <f t="shared" si="10"/>
        <v>-</v>
      </c>
      <c r="W96" s="39" t="str">
        <f t="shared" si="11"/>
        <v>-</v>
      </c>
    </row>
    <row r="97" spans="1:23" ht="15" customHeight="1" x14ac:dyDescent="0.25">
      <c r="A97" s="10">
        <v>755929310067</v>
      </c>
      <c r="B97" s="8">
        <v>31006</v>
      </c>
      <c r="C97" s="1" t="s">
        <v>56</v>
      </c>
      <c r="D97" s="7" t="s">
        <v>5</v>
      </c>
      <c r="E97" s="6">
        <v>4.13</v>
      </c>
      <c r="F97" s="6">
        <v>2.13</v>
      </c>
      <c r="G97" s="6">
        <v>2.13</v>
      </c>
      <c r="H97" s="7">
        <v>0.4</v>
      </c>
      <c r="I97" s="6">
        <v>0.18120000000000003</v>
      </c>
      <c r="J97" s="7">
        <v>24</v>
      </c>
      <c r="K97" s="6">
        <v>9.6000000000000014</v>
      </c>
      <c r="L97" s="7" t="s">
        <v>74</v>
      </c>
      <c r="M97" s="20">
        <v>24.202500000000001</v>
      </c>
      <c r="N97" s="25"/>
      <c r="O97" s="21">
        <f t="shared" si="6"/>
        <v>0</v>
      </c>
      <c r="R97" s="37" t="str">
        <f t="shared" si="7"/>
        <v>-</v>
      </c>
      <c r="S97" s="37" t="str">
        <f t="shared" si="8"/>
        <v>-</v>
      </c>
      <c r="T97" s="38" t="str">
        <f t="shared" si="9"/>
        <v>-</v>
      </c>
      <c r="U97" s="39" t="str">
        <f t="shared" si="10"/>
        <v>-</v>
      </c>
      <c r="W97" s="39" t="str">
        <f t="shared" si="11"/>
        <v>-</v>
      </c>
    </row>
    <row r="98" spans="1:23" ht="15" customHeight="1" x14ac:dyDescent="0.25">
      <c r="A98" s="10">
        <v>755929310074</v>
      </c>
      <c r="B98" s="8">
        <v>31007</v>
      </c>
      <c r="C98" s="1" t="s">
        <v>56</v>
      </c>
      <c r="D98" s="7" t="s">
        <v>6</v>
      </c>
      <c r="E98" s="6">
        <v>4.9400000000000004</v>
      </c>
      <c r="F98" s="6">
        <v>2.95</v>
      </c>
      <c r="G98" s="6">
        <v>2.95</v>
      </c>
      <c r="H98" s="7">
        <v>0.5</v>
      </c>
      <c r="I98" s="6">
        <v>0.22650000000000001</v>
      </c>
      <c r="J98" s="7">
        <v>24</v>
      </c>
      <c r="K98" s="6">
        <v>12</v>
      </c>
      <c r="L98" s="7" t="s">
        <v>75</v>
      </c>
      <c r="M98" s="20">
        <v>30.0825</v>
      </c>
      <c r="N98" s="25"/>
      <c r="O98" s="21">
        <f t="shared" si="6"/>
        <v>0</v>
      </c>
      <c r="R98" s="37" t="str">
        <f t="shared" si="7"/>
        <v>-</v>
      </c>
      <c r="S98" s="37" t="str">
        <f t="shared" si="8"/>
        <v>-</v>
      </c>
      <c r="T98" s="38" t="str">
        <f t="shared" si="9"/>
        <v>-</v>
      </c>
      <c r="U98" s="39" t="str">
        <f t="shared" si="10"/>
        <v>-</v>
      </c>
      <c r="W98" s="39" t="str">
        <f t="shared" si="11"/>
        <v>-</v>
      </c>
    </row>
    <row r="99" spans="1:23" ht="15" customHeight="1" x14ac:dyDescent="0.25">
      <c r="A99" s="10">
        <v>755929310135</v>
      </c>
      <c r="B99" s="8">
        <v>31013</v>
      </c>
      <c r="C99" s="1" t="s">
        <v>82</v>
      </c>
      <c r="D99" s="15" t="s">
        <v>4</v>
      </c>
      <c r="E99" s="6">
        <v>3.95</v>
      </c>
      <c r="F99" s="6">
        <v>2.13</v>
      </c>
      <c r="G99" s="6">
        <v>2.13</v>
      </c>
      <c r="H99" s="7">
        <v>0.25</v>
      </c>
      <c r="I99" s="6">
        <v>0.11325</v>
      </c>
      <c r="J99" s="7">
        <v>24</v>
      </c>
      <c r="K99" s="6">
        <v>6</v>
      </c>
      <c r="L99" s="7" t="s">
        <v>77</v>
      </c>
      <c r="M99" s="20">
        <v>18.322499999999998</v>
      </c>
      <c r="N99" s="25"/>
      <c r="O99" s="21">
        <f t="shared" si="6"/>
        <v>0</v>
      </c>
      <c r="R99" s="37" t="str">
        <f t="shared" si="7"/>
        <v>-</v>
      </c>
      <c r="S99" s="37" t="str">
        <f t="shared" si="8"/>
        <v>-</v>
      </c>
      <c r="T99" s="38" t="str">
        <f t="shared" si="9"/>
        <v>-</v>
      </c>
      <c r="U99" s="39" t="str">
        <f t="shared" si="10"/>
        <v>-</v>
      </c>
      <c r="W99" s="39" t="str">
        <f t="shared" si="11"/>
        <v>-</v>
      </c>
    </row>
    <row r="100" spans="1:23" ht="15" customHeight="1" x14ac:dyDescent="0.25">
      <c r="A100" s="10">
        <v>755929310142</v>
      </c>
      <c r="B100" s="8">
        <v>31014</v>
      </c>
      <c r="C100" s="1" t="s">
        <v>82</v>
      </c>
      <c r="D100" s="15" t="s">
        <v>5</v>
      </c>
      <c r="E100" s="6">
        <v>4.13</v>
      </c>
      <c r="F100" s="6">
        <v>2.13</v>
      </c>
      <c r="G100" s="6">
        <v>2.13</v>
      </c>
      <c r="H100" s="7">
        <v>0.35</v>
      </c>
      <c r="I100" s="6">
        <v>0.15855</v>
      </c>
      <c r="J100" s="7">
        <v>24</v>
      </c>
      <c r="K100" s="6">
        <v>8.3999999999999986</v>
      </c>
      <c r="L100" s="7" t="s">
        <v>74</v>
      </c>
      <c r="M100" s="20">
        <v>22.942500000000003</v>
      </c>
      <c r="N100" s="25"/>
      <c r="O100" s="21">
        <f t="shared" si="6"/>
        <v>0</v>
      </c>
      <c r="R100" s="37" t="str">
        <f t="shared" si="7"/>
        <v>-</v>
      </c>
      <c r="S100" s="37" t="str">
        <f t="shared" si="8"/>
        <v>-</v>
      </c>
      <c r="T100" s="38" t="str">
        <f t="shared" si="9"/>
        <v>-</v>
      </c>
      <c r="U100" s="39" t="str">
        <f t="shared" si="10"/>
        <v>-</v>
      </c>
      <c r="W100" s="39" t="str">
        <f t="shared" si="11"/>
        <v>-</v>
      </c>
    </row>
    <row r="101" spans="1:23" ht="14.4" x14ac:dyDescent="0.25">
      <c r="R101" s="37"/>
      <c r="S101" s="37"/>
      <c r="T101" s="38"/>
      <c r="U101" s="39"/>
      <c r="W101" s="39"/>
    </row>
    <row r="102" spans="1:23" ht="14.4" x14ac:dyDescent="0.25">
      <c r="R102" s="37"/>
      <c r="S102" s="37"/>
      <c r="T102" s="38"/>
      <c r="U102" s="39"/>
      <c r="W102" s="39"/>
    </row>
    <row r="103" spans="1:23" ht="14.4" x14ac:dyDescent="0.25">
      <c r="R103" s="37"/>
      <c r="S103" s="37"/>
      <c r="T103" s="38"/>
      <c r="U103" s="39"/>
      <c r="W103" s="39"/>
    </row>
    <row r="104" spans="1:23" ht="14.4" x14ac:dyDescent="0.25">
      <c r="R104" s="37"/>
      <c r="S104" s="37"/>
      <c r="T104" s="38"/>
      <c r="U104" s="39"/>
      <c r="W104" s="39"/>
    </row>
    <row r="105" spans="1:23" ht="14.4" x14ac:dyDescent="0.25">
      <c r="R105" s="37"/>
      <c r="S105" s="37"/>
      <c r="T105" s="38"/>
      <c r="U105" s="39"/>
      <c r="W105" s="39"/>
    </row>
    <row r="106" spans="1:23" ht="14.4" x14ac:dyDescent="0.25">
      <c r="R106" s="37"/>
      <c r="S106" s="37"/>
      <c r="T106" s="38"/>
      <c r="U106" s="39"/>
      <c r="W106" s="39"/>
    </row>
    <row r="107" spans="1:23" ht="14.4" x14ac:dyDescent="0.25">
      <c r="R107" s="37"/>
      <c r="S107" s="37"/>
      <c r="T107" s="38"/>
      <c r="U107" s="39"/>
      <c r="W107" s="39"/>
    </row>
    <row r="108" spans="1:23" ht="14.4" x14ac:dyDescent="0.25">
      <c r="R108" s="37"/>
      <c r="S108" s="37"/>
      <c r="T108" s="38"/>
      <c r="U108" s="39"/>
      <c r="W108" s="39"/>
    </row>
    <row r="109" spans="1:23" ht="14.4" x14ac:dyDescent="0.25">
      <c r="R109" s="37"/>
      <c r="S109" s="37"/>
      <c r="T109" s="38"/>
      <c r="U109" s="39"/>
      <c r="W109" s="39"/>
    </row>
    <row r="110" spans="1:23" ht="14.4" x14ac:dyDescent="0.25">
      <c r="R110" s="37"/>
      <c r="S110" s="37"/>
      <c r="T110" s="38"/>
      <c r="U110" s="39"/>
      <c r="W110" s="39"/>
    </row>
    <row r="111" spans="1:23" ht="14.4" x14ac:dyDescent="0.25">
      <c r="R111" s="37"/>
      <c r="S111" s="37"/>
      <c r="T111" s="38"/>
      <c r="U111" s="39"/>
      <c r="W111" s="39"/>
    </row>
    <row r="112" spans="1:23" ht="14.4" x14ac:dyDescent="0.25">
      <c r="R112" s="37"/>
      <c r="S112" s="37"/>
      <c r="T112" s="38"/>
      <c r="U112" s="39"/>
      <c r="W112" s="39"/>
    </row>
    <row r="113" spans="18:23" ht="14.4" x14ac:dyDescent="0.25">
      <c r="R113" s="37"/>
      <c r="S113" s="37"/>
      <c r="T113" s="38"/>
      <c r="U113" s="39"/>
      <c r="W113" s="39"/>
    </row>
    <row r="114" spans="18:23" ht="14.4" x14ac:dyDescent="0.25">
      <c r="R114" s="37"/>
      <c r="S114" s="37"/>
      <c r="T114" s="38"/>
      <c r="U114" s="39"/>
      <c r="W114" s="39"/>
    </row>
    <row r="115" spans="18:23" ht="14.4" x14ac:dyDescent="0.25">
      <c r="R115" s="37"/>
      <c r="S115" s="37"/>
      <c r="T115" s="38"/>
      <c r="U115" s="39"/>
      <c r="W115" s="39"/>
    </row>
    <row r="116" spans="18:23" ht="14.4" x14ac:dyDescent="0.25">
      <c r="R116" s="37"/>
      <c r="S116" s="37"/>
      <c r="T116" s="38"/>
      <c r="U116" s="39"/>
      <c r="W116" s="39"/>
    </row>
    <row r="117" spans="18:23" ht="14.4" x14ac:dyDescent="0.25">
      <c r="R117" s="37"/>
      <c r="S117" s="37"/>
      <c r="T117" s="38"/>
      <c r="U117" s="39"/>
      <c r="W117" s="39"/>
    </row>
    <row r="118" spans="18:23" ht="14.4" x14ac:dyDescent="0.25">
      <c r="R118" s="37"/>
      <c r="S118" s="37"/>
      <c r="T118" s="38"/>
      <c r="U118" s="39"/>
      <c r="W118" s="39"/>
    </row>
    <row r="119" spans="18:23" ht="14.4" x14ac:dyDescent="0.25">
      <c r="R119" s="37"/>
      <c r="S119" s="37"/>
      <c r="T119" s="38"/>
      <c r="U119" s="39"/>
      <c r="W119" s="39"/>
    </row>
    <row r="120" spans="18:23" ht="14.4" x14ac:dyDescent="0.25">
      <c r="R120" s="37"/>
      <c r="S120" s="37"/>
      <c r="T120" s="38"/>
      <c r="U120" s="39"/>
      <c r="W120" s="39"/>
    </row>
    <row r="121" spans="18:23" ht="14.4" x14ac:dyDescent="0.25">
      <c r="R121" s="37"/>
      <c r="S121" s="37"/>
      <c r="T121" s="38"/>
      <c r="U121" s="39"/>
      <c r="W121" s="39"/>
    </row>
    <row r="122" spans="18:23" ht="14.4" x14ac:dyDescent="0.25">
      <c r="R122" s="37"/>
      <c r="S122" s="37"/>
      <c r="T122" s="38"/>
      <c r="U122" s="39"/>
      <c r="W122" s="39"/>
    </row>
    <row r="123" spans="18:23" ht="14.4" x14ac:dyDescent="0.25">
      <c r="R123" s="37"/>
      <c r="S123" s="37"/>
      <c r="T123" s="38"/>
      <c r="U123" s="39"/>
      <c r="W123" s="39"/>
    </row>
    <row r="124" spans="18:23" ht="14.4" x14ac:dyDescent="0.25">
      <c r="R124" s="37"/>
      <c r="S124" s="37"/>
      <c r="T124" s="38"/>
      <c r="U124" s="39"/>
      <c r="W124" s="39"/>
    </row>
    <row r="125" spans="18:23" ht="14.4" x14ac:dyDescent="0.25">
      <c r="R125" s="37"/>
      <c r="S125" s="37"/>
      <c r="T125" s="38"/>
      <c r="U125" s="39"/>
      <c r="W125" s="39"/>
    </row>
    <row r="126" spans="18:23" ht="14.4" x14ac:dyDescent="0.25">
      <c r="R126" s="37"/>
      <c r="S126" s="37"/>
      <c r="T126" s="38"/>
      <c r="U126" s="39"/>
      <c r="W126" s="39"/>
    </row>
    <row r="127" spans="18:23" ht="14.4" x14ac:dyDescent="0.25">
      <c r="R127" s="37"/>
      <c r="S127" s="37"/>
      <c r="T127" s="38"/>
      <c r="U127" s="39"/>
      <c r="W127" s="39"/>
    </row>
    <row r="128" spans="18:23" ht="14.4" x14ac:dyDescent="0.25">
      <c r="R128" s="37"/>
      <c r="S128" s="37"/>
      <c r="T128" s="38"/>
      <c r="U128" s="39"/>
      <c r="W128" s="39"/>
    </row>
    <row r="129" spans="18:23" ht="14.4" x14ac:dyDescent="0.25">
      <c r="R129" s="37"/>
      <c r="S129" s="37"/>
      <c r="T129" s="38"/>
      <c r="U129" s="39"/>
      <c r="W129" s="39"/>
    </row>
    <row r="130" spans="18:23" ht="14.4" x14ac:dyDescent="0.25">
      <c r="R130" s="37"/>
      <c r="S130" s="37"/>
      <c r="T130" s="38"/>
      <c r="U130" s="39"/>
      <c r="W130" s="39"/>
    </row>
    <row r="131" spans="18:23" ht="14.4" x14ac:dyDescent="0.25">
      <c r="R131" s="37"/>
      <c r="S131" s="37"/>
      <c r="T131" s="38"/>
      <c r="U131" s="39"/>
      <c r="W131" s="39"/>
    </row>
    <row r="132" spans="18:23" ht="14.4" x14ac:dyDescent="0.25">
      <c r="R132" s="37"/>
      <c r="S132" s="37"/>
      <c r="T132" s="38"/>
      <c r="U132" s="39"/>
      <c r="W132" s="39"/>
    </row>
    <row r="133" spans="18:23" ht="14.4" x14ac:dyDescent="0.25">
      <c r="R133" s="37"/>
      <c r="S133" s="37"/>
      <c r="T133" s="38"/>
      <c r="U133" s="39"/>
      <c r="W133" s="39"/>
    </row>
    <row r="134" spans="18:23" ht="14.4" x14ac:dyDescent="0.25">
      <c r="R134" s="37"/>
      <c r="S134" s="37"/>
      <c r="T134" s="38"/>
      <c r="U134" s="39"/>
      <c r="W134" s="39"/>
    </row>
    <row r="135" spans="18:23" ht="14.4" x14ac:dyDescent="0.25">
      <c r="R135" s="37"/>
      <c r="S135" s="37"/>
      <c r="T135" s="38"/>
      <c r="U135" s="39"/>
      <c r="W135" s="39"/>
    </row>
    <row r="136" spans="18:23" ht="14.4" x14ac:dyDescent="0.25">
      <c r="R136" s="37"/>
      <c r="S136" s="37"/>
      <c r="T136" s="38"/>
      <c r="U136" s="39"/>
      <c r="W136" s="39"/>
    </row>
    <row r="137" spans="18:23" ht="14.4" x14ac:dyDescent="0.25">
      <c r="R137" s="37"/>
      <c r="S137" s="37"/>
      <c r="T137" s="38"/>
      <c r="U137" s="39"/>
      <c r="W137" s="39"/>
    </row>
    <row r="138" spans="18:23" ht="14.4" x14ac:dyDescent="0.25">
      <c r="R138" s="37"/>
      <c r="S138" s="37"/>
      <c r="T138" s="38"/>
      <c r="U138" s="39"/>
      <c r="W138" s="39"/>
    </row>
    <row r="139" spans="18:23" ht="14.4" x14ac:dyDescent="0.25">
      <c r="R139" s="37"/>
      <c r="S139" s="37"/>
      <c r="T139" s="38"/>
      <c r="U139" s="39"/>
      <c r="W139" s="39"/>
    </row>
    <row r="140" spans="18:23" ht="14.4" x14ac:dyDescent="0.25">
      <c r="R140" s="37"/>
      <c r="S140" s="37"/>
      <c r="T140" s="38"/>
      <c r="U140" s="39"/>
      <c r="W140" s="39"/>
    </row>
    <row r="141" spans="18:23" ht="14.4" x14ac:dyDescent="0.25">
      <c r="R141" s="37"/>
      <c r="S141" s="37"/>
      <c r="T141" s="38"/>
      <c r="U141" s="39"/>
      <c r="W141" s="39"/>
    </row>
    <row r="142" spans="18:23" ht="14.4" x14ac:dyDescent="0.25">
      <c r="R142" s="37"/>
      <c r="S142" s="37"/>
      <c r="T142" s="38"/>
      <c r="U142" s="39"/>
      <c r="W142" s="39"/>
    </row>
    <row r="143" spans="18:23" ht="14.4" x14ac:dyDescent="0.25">
      <c r="R143" s="37"/>
      <c r="S143" s="37"/>
      <c r="T143" s="38"/>
      <c r="U143" s="39"/>
      <c r="W143" s="39"/>
    </row>
    <row r="144" spans="18:23" ht="14.4" x14ac:dyDescent="0.25">
      <c r="R144" s="37"/>
      <c r="S144" s="37"/>
      <c r="T144" s="38"/>
      <c r="U144" s="39"/>
      <c r="W144" s="39"/>
    </row>
    <row r="145" spans="18:23" ht="14.4" x14ac:dyDescent="0.25">
      <c r="R145" s="37"/>
      <c r="S145" s="37"/>
      <c r="T145" s="38"/>
      <c r="U145" s="39"/>
      <c r="W145" s="39"/>
    </row>
    <row r="146" spans="18:23" ht="14.4" x14ac:dyDescent="0.25">
      <c r="R146" s="37"/>
      <c r="S146" s="37"/>
      <c r="T146" s="38"/>
      <c r="U146" s="39"/>
      <c r="W146" s="39"/>
    </row>
    <row r="147" spans="18:23" ht="14.4" x14ac:dyDescent="0.25">
      <c r="R147" s="37"/>
      <c r="S147" s="37"/>
      <c r="T147" s="38"/>
      <c r="U147" s="39"/>
      <c r="W147" s="39"/>
    </row>
    <row r="148" spans="18:23" ht="14.4" x14ac:dyDescent="0.25">
      <c r="R148" s="37"/>
      <c r="S148" s="37"/>
      <c r="T148" s="38"/>
      <c r="U148" s="39"/>
      <c r="W148" s="39"/>
    </row>
    <row r="149" spans="18:23" ht="14.4" x14ac:dyDescent="0.25">
      <c r="R149" s="37"/>
      <c r="S149" s="37"/>
      <c r="T149" s="38"/>
      <c r="U149" s="39"/>
      <c r="W149" s="39"/>
    </row>
    <row r="150" spans="18:23" ht="14.4" x14ac:dyDescent="0.25">
      <c r="R150" s="37"/>
      <c r="S150" s="37"/>
      <c r="T150" s="38"/>
      <c r="U150" s="39"/>
      <c r="W150" s="39"/>
    </row>
    <row r="151" spans="18:23" ht="14.4" x14ac:dyDescent="0.25">
      <c r="R151" s="37"/>
      <c r="S151" s="37"/>
      <c r="T151" s="38"/>
      <c r="U151" s="39"/>
      <c r="W151" s="39"/>
    </row>
    <row r="152" spans="18:23" ht="14.4" x14ac:dyDescent="0.25">
      <c r="R152" s="37"/>
      <c r="S152" s="37"/>
      <c r="T152" s="38"/>
      <c r="U152" s="39"/>
      <c r="W152" s="39"/>
    </row>
    <row r="153" spans="18:23" ht="14.4" x14ac:dyDescent="0.25">
      <c r="R153" s="37"/>
      <c r="S153" s="37"/>
      <c r="T153" s="38"/>
      <c r="U153" s="39"/>
      <c r="W153" s="39"/>
    </row>
    <row r="154" spans="18:23" ht="14.4" x14ac:dyDescent="0.25">
      <c r="R154" s="37"/>
      <c r="S154" s="37"/>
      <c r="T154" s="38"/>
      <c r="U154" s="39"/>
      <c r="W154" s="39"/>
    </row>
    <row r="155" spans="18:23" ht="14.4" x14ac:dyDescent="0.25">
      <c r="R155" s="37"/>
      <c r="S155" s="37"/>
      <c r="T155" s="38"/>
      <c r="U155" s="39"/>
      <c r="W155" s="39"/>
    </row>
    <row r="156" spans="18:23" ht="14.4" x14ac:dyDescent="0.25">
      <c r="R156" s="37"/>
      <c r="S156" s="37"/>
      <c r="T156" s="38"/>
      <c r="U156" s="39"/>
      <c r="W156" s="39"/>
    </row>
    <row r="157" spans="18:23" ht="14.4" x14ac:dyDescent="0.25">
      <c r="R157" s="37"/>
      <c r="S157" s="37"/>
      <c r="T157" s="38"/>
      <c r="U157" s="39"/>
      <c r="W157" s="39"/>
    </row>
    <row r="158" spans="18:23" ht="14.4" x14ac:dyDescent="0.25">
      <c r="R158" s="37"/>
      <c r="S158" s="37"/>
      <c r="T158" s="38"/>
      <c r="U158" s="39"/>
      <c r="W158" s="39"/>
    </row>
    <row r="159" spans="18:23" ht="14.4" x14ac:dyDescent="0.25">
      <c r="R159" s="37"/>
      <c r="S159" s="37"/>
      <c r="T159" s="38"/>
      <c r="U159" s="39"/>
      <c r="W159" s="39"/>
    </row>
    <row r="160" spans="18:23" ht="14.4" x14ac:dyDescent="0.25">
      <c r="R160" s="37"/>
      <c r="S160" s="37"/>
      <c r="T160" s="38"/>
      <c r="U160" s="39"/>
      <c r="W160" s="39"/>
    </row>
    <row r="161" spans="18:23" ht="14.4" x14ac:dyDescent="0.25">
      <c r="R161" s="37"/>
      <c r="S161" s="37"/>
      <c r="T161" s="38"/>
      <c r="U161" s="39"/>
      <c r="W161" s="39"/>
    </row>
    <row r="162" spans="18:23" ht="14.4" x14ac:dyDescent="0.25">
      <c r="R162" s="37"/>
      <c r="S162" s="37"/>
      <c r="T162" s="38"/>
      <c r="U162" s="39"/>
      <c r="W162" s="39"/>
    </row>
    <row r="163" spans="18:23" ht="14.4" x14ac:dyDescent="0.25">
      <c r="R163" s="37"/>
      <c r="S163" s="37"/>
      <c r="T163" s="38"/>
      <c r="U163" s="39"/>
      <c r="W163" s="39"/>
    </row>
    <row r="164" spans="18:23" ht="14.4" x14ac:dyDescent="0.25">
      <c r="R164" s="37"/>
      <c r="S164" s="37"/>
      <c r="T164" s="38"/>
      <c r="U164" s="39"/>
      <c r="W164" s="39"/>
    </row>
    <row r="165" spans="18:23" ht="14.4" x14ac:dyDescent="0.25">
      <c r="R165" s="37"/>
      <c r="S165" s="37"/>
      <c r="T165" s="38"/>
      <c r="U165" s="39"/>
      <c r="W165" s="39"/>
    </row>
    <row r="166" spans="18:23" ht="14.4" x14ac:dyDescent="0.25">
      <c r="R166" s="37"/>
      <c r="S166" s="37"/>
      <c r="T166" s="38"/>
      <c r="U166" s="39"/>
      <c r="W166" s="39"/>
    </row>
    <row r="167" spans="18:23" ht="14.4" x14ac:dyDescent="0.25">
      <c r="R167" s="37"/>
      <c r="S167" s="37"/>
      <c r="T167" s="38"/>
      <c r="U167" s="39"/>
      <c r="W167" s="39"/>
    </row>
    <row r="168" spans="18:23" ht="14.4" x14ac:dyDescent="0.25">
      <c r="R168" s="37"/>
      <c r="S168" s="37"/>
      <c r="T168" s="38"/>
      <c r="U168" s="39"/>
      <c r="W168" s="39"/>
    </row>
    <row r="169" spans="18:23" ht="14.4" x14ac:dyDescent="0.25">
      <c r="R169" s="37"/>
      <c r="S169" s="37"/>
      <c r="T169" s="38"/>
      <c r="U169" s="39"/>
      <c r="W169" s="39"/>
    </row>
    <row r="170" spans="18:23" ht="14.4" x14ac:dyDescent="0.25">
      <c r="R170" s="37"/>
      <c r="S170" s="37"/>
      <c r="T170" s="38"/>
      <c r="U170" s="39"/>
      <c r="W170" s="39"/>
    </row>
    <row r="171" spans="18:23" ht="14.4" x14ac:dyDescent="0.25">
      <c r="R171" s="37"/>
      <c r="S171" s="37"/>
      <c r="T171" s="38"/>
      <c r="U171" s="39"/>
      <c r="W171" s="39"/>
    </row>
    <row r="172" spans="18:23" ht="14.4" x14ac:dyDescent="0.25">
      <c r="R172" s="37"/>
      <c r="S172" s="37"/>
      <c r="T172" s="38"/>
      <c r="U172" s="39"/>
      <c r="W172" s="39"/>
    </row>
    <row r="173" spans="18:23" ht="14.4" x14ac:dyDescent="0.25">
      <c r="R173" s="37"/>
      <c r="S173" s="37"/>
      <c r="T173" s="38"/>
      <c r="U173" s="39"/>
      <c r="W173" s="39"/>
    </row>
    <row r="174" spans="18:23" ht="14.4" x14ac:dyDescent="0.25">
      <c r="R174" s="37"/>
      <c r="S174" s="37"/>
      <c r="T174" s="38"/>
      <c r="U174" s="39"/>
      <c r="W174" s="39"/>
    </row>
    <row r="175" spans="18:23" ht="14.4" x14ac:dyDescent="0.25">
      <c r="R175" s="37"/>
      <c r="S175" s="37"/>
      <c r="T175" s="38"/>
      <c r="U175" s="39"/>
      <c r="W175" s="39"/>
    </row>
    <row r="176" spans="18:23" ht="14.4" x14ac:dyDescent="0.25">
      <c r="R176" s="37"/>
      <c r="S176" s="37"/>
      <c r="T176" s="38"/>
      <c r="U176" s="39"/>
      <c r="W176" s="39"/>
    </row>
    <row r="177" spans="18:23" ht="14.4" x14ac:dyDescent="0.25">
      <c r="R177" s="37"/>
      <c r="S177" s="37"/>
      <c r="T177" s="38"/>
      <c r="U177" s="39"/>
      <c r="W177" s="39"/>
    </row>
    <row r="178" spans="18:23" ht="14.4" x14ac:dyDescent="0.25">
      <c r="R178" s="37"/>
      <c r="S178" s="37"/>
      <c r="T178" s="38"/>
      <c r="U178" s="39"/>
      <c r="W178" s="39"/>
    </row>
    <row r="179" spans="18:23" ht="14.4" x14ac:dyDescent="0.25">
      <c r="R179" s="37"/>
      <c r="S179" s="37"/>
      <c r="T179" s="38"/>
      <c r="U179" s="39"/>
      <c r="W179" s="39"/>
    </row>
    <row r="180" spans="18:23" ht="14.4" x14ac:dyDescent="0.25">
      <c r="R180" s="37"/>
      <c r="S180" s="37"/>
      <c r="T180" s="38"/>
      <c r="U180" s="39"/>
      <c r="W180" s="39"/>
    </row>
    <row r="181" spans="18:23" ht="14.4" x14ac:dyDescent="0.25">
      <c r="R181" s="37"/>
      <c r="S181" s="37"/>
      <c r="T181" s="38"/>
      <c r="U181" s="39"/>
      <c r="W181" s="39"/>
    </row>
    <row r="182" spans="18:23" ht="14.4" x14ac:dyDescent="0.25">
      <c r="R182" s="37"/>
      <c r="S182" s="37"/>
      <c r="T182" s="38"/>
      <c r="U182" s="39"/>
      <c r="W182" s="39"/>
    </row>
    <row r="183" spans="18:23" ht="14.4" x14ac:dyDescent="0.25">
      <c r="R183" s="37"/>
      <c r="S183" s="37"/>
      <c r="T183" s="38"/>
      <c r="U183" s="39"/>
      <c r="W183" s="39"/>
    </row>
    <row r="184" spans="18:23" ht="14.4" x14ac:dyDescent="0.25">
      <c r="R184" s="37"/>
      <c r="S184" s="37"/>
      <c r="T184" s="38"/>
      <c r="U184" s="39"/>
      <c r="W184" s="39"/>
    </row>
    <row r="185" spans="18:23" ht="14.4" x14ac:dyDescent="0.25">
      <c r="R185" s="37"/>
      <c r="S185" s="37"/>
      <c r="T185" s="38"/>
      <c r="U185" s="39"/>
      <c r="W185" s="39"/>
    </row>
    <row r="186" spans="18:23" ht="14.4" x14ac:dyDescent="0.25">
      <c r="R186" s="37"/>
      <c r="S186" s="37"/>
      <c r="T186" s="38"/>
      <c r="U186" s="39"/>
      <c r="W186" s="39"/>
    </row>
    <row r="187" spans="18:23" ht="14.4" x14ac:dyDescent="0.25">
      <c r="R187" s="37"/>
      <c r="S187" s="37"/>
      <c r="T187" s="38"/>
      <c r="U187" s="39"/>
      <c r="W187" s="39"/>
    </row>
    <row r="188" spans="18:23" ht="14.4" x14ac:dyDescent="0.25">
      <c r="R188" s="37"/>
      <c r="S188" s="37"/>
      <c r="T188" s="38"/>
      <c r="U188" s="39"/>
      <c r="W188" s="39"/>
    </row>
    <row r="189" spans="18:23" ht="14.4" x14ac:dyDescent="0.25">
      <c r="R189" s="37"/>
      <c r="S189" s="37"/>
      <c r="T189" s="38"/>
      <c r="U189" s="39"/>
      <c r="W189" s="39"/>
    </row>
    <row r="190" spans="18:23" ht="14.4" x14ac:dyDescent="0.25">
      <c r="R190" s="37"/>
      <c r="S190" s="37"/>
      <c r="T190" s="38"/>
      <c r="U190" s="39"/>
      <c r="W190" s="39"/>
    </row>
    <row r="191" spans="18:23" ht="14.4" x14ac:dyDescent="0.25">
      <c r="R191" s="37"/>
      <c r="S191" s="37"/>
      <c r="T191" s="38"/>
      <c r="U191" s="39"/>
      <c r="W191" s="39"/>
    </row>
    <row r="192" spans="18:23" ht="14.4" x14ac:dyDescent="0.25">
      <c r="R192" s="37"/>
      <c r="S192" s="37"/>
      <c r="T192" s="38"/>
      <c r="U192" s="39"/>
      <c r="W192" s="39"/>
    </row>
    <row r="193" spans="18:23" ht="14.4" x14ac:dyDescent="0.25">
      <c r="R193" s="37"/>
      <c r="S193" s="37"/>
      <c r="T193" s="38"/>
      <c r="U193" s="39"/>
      <c r="W193" s="39"/>
    </row>
    <row r="194" spans="18:23" ht="14.4" x14ac:dyDescent="0.25">
      <c r="R194" s="37"/>
      <c r="S194" s="37"/>
      <c r="T194" s="38"/>
      <c r="U194" s="39"/>
      <c r="W194" s="39"/>
    </row>
    <row r="195" spans="18:23" ht="14.4" x14ac:dyDescent="0.25">
      <c r="R195" s="37"/>
      <c r="S195" s="37"/>
      <c r="T195" s="38"/>
      <c r="U195" s="39"/>
      <c r="W195" s="39"/>
    </row>
    <row r="196" spans="18:23" ht="14.4" x14ac:dyDescent="0.25">
      <c r="R196" s="37"/>
      <c r="S196" s="37"/>
      <c r="T196" s="38"/>
      <c r="U196" s="39"/>
      <c r="W196" s="39"/>
    </row>
    <row r="197" spans="18:23" ht="14.4" x14ac:dyDescent="0.25">
      <c r="R197" s="37"/>
      <c r="S197" s="37"/>
      <c r="T197" s="38"/>
      <c r="U197" s="39"/>
      <c r="W197" s="39"/>
    </row>
    <row r="198" spans="18:23" ht="14.4" x14ac:dyDescent="0.25">
      <c r="R198" s="37"/>
      <c r="S198" s="37"/>
      <c r="T198" s="38"/>
      <c r="U198" s="39"/>
      <c r="W198" s="39"/>
    </row>
    <row r="199" spans="18:23" ht="14.4" x14ac:dyDescent="0.25">
      <c r="R199" s="37"/>
      <c r="S199" s="37"/>
      <c r="T199" s="38"/>
      <c r="U199" s="39"/>
      <c r="W199" s="39"/>
    </row>
    <row r="200" spans="18:23" ht="14.4" x14ac:dyDescent="0.25">
      <c r="R200" s="37"/>
      <c r="S200" s="37"/>
      <c r="T200" s="38"/>
      <c r="U200" s="39"/>
      <c r="W200" s="39"/>
    </row>
    <row r="201" spans="18:23" ht="14.4" x14ac:dyDescent="0.25">
      <c r="R201" s="37"/>
      <c r="S201" s="37"/>
      <c r="T201" s="38"/>
      <c r="U201" s="39"/>
      <c r="W201" s="39"/>
    </row>
    <row r="202" spans="18:23" ht="14.4" x14ac:dyDescent="0.25">
      <c r="R202" s="37"/>
      <c r="S202" s="37"/>
      <c r="T202" s="38"/>
      <c r="U202" s="39"/>
      <c r="W202" s="39"/>
    </row>
    <row r="203" spans="18:23" ht="14.4" x14ac:dyDescent="0.25">
      <c r="R203" s="37"/>
      <c r="S203" s="37"/>
      <c r="T203" s="38"/>
      <c r="U203" s="39"/>
      <c r="W203" s="39"/>
    </row>
    <row r="204" spans="18:23" ht="14.4" x14ac:dyDescent="0.25">
      <c r="R204" s="37"/>
      <c r="S204" s="37"/>
      <c r="T204" s="38"/>
      <c r="U204" s="39"/>
      <c r="W204" s="39"/>
    </row>
    <row r="205" spans="18:23" ht="14.4" x14ac:dyDescent="0.25">
      <c r="R205" s="37"/>
      <c r="S205" s="37"/>
      <c r="T205" s="38"/>
      <c r="U205" s="39"/>
      <c r="W205" s="39"/>
    </row>
    <row r="206" spans="18:23" ht="14.4" x14ac:dyDescent="0.25">
      <c r="R206" s="37"/>
      <c r="S206" s="37"/>
      <c r="T206" s="38"/>
      <c r="U206" s="39"/>
      <c r="W206" s="39"/>
    </row>
    <row r="207" spans="18:23" ht="14.4" x14ac:dyDescent="0.25">
      <c r="R207" s="37"/>
      <c r="S207" s="37"/>
      <c r="T207" s="38"/>
      <c r="U207" s="39"/>
      <c r="W207" s="39"/>
    </row>
    <row r="208" spans="18:23" ht="14.4" x14ac:dyDescent="0.25">
      <c r="R208" s="37"/>
      <c r="S208" s="37"/>
      <c r="T208" s="38"/>
      <c r="U208" s="39"/>
      <c r="W208" s="39"/>
    </row>
    <row r="209" spans="18:23" ht="14.4" x14ac:dyDescent="0.25">
      <c r="R209" s="37"/>
      <c r="S209" s="37"/>
      <c r="T209" s="38"/>
      <c r="U209" s="39"/>
      <c r="W209" s="39"/>
    </row>
    <row r="210" spans="18:23" ht="14.4" x14ac:dyDescent="0.25">
      <c r="R210" s="37"/>
      <c r="S210" s="37"/>
      <c r="T210" s="38"/>
      <c r="U210" s="39"/>
      <c r="W210" s="39"/>
    </row>
    <row r="211" spans="18:23" ht="14.4" x14ac:dyDescent="0.25">
      <c r="R211" s="37"/>
      <c r="S211" s="37"/>
      <c r="T211" s="38"/>
      <c r="U211" s="39"/>
      <c r="W211" s="39"/>
    </row>
    <row r="212" spans="18:23" ht="14.4" x14ac:dyDescent="0.25">
      <c r="R212" s="37"/>
      <c r="S212" s="37"/>
      <c r="T212" s="38"/>
      <c r="U212" s="39"/>
      <c r="W212" s="39"/>
    </row>
    <row r="213" spans="18:23" ht="14.4" x14ac:dyDescent="0.25">
      <c r="R213" s="37"/>
      <c r="S213" s="37"/>
      <c r="T213" s="38"/>
      <c r="U213" s="39"/>
      <c r="W213" s="39"/>
    </row>
    <row r="214" spans="18:23" ht="14.4" x14ac:dyDescent="0.25">
      <c r="R214" s="37"/>
      <c r="S214" s="37"/>
      <c r="T214" s="38"/>
      <c r="U214" s="39"/>
      <c r="W214" s="39"/>
    </row>
    <row r="215" spans="18:23" ht="14.4" x14ac:dyDescent="0.25">
      <c r="R215" s="37"/>
      <c r="S215" s="37"/>
      <c r="T215" s="38"/>
      <c r="U215" s="39"/>
      <c r="W215" s="39"/>
    </row>
    <row r="216" spans="18:23" ht="14.4" x14ac:dyDescent="0.25">
      <c r="R216" s="37"/>
      <c r="S216" s="37"/>
      <c r="T216" s="38"/>
      <c r="U216" s="39"/>
      <c r="W216" s="39"/>
    </row>
    <row r="217" spans="18:23" ht="14.4" x14ac:dyDescent="0.25">
      <c r="R217" s="37"/>
      <c r="S217" s="37"/>
      <c r="T217" s="38"/>
      <c r="U217" s="39"/>
      <c r="W217" s="39"/>
    </row>
    <row r="218" spans="18:23" ht="14.4" x14ac:dyDescent="0.25">
      <c r="R218" s="37"/>
      <c r="S218" s="37"/>
      <c r="T218" s="38"/>
      <c r="U218" s="39"/>
      <c r="W218" s="39"/>
    </row>
    <row r="219" spans="18:23" ht="14.4" x14ac:dyDescent="0.25">
      <c r="R219" s="37"/>
      <c r="S219" s="37"/>
      <c r="T219" s="38"/>
      <c r="U219" s="39"/>
      <c r="W219" s="39"/>
    </row>
    <row r="220" spans="18:23" ht="14.4" x14ac:dyDescent="0.25">
      <c r="R220" s="37"/>
      <c r="S220" s="37"/>
      <c r="T220" s="38"/>
      <c r="U220" s="39"/>
      <c r="W220" s="39"/>
    </row>
    <row r="221" spans="18:23" ht="14.4" x14ac:dyDescent="0.25">
      <c r="R221" s="37"/>
      <c r="S221" s="37"/>
      <c r="T221" s="38"/>
      <c r="U221" s="39"/>
      <c r="W221" s="39"/>
    </row>
    <row r="222" spans="18:23" ht="14.4" x14ac:dyDescent="0.25">
      <c r="R222" s="37"/>
      <c r="S222" s="37"/>
      <c r="T222" s="38"/>
      <c r="U222" s="39"/>
      <c r="W222" s="39"/>
    </row>
    <row r="223" spans="18:23" ht="14.4" x14ac:dyDescent="0.25">
      <c r="R223" s="37"/>
      <c r="S223" s="37"/>
      <c r="T223" s="38"/>
      <c r="U223" s="39"/>
      <c r="W223" s="39"/>
    </row>
    <row r="224" spans="18:23" ht="14.4" x14ac:dyDescent="0.25">
      <c r="R224" s="37"/>
      <c r="S224" s="37"/>
      <c r="T224" s="38"/>
      <c r="U224" s="39"/>
      <c r="W224" s="39"/>
    </row>
    <row r="225" spans="18:23" ht="14.4" x14ac:dyDescent="0.25">
      <c r="R225" s="37"/>
      <c r="S225" s="37"/>
      <c r="T225" s="38"/>
      <c r="U225" s="39"/>
      <c r="W225" s="39"/>
    </row>
    <row r="226" spans="18:23" ht="14.4" x14ac:dyDescent="0.25">
      <c r="R226" s="37"/>
      <c r="S226" s="37"/>
      <c r="T226" s="38"/>
      <c r="U226" s="39"/>
      <c r="W226" s="39"/>
    </row>
    <row r="227" spans="18:23" ht="14.4" x14ac:dyDescent="0.25">
      <c r="R227" s="37"/>
      <c r="S227" s="37"/>
      <c r="T227" s="38"/>
      <c r="U227" s="39"/>
      <c r="W227" s="39"/>
    </row>
    <row r="228" spans="18:23" ht="14.4" x14ac:dyDescent="0.25">
      <c r="R228" s="37"/>
      <c r="S228" s="37"/>
      <c r="T228" s="38"/>
      <c r="U228" s="39"/>
      <c r="W228" s="39"/>
    </row>
    <row r="229" spans="18:23" ht="14.4" x14ac:dyDescent="0.25">
      <c r="R229" s="37"/>
      <c r="S229" s="37"/>
      <c r="T229" s="38"/>
      <c r="U229" s="39"/>
      <c r="W229" s="39"/>
    </row>
    <row r="230" spans="18:23" ht="14.4" x14ac:dyDescent="0.25">
      <c r="R230" s="37"/>
      <c r="S230" s="37"/>
      <c r="T230" s="38"/>
      <c r="U230" s="39"/>
      <c r="W230" s="39"/>
    </row>
    <row r="231" spans="18:23" ht="14.4" x14ac:dyDescent="0.25">
      <c r="R231" s="37"/>
      <c r="S231" s="37"/>
      <c r="T231" s="38"/>
      <c r="U231" s="39"/>
      <c r="W231" s="39"/>
    </row>
    <row r="232" spans="18:23" ht="14.4" x14ac:dyDescent="0.25">
      <c r="R232" s="37"/>
      <c r="S232" s="37"/>
      <c r="T232" s="38"/>
      <c r="U232" s="39"/>
      <c r="W232" s="39"/>
    </row>
    <row r="233" spans="18:23" ht="14.4" x14ac:dyDescent="0.25">
      <c r="R233" s="37"/>
      <c r="S233" s="37"/>
      <c r="T233" s="38"/>
      <c r="U233" s="39"/>
      <c r="W233" s="39"/>
    </row>
    <row r="234" spans="18:23" ht="14.4" x14ac:dyDescent="0.25">
      <c r="R234" s="37"/>
      <c r="S234" s="37"/>
      <c r="T234" s="38"/>
      <c r="U234" s="39"/>
      <c r="W234" s="39"/>
    </row>
    <row r="235" spans="18:23" ht="14.4" x14ac:dyDescent="0.25">
      <c r="R235" s="37"/>
      <c r="S235" s="37"/>
      <c r="T235" s="38"/>
      <c r="U235" s="39"/>
      <c r="W235" s="39"/>
    </row>
    <row r="236" spans="18:23" ht="14.4" x14ac:dyDescent="0.25">
      <c r="R236" s="37"/>
      <c r="S236" s="37"/>
      <c r="T236" s="38"/>
      <c r="U236" s="39"/>
      <c r="W236" s="39"/>
    </row>
    <row r="237" spans="18:23" ht="14.4" x14ac:dyDescent="0.25">
      <c r="R237" s="37"/>
      <c r="S237" s="37"/>
      <c r="T237" s="38"/>
      <c r="U237" s="39"/>
      <c r="W237" s="39"/>
    </row>
    <row r="238" spans="18:23" ht="14.4" x14ac:dyDescent="0.25">
      <c r="R238" s="37"/>
      <c r="S238" s="37"/>
      <c r="T238" s="38"/>
      <c r="U238" s="39"/>
      <c r="W238" s="39"/>
    </row>
    <row r="239" spans="18:23" ht="14.4" x14ac:dyDescent="0.25">
      <c r="R239" s="37"/>
      <c r="S239" s="37"/>
      <c r="T239" s="38"/>
      <c r="U239" s="39"/>
      <c r="W239" s="39"/>
    </row>
    <row r="240" spans="18:23" ht="14.4" x14ac:dyDescent="0.25">
      <c r="R240" s="37"/>
      <c r="S240" s="37"/>
      <c r="T240" s="38"/>
      <c r="U240" s="39"/>
      <c r="W240" s="39"/>
    </row>
    <row r="241" spans="18:23" ht="14.4" x14ac:dyDescent="0.25">
      <c r="R241" s="37"/>
      <c r="S241" s="37"/>
      <c r="T241" s="38"/>
      <c r="U241" s="39"/>
      <c r="W241" s="39"/>
    </row>
    <row r="242" spans="18:23" ht="14.4" x14ac:dyDescent="0.25">
      <c r="R242" s="37"/>
      <c r="S242" s="37"/>
      <c r="T242" s="38"/>
      <c r="U242" s="39"/>
      <c r="W242" s="39"/>
    </row>
    <row r="243" spans="18:23" ht="14.4" x14ac:dyDescent="0.25">
      <c r="R243" s="37"/>
      <c r="S243" s="37"/>
      <c r="T243" s="38"/>
      <c r="U243" s="39"/>
      <c r="W243" s="39"/>
    </row>
    <row r="244" spans="18:23" ht="14.4" x14ac:dyDescent="0.25">
      <c r="R244" s="37"/>
      <c r="S244" s="37"/>
      <c r="T244" s="38"/>
      <c r="U244" s="39"/>
      <c r="W244" s="39"/>
    </row>
    <row r="245" spans="18:23" ht="14.4" x14ac:dyDescent="0.25">
      <c r="R245" s="37"/>
      <c r="S245" s="37"/>
      <c r="T245" s="38"/>
      <c r="U245" s="39"/>
      <c r="W245" s="39"/>
    </row>
    <row r="246" spans="18:23" ht="14.4" x14ac:dyDescent="0.25">
      <c r="R246" s="37"/>
      <c r="S246" s="37"/>
      <c r="T246" s="38"/>
      <c r="U246" s="39"/>
      <c r="W246" s="39"/>
    </row>
    <row r="247" spans="18:23" ht="14.4" x14ac:dyDescent="0.25">
      <c r="R247" s="37"/>
      <c r="S247" s="37"/>
      <c r="T247" s="38"/>
      <c r="U247" s="39"/>
      <c r="W247" s="39"/>
    </row>
    <row r="248" spans="18:23" ht="14.4" x14ac:dyDescent="0.25">
      <c r="R248" s="37"/>
      <c r="S248" s="37"/>
      <c r="T248" s="38"/>
      <c r="U248" s="39"/>
      <c r="W248" s="39"/>
    </row>
    <row r="249" spans="18:23" ht="14.4" x14ac:dyDescent="0.25">
      <c r="R249" s="37"/>
      <c r="S249" s="37"/>
      <c r="T249" s="38"/>
      <c r="U249" s="39"/>
      <c r="W249" s="39"/>
    </row>
    <row r="250" spans="18:23" ht="14.4" x14ac:dyDescent="0.25">
      <c r="R250" s="37"/>
      <c r="S250" s="37"/>
      <c r="T250" s="38"/>
      <c r="U250" s="39"/>
      <c r="W250" s="39"/>
    </row>
    <row r="251" spans="18:23" ht="14.4" x14ac:dyDescent="0.25">
      <c r="R251" s="37"/>
      <c r="S251" s="37"/>
      <c r="T251" s="38"/>
      <c r="U251" s="39"/>
      <c r="W251" s="39"/>
    </row>
    <row r="252" spans="18:23" ht="14.4" x14ac:dyDescent="0.25">
      <c r="R252" s="37"/>
      <c r="S252" s="37"/>
      <c r="T252" s="38"/>
      <c r="U252" s="39"/>
      <c r="W252" s="39"/>
    </row>
    <row r="253" spans="18:23" ht="14.4" x14ac:dyDescent="0.25">
      <c r="R253" s="37"/>
      <c r="S253" s="37"/>
      <c r="T253" s="38"/>
      <c r="U253" s="39"/>
      <c r="W253" s="39"/>
    </row>
    <row r="254" spans="18:23" ht="14.4" x14ac:dyDescent="0.25">
      <c r="R254" s="37"/>
      <c r="S254" s="37"/>
      <c r="T254" s="38"/>
      <c r="U254" s="39"/>
      <c r="W254" s="39"/>
    </row>
    <row r="255" spans="18:23" ht="14.4" x14ac:dyDescent="0.25">
      <c r="R255" s="37"/>
      <c r="S255" s="37"/>
      <c r="T255" s="38"/>
      <c r="U255" s="39"/>
      <c r="W255" s="39"/>
    </row>
    <row r="256" spans="18:23" ht="14.4" x14ac:dyDescent="0.25">
      <c r="R256" s="37"/>
      <c r="S256" s="37"/>
      <c r="T256" s="38"/>
      <c r="U256" s="39"/>
      <c r="W256" s="39"/>
    </row>
    <row r="257" spans="18:23" ht="14.4" x14ac:dyDescent="0.25">
      <c r="R257" s="37"/>
      <c r="S257" s="37"/>
      <c r="T257" s="38"/>
      <c r="U257" s="39"/>
      <c r="W257" s="39"/>
    </row>
    <row r="258" spans="18:23" ht="14.4" x14ac:dyDescent="0.25">
      <c r="R258" s="37"/>
      <c r="S258" s="37"/>
      <c r="T258" s="38"/>
      <c r="U258" s="39"/>
      <c r="W258" s="39"/>
    </row>
    <row r="259" spans="18:23" ht="14.4" x14ac:dyDescent="0.25">
      <c r="R259" s="37"/>
      <c r="S259" s="37"/>
      <c r="T259" s="38"/>
      <c r="U259" s="39"/>
      <c r="W259" s="39"/>
    </row>
    <row r="260" spans="18:23" ht="14.4" x14ac:dyDescent="0.25">
      <c r="R260" s="37"/>
      <c r="S260" s="37"/>
      <c r="T260" s="38"/>
      <c r="U260" s="39"/>
      <c r="W260" s="39"/>
    </row>
    <row r="261" spans="18:23" ht="14.4" x14ac:dyDescent="0.25">
      <c r="R261" s="37"/>
      <c r="S261" s="37"/>
      <c r="T261" s="38"/>
      <c r="U261" s="39"/>
      <c r="W261" s="39"/>
    </row>
    <row r="262" spans="18:23" ht="14.4" x14ac:dyDescent="0.25">
      <c r="R262" s="37"/>
      <c r="S262" s="37"/>
      <c r="T262" s="38"/>
      <c r="U262" s="39"/>
      <c r="W262" s="39"/>
    </row>
    <row r="263" spans="18:23" ht="14.4" x14ac:dyDescent="0.25">
      <c r="R263" s="37"/>
      <c r="S263" s="37"/>
      <c r="T263" s="38"/>
      <c r="U263" s="39"/>
      <c r="W263" s="39"/>
    </row>
    <row r="264" spans="18:23" ht="14.4" x14ac:dyDescent="0.25">
      <c r="R264" s="37"/>
      <c r="S264" s="37"/>
      <c r="T264" s="38"/>
      <c r="U264" s="39"/>
      <c r="W264" s="39"/>
    </row>
    <row r="265" spans="18:23" ht="14.4" x14ac:dyDescent="0.25">
      <c r="R265" s="37"/>
      <c r="S265" s="37"/>
      <c r="T265" s="38"/>
      <c r="U265" s="39"/>
      <c r="W265" s="39"/>
    </row>
    <row r="266" spans="18:23" ht="14.4" x14ac:dyDescent="0.25">
      <c r="R266" s="37"/>
      <c r="S266" s="37"/>
      <c r="T266" s="38"/>
      <c r="U266" s="39"/>
      <c r="W266" s="39"/>
    </row>
    <row r="267" spans="18:23" ht="14.4" x14ac:dyDescent="0.25">
      <c r="R267" s="37"/>
      <c r="S267" s="37"/>
      <c r="T267" s="38"/>
      <c r="U267" s="39"/>
      <c r="W267" s="39"/>
    </row>
    <row r="268" spans="18:23" ht="14.4" x14ac:dyDescent="0.25">
      <c r="R268" s="37"/>
      <c r="S268" s="37"/>
      <c r="T268" s="38"/>
      <c r="U268" s="39"/>
      <c r="W268" s="39"/>
    </row>
    <row r="269" spans="18:23" ht="14.4" x14ac:dyDescent="0.25">
      <c r="R269" s="37"/>
      <c r="S269" s="37"/>
      <c r="T269" s="38"/>
      <c r="U269" s="39"/>
      <c r="W269" s="39"/>
    </row>
    <row r="270" spans="18:23" ht="14.4" x14ac:dyDescent="0.25">
      <c r="R270" s="37"/>
      <c r="S270" s="37"/>
      <c r="T270" s="38"/>
      <c r="U270" s="39"/>
      <c r="W270" s="39"/>
    </row>
    <row r="271" spans="18:23" ht="14.4" x14ac:dyDescent="0.25">
      <c r="R271" s="37"/>
      <c r="S271" s="37"/>
      <c r="T271" s="38"/>
      <c r="U271" s="39"/>
      <c r="W271" s="39"/>
    </row>
    <row r="272" spans="18:23" ht="14.4" x14ac:dyDescent="0.25">
      <c r="R272" s="37"/>
      <c r="S272" s="37"/>
      <c r="T272" s="38"/>
      <c r="U272" s="39"/>
      <c r="W272" s="39"/>
    </row>
    <row r="273" spans="18:23" ht="14.4" x14ac:dyDescent="0.25">
      <c r="R273" s="37"/>
      <c r="S273" s="37"/>
      <c r="T273" s="38"/>
      <c r="U273" s="39"/>
      <c r="W273" s="39"/>
    </row>
    <row r="274" spans="18:23" ht="14.4" x14ac:dyDescent="0.25">
      <c r="R274" s="37"/>
      <c r="S274" s="37"/>
      <c r="T274" s="38"/>
      <c r="U274" s="39"/>
      <c r="W274" s="39"/>
    </row>
    <row r="275" spans="18:23" ht="14.4" x14ac:dyDescent="0.25">
      <c r="R275" s="37"/>
      <c r="S275" s="37"/>
      <c r="T275" s="38"/>
      <c r="U275" s="39"/>
      <c r="W275" s="39"/>
    </row>
    <row r="276" spans="18:23" ht="14.4" x14ac:dyDescent="0.25">
      <c r="R276" s="37"/>
      <c r="S276" s="37"/>
      <c r="T276" s="38"/>
      <c r="U276" s="39"/>
      <c r="W276" s="39"/>
    </row>
    <row r="277" spans="18:23" ht="14.4" x14ac:dyDescent="0.25">
      <c r="R277" s="37"/>
      <c r="S277" s="37"/>
      <c r="T277" s="38"/>
      <c r="U277" s="39"/>
      <c r="W277" s="39"/>
    </row>
    <row r="278" spans="18:23" ht="14.4" x14ac:dyDescent="0.25">
      <c r="R278" s="37"/>
      <c r="S278" s="37"/>
      <c r="T278" s="38"/>
      <c r="U278" s="39"/>
      <c r="W278" s="39"/>
    </row>
    <row r="279" spans="18:23" ht="14.4" x14ac:dyDescent="0.25">
      <c r="R279" s="37"/>
      <c r="S279" s="37"/>
      <c r="T279" s="38"/>
      <c r="U279" s="39"/>
      <c r="W279" s="39"/>
    </row>
    <row r="280" spans="18:23" ht="14.4" x14ac:dyDescent="0.25">
      <c r="R280" s="37"/>
      <c r="S280" s="37"/>
      <c r="T280" s="38"/>
      <c r="U280" s="39"/>
      <c r="W280" s="39"/>
    </row>
    <row r="281" spans="18:23" ht="14.4" x14ac:dyDescent="0.25">
      <c r="R281" s="37"/>
      <c r="S281" s="37"/>
      <c r="T281" s="38"/>
      <c r="U281" s="39"/>
      <c r="W281" s="39"/>
    </row>
    <row r="282" spans="18:23" ht="14.4" x14ac:dyDescent="0.25">
      <c r="R282" s="37"/>
      <c r="S282" s="37"/>
      <c r="T282" s="38"/>
      <c r="U282" s="39"/>
      <c r="W282" s="39"/>
    </row>
    <row r="283" spans="18:23" ht="14.4" x14ac:dyDescent="0.25">
      <c r="R283" s="37"/>
      <c r="S283" s="37"/>
      <c r="T283" s="38"/>
      <c r="U283" s="39"/>
      <c r="W283" s="39"/>
    </row>
    <row r="284" spans="18:23" ht="14.4" x14ac:dyDescent="0.25">
      <c r="R284" s="37"/>
      <c r="S284" s="37"/>
      <c r="T284" s="38"/>
      <c r="U284" s="39"/>
      <c r="W284" s="39"/>
    </row>
    <row r="285" spans="18:23" ht="14.4" x14ac:dyDescent="0.25">
      <c r="R285" s="37"/>
      <c r="S285" s="37"/>
      <c r="T285" s="38"/>
      <c r="U285" s="39"/>
      <c r="W285" s="39"/>
    </row>
    <row r="286" spans="18:23" ht="14.4" x14ac:dyDescent="0.25">
      <c r="R286" s="37"/>
      <c r="S286" s="37"/>
      <c r="T286" s="38"/>
      <c r="U286" s="39"/>
      <c r="W286" s="39"/>
    </row>
    <row r="287" spans="18:23" ht="14.4" x14ac:dyDescent="0.25">
      <c r="R287" s="37"/>
      <c r="S287" s="37"/>
      <c r="T287" s="38"/>
      <c r="U287" s="39"/>
      <c r="W287" s="39"/>
    </row>
    <row r="288" spans="18:23" ht="14.4" x14ac:dyDescent="0.25">
      <c r="R288" s="37"/>
      <c r="S288" s="37"/>
      <c r="T288" s="38"/>
      <c r="U288" s="39"/>
      <c r="W288" s="39"/>
    </row>
    <row r="289" spans="18:23" ht="14.4" x14ac:dyDescent="0.25">
      <c r="R289" s="37"/>
      <c r="S289" s="37"/>
      <c r="T289" s="38"/>
      <c r="U289" s="39"/>
      <c r="W289" s="39"/>
    </row>
    <row r="290" spans="18:23" ht="14.4" x14ac:dyDescent="0.25">
      <c r="R290" s="37"/>
      <c r="S290" s="37"/>
      <c r="T290" s="38"/>
      <c r="U290" s="39"/>
      <c r="W290" s="39"/>
    </row>
    <row r="291" spans="18:23" ht="14.4" x14ac:dyDescent="0.25">
      <c r="R291" s="37"/>
      <c r="S291" s="37"/>
      <c r="T291" s="38"/>
      <c r="U291" s="39"/>
      <c r="W291" s="39"/>
    </row>
    <row r="292" spans="18:23" ht="14.4" x14ac:dyDescent="0.25">
      <c r="R292" s="37"/>
      <c r="S292" s="37"/>
      <c r="T292" s="38"/>
      <c r="U292" s="39"/>
      <c r="W292" s="39"/>
    </row>
    <row r="293" spans="18:23" ht="14.4" x14ac:dyDescent="0.25">
      <c r="R293" s="37"/>
      <c r="S293" s="37"/>
      <c r="T293" s="38"/>
      <c r="U293" s="39"/>
      <c r="W293" s="39"/>
    </row>
    <row r="294" spans="18:23" ht="14.4" x14ac:dyDescent="0.25">
      <c r="R294" s="37"/>
      <c r="S294" s="37"/>
      <c r="T294" s="38"/>
      <c r="U294" s="39"/>
      <c r="W294" s="39"/>
    </row>
    <row r="295" spans="18:23" ht="14.4" x14ac:dyDescent="0.25">
      <c r="R295" s="37"/>
      <c r="S295" s="37"/>
      <c r="T295" s="38"/>
      <c r="U295" s="39"/>
      <c r="W295" s="39"/>
    </row>
    <row r="296" spans="18:23" ht="14.4" x14ac:dyDescent="0.25">
      <c r="R296" s="37"/>
      <c r="S296" s="37"/>
      <c r="T296" s="38"/>
      <c r="U296" s="39"/>
      <c r="W296" s="39"/>
    </row>
    <row r="297" spans="18:23" ht="14.4" x14ac:dyDescent="0.25">
      <c r="R297" s="37"/>
      <c r="S297" s="37"/>
      <c r="T297" s="38"/>
      <c r="U297" s="39"/>
      <c r="W297" s="39"/>
    </row>
    <row r="298" spans="18:23" ht="14.4" x14ac:dyDescent="0.25">
      <c r="R298" s="37"/>
      <c r="S298" s="37"/>
      <c r="T298" s="38"/>
      <c r="U298" s="39"/>
      <c r="W298" s="39"/>
    </row>
    <row r="299" spans="18:23" ht="14.4" x14ac:dyDescent="0.25">
      <c r="R299" s="37"/>
      <c r="S299" s="37"/>
      <c r="T299" s="38"/>
      <c r="U299" s="39"/>
      <c r="W299" s="39"/>
    </row>
    <row r="300" spans="18:23" ht="14.4" x14ac:dyDescent="0.25">
      <c r="R300" s="37"/>
      <c r="S300" s="37"/>
      <c r="T300" s="38"/>
      <c r="U300" s="39"/>
      <c r="W300" s="39"/>
    </row>
    <row r="301" spans="18:23" ht="14.4" x14ac:dyDescent="0.25">
      <c r="R301" s="37"/>
      <c r="S301" s="37"/>
      <c r="T301" s="38"/>
      <c r="U301" s="39"/>
      <c r="W301" s="39"/>
    </row>
    <row r="302" spans="18:23" ht="14.4" x14ac:dyDescent="0.25">
      <c r="R302" s="37"/>
      <c r="S302" s="37"/>
      <c r="T302" s="38"/>
      <c r="U302" s="39"/>
      <c r="W302" s="39"/>
    </row>
    <row r="303" spans="18:23" ht="14.4" x14ac:dyDescent="0.25">
      <c r="R303" s="37"/>
      <c r="S303" s="37"/>
      <c r="T303" s="38"/>
      <c r="U303" s="39"/>
      <c r="W303" s="39"/>
    </row>
    <row r="304" spans="18:23" ht="14.4" x14ac:dyDescent="0.25">
      <c r="R304" s="37"/>
      <c r="S304" s="37"/>
      <c r="T304" s="38"/>
      <c r="U304" s="39"/>
      <c r="W304" s="39"/>
    </row>
    <row r="305" spans="18:23" ht="14.4" x14ac:dyDescent="0.25">
      <c r="R305" s="37"/>
      <c r="S305" s="37"/>
      <c r="T305" s="38"/>
      <c r="U305" s="39"/>
      <c r="W305" s="39"/>
    </row>
    <row r="306" spans="18:23" ht="14.4" x14ac:dyDescent="0.25">
      <c r="R306" s="37"/>
      <c r="S306" s="37"/>
      <c r="T306" s="38"/>
      <c r="U306" s="39"/>
      <c r="W306" s="39"/>
    </row>
    <row r="307" spans="18:23" ht="14.4" x14ac:dyDescent="0.25">
      <c r="R307" s="37"/>
      <c r="S307" s="37"/>
      <c r="T307" s="38"/>
      <c r="U307" s="39"/>
      <c r="W307" s="39"/>
    </row>
    <row r="308" spans="18:23" ht="14.4" x14ac:dyDescent="0.25">
      <c r="R308" s="37"/>
      <c r="S308" s="37"/>
      <c r="T308" s="38"/>
      <c r="U308" s="39"/>
      <c r="W308" s="39"/>
    </row>
    <row r="309" spans="18:23" ht="14.4" x14ac:dyDescent="0.25">
      <c r="R309" s="37"/>
      <c r="S309" s="37"/>
      <c r="T309" s="38"/>
      <c r="U309" s="39"/>
      <c r="W309" s="39"/>
    </row>
    <row r="310" spans="18:23" ht="14.4" x14ac:dyDescent="0.25">
      <c r="R310" s="37"/>
      <c r="S310" s="37"/>
      <c r="T310" s="38"/>
      <c r="U310" s="39"/>
      <c r="W310" s="39"/>
    </row>
    <row r="311" spans="18:23" ht="14.4" x14ac:dyDescent="0.25">
      <c r="R311" s="37"/>
      <c r="S311" s="37"/>
      <c r="T311" s="38"/>
      <c r="U311" s="39"/>
      <c r="W311" s="39"/>
    </row>
    <row r="312" spans="18:23" ht="14.4" x14ac:dyDescent="0.25">
      <c r="R312" s="37"/>
      <c r="S312" s="37"/>
      <c r="T312" s="38"/>
      <c r="U312" s="39"/>
      <c r="W312" s="39"/>
    </row>
    <row r="313" spans="18:23" ht="14.4" x14ac:dyDescent="0.25">
      <c r="R313" s="37"/>
      <c r="S313" s="37"/>
      <c r="T313" s="38"/>
      <c r="U313" s="39"/>
      <c r="W313" s="39"/>
    </row>
    <row r="314" spans="18:23" ht="14.4" x14ac:dyDescent="0.25">
      <c r="R314" s="37"/>
      <c r="S314" s="37"/>
      <c r="T314" s="38"/>
      <c r="U314" s="39"/>
      <c r="W314" s="39"/>
    </row>
    <row r="315" spans="18:23" ht="14.4" x14ac:dyDescent="0.25">
      <c r="R315" s="37"/>
      <c r="S315" s="37"/>
      <c r="T315" s="38"/>
      <c r="U315" s="39"/>
      <c r="W315" s="39"/>
    </row>
    <row r="316" spans="18:23" ht="14.4" x14ac:dyDescent="0.25">
      <c r="R316" s="37"/>
      <c r="S316" s="37"/>
      <c r="T316" s="38"/>
      <c r="U316" s="39"/>
      <c r="W316" s="39"/>
    </row>
    <row r="317" spans="18:23" ht="14.4" x14ac:dyDescent="0.25">
      <c r="R317" s="37"/>
      <c r="S317" s="37"/>
      <c r="T317" s="38"/>
      <c r="U317" s="39"/>
      <c r="W317" s="39"/>
    </row>
    <row r="318" spans="18:23" ht="14.4" x14ac:dyDescent="0.25">
      <c r="R318" s="37"/>
      <c r="S318" s="37"/>
      <c r="T318" s="38"/>
      <c r="U318" s="39"/>
      <c r="W318" s="39"/>
    </row>
    <row r="319" spans="18:23" ht="14.4" x14ac:dyDescent="0.25">
      <c r="R319" s="37"/>
      <c r="S319" s="37"/>
      <c r="T319" s="38"/>
      <c r="U319" s="39"/>
      <c r="W319" s="39"/>
    </row>
    <row r="320" spans="18:23" ht="14.4" x14ac:dyDescent="0.25">
      <c r="R320" s="37"/>
      <c r="S320" s="37"/>
      <c r="T320" s="38"/>
      <c r="U320" s="39"/>
      <c r="W320" s="39"/>
    </row>
    <row r="321" spans="18:23" ht="14.4" x14ac:dyDescent="0.25">
      <c r="R321" s="37"/>
      <c r="S321" s="37"/>
      <c r="T321" s="38"/>
      <c r="U321" s="39"/>
      <c r="W321" s="39"/>
    </row>
    <row r="322" spans="18:23" ht="14.4" x14ac:dyDescent="0.25">
      <c r="R322" s="37"/>
      <c r="S322" s="37"/>
      <c r="T322" s="38"/>
      <c r="U322" s="39"/>
      <c r="W322" s="39"/>
    </row>
    <row r="323" spans="18:23" ht="14.4" x14ac:dyDescent="0.25">
      <c r="R323" s="37"/>
      <c r="S323" s="37"/>
      <c r="T323" s="38"/>
      <c r="U323" s="39"/>
      <c r="W323" s="39"/>
    </row>
    <row r="324" spans="18:23" ht="14.4" x14ac:dyDescent="0.25">
      <c r="R324" s="37"/>
      <c r="S324" s="37"/>
      <c r="T324" s="38"/>
      <c r="U324" s="39"/>
      <c r="W324" s="39"/>
    </row>
    <row r="325" spans="18:23" ht="14.4" x14ac:dyDescent="0.25">
      <c r="R325" s="37"/>
      <c r="S325" s="37"/>
      <c r="T325" s="38"/>
      <c r="U325" s="39"/>
      <c r="W325" s="39"/>
    </row>
    <row r="326" spans="18:23" ht="14.4" x14ac:dyDescent="0.25">
      <c r="R326" s="37"/>
      <c r="S326" s="37"/>
      <c r="T326" s="38"/>
      <c r="U326" s="39"/>
      <c r="W326" s="39"/>
    </row>
    <row r="327" spans="18:23" ht="14.4" x14ac:dyDescent="0.25">
      <c r="R327" s="37"/>
      <c r="S327" s="37"/>
      <c r="T327" s="38"/>
      <c r="U327" s="39"/>
      <c r="W327" s="39"/>
    </row>
    <row r="328" spans="18:23" ht="14.4" x14ac:dyDescent="0.25">
      <c r="R328" s="37"/>
      <c r="S328" s="37"/>
      <c r="T328" s="38"/>
      <c r="U328" s="39"/>
      <c r="W328" s="39"/>
    </row>
    <row r="329" spans="18:23" ht="14.4" x14ac:dyDescent="0.25">
      <c r="R329" s="37"/>
      <c r="S329" s="37"/>
      <c r="T329" s="38"/>
      <c r="U329" s="39"/>
      <c r="W329" s="39"/>
    </row>
    <row r="330" spans="18:23" ht="14.4" x14ac:dyDescent="0.25">
      <c r="R330" s="37"/>
      <c r="S330" s="37"/>
      <c r="T330" s="38"/>
      <c r="U330" s="39"/>
      <c r="W330" s="39"/>
    </row>
    <row r="331" spans="18:23" ht="14.4" x14ac:dyDescent="0.25">
      <c r="R331" s="37"/>
      <c r="S331" s="37"/>
      <c r="T331" s="38"/>
      <c r="U331" s="39"/>
      <c r="W331" s="39"/>
    </row>
    <row r="332" spans="18:23" ht="14.4" x14ac:dyDescent="0.25">
      <c r="R332" s="37"/>
      <c r="S332" s="37"/>
      <c r="T332" s="38"/>
      <c r="U332" s="39"/>
      <c r="W332" s="39"/>
    </row>
    <row r="333" spans="18:23" ht="14.4" x14ac:dyDescent="0.25">
      <c r="R333" s="37"/>
      <c r="S333" s="37"/>
      <c r="T333" s="38"/>
      <c r="U333" s="39"/>
      <c r="W333" s="39"/>
    </row>
    <row r="334" spans="18:23" ht="14.4" x14ac:dyDescent="0.25">
      <c r="R334" s="37"/>
      <c r="S334" s="37"/>
      <c r="T334" s="38"/>
      <c r="U334" s="39"/>
      <c r="W334" s="39"/>
    </row>
    <row r="335" spans="18:23" ht="14.4" x14ac:dyDescent="0.25">
      <c r="R335" s="37"/>
      <c r="S335" s="37"/>
      <c r="T335" s="38"/>
      <c r="U335" s="39"/>
      <c r="W335" s="39"/>
    </row>
    <row r="336" spans="18:23" ht="14.4" x14ac:dyDescent="0.25">
      <c r="R336" s="37"/>
      <c r="S336" s="37"/>
      <c r="T336" s="38"/>
      <c r="U336" s="39"/>
      <c r="W336" s="39"/>
    </row>
    <row r="337" spans="18:23" ht="14.4" x14ac:dyDescent="0.25">
      <c r="R337" s="37"/>
      <c r="S337" s="37"/>
      <c r="T337" s="38"/>
      <c r="U337" s="39"/>
      <c r="W337" s="39"/>
    </row>
    <row r="338" spans="18:23" ht="14.4" x14ac:dyDescent="0.25">
      <c r="R338" s="37"/>
      <c r="S338" s="37"/>
      <c r="T338" s="38"/>
      <c r="U338" s="39"/>
      <c r="W338" s="39"/>
    </row>
    <row r="339" spans="18:23" ht="14.4" x14ac:dyDescent="0.25">
      <c r="R339" s="37"/>
      <c r="S339" s="37"/>
      <c r="T339" s="38"/>
      <c r="U339" s="39"/>
      <c r="W339" s="39"/>
    </row>
    <row r="340" spans="18:23" ht="14.4" x14ac:dyDescent="0.25">
      <c r="R340" s="37"/>
      <c r="S340" s="37"/>
      <c r="T340" s="38"/>
      <c r="U340" s="39"/>
      <c r="W340" s="39"/>
    </row>
    <row r="341" spans="18:23" ht="14.4" x14ac:dyDescent="0.25">
      <c r="R341" s="37"/>
      <c r="S341" s="37"/>
      <c r="T341" s="38"/>
      <c r="U341" s="39"/>
      <c r="W341" s="39"/>
    </row>
    <row r="342" spans="18:23" ht="14.4" x14ac:dyDescent="0.25">
      <c r="R342" s="37"/>
      <c r="S342" s="37"/>
      <c r="T342" s="38"/>
      <c r="U342" s="39"/>
      <c r="W342" s="39"/>
    </row>
    <row r="343" spans="18:23" ht="14.4" x14ac:dyDescent="0.25">
      <c r="R343" s="37"/>
      <c r="S343" s="37"/>
      <c r="T343" s="38"/>
      <c r="U343" s="39"/>
      <c r="W343" s="39"/>
    </row>
    <row r="344" spans="18:23" ht="14.4" x14ac:dyDescent="0.25">
      <c r="R344" s="37"/>
      <c r="S344" s="37"/>
      <c r="T344" s="38"/>
      <c r="U344" s="39"/>
      <c r="W344" s="39"/>
    </row>
    <row r="345" spans="18:23" ht="14.4" x14ac:dyDescent="0.25">
      <c r="R345" s="37"/>
      <c r="S345" s="37"/>
      <c r="T345" s="38"/>
      <c r="U345" s="39"/>
      <c r="W345" s="39"/>
    </row>
    <row r="346" spans="18:23" ht="14.4" x14ac:dyDescent="0.25">
      <c r="R346" s="37"/>
      <c r="S346" s="37"/>
      <c r="T346" s="38"/>
      <c r="U346" s="39"/>
      <c r="W346" s="39"/>
    </row>
    <row r="347" spans="18:23" ht="14.4" x14ac:dyDescent="0.25">
      <c r="R347" s="37"/>
      <c r="S347" s="37"/>
      <c r="T347" s="38"/>
      <c r="U347" s="39"/>
      <c r="W347" s="39"/>
    </row>
    <row r="348" spans="18:23" ht="14.4" x14ac:dyDescent="0.25">
      <c r="R348" s="37"/>
      <c r="S348" s="37"/>
      <c r="T348" s="38"/>
      <c r="U348" s="39"/>
      <c r="W348" s="39"/>
    </row>
    <row r="349" spans="18:23" ht="14.4" x14ac:dyDescent="0.25">
      <c r="R349" s="37"/>
      <c r="S349" s="37"/>
      <c r="T349" s="38"/>
      <c r="U349" s="39"/>
      <c r="W349" s="39"/>
    </row>
    <row r="350" spans="18:23" ht="14.4" x14ac:dyDescent="0.25">
      <c r="R350" s="37"/>
      <c r="S350" s="37"/>
      <c r="T350" s="38"/>
      <c r="U350" s="39"/>
      <c r="W350" s="39"/>
    </row>
    <row r="351" spans="18:23" ht="14.4" x14ac:dyDescent="0.25">
      <c r="R351" s="37"/>
      <c r="S351" s="37"/>
      <c r="T351" s="38"/>
      <c r="U351" s="39"/>
      <c r="W351" s="39"/>
    </row>
    <row r="352" spans="18:23" ht="14.4" x14ac:dyDescent="0.25">
      <c r="R352" s="37"/>
      <c r="S352" s="37"/>
      <c r="T352" s="38"/>
      <c r="U352" s="39"/>
      <c r="W352" s="39"/>
    </row>
    <row r="353" spans="18:23" ht="14.4" x14ac:dyDescent="0.25">
      <c r="R353" s="37"/>
      <c r="S353" s="37"/>
      <c r="T353" s="38"/>
      <c r="U353" s="39"/>
      <c r="W353" s="39"/>
    </row>
    <row r="354" spans="18:23" ht="14.4" x14ac:dyDescent="0.25">
      <c r="R354" s="37"/>
      <c r="S354" s="37"/>
      <c r="T354" s="38"/>
      <c r="U354" s="39"/>
      <c r="W354" s="39"/>
    </row>
    <row r="355" spans="18:23" ht="14.4" x14ac:dyDescent="0.25">
      <c r="R355" s="37"/>
      <c r="S355" s="37"/>
      <c r="T355" s="38"/>
      <c r="U355" s="39"/>
      <c r="W355" s="39"/>
    </row>
    <row r="356" spans="18:23" ht="14.4" x14ac:dyDescent="0.25">
      <c r="R356" s="37"/>
      <c r="S356" s="37"/>
      <c r="T356" s="38"/>
      <c r="U356" s="39"/>
      <c r="W356" s="39"/>
    </row>
    <row r="357" spans="18:23" ht="14.4" x14ac:dyDescent="0.25">
      <c r="R357" s="37"/>
      <c r="S357" s="37"/>
      <c r="T357" s="38"/>
      <c r="U357" s="39"/>
      <c r="W357" s="39"/>
    </row>
    <row r="358" spans="18:23" ht="14.4" x14ac:dyDescent="0.25">
      <c r="R358" s="37"/>
      <c r="S358" s="37"/>
      <c r="T358" s="38"/>
      <c r="U358" s="39"/>
      <c r="W358" s="39"/>
    </row>
    <row r="359" spans="18:23" ht="14.4" x14ac:dyDescent="0.25">
      <c r="R359" s="37"/>
      <c r="S359" s="37"/>
      <c r="T359" s="38"/>
      <c r="U359" s="39"/>
      <c r="W359" s="39"/>
    </row>
    <row r="360" spans="18:23" ht="14.4" x14ac:dyDescent="0.25">
      <c r="R360" s="37"/>
      <c r="S360" s="37"/>
      <c r="T360" s="38"/>
      <c r="U360" s="39"/>
      <c r="W360" s="39"/>
    </row>
    <row r="361" spans="18:23" ht="14.4" x14ac:dyDescent="0.25">
      <c r="R361" s="37"/>
      <c r="S361" s="37"/>
      <c r="T361" s="38"/>
      <c r="U361" s="39"/>
      <c r="W361" s="39"/>
    </row>
    <row r="362" spans="18:23" ht="14.4" x14ac:dyDescent="0.25">
      <c r="R362" s="37"/>
      <c r="S362" s="37"/>
      <c r="T362" s="38"/>
      <c r="U362" s="39"/>
      <c r="W362" s="39"/>
    </row>
    <row r="363" spans="18:23" ht="14.4" x14ac:dyDescent="0.25">
      <c r="R363" s="37"/>
      <c r="S363" s="37"/>
      <c r="T363" s="38"/>
      <c r="U363" s="39"/>
      <c r="W363" s="39"/>
    </row>
    <row r="364" spans="18:23" ht="14.4" x14ac:dyDescent="0.25">
      <c r="R364" s="37"/>
      <c r="S364" s="37"/>
      <c r="T364" s="38"/>
      <c r="U364" s="39"/>
      <c r="W364" s="39"/>
    </row>
    <row r="365" spans="18:23" ht="14.4" x14ac:dyDescent="0.25">
      <c r="R365" s="37"/>
      <c r="S365" s="37"/>
      <c r="T365" s="38"/>
      <c r="U365" s="39"/>
      <c r="W365" s="39"/>
    </row>
    <row r="366" spans="18:23" ht="14.4" x14ac:dyDescent="0.25">
      <c r="R366" s="37"/>
      <c r="S366" s="37"/>
      <c r="T366" s="38"/>
      <c r="U366" s="39"/>
      <c r="W366" s="39"/>
    </row>
    <row r="367" spans="18:23" ht="14.4" x14ac:dyDescent="0.25">
      <c r="R367" s="37"/>
      <c r="S367" s="37"/>
      <c r="T367" s="38"/>
      <c r="U367" s="39"/>
      <c r="W367" s="39"/>
    </row>
    <row r="368" spans="18:23" ht="14.4" x14ac:dyDescent="0.25">
      <c r="R368" s="37"/>
      <c r="S368" s="37"/>
      <c r="T368" s="38"/>
      <c r="U368" s="39"/>
      <c r="W368" s="39"/>
    </row>
    <row r="369" spans="18:23" ht="14.4" x14ac:dyDescent="0.25">
      <c r="R369" s="37"/>
      <c r="S369" s="37"/>
      <c r="T369" s="38"/>
      <c r="U369" s="39"/>
      <c r="W369" s="39"/>
    </row>
    <row r="370" spans="18:23" ht="14.4" x14ac:dyDescent="0.25">
      <c r="R370" s="37"/>
      <c r="S370" s="37"/>
      <c r="T370" s="38"/>
      <c r="U370" s="39"/>
      <c r="W370" s="39"/>
    </row>
    <row r="371" spans="18:23" ht="14.4" x14ac:dyDescent="0.25">
      <c r="R371" s="37"/>
      <c r="S371" s="37"/>
      <c r="T371" s="38"/>
      <c r="U371" s="39"/>
      <c r="W371" s="39"/>
    </row>
    <row r="372" spans="18:23" ht="14.4" x14ac:dyDescent="0.25">
      <c r="R372" s="37"/>
      <c r="S372" s="37"/>
      <c r="T372" s="38"/>
      <c r="U372" s="39"/>
      <c r="W372" s="39"/>
    </row>
    <row r="373" spans="18:23" ht="14.4" x14ac:dyDescent="0.25">
      <c r="R373" s="37"/>
      <c r="S373" s="37"/>
      <c r="T373" s="38"/>
      <c r="U373" s="39"/>
      <c r="W373" s="39"/>
    </row>
    <row r="374" spans="18:23" ht="14.4" x14ac:dyDescent="0.25">
      <c r="R374" s="37"/>
      <c r="S374" s="37"/>
      <c r="T374" s="38"/>
      <c r="U374" s="39"/>
      <c r="W374" s="39"/>
    </row>
    <row r="375" spans="18:23" ht="14.4" x14ac:dyDescent="0.25">
      <c r="R375" s="37"/>
      <c r="S375" s="37"/>
      <c r="T375" s="38"/>
      <c r="U375" s="39"/>
      <c r="W375" s="39"/>
    </row>
    <row r="376" spans="18:23" ht="14.4" x14ac:dyDescent="0.25">
      <c r="R376" s="37"/>
      <c r="S376" s="37"/>
      <c r="T376" s="38"/>
      <c r="U376" s="39"/>
      <c r="W376" s="39"/>
    </row>
    <row r="377" spans="18:23" ht="14.4" x14ac:dyDescent="0.25">
      <c r="R377" s="37"/>
      <c r="S377" s="37"/>
      <c r="T377" s="38"/>
      <c r="U377" s="39"/>
      <c r="W377" s="39"/>
    </row>
    <row r="378" spans="18:23" ht="14.4" x14ac:dyDescent="0.25">
      <c r="R378" s="37"/>
      <c r="S378" s="37"/>
      <c r="T378" s="38"/>
      <c r="U378" s="39"/>
      <c r="W378" s="39"/>
    </row>
    <row r="379" spans="18:23" ht="14.4" x14ac:dyDescent="0.25">
      <c r="R379" s="37"/>
      <c r="S379" s="37"/>
      <c r="T379" s="38"/>
      <c r="U379" s="39"/>
      <c r="W379" s="39"/>
    </row>
    <row r="380" spans="18:23" ht="14.4" x14ac:dyDescent="0.25">
      <c r="R380" s="37"/>
      <c r="S380" s="37"/>
      <c r="T380" s="38"/>
      <c r="U380" s="39"/>
      <c r="W380" s="39"/>
    </row>
    <row r="381" spans="18:23" ht="14.4" x14ac:dyDescent="0.25">
      <c r="R381" s="37"/>
      <c r="S381" s="37"/>
      <c r="T381" s="38"/>
      <c r="U381" s="39"/>
      <c r="W381" s="39"/>
    </row>
    <row r="382" spans="18:23" ht="14.4" x14ac:dyDescent="0.25">
      <c r="R382" s="37"/>
      <c r="S382" s="37"/>
      <c r="T382" s="38"/>
      <c r="U382" s="39"/>
      <c r="W382" s="39"/>
    </row>
    <row r="383" spans="18:23" ht="14.4" x14ac:dyDescent="0.25">
      <c r="R383" s="37"/>
      <c r="S383" s="37"/>
      <c r="T383" s="38"/>
      <c r="U383" s="39"/>
      <c r="W383" s="39"/>
    </row>
    <row r="384" spans="18:23" ht="14.4" x14ac:dyDescent="0.25">
      <c r="R384" s="37"/>
      <c r="S384" s="37"/>
      <c r="T384" s="38"/>
      <c r="U384" s="39"/>
      <c r="W384" s="39"/>
    </row>
    <row r="385" spans="18:23" ht="14.4" x14ac:dyDescent="0.25">
      <c r="R385" s="37"/>
      <c r="S385" s="37"/>
      <c r="T385" s="38"/>
      <c r="U385" s="39"/>
      <c r="W385" s="39"/>
    </row>
    <row r="386" spans="18:23" ht="14.4" x14ac:dyDescent="0.25">
      <c r="R386" s="37"/>
      <c r="S386" s="37"/>
      <c r="T386" s="38"/>
      <c r="U386" s="39"/>
      <c r="W386" s="39"/>
    </row>
    <row r="387" spans="18:23" ht="14.4" x14ac:dyDescent="0.25">
      <c r="R387" s="37"/>
      <c r="S387" s="37"/>
      <c r="T387" s="38"/>
      <c r="U387" s="39"/>
      <c r="W387" s="39"/>
    </row>
    <row r="388" spans="18:23" ht="14.4" x14ac:dyDescent="0.25">
      <c r="R388" s="37"/>
      <c r="S388" s="37"/>
      <c r="T388" s="38"/>
      <c r="U388" s="39"/>
      <c r="W388" s="39"/>
    </row>
    <row r="389" spans="18:23" ht="14.4" x14ac:dyDescent="0.25">
      <c r="R389" s="37"/>
      <c r="S389" s="37"/>
      <c r="T389" s="38"/>
      <c r="U389" s="39"/>
      <c r="W389" s="39"/>
    </row>
    <row r="390" spans="18:23" ht="14.4" x14ac:dyDescent="0.25">
      <c r="R390" s="37"/>
      <c r="S390" s="37"/>
      <c r="T390" s="38"/>
      <c r="U390" s="39"/>
      <c r="W390" s="39"/>
    </row>
    <row r="391" spans="18:23" ht="14.4" x14ac:dyDescent="0.25">
      <c r="R391" s="37"/>
      <c r="S391" s="37"/>
      <c r="T391" s="38"/>
      <c r="U391" s="39"/>
      <c r="W391" s="39"/>
    </row>
    <row r="392" spans="18:23" ht="14.4" x14ac:dyDescent="0.25">
      <c r="R392" s="37"/>
      <c r="S392" s="37"/>
      <c r="T392" s="38"/>
      <c r="U392" s="39"/>
      <c r="W392" s="39"/>
    </row>
    <row r="393" spans="18:23" ht="14.4" x14ac:dyDescent="0.25">
      <c r="R393" s="37"/>
      <c r="S393" s="37"/>
      <c r="T393" s="38"/>
      <c r="U393" s="39"/>
      <c r="W393" s="39"/>
    </row>
    <row r="394" spans="18:23" ht="14.4" x14ac:dyDescent="0.25">
      <c r="R394" s="37"/>
      <c r="S394" s="37"/>
      <c r="T394" s="38"/>
      <c r="U394" s="39"/>
      <c r="W394" s="39"/>
    </row>
    <row r="395" spans="18:23" ht="14.4" x14ac:dyDescent="0.25">
      <c r="R395" s="37"/>
      <c r="S395" s="37"/>
      <c r="T395" s="38"/>
      <c r="U395" s="39"/>
      <c r="W395" s="39"/>
    </row>
    <row r="396" spans="18:23" ht="14.4" x14ac:dyDescent="0.25">
      <c r="R396" s="37"/>
      <c r="S396" s="37"/>
      <c r="T396" s="38"/>
      <c r="U396" s="39"/>
      <c r="W396" s="39"/>
    </row>
    <row r="397" spans="18:23" ht="14.4" x14ac:dyDescent="0.25">
      <c r="R397" s="37"/>
      <c r="S397" s="37"/>
      <c r="T397" s="38"/>
      <c r="U397" s="39"/>
      <c r="W397" s="39"/>
    </row>
    <row r="398" spans="18:23" ht="14.4" x14ac:dyDescent="0.25">
      <c r="R398" s="37"/>
      <c r="S398" s="37"/>
      <c r="T398" s="38"/>
      <c r="U398" s="39"/>
      <c r="W398" s="39"/>
    </row>
    <row r="399" spans="18:23" ht="14.4" x14ac:dyDescent="0.25">
      <c r="R399" s="37"/>
      <c r="S399" s="37"/>
      <c r="T399" s="38"/>
      <c r="U399" s="39"/>
      <c r="W399" s="39"/>
    </row>
    <row r="400" spans="18:23" ht="14.4" x14ac:dyDescent="0.25">
      <c r="R400" s="37"/>
      <c r="S400" s="37"/>
      <c r="T400" s="38"/>
      <c r="U400" s="39"/>
      <c r="W400" s="39"/>
    </row>
    <row r="401" spans="18:23" ht="14.4" x14ac:dyDescent="0.25">
      <c r="R401" s="37"/>
      <c r="S401" s="37"/>
      <c r="T401" s="38"/>
      <c r="U401" s="39"/>
      <c r="W401" s="39"/>
    </row>
    <row r="402" spans="18:23" ht="14.4" x14ac:dyDescent="0.25">
      <c r="R402" s="37"/>
      <c r="S402" s="37"/>
      <c r="T402" s="38"/>
      <c r="U402" s="39"/>
      <c r="W402" s="39"/>
    </row>
    <row r="403" spans="18:23" ht="14.4" x14ac:dyDescent="0.25">
      <c r="R403" s="37"/>
      <c r="S403" s="37"/>
      <c r="T403" s="38"/>
      <c r="U403" s="39"/>
      <c r="W403" s="39"/>
    </row>
    <row r="404" spans="18:23" ht="14.4" x14ac:dyDescent="0.25">
      <c r="R404" s="37"/>
      <c r="S404" s="37"/>
      <c r="T404" s="38"/>
      <c r="U404" s="39"/>
      <c r="W404" s="39"/>
    </row>
    <row r="405" spans="18:23" ht="14.4" x14ac:dyDescent="0.25">
      <c r="R405" s="37"/>
      <c r="S405" s="37"/>
      <c r="T405" s="38"/>
      <c r="U405" s="39"/>
      <c r="W405" s="39"/>
    </row>
    <row r="406" spans="18:23" ht="14.4" x14ac:dyDescent="0.25">
      <c r="R406" s="37"/>
      <c r="S406" s="37"/>
      <c r="T406" s="38"/>
      <c r="U406" s="39"/>
      <c r="W406" s="39"/>
    </row>
    <row r="407" spans="18:23" ht="14.4" x14ac:dyDescent="0.25">
      <c r="R407" s="37"/>
      <c r="S407" s="37"/>
      <c r="T407" s="38"/>
      <c r="U407" s="39"/>
      <c r="W407" s="39"/>
    </row>
    <row r="408" spans="18:23" ht="14.4" x14ac:dyDescent="0.25">
      <c r="R408" s="37"/>
      <c r="S408" s="37"/>
      <c r="T408" s="38"/>
      <c r="U408" s="39"/>
      <c r="W408" s="39"/>
    </row>
    <row r="409" spans="18:23" ht="14.4" x14ac:dyDescent="0.25">
      <c r="R409" s="37"/>
      <c r="S409" s="37"/>
      <c r="T409" s="38"/>
      <c r="U409" s="39"/>
      <c r="W409" s="39"/>
    </row>
    <row r="410" spans="18:23" ht="14.4" x14ac:dyDescent="0.25">
      <c r="R410" s="37"/>
      <c r="S410" s="37"/>
      <c r="T410" s="38"/>
      <c r="U410" s="39"/>
      <c r="W410" s="39"/>
    </row>
    <row r="411" spans="18:23" ht="14.4" x14ac:dyDescent="0.25">
      <c r="R411" s="37"/>
      <c r="S411" s="37"/>
      <c r="T411" s="38"/>
      <c r="U411" s="39"/>
      <c r="W411" s="39"/>
    </row>
    <row r="412" spans="18:23" ht="14.4" x14ac:dyDescent="0.25">
      <c r="R412" s="37"/>
      <c r="S412" s="37"/>
      <c r="T412" s="38"/>
      <c r="U412" s="39"/>
      <c r="W412" s="39"/>
    </row>
    <row r="413" spans="18:23" ht="14.4" x14ac:dyDescent="0.25">
      <c r="R413" s="37"/>
      <c r="S413" s="37"/>
      <c r="T413" s="38"/>
      <c r="U413" s="39"/>
      <c r="W413" s="39"/>
    </row>
    <row r="414" spans="18:23" ht="14.4" x14ac:dyDescent="0.25">
      <c r="R414" s="37"/>
      <c r="S414" s="37"/>
      <c r="T414" s="38"/>
      <c r="U414" s="39"/>
      <c r="W414" s="39"/>
    </row>
    <row r="415" spans="18:23" ht="14.4" x14ac:dyDescent="0.25">
      <c r="R415" s="37"/>
      <c r="S415" s="37"/>
      <c r="T415" s="38"/>
      <c r="U415" s="39"/>
      <c r="W415" s="39"/>
    </row>
    <row r="416" spans="18:23" ht="14.4" x14ac:dyDescent="0.25">
      <c r="R416" s="37"/>
      <c r="S416" s="37"/>
      <c r="T416" s="38"/>
      <c r="U416" s="39"/>
      <c r="W416" s="39"/>
    </row>
    <row r="417" spans="18:23" ht="14.4" x14ac:dyDescent="0.25">
      <c r="R417" s="37"/>
      <c r="S417" s="37"/>
      <c r="T417" s="38"/>
      <c r="U417" s="39"/>
      <c r="W417" s="39"/>
    </row>
    <row r="418" spans="18:23" ht="14.4" x14ac:dyDescent="0.25">
      <c r="R418" s="37"/>
      <c r="S418" s="37"/>
      <c r="T418" s="38"/>
      <c r="U418" s="39"/>
      <c r="W418" s="39"/>
    </row>
    <row r="419" spans="18:23" ht="14.4" x14ac:dyDescent="0.25">
      <c r="R419" s="37"/>
      <c r="S419" s="37"/>
      <c r="T419" s="38"/>
      <c r="U419" s="39"/>
      <c r="W419" s="39"/>
    </row>
    <row r="420" spans="18:23" ht="14.4" x14ac:dyDescent="0.25">
      <c r="R420" s="37"/>
      <c r="S420" s="37"/>
      <c r="T420" s="38"/>
      <c r="U420" s="39"/>
      <c r="W420" s="39"/>
    </row>
    <row r="421" spans="18:23" ht="14.4" x14ac:dyDescent="0.25">
      <c r="R421" s="37"/>
      <c r="S421" s="37"/>
      <c r="T421" s="38"/>
      <c r="U421" s="39"/>
      <c r="W421" s="39"/>
    </row>
    <row r="422" spans="18:23" ht="14.4" x14ac:dyDescent="0.25">
      <c r="R422" s="37"/>
      <c r="S422" s="37"/>
      <c r="T422" s="38"/>
      <c r="U422" s="39"/>
      <c r="W422" s="39"/>
    </row>
    <row r="423" spans="18:23" ht="14.4" x14ac:dyDescent="0.25">
      <c r="R423" s="37"/>
      <c r="S423" s="37"/>
      <c r="T423" s="38"/>
      <c r="U423" s="39"/>
      <c r="W423" s="39"/>
    </row>
    <row r="424" spans="18:23" ht="14.4" x14ac:dyDescent="0.25">
      <c r="R424" s="37"/>
      <c r="S424" s="37"/>
      <c r="T424" s="38"/>
      <c r="U424" s="39"/>
      <c r="W424" s="39"/>
    </row>
    <row r="425" spans="18:23" ht="14.4" x14ac:dyDescent="0.25">
      <c r="R425" s="37"/>
      <c r="S425" s="37"/>
      <c r="T425" s="38"/>
      <c r="U425" s="39"/>
      <c r="W425" s="39"/>
    </row>
    <row r="426" spans="18:23" ht="14.4" x14ac:dyDescent="0.25">
      <c r="R426" s="37"/>
      <c r="S426" s="37"/>
      <c r="T426" s="38"/>
      <c r="U426" s="39"/>
      <c r="W426" s="39"/>
    </row>
    <row r="427" spans="18:23" ht="14.4" x14ac:dyDescent="0.25">
      <c r="R427" s="37"/>
      <c r="S427" s="37"/>
      <c r="T427" s="38"/>
      <c r="U427" s="39"/>
      <c r="W427" s="39"/>
    </row>
    <row r="428" spans="18:23" ht="14.4" x14ac:dyDescent="0.25">
      <c r="R428" s="37"/>
      <c r="S428" s="37"/>
      <c r="T428" s="38"/>
      <c r="U428" s="39"/>
      <c r="W428" s="39"/>
    </row>
    <row r="429" spans="18:23" ht="14.4" x14ac:dyDescent="0.25">
      <c r="R429" s="37"/>
      <c r="S429" s="37"/>
      <c r="T429" s="38"/>
      <c r="U429" s="39"/>
      <c r="W429" s="39"/>
    </row>
    <row r="430" spans="18:23" ht="14.4" x14ac:dyDescent="0.25">
      <c r="R430" s="37"/>
      <c r="S430" s="37"/>
      <c r="T430" s="38"/>
      <c r="U430" s="39"/>
      <c r="W430" s="39"/>
    </row>
    <row r="431" spans="18:23" ht="14.4" x14ac:dyDescent="0.25">
      <c r="R431" s="37"/>
      <c r="S431" s="37"/>
      <c r="T431" s="38"/>
      <c r="U431" s="39"/>
      <c r="W431" s="39"/>
    </row>
    <row r="432" spans="18:23" ht="14.4" x14ac:dyDescent="0.25">
      <c r="R432" s="37"/>
      <c r="S432" s="37"/>
      <c r="T432" s="38"/>
      <c r="U432" s="39"/>
      <c r="W432" s="39"/>
    </row>
    <row r="433" spans="18:23" ht="14.4" x14ac:dyDescent="0.25">
      <c r="R433" s="37"/>
      <c r="S433" s="37"/>
      <c r="T433" s="38"/>
      <c r="U433" s="39"/>
      <c r="W433" s="39"/>
    </row>
    <row r="434" spans="18:23" ht="14.4" x14ac:dyDescent="0.25">
      <c r="R434" s="37"/>
      <c r="S434" s="37"/>
      <c r="T434" s="38"/>
      <c r="U434" s="39"/>
      <c r="W434" s="39"/>
    </row>
    <row r="435" spans="18:23" ht="14.4" x14ac:dyDescent="0.25">
      <c r="R435" s="37"/>
      <c r="S435" s="37"/>
      <c r="T435" s="38"/>
      <c r="U435" s="39"/>
      <c r="W435" s="39"/>
    </row>
    <row r="436" spans="18:23" ht="14.4" x14ac:dyDescent="0.25">
      <c r="R436" s="37"/>
      <c r="S436" s="37"/>
      <c r="T436" s="38"/>
      <c r="U436" s="39"/>
      <c r="W436" s="39"/>
    </row>
    <row r="437" spans="18:23" ht="14.4" x14ac:dyDescent="0.25">
      <c r="R437" s="37"/>
      <c r="S437" s="37"/>
      <c r="T437" s="38"/>
      <c r="U437" s="39"/>
      <c r="W437" s="39"/>
    </row>
    <row r="438" spans="18:23" ht="14.4" x14ac:dyDescent="0.25">
      <c r="R438" s="37"/>
      <c r="S438" s="37"/>
      <c r="T438" s="38"/>
      <c r="U438" s="39"/>
      <c r="W438" s="39"/>
    </row>
    <row r="439" spans="18:23" ht="14.4" x14ac:dyDescent="0.25">
      <c r="R439" s="37"/>
      <c r="S439" s="37"/>
      <c r="T439" s="38"/>
      <c r="U439" s="39"/>
      <c r="W439" s="39"/>
    </row>
    <row r="440" spans="18:23" ht="14.4" x14ac:dyDescent="0.25">
      <c r="R440" s="37"/>
      <c r="S440" s="37"/>
      <c r="T440" s="38"/>
      <c r="U440" s="39"/>
      <c r="W440" s="39"/>
    </row>
    <row r="441" spans="18:23" ht="14.4" x14ac:dyDescent="0.25">
      <c r="R441" s="37"/>
      <c r="S441" s="37"/>
      <c r="T441" s="38"/>
      <c r="U441" s="39"/>
      <c r="W441" s="39"/>
    </row>
    <row r="442" spans="18:23" ht="14.4" x14ac:dyDescent="0.25">
      <c r="R442" s="37"/>
      <c r="S442" s="37"/>
      <c r="T442" s="38"/>
      <c r="U442" s="39"/>
      <c r="W442" s="39"/>
    </row>
    <row r="443" spans="18:23" ht="14.4" x14ac:dyDescent="0.25">
      <c r="R443" s="37"/>
      <c r="S443" s="37"/>
      <c r="T443" s="38"/>
      <c r="U443" s="39"/>
      <c r="W443" s="39"/>
    </row>
    <row r="444" spans="18:23" ht="14.4" x14ac:dyDescent="0.25">
      <c r="R444" s="37"/>
      <c r="S444" s="37"/>
      <c r="T444" s="38"/>
      <c r="U444" s="39"/>
      <c r="W444" s="39"/>
    </row>
    <row r="445" spans="18:23" ht="14.4" x14ac:dyDescent="0.25">
      <c r="R445" s="37"/>
      <c r="S445" s="37"/>
      <c r="T445" s="38"/>
      <c r="U445" s="39"/>
      <c r="W445" s="39"/>
    </row>
    <row r="446" spans="18:23" ht="14.4" x14ac:dyDescent="0.25">
      <c r="R446" s="37"/>
      <c r="S446" s="37"/>
      <c r="T446" s="38"/>
      <c r="U446" s="39"/>
      <c r="W446" s="39"/>
    </row>
    <row r="447" spans="18:23" ht="14.4" x14ac:dyDescent="0.25">
      <c r="R447" s="37"/>
      <c r="S447" s="37"/>
      <c r="T447" s="38"/>
      <c r="U447" s="39"/>
      <c r="W447" s="39"/>
    </row>
    <row r="448" spans="18:23" ht="14.4" x14ac:dyDescent="0.25">
      <c r="R448" s="37"/>
      <c r="S448" s="37"/>
      <c r="T448" s="38"/>
      <c r="U448" s="39"/>
      <c r="W448" s="39"/>
    </row>
    <row r="449" spans="18:23" ht="14.4" x14ac:dyDescent="0.25">
      <c r="R449" s="37"/>
      <c r="S449" s="37"/>
      <c r="T449" s="38"/>
      <c r="U449" s="39"/>
      <c r="W449" s="39"/>
    </row>
    <row r="450" spans="18:23" ht="14.4" x14ac:dyDescent="0.25">
      <c r="R450" s="37"/>
      <c r="S450" s="37"/>
      <c r="T450" s="38"/>
      <c r="U450" s="39"/>
      <c r="W450" s="39"/>
    </row>
    <row r="451" spans="18:23" ht="14.4" x14ac:dyDescent="0.25">
      <c r="R451" s="37"/>
      <c r="S451" s="37"/>
      <c r="T451" s="38"/>
      <c r="U451" s="39"/>
      <c r="W451" s="39"/>
    </row>
    <row r="452" spans="18:23" ht="14.4" x14ac:dyDescent="0.25">
      <c r="R452" s="37"/>
      <c r="S452" s="37"/>
      <c r="T452" s="38"/>
      <c r="U452" s="39"/>
      <c r="W452" s="39"/>
    </row>
    <row r="453" spans="18:23" ht="14.4" x14ac:dyDescent="0.25">
      <c r="R453" s="37"/>
      <c r="S453" s="37"/>
      <c r="T453" s="38"/>
      <c r="U453" s="39"/>
      <c r="W453" s="39"/>
    </row>
    <row r="454" spans="18:23" ht="14.4" x14ac:dyDescent="0.25">
      <c r="R454" s="37"/>
      <c r="S454" s="37"/>
      <c r="T454" s="38"/>
      <c r="U454" s="39"/>
      <c r="W454" s="39"/>
    </row>
    <row r="455" spans="18:23" ht="14.4" x14ac:dyDescent="0.25">
      <c r="R455" s="37"/>
      <c r="S455" s="37"/>
      <c r="T455" s="38"/>
      <c r="U455" s="39"/>
      <c r="W455" s="39"/>
    </row>
    <row r="456" spans="18:23" ht="14.4" x14ac:dyDescent="0.25">
      <c r="R456" s="37"/>
      <c r="S456" s="37"/>
      <c r="T456" s="38"/>
      <c r="U456" s="39"/>
      <c r="W456" s="39"/>
    </row>
    <row r="457" spans="18:23" ht="14.4" x14ac:dyDescent="0.25">
      <c r="R457" s="37"/>
      <c r="S457" s="37"/>
      <c r="T457" s="38"/>
      <c r="U457" s="39"/>
      <c r="W457" s="39"/>
    </row>
    <row r="458" spans="18:23" ht="14.4" x14ac:dyDescent="0.25">
      <c r="R458" s="37"/>
      <c r="S458" s="37"/>
      <c r="T458" s="38"/>
      <c r="U458" s="39"/>
      <c r="W458" s="39"/>
    </row>
    <row r="459" spans="18:23" ht="14.4" x14ac:dyDescent="0.25">
      <c r="R459" s="37"/>
      <c r="S459" s="37"/>
      <c r="T459" s="38"/>
      <c r="U459" s="39"/>
      <c r="W459" s="39"/>
    </row>
    <row r="460" spans="18:23" ht="14.4" x14ac:dyDescent="0.25">
      <c r="R460" s="37"/>
      <c r="S460" s="37"/>
      <c r="T460" s="38"/>
      <c r="U460" s="39"/>
      <c r="W460" s="39"/>
    </row>
    <row r="461" spans="18:23" ht="14.4" x14ac:dyDescent="0.25">
      <c r="R461" s="37"/>
      <c r="S461" s="37"/>
      <c r="T461" s="38"/>
      <c r="U461" s="39"/>
      <c r="W461" s="39"/>
    </row>
    <row r="462" spans="18:23" ht="14.4" x14ac:dyDescent="0.25">
      <c r="R462" s="37"/>
      <c r="S462" s="37"/>
      <c r="T462" s="38"/>
      <c r="U462" s="39"/>
      <c r="W462" s="39"/>
    </row>
    <row r="463" spans="18:23" ht="14.4" x14ac:dyDescent="0.25">
      <c r="R463" s="37"/>
      <c r="S463" s="37"/>
      <c r="T463" s="38"/>
      <c r="U463" s="39"/>
      <c r="W463" s="39"/>
    </row>
    <row r="464" spans="18:23" ht="14.4" x14ac:dyDescent="0.25">
      <c r="R464" s="37"/>
      <c r="S464" s="37"/>
      <c r="T464" s="38"/>
      <c r="U464" s="39"/>
      <c r="W464" s="39"/>
    </row>
    <row r="465" spans="18:23" ht="14.4" x14ac:dyDescent="0.25">
      <c r="R465" s="37"/>
      <c r="S465" s="37"/>
      <c r="T465" s="38"/>
      <c r="U465" s="39"/>
      <c r="W465" s="39"/>
    </row>
    <row r="466" spans="18:23" ht="14.4" x14ac:dyDescent="0.25">
      <c r="R466" s="37"/>
      <c r="S466" s="37"/>
      <c r="T466" s="38"/>
      <c r="U466" s="39"/>
      <c r="W466" s="39"/>
    </row>
    <row r="467" spans="18:23" ht="14.4" x14ac:dyDescent="0.25">
      <c r="R467" s="37"/>
      <c r="S467" s="37"/>
      <c r="T467" s="38"/>
      <c r="U467" s="39"/>
      <c r="W467" s="39"/>
    </row>
    <row r="468" spans="18:23" ht="14.4" x14ac:dyDescent="0.25">
      <c r="R468" s="37"/>
      <c r="S468" s="37"/>
      <c r="T468" s="38"/>
      <c r="U468" s="39"/>
      <c r="W468" s="39"/>
    </row>
    <row r="469" spans="18:23" ht="14.4" x14ac:dyDescent="0.25">
      <c r="R469" s="37"/>
      <c r="S469" s="37"/>
      <c r="T469" s="38"/>
      <c r="U469" s="39"/>
      <c r="W469" s="39"/>
    </row>
    <row r="470" spans="18:23" ht="14.4" x14ac:dyDescent="0.25">
      <c r="R470" s="37"/>
      <c r="S470" s="37"/>
      <c r="T470" s="38"/>
      <c r="U470" s="39"/>
      <c r="W470" s="39"/>
    </row>
    <row r="471" spans="18:23" ht="14.4" x14ac:dyDescent="0.25">
      <c r="R471" s="37"/>
      <c r="S471" s="37"/>
      <c r="T471" s="38"/>
      <c r="U471" s="39"/>
      <c r="W471" s="39"/>
    </row>
    <row r="472" spans="18:23" ht="14.4" x14ac:dyDescent="0.25">
      <c r="R472" s="37"/>
      <c r="S472" s="37"/>
      <c r="T472" s="38"/>
      <c r="U472" s="39"/>
      <c r="W472" s="39"/>
    </row>
    <row r="473" spans="18:23" ht="14.4" x14ac:dyDescent="0.25">
      <c r="R473" s="37"/>
      <c r="S473" s="37"/>
      <c r="T473" s="38"/>
      <c r="U473" s="39"/>
      <c r="W473" s="39"/>
    </row>
    <row r="474" spans="18:23" ht="14.4" x14ac:dyDescent="0.25">
      <c r="R474" s="37"/>
      <c r="S474" s="37"/>
      <c r="T474" s="38"/>
      <c r="U474" s="39"/>
      <c r="W474" s="39"/>
    </row>
    <row r="475" spans="18:23" ht="14.4" x14ac:dyDescent="0.25">
      <c r="R475" s="37"/>
      <c r="S475" s="37"/>
      <c r="T475" s="38"/>
      <c r="U475" s="39"/>
      <c r="W475" s="39"/>
    </row>
    <row r="476" spans="18:23" ht="14.4" x14ac:dyDescent="0.25">
      <c r="R476" s="37"/>
      <c r="S476" s="37"/>
      <c r="T476" s="38"/>
      <c r="U476" s="39"/>
      <c r="W476" s="39"/>
    </row>
    <row r="477" spans="18:23" ht="14.4" x14ac:dyDescent="0.25">
      <c r="R477" s="37"/>
      <c r="S477" s="37"/>
      <c r="T477" s="38"/>
      <c r="U477" s="39"/>
      <c r="W477" s="39"/>
    </row>
    <row r="478" spans="18:23" ht="14.4" x14ac:dyDescent="0.25">
      <c r="R478" s="37"/>
      <c r="S478" s="37"/>
      <c r="T478" s="38"/>
      <c r="U478" s="39"/>
      <c r="W478" s="39"/>
    </row>
    <row r="479" spans="18:23" ht="14.4" x14ac:dyDescent="0.25">
      <c r="R479" s="37"/>
      <c r="S479" s="37"/>
      <c r="T479" s="38"/>
      <c r="U479" s="39"/>
      <c r="W479" s="39"/>
    </row>
    <row r="480" spans="18:23" ht="14.4" x14ac:dyDescent="0.25">
      <c r="R480" s="37"/>
      <c r="S480" s="37"/>
      <c r="T480" s="38"/>
      <c r="U480" s="39"/>
      <c r="W480" s="39"/>
    </row>
    <row r="481" spans="18:23" ht="14.4" x14ac:dyDescent="0.25">
      <c r="R481" s="37"/>
      <c r="S481" s="37"/>
      <c r="T481" s="38"/>
      <c r="U481" s="39"/>
      <c r="W481" s="39"/>
    </row>
    <row r="482" spans="18:23" ht="14.4" x14ac:dyDescent="0.25">
      <c r="R482" s="37"/>
      <c r="S482" s="37"/>
      <c r="T482" s="38"/>
      <c r="U482" s="39"/>
      <c r="W482" s="39"/>
    </row>
    <row r="483" spans="18:23" ht="14.4" x14ac:dyDescent="0.25">
      <c r="R483" s="37"/>
      <c r="S483" s="37"/>
      <c r="T483" s="38"/>
      <c r="U483" s="39"/>
      <c r="W483" s="39"/>
    </row>
    <row r="484" spans="18:23" ht="14.4" x14ac:dyDescent="0.25">
      <c r="R484" s="37"/>
      <c r="S484" s="37"/>
      <c r="T484" s="38"/>
      <c r="U484" s="39"/>
      <c r="W484" s="39"/>
    </row>
    <row r="485" spans="18:23" ht="14.4" x14ac:dyDescent="0.25">
      <c r="R485" s="37"/>
      <c r="S485" s="37"/>
      <c r="T485" s="38"/>
      <c r="U485" s="39"/>
      <c r="W485" s="39"/>
    </row>
    <row r="486" spans="18:23" ht="14.4" x14ac:dyDescent="0.25">
      <c r="R486" s="37"/>
      <c r="S486" s="37"/>
      <c r="T486" s="38"/>
      <c r="U486" s="39"/>
      <c r="W486" s="39"/>
    </row>
    <row r="487" spans="18:23" ht="14.4" x14ac:dyDescent="0.25">
      <c r="R487" s="37"/>
      <c r="S487" s="37"/>
      <c r="T487" s="38"/>
      <c r="U487" s="39"/>
      <c r="W487" s="39"/>
    </row>
    <row r="488" spans="18:23" ht="14.4" x14ac:dyDescent="0.25">
      <c r="R488" s="37"/>
      <c r="S488" s="37"/>
      <c r="T488" s="38"/>
      <c r="U488" s="39"/>
      <c r="W488" s="39"/>
    </row>
    <row r="489" spans="18:23" ht="14.4" x14ac:dyDescent="0.25">
      <c r="R489" s="37"/>
      <c r="S489" s="37"/>
      <c r="T489" s="38"/>
      <c r="U489" s="39"/>
      <c r="W489" s="39"/>
    </row>
    <row r="490" spans="18:23" ht="14.4" x14ac:dyDescent="0.25">
      <c r="R490" s="37"/>
      <c r="S490" s="37"/>
      <c r="T490" s="38"/>
      <c r="U490" s="39"/>
      <c r="W490" s="39"/>
    </row>
    <row r="491" spans="18:23" ht="14.4" x14ac:dyDescent="0.25">
      <c r="R491" s="37"/>
      <c r="S491" s="37"/>
      <c r="T491" s="38"/>
      <c r="U491" s="39"/>
      <c r="W491" s="39"/>
    </row>
    <row r="492" spans="18:23" ht="14.4" x14ac:dyDescent="0.25">
      <c r="R492" s="37"/>
      <c r="S492" s="37"/>
      <c r="T492" s="38"/>
      <c r="U492" s="39"/>
      <c r="W492" s="39"/>
    </row>
    <row r="493" spans="18:23" ht="14.4" x14ac:dyDescent="0.25">
      <c r="R493" s="37"/>
      <c r="S493" s="37"/>
      <c r="T493" s="38"/>
      <c r="U493" s="39"/>
      <c r="W493" s="39"/>
    </row>
    <row r="494" spans="18:23" ht="14.4" x14ac:dyDescent="0.25">
      <c r="R494" s="37"/>
      <c r="S494" s="37"/>
      <c r="T494" s="38"/>
      <c r="U494" s="39"/>
      <c r="W494" s="39"/>
    </row>
    <row r="495" spans="18:23" ht="14.4" x14ac:dyDescent="0.25">
      <c r="R495" s="37"/>
      <c r="S495" s="37"/>
      <c r="T495" s="38"/>
      <c r="U495" s="39"/>
      <c r="W495" s="39"/>
    </row>
    <row r="496" spans="18:23" ht="14.4" x14ac:dyDescent="0.25">
      <c r="R496" s="37"/>
      <c r="S496" s="37"/>
      <c r="T496" s="38"/>
      <c r="U496" s="39"/>
      <c r="W496" s="39"/>
    </row>
    <row r="497" spans="18:23" ht="14.4" x14ac:dyDescent="0.25">
      <c r="R497" s="37"/>
      <c r="S497" s="37"/>
      <c r="T497" s="38"/>
      <c r="U497" s="39"/>
      <c r="W497" s="39"/>
    </row>
    <row r="498" spans="18:23" ht="14.4" x14ac:dyDescent="0.25">
      <c r="R498" s="37"/>
      <c r="S498" s="37"/>
      <c r="T498" s="38"/>
      <c r="U498" s="39"/>
      <c r="W498" s="39"/>
    </row>
    <row r="499" spans="18:23" ht="14.4" x14ac:dyDescent="0.25">
      <c r="R499" s="37"/>
      <c r="S499" s="37"/>
      <c r="T499" s="38"/>
      <c r="U499" s="39"/>
      <c r="W499" s="39"/>
    </row>
    <row r="500" spans="18:23" ht="14.4" x14ac:dyDescent="0.25">
      <c r="R500" s="37"/>
      <c r="S500" s="37"/>
      <c r="T500" s="38"/>
      <c r="U500" s="39"/>
      <c r="W500" s="39"/>
    </row>
    <row r="501" spans="18:23" ht="14.4" x14ac:dyDescent="0.25">
      <c r="R501" s="37"/>
      <c r="S501" s="37"/>
      <c r="T501" s="38"/>
      <c r="U501" s="39"/>
      <c r="W501" s="39"/>
    </row>
    <row r="502" spans="18:23" ht="14.4" x14ac:dyDescent="0.25">
      <c r="R502" s="37"/>
      <c r="S502" s="37"/>
      <c r="T502" s="38"/>
      <c r="U502" s="39"/>
      <c r="W502" s="39"/>
    </row>
    <row r="503" spans="18:23" ht="14.4" x14ac:dyDescent="0.25">
      <c r="R503" s="37"/>
      <c r="S503" s="37"/>
      <c r="T503" s="38"/>
      <c r="U503" s="39"/>
      <c r="W503" s="39"/>
    </row>
    <row r="504" spans="18:23" ht="14.4" x14ac:dyDescent="0.25">
      <c r="R504" s="37"/>
      <c r="S504" s="37"/>
      <c r="T504" s="38"/>
      <c r="U504" s="39"/>
      <c r="W504" s="39"/>
    </row>
    <row r="505" spans="18:23" ht="14.4" x14ac:dyDescent="0.25">
      <c r="R505" s="37"/>
      <c r="S505" s="37"/>
      <c r="T505" s="38"/>
      <c r="U505" s="39"/>
      <c r="W505" s="39"/>
    </row>
    <row r="506" spans="18:23" ht="14.4" x14ac:dyDescent="0.25">
      <c r="R506" s="37"/>
      <c r="S506" s="37"/>
      <c r="T506" s="38"/>
      <c r="U506" s="39"/>
      <c r="W506" s="39"/>
    </row>
    <row r="507" spans="18:23" ht="14.4" x14ac:dyDescent="0.25">
      <c r="R507" s="37"/>
      <c r="S507" s="37"/>
      <c r="T507" s="38"/>
      <c r="U507" s="39"/>
      <c r="W507" s="39"/>
    </row>
    <row r="508" spans="18:23" ht="14.4" x14ac:dyDescent="0.25">
      <c r="R508" s="37"/>
      <c r="S508" s="37"/>
      <c r="T508" s="38"/>
      <c r="U508" s="39"/>
      <c r="W508" s="39"/>
    </row>
    <row r="509" spans="18:23" ht="14.4" x14ac:dyDescent="0.25">
      <c r="R509" s="37"/>
      <c r="S509" s="37"/>
      <c r="T509" s="38"/>
      <c r="U509" s="39"/>
      <c r="W509" s="39"/>
    </row>
    <row r="510" spans="18:23" ht="14.4" x14ac:dyDescent="0.25">
      <c r="R510" s="37"/>
      <c r="S510" s="37"/>
      <c r="T510" s="38"/>
      <c r="U510" s="39"/>
      <c r="W510" s="39"/>
    </row>
    <row r="511" spans="18:23" ht="14.4" x14ac:dyDescent="0.25">
      <c r="R511" s="37"/>
      <c r="S511" s="37"/>
      <c r="T511" s="38"/>
      <c r="U511" s="39"/>
      <c r="W511" s="39"/>
    </row>
    <row r="512" spans="18:23" ht="14.4" x14ac:dyDescent="0.25">
      <c r="R512" s="37"/>
      <c r="S512" s="37"/>
      <c r="T512" s="38"/>
      <c r="U512" s="39"/>
      <c r="W512" s="39"/>
    </row>
    <row r="513" spans="18:23" ht="14.4" x14ac:dyDescent="0.25">
      <c r="R513" s="37"/>
      <c r="S513" s="37"/>
      <c r="T513" s="38"/>
      <c r="U513" s="39"/>
      <c r="W513" s="39"/>
    </row>
    <row r="514" spans="18:23" ht="14.4" x14ac:dyDescent="0.25">
      <c r="R514" s="37"/>
      <c r="S514" s="37"/>
      <c r="T514" s="38"/>
      <c r="U514" s="39"/>
      <c r="W514" s="39"/>
    </row>
    <row r="515" spans="18:23" ht="14.4" x14ac:dyDescent="0.25">
      <c r="R515" s="37"/>
      <c r="S515" s="37"/>
      <c r="T515" s="38"/>
      <c r="U515" s="39"/>
      <c r="W515" s="39"/>
    </row>
    <row r="516" spans="18:23" ht="14.4" x14ac:dyDescent="0.25">
      <c r="R516" s="37"/>
      <c r="S516" s="37"/>
      <c r="T516" s="38"/>
      <c r="U516" s="39"/>
      <c r="W516" s="39"/>
    </row>
    <row r="517" spans="18:23" ht="14.4" x14ac:dyDescent="0.25">
      <c r="R517" s="37"/>
      <c r="S517" s="37"/>
      <c r="T517" s="38"/>
      <c r="U517" s="39"/>
      <c r="W517" s="39"/>
    </row>
    <row r="518" spans="18:23" ht="14.4" x14ac:dyDescent="0.25">
      <c r="R518" s="37"/>
      <c r="S518" s="37"/>
      <c r="T518" s="38"/>
      <c r="U518" s="39"/>
      <c r="W518" s="39"/>
    </row>
    <row r="519" spans="18:23" ht="14.4" x14ac:dyDescent="0.25">
      <c r="R519" s="37"/>
      <c r="S519" s="37"/>
      <c r="T519" s="38"/>
      <c r="U519" s="39"/>
      <c r="W519" s="39"/>
    </row>
    <row r="520" spans="18:23" ht="14.4" x14ac:dyDescent="0.25">
      <c r="R520" s="37"/>
      <c r="S520" s="37"/>
      <c r="T520" s="38"/>
      <c r="U520" s="39"/>
      <c r="W520" s="39"/>
    </row>
    <row r="521" spans="18:23" ht="14.4" x14ac:dyDescent="0.25">
      <c r="R521" s="37"/>
      <c r="S521" s="37"/>
      <c r="T521" s="38"/>
      <c r="U521" s="39"/>
      <c r="W521" s="39"/>
    </row>
    <row r="522" spans="18:23" ht="14.4" x14ac:dyDescent="0.25">
      <c r="R522" s="37"/>
      <c r="S522" s="37"/>
      <c r="T522" s="38"/>
      <c r="U522" s="39"/>
      <c r="W522" s="39"/>
    </row>
    <row r="523" spans="18:23" ht="14.4" x14ac:dyDescent="0.25">
      <c r="R523" s="37"/>
      <c r="S523" s="37"/>
      <c r="T523" s="38"/>
      <c r="U523" s="39"/>
      <c r="W523" s="39"/>
    </row>
    <row r="524" spans="18:23" ht="14.4" x14ac:dyDescent="0.25">
      <c r="R524" s="37"/>
      <c r="S524" s="37"/>
      <c r="T524" s="38"/>
      <c r="U524" s="39"/>
      <c r="W524" s="39"/>
    </row>
    <row r="525" spans="18:23" ht="14.4" x14ac:dyDescent="0.25">
      <c r="R525" s="37"/>
      <c r="S525" s="37"/>
      <c r="T525" s="38"/>
      <c r="U525" s="39"/>
      <c r="W525" s="39"/>
    </row>
    <row r="526" spans="18:23" ht="14.4" x14ac:dyDescent="0.25">
      <c r="R526" s="37"/>
      <c r="S526" s="37"/>
      <c r="T526" s="38"/>
      <c r="U526" s="39"/>
      <c r="W526" s="39"/>
    </row>
    <row r="527" spans="18:23" ht="14.4" x14ac:dyDescent="0.25">
      <c r="R527" s="37"/>
      <c r="S527" s="37"/>
      <c r="T527" s="38"/>
      <c r="U527" s="39"/>
      <c r="W527" s="39"/>
    </row>
    <row r="528" spans="18:23" ht="14.4" x14ac:dyDescent="0.25">
      <c r="R528" s="37"/>
      <c r="S528" s="37"/>
      <c r="T528" s="38"/>
      <c r="U528" s="39"/>
      <c r="W528" s="39"/>
    </row>
    <row r="529" spans="18:23" ht="14.4" x14ac:dyDescent="0.25">
      <c r="R529" s="37"/>
      <c r="S529" s="37"/>
      <c r="T529" s="38"/>
      <c r="U529" s="39"/>
      <c r="W529" s="39"/>
    </row>
    <row r="530" spans="18:23" ht="14.4" x14ac:dyDescent="0.25">
      <c r="R530" s="37"/>
      <c r="S530" s="37"/>
      <c r="T530" s="38"/>
      <c r="U530" s="39"/>
      <c r="W530" s="39"/>
    </row>
    <row r="531" spans="18:23" ht="14.4" x14ac:dyDescent="0.25">
      <c r="R531" s="37"/>
      <c r="S531" s="37"/>
      <c r="T531" s="38"/>
      <c r="U531" s="39"/>
      <c r="W531" s="39"/>
    </row>
    <row r="532" spans="18:23" ht="14.4" x14ac:dyDescent="0.25">
      <c r="R532" s="37"/>
      <c r="S532" s="37"/>
      <c r="T532" s="38"/>
      <c r="U532" s="39"/>
      <c r="W532" s="39"/>
    </row>
    <row r="533" spans="18:23" ht="14.4" x14ac:dyDescent="0.25">
      <c r="R533" s="37"/>
      <c r="S533" s="37"/>
      <c r="T533" s="38"/>
      <c r="U533" s="39"/>
      <c r="W533" s="39"/>
    </row>
    <row r="534" spans="18:23" ht="14.4" x14ac:dyDescent="0.25">
      <c r="R534" s="37"/>
      <c r="S534" s="37"/>
      <c r="T534" s="38"/>
      <c r="U534" s="39"/>
      <c r="W534" s="39"/>
    </row>
    <row r="535" spans="18:23" ht="14.4" x14ac:dyDescent="0.25">
      <c r="R535" s="37"/>
      <c r="S535" s="37"/>
      <c r="T535" s="38"/>
      <c r="U535" s="39"/>
      <c r="W535" s="39"/>
    </row>
    <row r="536" spans="18:23" ht="14.4" x14ac:dyDescent="0.25">
      <c r="R536" s="37"/>
      <c r="S536" s="37"/>
      <c r="T536" s="38"/>
      <c r="U536" s="39"/>
      <c r="W536" s="39"/>
    </row>
    <row r="537" spans="18:23" ht="14.4" x14ac:dyDescent="0.25">
      <c r="R537" s="37"/>
      <c r="S537" s="37"/>
      <c r="T537" s="38"/>
      <c r="U537" s="39"/>
      <c r="W537" s="39"/>
    </row>
    <row r="538" spans="18:23" ht="14.4" x14ac:dyDescent="0.25">
      <c r="R538" s="37"/>
      <c r="S538" s="37"/>
      <c r="T538" s="38"/>
      <c r="U538" s="39"/>
      <c r="W538" s="39"/>
    </row>
    <row r="539" spans="18:23" ht="14.4" x14ac:dyDescent="0.25">
      <c r="R539" s="37"/>
      <c r="S539" s="37"/>
      <c r="T539" s="38"/>
      <c r="U539" s="39"/>
      <c r="W539" s="39"/>
    </row>
    <row r="540" spans="18:23" ht="14.4" x14ac:dyDescent="0.25">
      <c r="R540" s="37"/>
      <c r="S540" s="37"/>
      <c r="T540" s="38"/>
      <c r="U540" s="39"/>
      <c r="W540" s="39"/>
    </row>
    <row r="541" spans="18:23" ht="14.4" x14ac:dyDescent="0.25">
      <c r="R541" s="37"/>
      <c r="S541" s="37"/>
      <c r="T541" s="38"/>
      <c r="U541" s="39"/>
      <c r="W541" s="39"/>
    </row>
    <row r="542" spans="18:23" ht="14.4" x14ac:dyDescent="0.25">
      <c r="R542" s="37"/>
      <c r="S542" s="37"/>
      <c r="T542" s="38"/>
      <c r="U542" s="39"/>
      <c r="W542" s="39"/>
    </row>
    <row r="543" spans="18:23" ht="14.4" x14ac:dyDescent="0.25">
      <c r="R543" s="37"/>
      <c r="S543" s="37"/>
      <c r="T543" s="38"/>
      <c r="U543" s="39"/>
      <c r="W543" s="39"/>
    </row>
    <row r="544" spans="18:23" ht="14.4" x14ac:dyDescent="0.25">
      <c r="R544" s="37"/>
      <c r="S544" s="37"/>
      <c r="T544" s="38"/>
      <c r="U544" s="39"/>
      <c r="W544" s="39"/>
    </row>
    <row r="545" spans="18:23" ht="14.4" x14ac:dyDescent="0.25">
      <c r="R545" s="37"/>
      <c r="S545" s="37"/>
      <c r="T545" s="38"/>
      <c r="U545" s="39"/>
      <c r="W545" s="39"/>
    </row>
    <row r="546" spans="18:23" ht="14.4" x14ac:dyDescent="0.25">
      <c r="R546" s="37"/>
      <c r="S546" s="37"/>
      <c r="T546" s="38"/>
      <c r="U546" s="39"/>
      <c r="W546" s="39"/>
    </row>
    <row r="547" spans="18:23" ht="14.4" x14ac:dyDescent="0.25">
      <c r="R547" s="37"/>
      <c r="S547" s="37"/>
      <c r="T547" s="38"/>
      <c r="U547" s="39"/>
      <c r="W547" s="39"/>
    </row>
    <row r="548" spans="18:23" ht="14.4" x14ac:dyDescent="0.25">
      <c r="R548" s="37"/>
      <c r="S548" s="37"/>
      <c r="T548" s="38"/>
      <c r="U548" s="39"/>
      <c r="W548" s="39"/>
    </row>
    <row r="549" spans="18:23" ht="14.4" x14ac:dyDescent="0.25">
      <c r="R549" s="37"/>
      <c r="S549" s="37"/>
      <c r="T549" s="38"/>
      <c r="U549" s="39"/>
      <c r="W549" s="39"/>
    </row>
    <row r="550" spans="18:23" ht="14.4" x14ac:dyDescent="0.25">
      <c r="R550" s="37"/>
      <c r="S550" s="37"/>
      <c r="T550" s="38"/>
      <c r="U550" s="39"/>
      <c r="W550" s="39"/>
    </row>
    <row r="551" spans="18:23" ht="14.4" x14ac:dyDescent="0.25">
      <c r="R551" s="37"/>
      <c r="S551" s="37"/>
      <c r="T551" s="38"/>
      <c r="U551" s="39"/>
      <c r="W551" s="39"/>
    </row>
    <row r="552" spans="18:23" ht="14.4" x14ac:dyDescent="0.25">
      <c r="R552" s="37"/>
      <c r="S552" s="37"/>
      <c r="T552" s="38"/>
      <c r="U552" s="39"/>
      <c r="W552" s="39"/>
    </row>
    <row r="553" spans="18:23" ht="14.4" x14ac:dyDescent="0.25">
      <c r="R553" s="37"/>
      <c r="S553" s="37"/>
      <c r="T553" s="38"/>
      <c r="U553" s="39"/>
      <c r="W553" s="39"/>
    </row>
    <row r="554" spans="18:23" ht="14.4" x14ac:dyDescent="0.25">
      <c r="R554" s="37"/>
      <c r="S554" s="37"/>
      <c r="T554" s="38"/>
      <c r="U554" s="39"/>
      <c r="W554" s="39"/>
    </row>
    <row r="555" spans="18:23" ht="14.4" x14ac:dyDescent="0.25">
      <c r="R555" s="37"/>
      <c r="S555" s="37"/>
      <c r="T555" s="38"/>
      <c r="U555" s="39"/>
      <c r="W555" s="39"/>
    </row>
    <row r="556" spans="18:23" ht="14.4" x14ac:dyDescent="0.25">
      <c r="R556" s="37"/>
      <c r="S556" s="37"/>
      <c r="T556" s="38"/>
      <c r="U556" s="39"/>
      <c r="W556" s="39"/>
    </row>
    <row r="557" spans="18:23" ht="14.4" x14ac:dyDescent="0.25">
      <c r="R557" s="37"/>
      <c r="S557" s="37"/>
      <c r="T557" s="38"/>
      <c r="U557" s="39"/>
      <c r="W557" s="39"/>
    </row>
    <row r="558" spans="18:23" ht="14.4" x14ac:dyDescent="0.25">
      <c r="R558" s="37"/>
      <c r="S558" s="37"/>
      <c r="T558" s="38"/>
      <c r="U558" s="39"/>
      <c r="W558" s="39"/>
    </row>
    <row r="559" spans="18:23" ht="14.4" x14ac:dyDescent="0.25">
      <c r="R559" s="37"/>
      <c r="S559" s="37"/>
      <c r="T559" s="38"/>
      <c r="U559" s="39"/>
      <c r="W559" s="39"/>
    </row>
    <row r="560" spans="18:23" ht="14.4" x14ac:dyDescent="0.25">
      <c r="R560" s="37"/>
      <c r="S560" s="37"/>
      <c r="T560" s="38"/>
      <c r="U560" s="39"/>
      <c r="W560" s="39"/>
    </row>
    <row r="561" spans="18:23" ht="14.4" x14ac:dyDescent="0.25">
      <c r="R561" s="37"/>
      <c r="S561" s="37"/>
      <c r="T561" s="38"/>
      <c r="U561" s="39"/>
      <c r="W561" s="39"/>
    </row>
    <row r="562" spans="18:23" ht="14.4" x14ac:dyDescent="0.25">
      <c r="R562" s="37"/>
      <c r="S562" s="37"/>
      <c r="T562" s="38"/>
      <c r="U562" s="39"/>
      <c r="W562" s="39"/>
    </row>
    <row r="563" spans="18:23" ht="14.4" x14ac:dyDescent="0.25">
      <c r="R563" s="37"/>
      <c r="S563" s="37"/>
      <c r="T563" s="38"/>
      <c r="U563" s="39"/>
      <c r="W563" s="39"/>
    </row>
    <row r="564" spans="18:23" ht="14.4" x14ac:dyDescent="0.25">
      <c r="R564" s="37"/>
      <c r="S564" s="37"/>
      <c r="T564" s="38"/>
      <c r="U564" s="39"/>
      <c r="W564" s="39"/>
    </row>
    <row r="565" spans="18:23" ht="14.4" x14ac:dyDescent="0.25">
      <c r="R565" s="37"/>
      <c r="S565" s="37"/>
      <c r="T565" s="38"/>
      <c r="U565" s="39"/>
      <c r="W565" s="39"/>
    </row>
    <row r="566" spans="18:23" ht="14.4" x14ac:dyDescent="0.25">
      <c r="R566" s="37"/>
      <c r="S566" s="37"/>
      <c r="T566" s="38"/>
      <c r="U566" s="39"/>
      <c r="W566" s="39"/>
    </row>
    <row r="567" spans="18:23" ht="14.4" x14ac:dyDescent="0.25">
      <c r="R567" s="37"/>
      <c r="S567" s="37"/>
      <c r="T567" s="38"/>
      <c r="U567" s="39"/>
      <c r="W567" s="39"/>
    </row>
    <row r="568" spans="18:23" ht="14.4" x14ac:dyDescent="0.25">
      <c r="R568" s="37"/>
      <c r="S568" s="37"/>
      <c r="T568" s="38"/>
      <c r="U568" s="39"/>
      <c r="W568" s="39"/>
    </row>
    <row r="569" spans="18:23" ht="14.4" x14ac:dyDescent="0.25">
      <c r="R569" s="37"/>
      <c r="S569" s="37"/>
      <c r="T569" s="38"/>
      <c r="U569" s="39"/>
      <c r="W569" s="39"/>
    </row>
    <row r="570" spans="18:23" ht="14.4" x14ac:dyDescent="0.25">
      <c r="R570" s="37"/>
      <c r="S570" s="37"/>
      <c r="T570" s="38"/>
      <c r="U570" s="39"/>
      <c r="W570" s="39"/>
    </row>
    <row r="571" spans="18:23" ht="14.4" x14ac:dyDescent="0.25">
      <c r="R571" s="37"/>
      <c r="S571" s="37"/>
      <c r="T571" s="38"/>
      <c r="U571" s="39"/>
      <c r="W571" s="39"/>
    </row>
    <row r="572" spans="18:23" ht="14.4" x14ac:dyDescent="0.25">
      <c r="R572" s="37"/>
      <c r="S572" s="37"/>
      <c r="T572" s="38"/>
      <c r="U572" s="39"/>
      <c r="W572" s="39"/>
    </row>
    <row r="573" spans="18:23" ht="14.4" x14ac:dyDescent="0.25">
      <c r="R573" s="37"/>
      <c r="S573" s="37"/>
      <c r="T573" s="38"/>
      <c r="U573" s="39"/>
      <c r="W573" s="39"/>
    </row>
    <row r="574" spans="18:23" ht="14.4" x14ac:dyDescent="0.25">
      <c r="R574" s="37"/>
      <c r="S574" s="37"/>
      <c r="T574" s="38"/>
      <c r="U574" s="39"/>
      <c r="W574" s="39"/>
    </row>
    <row r="575" spans="18:23" ht="14.4" x14ac:dyDescent="0.25">
      <c r="R575" s="37"/>
      <c r="S575" s="37"/>
      <c r="T575" s="38"/>
      <c r="U575" s="39"/>
      <c r="W575" s="39"/>
    </row>
    <row r="576" spans="18:23" ht="14.4" x14ac:dyDescent="0.25">
      <c r="R576" s="37"/>
      <c r="S576" s="37"/>
      <c r="T576" s="38"/>
      <c r="U576" s="39"/>
      <c r="W576" s="39"/>
    </row>
    <row r="577" spans="18:23" ht="14.4" x14ac:dyDescent="0.25">
      <c r="R577" s="37"/>
      <c r="S577" s="37"/>
      <c r="T577" s="38"/>
      <c r="U577" s="39"/>
      <c r="W577" s="39"/>
    </row>
    <row r="578" spans="18:23" ht="14.4" x14ac:dyDescent="0.25">
      <c r="R578" s="37"/>
      <c r="S578" s="37"/>
      <c r="T578" s="38"/>
      <c r="U578" s="39"/>
      <c r="W578" s="39"/>
    </row>
    <row r="579" spans="18:23" ht="14.4" x14ac:dyDescent="0.25">
      <c r="R579" s="37"/>
      <c r="S579" s="37"/>
      <c r="T579" s="38"/>
      <c r="U579" s="39"/>
      <c r="W579" s="39"/>
    </row>
    <row r="580" spans="18:23" ht="14.4" x14ac:dyDescent="0.25">
      <c r="R580" s="37"/>
      <c r="S580" s="37"/>
      <c r="T580" s="38"/>
      <c r="U580" s="39"/>
      <c r="W580" s="39"/>
    </row>
    <row r="581" spans="18:23" ht="14.4" x14ac:dyDescent="0.25">
      <c r="R581" s="37"/>
      <c r="S581" s="37"/>
      <c r="T581" s="38"/>
      <c r="U581" s="39"/>
      <c r="W581" s="39"/>
    </row>
    <row r="582" spans="18:23" ht="14.4" x14ac:dyDescent="0.25">
      <c r="R582" s="37"/>
      <c r="S582" s="37"/>
      <c r="T582" s="38"/>
      <c r="U582" s="39"/>
      <c r="W582" s="39"/>
    </row>
    <row r="583" spans="18:23" ht="14.4" x14ac:dyDescent="0.25">
      <c r="R583" s="37"/>
      <c r="S583" s="37"/>
      <c r="T583" s="38"/>
      <c r="U583" s="39"/>
      <c r="W583" s="39"/>
    </row>
    <row r="584" spans="18:23" ht="14.4" x14ac:dyDescent="0.25">
      <c r="R584" s="37"/>
      <c r="S584" s="37"/>
      <c r="T584" s="38"/>
      <c r="U584" s="39"/>
      <c r="W584" s="39"/>
    </row>
    <row r="585" spans="18:23" ht="14.4" x14ac:dyDescent="0.25">
      <c r="R585" s="37"/>
      <c r="S585" s="37"/>
      <c r="T585" s="38"/>
      <c r="U585" s="39"/>
      <c r="W585" s="39"/>
    </row>
    <row r="586" spans="18:23" ht="14.4" x14ac:dyDescent="0.25">
      <c r="R586" s="37"/>
      <c r="S586" s="37"/>
      <c r="T586" s="38"/>
      <c r="U586" s="39"/>
      <c r="W586" s="39"/>
    </row>
    <row r="587" spans="18:23" ht="14.4" x14ac:dyDescent="0.25">
      <c r="R587" s="37"/>
      <c r="S587" s="37"/>
      <c r="T587" s="38"/>
      <c r="U587" s="39"/>
      <c r="W587" s="39"/>
    </row>
    <row r="588" spans="18:23" ht="14.4" x14ac:dyDescent="0.25">
      <c r="R588" s="37"/>
      <c r="S588" s="37"/>
      <c r="T588" s="38"/>
      <c r="U588" s="39"/>
      <c r="W588" s="39"/>
    </row>
    <row r="589" spans="18:23" ht="14.4" x14ac:dyDescent="0.25">
      <c r="R589" s="37"/>
      <c r="S589" s="37"/>
      <c r="T589" s="38"/>
      <c r="U589" s="39"/>
      <c r="W589" s="39"/>
    </row>
    <row r="590" spans="18:23" ht="14.4" x14ac:dyDescent="0.25">
      <c r="R590" s="37"/>
      <c r="S590" s="37"/>
      <c r="T590" s="38"/>
      <c r="U590" s="39"/>
      <c r="W590" s="39"/>
    </row>
    <row r="591" spans="18:23" ht="14.4" x14ac:dyDescent="0.25">
      <c r="R591" s="37"/>
      <c r="S591" s="37"/>
      <c r="T591" s="38"/>
      <c r="U591" s="39"/>
      <c r="W591" s="39"/>
    </row>
    <row r="592" spans="18:23" ht="14.4" x14ac:dyDescent="0.25">
      <c r="R592" s="37"/>
      <c r="S592" s="37"/>
      <c r="T592" s="38"/>
      <c r="U592" s="39"/>
      <c r="W592" s="39"/>
    </row>
    <row r="593" spans="18:23" ht="14.4" x14ac:dyDescent="0.25">
      <c r="R593" s="37"/>
      <c r="S593" s="37"/>
      <c r="T593" s="38"/>
      <c r="U593" s="39"/>
      <c r="W593" s="39"/>
    </row>
    <row r="594" spans="18:23" ht="14.4" x14ac:dyDescent="0.25">
      <c r="R594" s="37"/>
      <c r="S594" s="37"/>
      <c r="T594" s="38"/>
      <c r="U594" s="39"/>
      <c r="W594" s="39"/>
    </row>
    <row r="595" spans="18:23" ht="14.4" x14ac:dyDescent="0.25">
      <c r="R595" s="37"/>
      <c r="S595" s="37"/>
      <c r="T595" s="38"/>
      <c r="U595" s="39"/>
      <c r="W595" s="39"/>
    </row>
    <row r="596" spans="18:23" ht="14.4" x14ac:dyDescent="0.25">
      <c r="R596" s="37"/>
      <c r="S596" s="37"/>
      <c r="T596" s="38"/>
      <c r="U596" s="39"/>
      <c r="W596" s="39"/>
    </row>
    <row r="597" spans="18:23" ht="14.4" x14ac:dyDescent="0.25">
      <c r="R597" s="37"/>
      <c r="S597" s="37"/>
      <c r="T597" s="38"/>
      <c r="U597" s="39"/>
      <c r="W597" s="39"/>
    </row>
    <row r="598" spans="18:23" ht="14.4" x14ac:dyDescent="0.25">
      <c r="R598" s="37"/>
      <c r="S598" s="37"/>
      <c r="T598" s="38"/>
      <c r="U598" s="39"/>
      <c r="W598" s="39"/>
    </row>
    <row r="599" spans="18:23" ht="14.4" x14ac:dyDescent="0.25">
      <c r="R599" s="37"/>
      <c r="S599" s="37"/>
      <c r="T599" s="38"/>
      <c r="U599" s="39"/>
      <c r="W599" s="39"/>
    </row>
    <row r="600" spans="18:23" ht="14.4" x14ac:dyDescent="0.25">
      <c r="R600" s="37"/>
      <c r="S600" s="37"/>
      <c r="T600" s="38"/>
      <c r="U600" s="39"/>
      <c r="W600" s="39"/>
    </row>
    <row r="601" spans="18:23" ht="14.4" x14ac:dyDescent="0.25">
      <c r="R601" s="37"/>
      <c r="S601" s="37"/>
      <c r="T601" s="38"/>
      <c r="U601" s="39"/>
      <c r="W601" s="39"/>
    </row>
    <row r="602" spans="18:23" ht="14.4" x14ac:dyDescent="0.25">
      <c r="R602" s="37"/>
      <c r="S602" s="37"/>
      <c r="T602" s="38"/>
      <c r="U602" s="39"/>
      <c r="W602" s="39"/>
    </row>
    <row r="603" spans="18:23" ht="14.4" x14ac:dyDescent="0.25">
      <c r="R603" s="37"/>
      <c r="S603" s="37"/>
      <c r="T603" s="38"/>
      <c r="U603" s="39"/>
      <c r="W603" s="39"/>
    </row>
    <row r="604" spans="18:23" ht="14.4" x14ac:dyDescent="0.25">
      <c r="R604" s="37"/>
      <c r="S604" s="37"/>
      <c r="T604" s="38"/>
      <c r="U604" s="39"/>
      <c r="W604" s="39"/>
    </row>
    <row r="605" spans="18:23" ht="14.4" x14ac:dyDescent="0.25">
      <c r="R605" s="37"/>
      <c r="S605" s="37"/>
      <c r="T605" s="38"/>
      <c r="U605" s="39"/>
      <c r="W605" s="39"/>
    </row>
    <row r="606" spans="18:23" ht="14.4" x14ac:dyDescent="0.25">
      <c r="R606" s="37"/>
      <c r="S606" s="37"/>
      <c r="T606" s="38"/>
      <c r="U606" s="39"/>
      <c r="W606" s="39"/>
    </row>
    <row r="607" spans="18:23" ht="14.4" x14ac:dyDescent="0.25">
      <c r="R607" s="37"/>
      <c r="S607" s="37"/>
      <c r="T607" s="38"/>
      <c r="U607" s="39"/>
      <c r="W607" s="39"/>
    </row>
    <row r="608" spans="18:23" ht="14.4" x14ac:dyDescent="0.25">
      <c r="R608" s="37"/>
      <c r="S608" s="37"/>
      <c r="T608" s="38"/>
      <c r="U608" s="39"/>
      <c r="W608" s="39"/>
    </row>
    <row r="609" spans="18:23" ht="14.4" x14ac:dyDescent="0.25">
      <c r="R609" s="37"/>
      <c r="S609" s="37"/>
      <c r="T609" s="38"/>
      <c r="U609" s="39"/>
      <c r="W609" s="39"/>
    </row>
    <row r="610" spans="18:23" ht="14.4" x14ac:dyDescent="0.25">
      <c r="R610" s="37"/>
      <c r="S610" s="37"/>
      <c r="T610" s="38"/>
      <c r="U610" s="39"/>
      <c r="W610" s="39"/>
    </row>
    <row r="611" spans="18:23" ht="14.4" x14ac:dyDescent="0.25">
      <c r="R611" s="37"/>
      <c r="S611" s="37"/>
      <c r="T611" s="38"/>
      <c r="U611" s="39"/>
      <c r="W611" s="39"/>
    </row>
    <row r="612" spans="18:23" ht="14.4" x14ac:dyDescent="0.25">
      <c r="R612" s="37"/>
      <c r="S612" s="37"/>
      <c r="T612" s="38"/>
      <c r="U612" s="39"/>
      <c r="W612" s="39"/>
    </row>
    <row r="613" spans="18:23" ht="14.4" x14ac:dyDescent="0.25">
      <c r="R613" s="37"/>
      <c r="S613" s="37"/>
      <c r="T613" s="38"/>
      <c r="U613" s="39"/>
      <c r="W613" s="39"/>
    </row>
    <row r="614" spans="18:23" ht="14.4" x14ac:dyDescent="0.25">
      <c r="R614" s="37"/>
      <c r="S614" s="37"/>
      <c r="T614" s="38"/>
      <c r="U614" s="39"/>
      <c r="W614" s="39"/>
    </row>
    <row r="615" spans="18:23" ht="14.4" x14ac:dyDescent="0.25">
      <c r="R615" s="37"/>
      <c r="S615" s="37"/>
      <c r="T615" s="38"/>
      <c r="U615" s="39"/>
      <c r="W615" s="39"/>
    </row>
    <row r="616" spans="18:23" ht="14.4" x14ac:dyDescent="0.25">
      <c r="R616" s="37"/>
      <c r="S616" s="37"/>
      <c r="T616" s="38"/>
      <c r="U616" s="39"/>
      <c r="W616" s="39"/>
    </row>
    <row r="617" spans="18:23" ht="14.4" x14ac:dyDescent="0.25">
      <c r="R617" s="37"/>
      <c r="S617" s="37"/>
      <c r="T617" s="38"/>
      <c r="U617" s="39"/>
      <c r="W617" s="39"/>
    </row>
    <row r="618" spans="18:23" ht="14.4" x14ac:dyDescent="0.25">
      <c r="R618" s="37"/>
      <c r="S618" s="37"/>
      <c r="T618" s="38"/>
      <c r="U618" s="39"/>
      <c r="W618" s="39"/>
    </row>
    <row r="619" spans="18:23" ht="14.4" x14ac:dyDescent="0.25">
      <c r="R619" s="37"/>
      <c r="S619" s="37"/>
      <c r="T619" s="38"/>
      <c r="U619" s="39"/>
      <c r="W619" s="39"/>
    </row>
    <row r="620" spans="18:23" ht="14.4" x14ac:dyDescent="0.25">
      <c r="R620" s="37"/>
      <c r="S620" s="37"/>
      <c r="T620" s="38"/>
      <c r="U620" s="39"/>
      <c r="W620" s="39"/>
    </row>
    <row r="621" spans="18:23" ht="14.4" x14ac:dyDescent="0.25">
      <c r="R621" s="37"/>
      <c r="S621" s="37"/>
      <c r="T621" s="38"/>
      <c r="U621" s="39"/>
      <c r="W621" s="39"/>
    </row>
    <row r="622" spans="18:23" ht="14.4" x14ac:dyDescent="0.25">
      <c r="R622" s="37"/>
      <c r="S622" s="37"/>
      <c r="T622" s="38"/>
      <c r="U622" s="39"/>
      <c r="W622" s="39"/>
    </row>
    <row r="623" spans="18:23" ht="14.4" x14ac:dyDescent="0.25">
      <c r="R623" s="37"/>
      <c r="S623" s="37"/>
      <c r="T623" s="38"/>
      <c r="U623" s="39"/>
      <c r="W623" s="39"/>
    </row>
    <row r="624" spans="18:23" ht="14.4" x14ac:dyDescent="0.25">
      <c r="R624" s="37"/>
      <c r="S624" s="37"/>
      <c r="T624" s="38"/>
      <c r="U624" s="39"/>
      <c r="W624" s="39"/>
    </row>
    <row r="625" spans="18:23" ht="14.4" x14ac:dyDescent="0.25">
      <c r="R625" s="37"/>
      <c r="S625" s="37"/>
      <c r="T625" s="38"/>
      <c r="U625" s="39"/>
      <c r="W625" s="39"/>
    </row>
    <row r="626" spans="18:23" ht="14.4" x14ac:dyDescent="0.25">
      <c r="R626" s="37"/>
      <c r="S626" s="37"/>
      <c r="T626" s="38"/>
      <c r="U626" s="39"/>
      <c r="W626" s="39"/>
    </row>
    <row r="627" spans="18:23" ht="14.4" x14ac:dyDescent="0.25">
      <c r="R627" s="37"/>
      <c r="S627" s="37"/>
      <c r="T627" s="38"/>
      <c r="U627" s="39"/>
      <c r="W627" s="39"/>
    </row>
    <row r="628" spans="18:23" ht="14.4" x14ac:dyDescent="0.25">
      <c r="R628" s="37"/>
      <c r="S628" s="37"/>
      <c r="T628" s="38"/>
      <c r="U628" s="39"/>
      <c r="W628" s="39"/>
    </row>
    <row r="629" spans="18:23" ht="14.4" x14ac:dyDescent="0.25">
      <c r="R629" s="37"/>
      <c r="S629" s="37"/>
      <c r="T629" s="38"/>
      <c r="U629" s="39"/>
      <c r="W629" s="39"/>
    </row>
    <row r="630" spans="18:23" ht="14.4" x14ac:dyDescent="0.25">
      <c r="R630" s="37"/>
      <c r="S630" s="37"/>
      <c r="T630" s="38"/>
      <c r="U630" s="39"/>
      <c r="W630" s="39"/>
    </row>
    <row r="631" spans="18:23" ht="14.4" x14ac:dyDescent="0.25">
      <c r="R631" s="37"/>
      <c r="S631" s="37"/>
      <c r="T631" s="38"/>
      <c r="U631" s="39"/>
      <c r="W631" s="39"/>
    </row>
    <row r="632" spans="18:23" ht="14.4" x14ac:dyDescent="0.25">
      <c r="R632" s="37"/>
      <c r="S632" s="37"/>
      <c r="T632" s="38"/>
      <c r="U632" s="39"/>
      <c r="W632" s="39"/>
    </row>
    <row r="633" spans="18:23" ht="14.4" x14ac:dyDescent="0.25">
      <c r="R633" s="37"/>
      <c r="S633" s="37"/>
      <c r="T633" s="38"/>
      <c r="U633" s="39"/>
      <c r="W633" s="39"/>
    </row>
    <row r="634" spans="18:23" ht="14.4" x14ac:dyDescent="0.25">
      <c r="R634" s="37"/>
      <c r="S634" s="37"/>
      <c r="T634" s="38"/>
      <c r="U634" s="39"/>
      <c r="W634" s="39"/>
    </row>
    <row r="635" spans="18:23" ht="14.4" x14ac:dyDescent="0.25">
      <c r="R635" s="37"/>
      <c r="S635" s="37"/>
      <c r="T635" s="38"/>
      <c r="U635" s="39"/>
      <c r="W635" s="39"/>
    </row>
    <row r="636" spans="18:23" ht="14.4" x14ac:dyDescent="0.25">
      <c r="R636" s="37"/>
      <c r="S636" s="37"/>
      <c r="T636" s="38"/>
      <c r="U636" s="39"/>
      <c r="W636" s="39"/>
    </row>
    <row r="637" spans="18:23" ht="14.4" x14ac:dyDescent="0.25">
      <c r="R637" s="37"/>
      <c r="S637" s="37"/>
      <c r="T637" s="38"/>
      <c r="U637" s="39"/>
      <c r="W637" s="39"/>
    </row>
    <row r="638" spans="18:23" ht="14.4" x14ac:dyDescent="0.25">
      <c r="R638" s="37"/>
      <c r="S638" s="37"/>
      <c r="T638" s="38"/>
      <c r="U638" s="39"/>
      <c r="W638" s="39"/>
    </row>
    <row r="639" spans="18:23" ht="14.4" x14ac:dyDescent="0.25">
      <c r="R639" s="37"/>
      <c r="S639" s="37"/>
      <c r="T639" s="38"/>
      <c r="U639" s="39"/>
      <c r="W639" s="39"/>
    </row>
    <row r="640" spans="18:23" ht="14.4" x14ac:dyDescent="0.25">
      <c r="R640" s="37"/>
      <c r="S640" s="37"/>
      <c r="T640" s="38"/>
      <c r="U640" s="39"/>
      <c r="W640" s="39"/>
    </row>
    <row r="641" spans="18:23" ht="14.4" x14ac:dyDescent="0.25">
      <c r="R641" s="37"/>
      <c r="S641" s="37"/>
      <c r="T641" s="38"/>
      <c r="U641" s="39"/>
      <c r="W641" s="39"/>
    </row>
    <row r="642" spans="18:23" ht="14.4" x14ac:dyDescent="0.25">
      <c r="R642" s="37"/>
      <c r="S642" s="37"/>
      <c r="T642" s="38"/>
      <c r="U642" s="39"/>
      <c r="W642" s="39"/>
    </row>
    <row r="643" spans="18:23" ht="14.4" x14ac:dyDescent="0.25">
      <c r="R643" s="37"/>
      <c r="S643" s="37"/>
      <c r="T643" s="38"/>
      <c r="U643" s="39"/>
      <c r="W643" s="39"/>
    </row>
    <row r="644" spans="18:23" ht="14.4" x14ac:dyDescent="0.25">
      <c r="R644" s="37"/>
      <c r="S644" s="37"/>
      <c r="T644" s="38"/>
      <c r="U644" s="39"/>
      <c r="W644" s="39"/>
    </row>
    <row r="645" spans="18:23" ht="14.4" x14ac:dyDescent="0.25">
      <c r="R645" s="37"/>
      <c r="S645" s="37"/>
      <c r="T645" s="38"/>
      <c r="U645" s="39"/>
      <c r="W645" s="39"/>
    </row>
    <row r="646" spans="18:23" ht="14.4" x14ac:dyDescent="0.25">
      <c r="R646" s="37"/>
      <c r="S646" s="37"/>
      <c r="T646" s="38"/>
      <c r="U646" s="39"/>
      <c r="W646" s="39"/>
    </row>
    <row r="647" spans="18:23" ht="14.4" x14ac:dyDescent="0.25">
      <c r="R647" s="37"/>
      <c r="S647" s="37"/>
      <c r="T647" s="38"/>
      <c r="U647" s="39"/>
      <c r="W647" s="39"/>
    </row>
    <row r="648" spans="18:23" ht="14.4" x14ac:dyDescent="0.25">
      <c r="R648" s="37"/>
      <c r="S648" s="37"/>
      <c r="T648" s="38"/>
      <c r="U648" s="39"/>
      <c r="W648" s="39"/>
    </row>
    <row r="649" spans="18:23" ht="14.4" x14ac:dyDescent="0.25">
      <c r="R649" s="37"/>
      <c r="S649" s="37"/>
      <c r="T649" s="38"/>
      <c r="U649" s="39"/>
      <c r="W649" s="39"/>
    </row>
    <row r="650" spans="18:23" ht="14.4" x14ac:dyDescent="0.25">
      <c r="R650" s="37"/>
      <c r="S650" s="37"/>
      <c r="T650" s="38"/>
      <c r="U650" s="39"/>
      <c r="W650" s="39"/>
    </row>
    <row r="651" spans="18:23" ht="14.4" x14ac:dyDescent="0.25">
      <c r="R651" s="37"/>
      <c r="S651" s="37"/>
      <c r="T651" s="38"/>
      <c r="U651" s="39"/>
      <c r="W651" s="39"/>
    </row>
    <row r="652" spans="18:23" ht="14.4" x14ac:dyDescent="0.25">
      <c r="R652" s="37"/>
      <c r="S652" s="37"/>
      <c r="T652" s="38"/>
      <c r="U652" s="39"/>
      <c r="W652" s="39"/>
    </row>
    <row r="653" spans="18:23" ht="14.4" x14ac:dyDescent="0.25">
      <c r="R653" s="37"/>
      <c r="S653" s="37"/>
      <c r="T653" s="38"/>
      <c r="U653" s="39"/>
      <c r="W653" s="39"/>
    </row>
    <row r="654" spans="18:23" ht="14.4" x14ac:dyDescent="0.25">
      <c r="R654" s="37"/>
      <c r="S654" s="37"/>
      <c r="T654" s="38"/>
      <c r="U654" s="39"/>
      <c r="W654" s="39"/>
    </row>
    <row r="655" spans="18:23" ht="14.4" x14ac:dyDescent="0.25">
      <c r="R655" s="37"/>
      <c r="S655" s="37"/>
      <c r="T655" s="38"/>
      <c r="U655" s="39"/>
      <c r="W655" s="39"/>
    </row>
    <row r="656" spans="18:23" ht="14.4" x14ac:dyDescent="0.25">
      <c r="R656" s="37"/>
      <c r="S656" s="37"/>
      <c r="T656" s="38"/>
      <c r="U656" s="39"/>
      <c r="W656" s="39"/>
    </row>
    <row r="657" spans="18:23" ht="14.4" x14ac:dyDescent="0.25">
      <c r="R657" s="37"/>
      <c r="S657" s="37"/>
      <c r="T657" s="38"/>
      <c r="U657" s="39"/>
      <c r="W657" s="39"/>
    </row>
    <row r="658" spans="18:23" ht="14.4" x14ac:dyDescent="0.25">
      <c r="R658" s="37"/>
      <c r="S658" s="37"/>
      <c r="T658" s="38"/>
      <c r="U658" s="39"/>
      <c r="W658" s="39"/>
    </row>
    <row r="659" spans="18:23" ht="14.4" x14ac:dyDescent="0.25">
      <c r="R659" s="37"/>
      <c r="S659" s="37"/>
      <c r="T659" s="38"/>
      <c r="U659" s="39"/>
      <c r="W659" s="39"/>
    </row>
    <row r="660" spans="18:23" ht="14.4" x14ac:dyDescent="0.25">
      <c r="R660" s="37"/>
      <c r="S660" s="37"/>
      <c r="T660" s="38"/>
      <c r="U660" s="39"/>
      <c r="W660" s="39"/>
    </row>
    <row r="661" spans="18:23" ht="14.4" x14ac:dyDescent="0.25">
      <c r="R661" s="37"/>
      <c r="S661" s="37"/>
      <c r="T661" s="38"/>
      <c r="U661" s="39"/>
      <c r="W661" s="39"/>
    </row>
    <row r="662" spans="18:23" ht="14.4" x14ac:dyDescent="0.25">
      <c r="R662" s="37"/>
      <c r="S662" s="37"/>
      <c r="T662" s="38"/>
      <c r="U662" s="39"/>
      <c r="W662" s="39"/>
    </row>
    <row r="663" spans="18:23" ht="14.4" x14ac:dyDescent="0.25">
      <c r="R663" s="37"/>
      <c r="S663" s="37"/>
      <c r="T663" s="38"/>
      <c r="U663" s="39"/>
      <c r="W663" s="39"/>
    </row>
    <row r="664" spans="18:23" ht="14.4" x14ac:dyDescent="0.25">
      <c r="R664" s="37"/>
      <c r="S664" s="37"/>
      <c r="T664" s="38"/>
      <c r="U664" s="39"/>
      <c r="W664" s="39"/>
    </row>
    <row r="665" spans="18:23" ht="14.4" x14ac:dyDescent="0.25">
      <c r="R665" s="37"/>
      <c r="S665" s="37"/>
      <c r="T665" s="38"/>
      <c r="U665" s="39"/>
      <c r="W665" s="39"/>
    </row>
    <row r="666" spans="18:23" ht="14.4" x14ac:dyDescent="0.25">
      <c r="R666" s="37"/>
      <c r="S666" s="37"/>
      <c r="T666" s="38"/>
      <c r="U666" s="39"/>
      <c r="W666" s="39"/>
    </row>
    <row r="667" spans="18:23" ht="14.4" x14ac:dyDescent="0.25">
      <c r="R667" s="37"/>
      <c r="S667" s="37"/>
      <c r="T667" s="38"/>
      <c r="U667" s="39"/>
      <c r="W667" s="39"/>
    </row>
    <row r="668" spans="18:23" ht="14.4" x14ac:dyDescent="0.25">
      <c r="R668" s="37"/>
      <c r="S668" s="37"/>
      <c r="T668" s="38"/>
      <c r="U668" s="39"/>
      <c r="W668" s="39"/>
    </row>
    <row r="669" spans="18:23" ht="14.4" x14ac:dyDescent="0.25">
      <c r="R669" s="37"/>
      <c r="S669" s="37"/>
      <c r="T669" s="38"/>
      <c r="U669" s="39"/>
      <c r="W669" s="39"/>
    </row>
    <row r="670" spans="18:23" ht="14.4" x14ac:dyDescent="0.25">
      <c r="R670" s="37"/>
      <c r="S670" s="37"/>
      <c r="T670" s="38"/>
      <c r="U670" s="39"/>
      <c r="W670" s="39"/>
    </row>
    <row r="671" spans="18:23" ht="14.4" x14ac:dyDescent="0.25">
      <c r="R671" s="37"/>
      <c r="S671" s="37"/>
      <c r="T671" s="38"/>
      <c r="U671" s="39"/>
      <c r="W671" s="39"/>
    </row>
    <row r="672" spans="18:23" ht="14.4" x14ac:dyDescent="0.25">
      <c r="R672" s="37"/>
      <c r="S672" s="37"/>
      <c r="T672" s="38"/>
      <c r="U672" s="39"/>
      <c r="W672" s="39"/>
    </row>
    <row r="673" spans="18:23" ht="14.4" x14ac:dyDescent="0.25">
      <c r="R673" s="37"/>
      <c r="S673" s="37"/>
      <c r="T673" s="38"/>
      <c r="U673" s="39"/>
      <c r="W673" s="39"/>
    </row>
    <row r="674" spans="18:23" ht="14.4" x14ac:dyDescent="0.25">
      <c r="R674" s="37"/>
      <c r="S674" s="37"/>
      <c r="T674" s="38"/>
      <c r="U674" s="39"/>
      <c r="W674" s="39"/>
    </row>
    <row r="675" spans="18:23" ht="14.4" x14ac:dyDescent="0.25">
      <c r="R675" s="37"/>
      <c r="S675" s="37"/>
      <c r="T675" s="38"/>
      <c r="U675" s="39"/>
      <c r="W675" s="39"/>
    </row>
    <row r="676" spans="18:23" ht="14.4" x14ac:dyDescent="0.25">
      <c r="R676" s="37"/>
      <c r="S676" s="37"/>
      <c r="T676" s="38"/>
      <c r="U676" s="39"/>
      <c r="W676" s="39"/>
    </row>
    <row r="677" spans="18:23" ht="14.4" x14ac:dyDescent="0.25">
      <c r="R677" s="37"/>
      <c r="S677" s="37"/>
      <c r="T677" s="38"/>
      <c r="U677" s="39"/>
      <c r="W677" s="39"/>
    </row>
    <row r="678" spans="18:23" ht="14.4" x14ac:dyDescent="0.25">
      <c r="R678" s="37"/>
      <c r="S678" s="37"/>
      <c r="T678" s="38"/>
      <c r="U678" s="39"/>
      <c r="W678" s="39"/>
    </row>
    <row r="679" spans="18:23" ht="14.4" x14ac:dyDescent="0.25">
      <c r="R679" s="37"/>
      <c r="S679" s="37"/>
      <c r="T679" s="38"/>
      <c r="U679" s="39"/>
      <c r="W679" s="39"/>
    </row>
    <row r="680" spans="18:23" ht="14.4" x14ac:dyDescent="0.25">
      <c r="R680" s="37"/>
      <c r="S680" s="37"/>
      <c r="T680" s="38"/>
      <c r="U680" s="39"/>
      <c r="W680" s="39"/>
    </row>
    <row r="681" spans="18:23" ht="14.4" x14ac:dyDescent="0.25">
      <c r="R681" s="37"/>
      <c r="S681" s="37"/>
      <c r="T681" s="38"/>
      <c r="U681" s="39"/>
      <c r="W681" s="39"/>
    </row>
    <row r="682" spans="18:23" ht="14.4" x14ac:dyDescent="0.25">
      <c r="R682" s="37"/>
      <c r="S682" s="37"/>
      <c r="T682" s="38"/>
      <c r="U682" s="39"/>
      <c r="W682" s="39"/>
    </row>
    <row r="683" spans="18:23" ht="14.4" x14ac:dyDescent="0.25">
      <c r="R683" s="37"/>
      <c r="S683" s="37"/>
      <c r="T683" s="38"/>
      <c r="U683" s="39"/>
      <c r="W683" s="39"/>
    </row>
    <row r="684" spans="18:23" ht="14.4" x14ac:dyDescent="0.25">
      <c r="R684" s="37"/>
      <c r="S684" s="37"/>
      <c r="T684" s="38"/>
      <c r="U684" s="39"/>
      <c r="W684" s="39"/>
    </row>
    <row r="685" spans="18:23" ht="14.4" x14ac:dyDescent="0.25">
      <c r="R685" s="37"/>
      <c r="S685" s="37"/>
      <c r="T685" s="38"/>
      <c r="U685" s="39"/>
      <c r="W685" s="39"/>
    </row>
    <row r="686" spans="18:23" ht="14.4" x14ac:dyDescent="0.25">
      <c r="R686" s="37"/>
      <c r="S686" s="37"/>
      <c r="T686" s="38"/>
      <c r="U686" s="39"/>
      <c r="W686" s="39"/>
    </row>
    <row r="687" spans="18:23" ht="14.4" x14ac:dyDescent="0.25">
      <c r="R687" s="37"/>
      <c r="S687" s="37"/>
      <c r="T687" s="38"/>
      <c r="U687" s="39"/>
      <c r="W687" s="39"/>
    </row>
    <row r="688" spans="18:23" ht="14.4" x14ac:dyDescent="0.25">
      <c r="R688" s="37"/>
      <c r="S688" s="37"/>
      <c r="T688" s="38"/>
      <c r="U688" s="39"/>
      <c r="W688" s="39"/>
    </row>
    <row r="689" spans="18:23" ht="14.4" x14ac:dyDescent="0.25">
      <c r="R689" s="37"/>
      <c r="S689" s="37"/>
      <c r="T689" s="38"/>
      <c r="U689" s="39"/>
      <c r="W689" s="39"/>
    </row>
    <row r="690" spans="18:23" ht="14.4" x14ac:dyDescent="0.25">
      <c r="R690" s="37"/>
      <c r="S690" s="37"/>
      <c r="T690" s="38"/>
      <c r="U690" s="39"/>
      <c r="W690" s="39"/>
    </row>
    <row r="691" spans="18:23" ht="14.4" x14ac:dyDescent="0.25">
      <c r="R691" s="37"/>
      <c r="S691" s="37"/>
      <c r="T691" s="38"/>
      <c r="U691" s="39"/>
      <c r="W691" s="39"/>
    </row>
    <row r="692" spans="18:23" ht="14.4" x14ac:dyDescent="0.25">
      <c r="R692" s="37"/>
      <c r="S692" s="37"/>
      <c r="T692" s="38"/>
      <c r="U692" s="39"/>
      <c r="W692" s="39"/>
    </row>
    <row r="693" spans="18:23" ht="14.4" x14ac:dyDescent="0.25">
      <c r="R693" s="37"/>
      <c r="S693" s="37"/>
      <c r="T693" s="38"/>
      <c r="U693" s="39"/>
      <c r="W693" s="39"/>
    </row>
    <row r="694" spans="18:23" ht="14.4" x14ac:dyDescent="0.25">
      <c r="R694" s="37"/>
      <c r="S694" s="37"/>
      <c r="T694" s="38"/>
      <c r="U694" s="39"/>
      <c r="W694" s="39"/>
    </row>
    <row r="695" spans="18:23" ht="14.4" x14ac:dyDescent="0.25">
      <c r="R695" s="37"/>
      <c r="S695" s="37"/>
      <c r="T695" s="38"/>
      <c r="U695" s="39"/>
      <c r="W695" s="39"/>
    </row>
    <row r="696" spans="18:23" ht="14.4" x14ac:dyDescent="0.25">
      <c r="R696" s="37"/>
      <c r="S696" s="37"/>
      <c r="T696" s="38"/>
      <c r="U696" s="39"/>
      <c r="W696" s="39"/>
    </row>
    <row r="697" spans="18:23" ht="14.4" x14ac:dyDescent="0.25">
      <c r="R697" s="37"/>
      <c r="S697" s="37"/>
      <c r="T697" s="38"/>
      <c r="U697" s="39"/>
      <c r="W697" s="39"/>
    </row>
    <row r="698" spans="18:23" ht="14.4" x14ac:dyDescent="0.25">
      <c r="R698" s="37"/>
      <c r="S698" s="37"/>
      <c r="T698" s="38"/>
      <c r="U698" s="39"/>
      <c r="W698" s="39"/>
    </row>
    <row r="699" spans="18:23" ht="14.4" x14ac:dyDescent="0.25">
      <c r="R699" s="37"/>
      <c r="S699" s="37"/>
      <c r="T699" s="38"/>
      <c r="U699" s="39"/>
      <c r="W699" s="39"/>
    </row>
    <row r="700" spans="18:23" ht="14.4" x14ac:dyDescent="0.25">
      <c r="R700" s="37"/>
      <c r="S700" s="37"/>
      <c r="T700" s="38"/>
      <c r="U700" s="39"/>
      <c r="W700" s="39"/>
    </row>
    <row r="701" spans="18:23" ht="14.4" x14ac:dyDescent="0.25">
      <c r="R701" s="37"/>
      <c r="S701" s="37"/>
      <c r="T701" s="38"/>
      <c r="U701" s="39"/>
      <c r="W701" s="39"/>
    </row>
    <row r="702" spans="18:23" ht="14.4" x14ac:dyDescent="0.25">
      <c r="R702" s="37"/>
      <c r="S702" s="37"/>
      <c r="T702" s="38"/>
      <c r="U702" s="39"/>
      <c r="W702" s="39"/>
    </row>
    <row r="703" spans="18:23" ht="14.4" x14ac:dyDescent="0.25">
      <c r="R703" s="37"/>
      <c r="S703" s="37"/>
      <c r="T703" s="38"/>
      <c r="U703" s="39"/>
      <c r="W703" s="39"/>
    </row>
    <row r="704" spans="18:23" ht="14.4" x14ac:dyDescent="0.25">
      <c r="R704" s="37"/>
      <c r="S704" s="37"/>
      <c r="T704" s="38"/>
      <c r="U704" s="39"/>
      <c r="W704" s="39"/>
    </row>
    <row r="705" spans="18:23" ht="14.4" x14ac:dyDescent="0.25">
      <c r="R705" s="37"/>
      <c r="S705" s="37"/>
      <c r="T705" s="38"/>
      <c r="U705" s="39"/>
      <c r="W705" s="39"/>
    </row>
    <row r="706" spans="18:23" ht="14.4" x14ac:dyDescent="0.25">
      <c r="R706" s="37"/>
      <c r="S706" s="37"/>
      <c r="T706" s="38"/>
      <c r="U706" s="39"/>
      <c r="W706" s="39"/>
    </row>
    <row r="707" spans="18:23" ht="14.4" x14ac:dyDescent="0.25">
      <c r="R707" s="37"/>
      <c r="S707" s="37"/>
      <c r="T707" s="38"/>
      <c r="U707" s="39"/>
      <c r="W707" s="39"/>
    </row>
    <row r="708" spans="18:23" ht="14.4" x14ac:dyDescent="0.25">
      <c r="R708" s="37"/>
      <c r="S708" s="37"/>
      <c r="T708" s="38"/>
      <c r="U708" s="39"/>
      <c r="W708" s="39"/>
    </row>
    <row r="709" spans="18:23" ht="14.4" x14ac:dyDescent="0.25">
      <c r="R709" s="37"/>
      <c r="S709" s="37"/>
      <c r="T709" s="38"/>
      <c r="U709" s="39"/>
      <c r="W709" s="39"/>
    </row>
    <row r="710" spans="18:23" ht="14.4" x14ac:dyDescent="0.25">
      <c r="R710" s="37"/>
      <c r="S710" s="37"/>
      <c r="T710" s="38"/>
      <c r="U710" s="39"/>
      <c r="W710" s="39"/>
    </row>
    <row r="711" spans="18:23" ht="14.4" x14ac:dyDescent="0.25">
      <c r="R711" s="37"/>
      <c r="S711" s="37"/>
      <c r="T711" s="38"/>
      <c r="U711" s="39"/>
      <c r="W711" s="39"/>
    </row>
    <row r="712" spans="18:23" ht="14.4" x14ac:dyDescent="0.25">
      <c r="R712" s="37"/>
      <c r="S712" s="37"/>
      <c r="T712" s="38"/>
      <c r="U712" s="39"/>
      <c r="W712" s="39"/>
    </row>
    <row r="713" spans="18:23" ht="14.4" x14ac:dyDescent="0.25">
      <c r="R713" s="37"/>
      <c r="S713" s="37"/>
      <c r="T713" s="38"/>
      <c r="U713" s="39"/>
      <c r="W713" s="39"/>
    </row>
    <row r="714" spans="18:23" ht="14.4" x14ac:dyDescent="0.25">
      <c r="R714" s="37"/>
      <c r="S714" s="37"/>
      <c r="T714" s="38"/>
      <c r="U714" s="39"/>
      <c r="W714" s="39"/>
    </row>
    <row r="715" spans="18:23" ht="14.4" x14ac:dyDescent="0.25">
      <c r="R715" s="37"/>
      <c r="S715" s="37"/>
      <c r="T715" s="38"/>
      <c r="U715" s="39"/>
      <c r="W715" s="39"/>
    </row>
    <row r="716" spans="18:23" ht="14.4" x14ac:dyDescent="0.25">
      <c r="R716" s="37"/>
      <c r="S716" s="37"/>
      <c r="T716" s="38"/>
      <c r="U716" s="39"/>
      <c r="W716" s="39"/>
    </row>
    <row r="717" spans="18:23" ht="14.4" x14ac:dyDescent="0.25">
      <c r="R717" s="37"/>
      <c r="S717" s="37"/>
      <c r="T717" s="38"/>
      <c r="U717" s="39"/>
      <c r="W717" s="39"/>
    </row>
    <row r="718" spans="18:23" ht="14.4" x14ac:dyDescent="0.25">
      <c r="R718" s="37"/>
      <c r="S718" s="37"/>
      <c r="T718" s="38"/>
      <c r="U718" s="39"/>
      <c r="W718" s="39"/>
    </row>
    <row r="719" spans="18:23" ht="14.4" x14ac:dyDescent="0.25">
      <c r="R719" s="37"/>
      <c r="S719" s="37"/>
      <c r="T719" s="38"/>
      <c r="U719" s="39"/>
      <c r="W719" s="39"/>
    </row>
    <row r="720" spans="18:23" ht="14.4" x14ac:dyDescent="0.25">
      <c r="R720" s="37"/>
      <c r="S720" s="37"/>
      <c r="T720" s="38"/>
      <c r="U720" s="39"/>
      <c r="W720" s="39"/>
    </row>
    <row r="721" spans="18:23" ht="14.4" x14ac:dyDescent="0.25">
      <c r="R721" s="37"/>
      <c r="S721" s="37"/>
      <c r="T721" s="38"/>
      <c r="U721" s="39"/>
      <c r="W721" s="39"/>
    </row>
    <row r="722" spans="18:23" ht="14.4" x14ac:dyDescent="0.25">
      <c r="R722" s="37"/>
      <c r="S722" s="37"/>
      <c r="T722" s="38"/>
      <c r="U722" s="39"/>
      <c r="W722" s="39"/>
    </row>
    <row r="723" spans="18:23" ht="14.4" x14ac:dyDescent="0.25">
      <c r="R723" s="37"/>
      <c r="S723" s="37"/>
      <c r="T723" s="38"/>
      <c r="U723" s="39"/>
      <c r="W723" s="39"/>
    </row>
    <row r="724" spans="18:23" ht="14.4" x14ac:dyDescent="0.25">
      <c r="R724" s="37"/>
      <c r="S724" s="37"/>
      <c r="T724" s="38"/>
      <c r="U724" s="39"/>
      <c r="W724" s="39"/>
    </row>
    <row r="725" spans="18:23" ht="14.4" x14ac:dyDescent="0.25">
      <c r="R725" s="37"/>
      <c r="S725" s="37"/>
      <c r="T725" s="38"/>
      <c r="U725" s="39"/>
      <c r="W725" s="39"/>
    </row>
    <row r="726" spans="18:23" ht="14.4" x14ac:dyDescent="0.25">
      <c r="R726" s="37"/>
      <c r="S726" s="37"/>
      <c r="T726" s="38"/>
      <c r="U726" s="39"/>
      <c r="W726" s="39"/>
    </row>
    <row r="727" spans="18:23" ht="14.4" x14ac:dyDescent="0.25">
      <c r="R727" s="37"/>
      <c r="S727" s="37"/>
      <c r="T727" s="38"/>
      <c r="U727" s="39"/>
      <c r="W727" s="39"/>
    </row>
    <row r="728" spans="18:23" ht="14.4" x14ac:dyDescent="0.25">
      <c r="R728" s="37"/>
      <c r="S728" s="37"/>
      <c r="T728" s="38"/>
      <c r="U728" s="39"/>
      <c r="W728" s="39"/>
    </row>
  </sheetData>
  <sheetProtection algorithmName="SHA-512" hashValue="gdL4gEPxre6HULGIGwBgTVqU7DA2ewORu9qcg5n/9/KMecg/W09vls3eQiB6lJFgpP+GzIo03DuowrecxIZqJg==" saltValue="PjFXG20TBUXGa1vin2WTaA==" spinCount="100000" sheet="1" formatCells="0" formatColumns="0" formatRows="0" insertColumns="0" insertRows="0" insertHyperlinks="0" deleteColumns="0" deleteRows="0" sort="0" autoFilter="0" pivotTables="0"/>
  <autoFilter ref="A2:O102" xr:uid="{00000000-0001-0000-0000-000000000000}"/>
  <mergeCells count="2">
    <mergeCell ref="A1:O1"/>
    <mergeCell ref="S1:S2"/>
  </mergeCells>
  <phoneticPr fontId="4" type="noConversion"/>
  <conditionalFormatting sqref="W1">
    <cfRule type="expression" dxfId="0" priority="1">
      <formula>"&gt;0"</formula>
    </cfRule>
  </conditionalFormatting>
  <dataValidations count="1">
    <dataValidation type="custom" allowBlank="1" showInputMessage="1" showErrorMessage="1" error="Order quantity must be a multiple of Sales per Unit Case (See Column J)." prompt="Order quantity must be a multiple of Sales per Unit Case (See Column J)." sqref="N3:N100" xr:uid="{87CBA5D3-837A-4FCD-83A1-66CFD842B0F8}">
      <formula1>MOD(N3,J3)=0</formula1>
    </dataValidation>
  </dataValidations>
  <printOptions horizontalCentered="1"/>
  <pageMargins left="0" right="0" top="0" bottom="0" header="0.5" footer="0.5"/>
  <pageSetup scale="78" fitToHeight="0" orientation="portrait" r:id="rId1"/>
  <headerFooter alignWithMargins="0"/>
  <rowBreaks count="2" manualBreakCount="2">
    <brk id="33" max="7" man="1"/>
    <brk id="70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Michael's Health</vt:lpstr>
      <vt:lpstr>'Michael''s Health'!Заголовки_для_друку</vt:lpstr>
      <vt:lpstr>'Michael''s Health'!Область_друку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cp:lastPrinted>2019-03-22T13:56:30Z</cp:lastPrinted>
  <dcterms:created xsi:type="dcterms:W3CDTF">2016-09-26T18:58:08Z</dcterms:created>
  <dcterms:modified xsi:type="dcterms:W3CDTF">2025-11-28T15:22:46Z</dcterms:modified>
</cp:coreProperties>
</file>