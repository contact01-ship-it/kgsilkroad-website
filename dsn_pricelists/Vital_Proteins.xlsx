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09E7C138-EA55-4C54-AB8B-DA253ECF75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Vital Proteins)" sheetId="1" r:id="rId1"/>
  </sheets>
  <definedNames>
    <definedName name="_xlnm._FilterDatabase" localSheetId="0" hidden="1">'DSN GROUP (Vital Proteins)'!$B$2:$I$21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O4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L4" i="1"/>
  <c r="M4" i="1" s="1"/>
  <c r="L5" i="1"/>
  <c r="M5" i="1" s="1"/>
  <c r="O5" i="1"/>
  <c r="L6" i="1"/>
  <c r="M6" i="1" s="1"/>
  <c r="O6" i="1"/>
  <c r="L7" i="1"/>
  <c r="M7" i="1" s="1"/>
  <c r="O7" i="1"/>
  <c r="L8" i="1"/>
  <c r="M8" i="1" s="1"/>
  <c r="O8" i="1"/>
  <c r="L9" i="1"/>
  <c r="M9" i="1" s="1"/>
  <c r="O9" i="1"/>
  <c r="L10" i="1"/>
  <c r="M10" i="1" s="1"/>
  <c r="O10" i="1"/>
  <c r="L11" i="1"/>
  <c r="M11" i="1" s="1"/>
  <c r="O11" i="1"/>
  <c r="L12" i="1"/>
  <c r="M12" i="1" s="1"/>
  <c r="O12" i="1"/>
  <c r="L13" i="1"/>
  <c r="M13" i="1" s="1"/>
  <c r="O13" i="1"/>
  <c r="L14" i="1"/>
  <c r="M14" i="1" s="1"/>
  <c r="O14" i="1"/>
  <c r="L15" i="1"/>
  <c r="M15" i="1" s="1"/>
  <c r="O15" i="1"/>
  <c r="L16" i="1"/>
  <c r="M16" i="1" s="1"/>
  <c r="O16" i="1"/>
  <c r="L17" i="1"/>
  <c r="M17" i="1" s="1"/>
  <c r="O17" i="1"/>
  <c r="L18" i="1"/>
  <c r="M18" i="1" s="1"/>
  <c r="O18" i="1"/>
  <c r="L19" i="1"/>
  <c r="M19" i="1" s="1"/>
  <c r="O19" i="1"/>
  <c r="L20" i="1"/>
  <c r="M20" i="1" s="1"/>
  <c r="O20" i="1"/>
  <c r="L21" i="1"/>
  <c r="M21" i="1" s="1"/>
  <c r="O21" i="1"/>
  <c r="O3" i="1"/>
  <c r="L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Q12" i="1" l="1"/>
  <c r="Q6" i="1"/>
  <c r="Q3" i="1"/>
  <c r="M3" i="1"/>
  <c r="I3" i="1"/>
  <c r="J2" i="1" s="1"/>
  <c r="Q13" i="1"/>
  <c r="Q5" i="1"/>
  <c r="Q17" i="1"/>
  <c r="Q7" i="1"/>
  <c r="Q21" i="1"/>
  <c r="N2" i="1"/>
  <c r="O2" i="1"/>
  <c r="Q11" i="1"/>
  <c r="Q4" i="1"/>
  <c r="Q16" i="1"/>
  <c r="Q14" i="1"/>
  <c r="Q9" i="1"/>
  <c r="Q19" i="1"/>
  <c r="Q18" i="1"/>
  <c r="Q15" i="1"/>
  <c r="Q20" i="1"/>
  <c r="Q8" i="1"/>
  <c r="Q10" i="1"/>
  <c r="Q1" i="1" l="1"/>
</calcChain>
</file>

<file path=xl/sharedStrings.xml><?xml version="1.0" encoding="utf-8"?>
<sst xmlns="http://schemas.openxmlformats.org/spreadsheetml/2006/main" count="72" uniqueCount="68">
  <si>
    <t xml:space="preserve">Size </t>
  </si>
  <si>
    <t xml:space="preserve"> UPC#</t>
  </si>
  <si>
    <t>11.2 oz</t>
  </si>
  <si>
    <t>Wholesale Price</t>
  </si>
  <si>
    <t>Case</t>
  </si>
  <si>
    <t>Order</t>
  </si>
  <si>
    <t>Total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</si>
  <si>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</si>
  <si>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Description</t>
  </si>
  <si>
    <t>Weight, kg</t>
  </si>
  <si>
    <t>Unіt Freight Cost</t>
  </si>
  <si>
    <t>unit, key</t>
  </si>
  <si>
    <t>Logistic Price</t>
  </si>
  <si>
    <t>Landed Cost</t>
  </si>
  <si>
    <t>10 Ounces</t>
  </si>
  <si>
    <t>20 Ounces</t>
  </si>
  <si>
    <t>5 Ounces</t>
  </si>
  <si>
    <t>20 Packets</t>
  </si>
  <si>
    <t>13.5 Ounces</t>
  </si>
  <si>
    <t>11.5 Ounces</t>
  </si>
  <si>
    <t>11 Ounces</t>
  </si>
  <si>
    <t>10.5 Ounces</t>
  </si>
  <si>
    <t>7.8 Ounces</t>
  </si>
  <si>
    <t>20 Sticks</t>
  </si>
  <si>
    <t>10.6 oz</t>
  </si>
  <si>
    <t>26.8 Ounces</t>
  </si>
  <si>
    <t>16.4 Ounces</t>
  </si>
  <si>
    <t>120 Caps</t>
  </si>
  <si>
    <t>360 Caps</t>
  </si>
  <si>
    <t>120 Gummies</t>
  </si>
  <si>
    <t>Collagen Peptides Powder Unffavored</t>
  </si>
  <si>
    <t>Collagen Peptides Unffavored</t>
  </si>
  <si>
    <t>Collagen Peptides Powder Stick Pack</t>
  </si>
  <si>
    <t>Collagen Peptides Powder Chocolate</t>
  </si>
  <si>
    <t>Collagen Peptides Vanilla</t>
  </si>
  <si>
    <t>Collagen Peptides Powder Lemon</t>
  </si>
  <si>
    <t>Collagen Peptides-Matcha</t>
  </si>
  <si>
    <t>Marine Collagen Powder</t>
  </si>
  <si>
    <t>Marine Collagen Powder Stick Pack</t>
  </si>
  <si>
    <t>Collagen Creamer Vanilla</t>
  </si>
  <si>
    <t>Collagen Creamer Mocha</t>
  </si>
  <si>
    <t>Vital Performance Protein Powder Vanilla</t>
  </si>
  <si>
    <t>Vital Proteins Skin Complex Collagen</t>
  </si>
  <si>
    <t>Beef Gelatin Powder</t>
  </si>
  <si>
    <t>Capsules- Beef Liver</t>
  </si>
  <si>
    <t>Capsules- Cartilage Collagen</t>
  </si>
  <si>
    <t>Collagen Peptides Capsule</t>
  </si>
  <si>
    <t>Collagen Gummies, Raspberry</t>
  </si>
  <si>
    <t>Item code</t>
  </si>
  <si>
    <t>VPR00509</t>
  </si>
  <si>
    <t>VPR200508</t>
  </si>
  <si>
    <t>VPR200810</t>
  </si>
  <si>
    <t>VPR00539</t>
  </si>
  <si>
    <t>VPR649431</t>
  </si>
  <si>
    <t>VPR49422</t>
  </si>
  <si>
    <t>VPR95430</t>
  </si>
  <si>
    <t>VPR00524</t>
  </si>
  <si>
    <t>VPR00548</t>
  </si>
  <si>
    <t>VPR00540</t>
  </si>
  <si>
    <t>VPR00503</t>
  </si>
  <si>
    <t>VPR00505</t>
  </si>
  <si>
    <t>VPR98337</t>
  </si>
  <si>
    <t>VPR95591</t>
  </si>
  <si>
    <t>VPR00510</t>
  </si>
  <si>
    <t>VPR00515</t>
  </si>
  <si>
    <t>VPR00893</t>
  </si>
  <si>
    <t>VPR00565</t>
  </si>
  <si>
    <t>VPR95590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</si>
</sst>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-[$$-3C09]* #,##0.00_-;\-[$$-3C09]* #,##0.00_-;_-[$$-3C09]* &quot;-&quot;??_-;_-@_-"/>
    <numFmt numFmtId="166" formatCode="_-* #,##0.00\ _₴_-;\-* #,##0.00\ _₴_-;_-* &quot;-&quot;??\ _₴_-;_-@_-"/>
    <numFmt numFmtId="167" formatCode="_-[$$-409]* #,##0.00_ ;_-[$$-409]* \-#,##0.00\ ;_-[$$-409]* &quot;-&quot;??_ ;_-@_ "/>
    <numFmt numFmtId="168" formatCode="[$$-409]#,##0.00"/>
  </numFmts>
  <fonts count="13">
    <font>
      <sz val="12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59C7E9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7" fontId="11" fillId="6" borderId="2" xfId="0" applyNumberFormat="1" applyFont="1" applyFill="1" applyBorder="1" applyAlignment="1" applyProtection="1">
      <alignment horizontal="center" vertical="center" wrapText="1" readingOrder="1"/>
      <protection hidden="1"/>
    </xf>
    <xf numFmtId="167" fontId="11" fillId="2" borderId="2" xfId="0" applyNumberFormat="1" applyFont="1" applyFill="1" applyBorder="1" applyAlignment="1" applyProtection="1">
      <alignment horizontal="center" vertical="center" wrapText="1" readingOrder="1"/>
      <protection hidden="1"/>
    </xf>
    <xf numFmtId="167" fontId="11" fillId="0" borderId="0" xfId="0" applyNumberFormat="1" applyFont="1" applyAlignment="1" applyProtection="1">
      <alignment vertical="center" wrapText="1" readingOrder="1"/>
      <protection hidden="1"/>
    </xf>
    <xf numFmtId="0" fontId="10" fillId="0" borderId="0" xfId="0" applyFont="1" applyBorder="1" applyAlignment="1" applyProtection="1">
      <alignment horizontal="left" vertical="center" wrapText="1"/>
    </xf>
    <xf numFmtId="14" fontId="6" fillId="0" borderId="0" xfId="0" quotePrefix="1" applyNumberFormat="1" applyFont="1" applyAlignment="1" applyProtection="1">
      <alignment horizontal="center" vertical="center"/>
    </xf>
    <xf numFmtId="0" fontId="3" fillId="0" borderId="0" xfId="0" applyFont="1" applyProtection="1"/>
    <xf numFmtId="14" fontId="6" fillId="6" borderId="2" xfId="0" applyNumberFormat="1" applyFont="1" applyFill="1" applyBorder="1" applyAlignment="1" applyProtection="1">
      <alignment horizontal="center" vertical="center" wrapText="1"/>
    </xf>
    <xf numFmtId="14" fontId="6" fillId="6" borderId="3" xfId="0" applyNumberFormat="1" applyFont="1" applyFill="1" applyBorder="1" applyAlignment="1" applyProtection="1">
      <alignment horizontal="center" vertical="center" wrapText="1"/>
    </xf>
    <xf numFmtId="0" fontId="6" fillId="6" borderId="2" xfId="0" applyFont="1" applyFill="1" applyBorder="1" applyAlignment="1" applyProtection="1">
      <alignment horizontal="center" vertical="center" wrapText="1"/>
    </xf>
    <xf numFmtId="0" fontId="0" fillId="0" borderId="0" xfId="0" applyProtection="1"/>
    <xf numFmtId="168" fontId="6" fillId="6" borderId="2" xfId="0" applyNumberFormat="1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 wrapText="1"/>
    </xf>
    <xf numFmtId="0" fontId="7" fillId="5" borderId="1" xfId="0" applyFont="1" applyFill="1" applyBorder="1" applyAlignment="1" applyProtection="1">
      <alignment horizontal="center" vertical="center"/>
    </xf>
    <xf numFmtId="165" fontId="2" fillId="5" borderId="1" xfId="0" applyNumberFormat="1" applyFont="1" applyFill="1" applyBorder="1" applyAlignment="1" applyProtection="1">
      <alignment horizontal="center" vertical="center" wrapText="1"/>
    </xf>
    <xf numFmtId="0" fontId="12" fillId="2" borderId="2" xfId="0" applyFont="1" applyFill="1" applyBorder="1" applyAlignment="1" applyProtection="1">
      <alignment horizontal="center" vertical="center" wrapText="1" readingOrder="1"/>
    </xf>
    <xf numFmtId="14" fontId="6" fillId="6" borderId="4" xfId="0" applyNumberFormat="1" applyFont="1" applyFill="1" applyBorder="1" applyAlignment="1" applyProtection="1">
      <alignment horizontal="center" vertical="center" wrapText="1"/>
    </xf>
    <xf numFmtId="4" fontId="6" fillId="2" borderId="4" xfId="0" applyNumberFormat="1" applyFont="1" applyFill="1" applyBorder="1" applyAlignment="1" applyProtection="1">
      <alignment horizontal="center" vertical="center"/>
    </xf>
    <xf numFmtId="0" fontId="6" fillId="7" borderId="2" xfId="0" applyFont="1" applyFill="1" applyBorder="1" applyAlignment="1" applyProtection="1">
      <alignment horizontal="center" vertical="center" wrapText="1"/>
    </xf>
    <xf numFmtId="1" fontId="4" fillId="0" borderId="1" xfId="0" applyNumberFormat="1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164" fontId="3" fillId="0" borderId="1" xfId="0" applyNumberFormat="1" applyFont="1" applyBorder="1" applyProtection="1"/>
    <xf numFmtId="0" fontId="7" fillId="0" borderId="1" xfId="0" applyFont="1" applyBorder="1" applyAlignment="1" applyProtection="1">
      <alignment horizontal="center" vertical="center"/>
    </xf>
    <xf numFmtId="166" fontId="3" fillId="0" borderId="0" xfId="0" applyNumberFormat="1" applyFont="1" applyProtection="1"/>
    <xf numFmtId="4" fontId="6" fillId="0" borderId="0" xfId="0" applyNumberFormat="1" applyFont="1" applyAlignment="1" applyProtection="1">
      <alignment horizontal="center" vertical="center"/>
    </xf>
    <xf numFmtId="4" fontId="0" fillId="0" borderId="0" xfId="0" applyNumberFormat="1" applyAlignment="1" applyProtection="1">
      <alignment horizontal="center" vertical="center"/>
    </xf>
    <xf numFmtId="168" fontId="6" fillId="0" borderId="0" xfId="0" applyNumberFormat="1" applyFont="1" applyAlignment="1" applyProtection="1">
      <alignment horizontal="center" vertical="center"/>
    </xf>
    <xf numFmtId="1" fontId="5" fillId="3" borderId="1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1" fontId="4" fillId="2" borderId="1" xfId="0" applyNumberFormat="1" applyFont="1" applyFill="1" applyBorder="1" applyAlignment="1" applyProtection="1">
      <alignment horizontal="center" vertical="center"/>
    </xf>
    <xf numFmtId="1" fontId="5" fillId="4" borderId="1" xfId="0" applyNumberFormat="1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6" fillId="0" borderId="0" xfId="0" applyFont="1" applyProtection="1"/>
  </cellXfs>
  <cellStyles count="1"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59C7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10</xdr:col>
      <xdr:colOff>304800</xdr:colOff>
      <xdr:row>12</xdr:row>
      <xdr:rowOff>106680</xdr:rowOff>
    </xdr:to>
    <xdr:sp macro="" textlink="">
      <xdr:nvSpPr>
        <xdr:cNvPr id="1028" name="AutoShape 4" descr="Vital Proteins Collagen Peptides 284g | Cosmetic2Go.co.uk">
          <a:extLst>
            <a:ext uri="{FF2B5EF4-FFF2-40B4-BE49-F238E27FC236}">
              <a16:creationId xmlns:a16="http://schemas.microsoft.com/office/drawing/2014/main" id="{6506670A-3687-CA71-6F0C-493C6C188E68}"/>
            </a:ext>
          </a:extLst>
        </xdr:cNvPr>
        <xdr:cNvSpPr>
          <a:spLocks noChangeAspect="1" noChangeArrowheads="1"/>
        </xdr:cNvSpPr>
      </xdr:nvSpPr>
      <xdr:spPr bwMode="auto">
        <a:xfrm>
          <a:off x="10957560" y="31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142875</xdr:colOff>
      <xdr:row>0</xdr:row>
      <xdr:rowOff>60960</xdr:rowOff>
    </xdr:from>
    <xdr:to>
      <xdr:col>8</xdr:col>
      <xdr:colOff>617220</xdr:colOff>
      <xdr:row>0</xdr:row>
      <xdr:rowOff>820186</xdr:rowOff>
    </xdr:to>
    <xdr:pic>
      <xdr:nvPicPr>
        <xdr:cNvPr id="3" name="Рисунок 2" descr="Paperboard Canister - Vital Proteins">
          <a:extLst>
            <a:ext uri="{FF2B5EF4-FFF2-40B4-BE49-F238E27FC236}">
              <a16:creationId xmlns:a16="http://schemas.microsoft.com/office/drawing/2014/main" id="{18EF6736-21A5-8B4F-235A-AD69B41ED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0960"/>
          <a:ext cx="2741295" cy="75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80" zoomScaleNormal="80" workbookViewId="0">
      <pane ySplit="1" topLeftCell="A2" activePane="bottomLeft" state="frozen"/>
      <selection pane="bottomLeft" activeCell="K5" sqref="K5"/>
    </sheetView>
  </sheetViews>
  <sheetFormatPr defaultColWidth="10.796875" defaultRowHeight="14.4"/>
  <cols>
    <col min="1" max="1" width="10.796875" style="6"/>
    <col min="2" max="2" width="11.69921875" style="6" bestFit="1" customWidth="1"/>
    <col min="3" max="3" width="35.59765625" style="6" bestFit="1" customWidth="1"/>
    <col min="4" max="4" width="11.19921875" style="6" bestFit="1" customWidth="1"/>
    <col min="5" max="5" width="8.3984375" style="6" bestFit="1" customWidth="1"/>
    <col min="6" max="6" width="8.3984375" style="6" customWidth="1"/>
    <col min="7" max="7" width="11.296875" style="6" customWidth="1"/>
    <col min="8" max="8" width="10.09765625" style="34" customWidth="1"/>
    <col min="9" max="9" width="11" style="6" customWidth="1"/>
    <col min="10" max="16384" width="10.796875" style="6"/>
  </cols>
  <sheetData>
    <row r="1" spans="1:17" ht="73.8" customHeight="1" thickBot="1">
      <c r="A1" s="4" t="s">
        <v>7</v>
      </c>
      <c r="B1" s="4"/>
      <c r="C1" s="4"/>
      <c r="D1" s="4"/>
      <c r="E1" s="4"/>
      <c r="F1" s="4"/>
      <c r="G1" s="4"/>
      <c r="H1" s="4"/>
      <c r="I1" s="4"/>
      <c r="J1" s="5">
        <v>46090</v>
      </c>
      <c r="L1" s="7" t="s">
        <v>10</v>
      </c>
      <c r="M1" s="8" t="s">
        <v>11</v>
      </c>
      <c r="N1" s="9" t="s">
        <v>9</v>
      </c>
      <c r="O1" s="1" t="s">
        <v>12</v>
      </c>
      <c r="P1" s="10"/>
      <c r="Q1" s="11" t="str">
        <f>IFERROR(IF(SUM(Q3:Q271)=0, "-", J2+O2), "-")</f>
        <v>-</v>
      </c>
    </row>
    <row r="2" spans="1:17" ht="29.4" thickBot="1">
      <c r="A2" s="12" t="s">
        <v>48</v>
      </c>
      <c r="B2" s="12" t="s">
        <v>1</v>
      </c>
      <c r="C2" s="12" t="s">
        <v>8</v>
      </c>
      <c r="D2" s="12" t="s">
        <v>0</v>
      </c>
      <c r="E2" s="12" t="s">
        <v>4</v>
      </c>
      <c r="F2" s="13" t="s">
        <v>9</v>
      </c>
      <c r="G2" s="13" t="s">
        <v>3</v>
      </c>
      <c r="H2" s="14" t="s">
        <v>5</v>
      </c>
      <c r="I2" s="12" t="s">
        <v>6</v>
      </c>
      <c r="J2" s="15">
        <f>SUM(I3:I21)</f>
        <v>0</v>
      </c>
      <c r="L2" s="16"/>
      <c r="M2" s="17"/>
      <c r="N2" s="18" t="str">
        <f>IF(SUM(N3:N271)=0, "-", SUM(N3:N271))</f>
        <v>-</v>
      </c>
      <c r="O2" s="2" t="str">
        <f>IF(SUM(O3:O271)=0, "-", SUM(O3:O271))</f>
        <v>-</v>
      </c>
      <c r="P2" s="3"/>
      <c r="Q2" s="19" t="s">
        <v>13</v>
      </c>
    </row>
    <row r="3" spans="1:17" ht="15.6">
      <c r="A3" s="20" t="s">
        <v>49</v>
      </c>
      <c r="B3" s="20">
        <v>850232005096</v>
      </c>
      <c r="C3" s="21" t="s">
        <v>30</v>
      </c>
      <c r="D3" s="22" t="s">
        <v>14</v>
      </c>
      <c r="E3" s="22">
        <v>12</v>
      </c>
      <c r="F3" s="22">
        <v>0.36</v>
      </c>
      <c r="G3" s="23">
        <v>23.400000000000002</v>
      </c>
      <c r="H3" s="24"/>
      <c r="I3" s="23">
        <f>H3*G3</f>
        <v>0</v>
      </c>
      <c r="J3" s="25"/>
      <c r="L3" s="26" t="str">
        <f>IFERROR(IF($L$2*F3=0, "-", $L$2*F3), "-")</f>
        <v>-</v>
      </c>
      <c r="M3" s="26" t="str">
        <f>IFERROR(IF(L3&gt;0,G3+L3,"-"),"-")</f>
        <v>-</v>
      </c>
      <c r="N3" s="27" t="str">
        <f>IF(H3&gt;0,H3*F3, "-")</f>
        <v>-</v>
      </c>
      <c r="O3" s="28" t="str">
        <f>IFERROR(IF($L$2&gt;0, $L$2*N3, "-"), "-")</f>
        <v>-</v>
      </c>
      <c r="P3" s="10"/>
      <c r="Q3" s="28" t="str">
        <f>IFERROR(IF(O3+#REF!=0, "-", IF(O3&gt;0, O3+#REF!, "-")), "-")</f>
        <v>-</v>
      </c>
    </row>
    <row r="4" spans="1:17" ht="15.6">
      <c r="A4" s="29" t="s">
        <v>50</v>
      </c>
      <c r="B4" s="29">
        <v>850232005089</v>
      </c>
      <c r="C4" s="21" t="s">
        <v>30</v>
      </c>
      <c r="D4" s="30" t="s">
        <v>15</v>
      </c>
      <c r="E4" s="30">
        <v>12</v>
      </c>
      <c r="F4" s="22">
        <v>0.64</v>
      </c>
      <c r="G4" s="23">
        <v>41.6</v>
      </c>
      <c r="H4" s="24"/>
      <c r="I4" s="23">
        <f>H4*G4</f>
        <v>0</v>
      </c>
      <c r="L4" s="26" t="str">
        <f>IFERROR(IF($L$2*F4=0, "-", $L$2*F4), "-")</f>
        <v>-</v>
      </c>
      <c r="M4" s="26" t="str">
        <f>IFERROR(IF(L4&gt;0,G4+L4,"-"),"-")</f>
        <v>-</v>
      </c>
      <c r="N4" s="27" t="str">
        <f>IF(H4&gt;0,H4*F4, "-")</f>
        <v>-</v>
      </c>
      <c r="O4" s="28" t="str">
        <f>IFERROR(IF($L$2&gt;0, $L$2*N4, "-"), "-")</f>
        <v>-</v>
      </c>
      <c r="P4" s="10"/>
      <c r="Q4" s="28" t="str">
        <f>IFERROR(IF(O4+#REF!=0, "-", IF(O4&gt;0, O4+#REF!, "-")), "-")</f>
        <v>-</v>
      </c>
    </row>
    <row r="5" spans="1:17" ht="15.6">
      <c r="A5" s="20" t="s">
        <v>51</v>
      </c>
      <c r="B5" s="20">
        <v>850502008109</v>
      </c>
      <c r="C5" s="21" t="s">
        <v>31</v>
      </c>
      <c r="D5" s="22" t="s">
        <v>16</v>
      </c>
      <c r="E5" s="22">
        <v>12</v>
      </c>
      <c r="F5" s="22">
        <v>0</v>
      </c>
      <c r="G5" s="23">
        <v>12.35</v>
      </c>
      <c r="H5" s="24"/>
      <c r="I5" s="23">
        <f>H5*G5</f>
        <v>0</v>
      </c>
      <c r="L5" s="26" t="str">
        <f>IFERROR(IF($L$2*F5=0, "-", $L$2*F5), "-")</f>
        <v>-</v>
      </c>
      <c r="M5" s="26" t="str">
        <f>IFERROR(IF(L5&gt;0,G5+L5,"-"),"-")</f>
        <v>-</v>
      </c>
      <c r="N5" s="27" t="str">
        <f>IF(H5&gt;0,H5*F5, "-")</f>
        <v>-</v>
      </c>
      <c r="O5" s="28" t="str">
        <f>IFERROR(IF($L$2&gt;0, $L$2*N5, "-"), "-")</f>
        <v>-</v>
      </c>
      <c r="P5" s="10"/>
      <c r="Q5" s="28" t="str">
        <f>IFERROR(IF(O5+#REF!=0, "-", IF(O5&gt;0, O5+#REF!, "-")), "-")</f>
        <v>-</v>
      </c>
    </row>
    <row r="6" spans="1:17" ht="15.6">
      <c r="A6" s="31" t="s">
        <v>52</v>
      </c>
      <c r="B6" s="31">
        <v>850232005393</v>
      </c>
      <c r="C6" s="21" t="s">
        <v>32</v>
      </c>
      <c r="D6" s="30" t="s">
        <v>17</v>
      </c>
      <c r="E6" s="30">
        <v>12</v>
      </c>
      <c r="F6" s="22">
        <v>0.27</v>
      </c>
      <c r="G6" s="23">
        <v>30.55</v>
      </c>
      <c r="H6" s="24"/>
      <c r="I6" s="23">
        <f>H6*G6</f>
        <v>0</v>
      </c>
      <c r="L6" s="26" t="str">
        <f>IFERROR(IF($L$2*F6=0, "-", $L$2*F6), "-")</f>
        <v>-</v>
      </c>
      <c r="M6" s="26" t="str">
        <f>IFERROR(IF(L6&gt;0,G6+L6,"-"),"-")</f>
        <v>-</v>
      </c>
      <c r="N6" s="27" t="str">
        <f>IF(H6&gt;0,H6*F6, "-")</f>
        <v>-</v>
      </c>
      <c r="O6" s="28" t="str">
        <f>IFERROR(IF($L$2&gt;0, $L$2*N6, "-"), "-")</f>
        <v>-</v>
      </c>
      <c r="P6" s="10"/>
      <c r="Q6" s="28" t="str">
        <f>IFERROR(IF(O6+#REF!=0, "-", IF(O6&gt;0, O6+#REF!, "-")), "-")</f>
        <v>-</v>
      </c>
    </row>
    <row r="7" spans="1:17" ht="15.6">
      <c r="A7" s="31" t="s">
        <v>53</v>
      </c>
      <c r="B7" s="31">
        <v>850026494310</v>
      </c>
      <c r="C7" s="21" t="s">
        <v>33</v>
      </c>
      <c r="D7" s="30" t="s">
        <v>18</v>
      </c>
      <c r="E7" s="30">
        <v>12</v>
      </c>
      <c r="F7" s="22">
        <v>0.45</v>
      </c>
      <c r="G7" s="23">
        <v>23.400000000000002</v>
      </c>
      <c r="H7" s="24"/>
      <c r="I7" s="23">
        <f>H7*G7</f>
        <v>0</v>
      </c>
      <c r="L7" s="26" t="str">
        <f>IFERROR(IF($L$2*F7=0, "-", $L$2*F7), "-")</f>
        <v>-</v>
      </c>
      <c r="M7" s="26" t="str">
        <f>IFERROR(IF(L7&gt;0,G7+L7,"-"),"-")</f>
        <v>-</v>
      </c>
      <c r="N7" s="27" t="str">
        <f>IF(H7&gt;0,H7*F7, "-")</f>
        <v>-</v>
      </c>
      <c r="O7" s="28" t="str">
        <f>IFERROR(IF($L$2&gt;0, $L$2*N7, "-"), "-")</f>
        <v>-</v>
      </c>
      <c r="P7" s="10"/>
      <c r="Q7" s="28" t="str">
        <f>IFERROR(IF(O7+#REF!=0, "-", IF(O7&gt;0, O7+#REF!, "-")), "-")</f>
        <v>-</v>
      </c>
    </row>
    <row r="8" spans="1:17" ht="15.6">
      <c r="A8" s="31" t="s">
        <v>54</v>
      </c>
      <c r="B8" s="31">
        <v>850026494228</v>
      </c>
      <c r="C8" s="21" t="s">
        <v>34</v>
      </c>
      <c r="D8" s="30" t="s">
        <v>19</v>
      </c>
      <c r="E8" s="30">
        <v>12</v>
      </c>
      <c r="F8" s="22">
        <v>0</v>
      </c>
      <c r="G8" s="23">
        <v>23.400000000000002</v>
      </c>
      <c r="H8" s="24"/>
      <c r="I8" s="23">
        <f>H8*G8</f>
        <v>0</v>
      </c>
      <c r="L8" s="26" t="str">
        <f>IFERROR(IF($L$2*F8=0, "-", $L$2*F8), "-")</f>
        <v>-</v>
      </c>
      <c r="M8" s="26" t="str">
        <f>IFERROR(IF(L8&gt;0,G8+L8,"-"),"-")</f>
        <v>-</v>
      </c>
      <c r="N8" s="27" t="str">
        <f>IF(H8&gt;0,H8*F8, "-")</f>
        <v>-</v>
      </c>
      <c r="O8" s="28" t="str">
        <f>IFERROR(IF($L$2&gt;0, $L$2*N8, "-"), "-")</f>
        <v>-</v>
      </c>
      <c r="P8" s="10"/>
      <c r="Q8" s="28" t="str">
        <f>IFERROR(IF(O8+#REF!=0, "-", IF(O8&gt;0, O8+#REF!, "-")), "-")</f>
        <v>-</v>
      </c>
    </row>
    <row r="9" spans="1:17" ht="15.6">
      <c r="A9" s="20" t="s">
        <v>55</v>
      </c>
      <c r="B9" s="20">
        <v>810089954305</v>
      </c>
      <c r="C9" s="21" t="s">
        <v>35</v>
      </c>
      <c r="D9" s="30" t="s">
        <v>20</v>
      </c>
      <c r="E9" s="30">
        <v>12</v>
      </c>
      <c r="F9" s="22">
        <v>0.38</v>
      </c>
      <c r="G9" s="23">
        <v>23.400000000000002</v>
      </c>
      <c r="H9" s="24"/>
      <c r="I9" s="23">
        <f>H9*G9</f>
        <v>0</v>
      </c>
      <c r="L9" s="26" t="str">
        <f>IFERROR(IF($L$2*F9=0, "-", $L$2*F9), "-")</f>
        <v>-</v>
      </c>
      <c r="M9" s="26" t="str">
        <f>IFERROR(IF(L9&gt;0,G9+L9,"-"),"-")</f>
        <v>-</v>
      </c>
      <c r="N9" s="27" t="str">
        <f>IF(H9&gt;0,H9*F9, "-")</f>
        <v>-</v>
      </c>
      <c r="O9" s="28" t="str">
        <f>IFERROR(IF($L$2&gt;0, $L$2*N9, "-"), "-")</f>
        <v>-</v>
      </c>
      <c r="P9" s="10"/>
      <c r="Q9" s="28" t="str">
        <f>IFERROR(IF(O9+#REF!=0, "-", IF(O9&gt;0, O9+#REF!, "-")), "-")</f>
        <v>-</v>
      </c>
    </row>
    <row r="10" spans="1:17" ht="15.6">
      <c r="A10" s="31" t="s">
        <v>56</v>
      </c>
      <c r="B10" s="31">
        <v>810089955241</v>
      </c>
      <c r="C10" s="21" t="s">
        <v>36</v>
      </c>
      <c r="D10" s="30" t="s">
        <v>21</v>
      </c>
      <c r="E10" s="30">
        <v>12</v>
      </c>
      <c r="F10" s="22">
        <v>0.37</v>
      </c>
      <c r="G10" s="23">
        <v>28.6</v>
      </c>
      <c r="H10" s="24"/>
      <c r="I10" s="23">
        <f>H10*G10</f>
        <v>0</v>
      </c>
      <c r="L10" s="26" t="str">
        <f>IFERROR(IF($L$2*F10=0, "-", $L$2*F10), "-")</f>
        <v>-</v>
      </c>
      <c r="M10" s="26" t="str">
        <f>IFERROR(IF(L10&gt;0,G10+L10,"-"),"-")</f>
        <v>-</v>
      </c>
      <c r="N10" s="27" t="str">
        <f>IF(H10&gt;0,H10*F10, "-")</f>
        <v>-</v>
      </c>
      <c r="O10" s="28" t="str">
        <f>IFERROR(IF($L$2&gt;0, $L$2*N10, "-"), "-")</f>
        <v>-</v>
      </c>
      <c r="P10" s="10"/>
      <c r="Q10" s="28" t="str">
        <f>IFERROR(IF(O10+#REF!=0, "-", IF(O10&gt;0, O10+#REF!, "-")), "-")</f>
        <v>-</v>
      </c>
    </row>
    <row r="11" spans="1:17" ht="15.6">
      <c r="A11" s="31" t="s">
        <v>57</v>
      </c>
      <c r="B11" s="31">
        <v>850232005485</v>
      </c>
      <c r="C11" s="21" t="s">
        <v>37</v>
      </c>
      <c r="D11" s="30" t="s">
        <v>22</v>
      </c>
      <c r="E11" s="30">
        <v>12</v>
      </c>
      <c r="F11" s="22">
        <v>0.28999999999999998</v>
      </c>
      <c r="G11" s="23">
        <v>32.5</v>
      </c>
      <c r="H11" s="24"/>
      <c r="I11" s="23">
        <f>H11*G11</f>
        <v>0</v>
      </c>
      <c r="L11" s="26" t="str">
        <f>IFERROR(IF($L$2*F11=0, "-", $L$2*F11), "-")</f>
        <v>-</v>
      </c>
      <c r="M11" s="26" t="str">
        <f>IFERROR(IF(L11&gt;0,G11+L11,"-"),"-")</f>
        <v>-</v>
      </c>
      <c r="N11" s="27" t="str">
        <f>IF(H11&gt;0,H11*F11, "-")</f>
        <v>-</v>
      </c>
      <c r="O11" s="28" t="str">
        <f>IFERROR(IF($L$2&gt;0, $L$2*N11, "-"), "-")</f>
        <v>-</v>
      </c>
      <c r="P11" s="10"/>
      <c r="Q11" s="28" t="str">
        <f>IFERROR(IF(O11+#REF!=0, "-", IF(O11&gt;0, O11+#REF!, "-")), "-")</f>
        <v>-</v>
      </c>
    </row>
    <row r="12" spans="1:17" ht="15.6">
      <c r="A12" s="20" t="s">
        <v>58</v>
      </c>
      <c r="B12" s="20">
        <v>850232005409</v>
      </c>
      <c r="C12" s="21" t="s">
        <v>38</v>
      </c>
      <c r="D12" s="22" t="s">
        <v>23</v>
      </c>
      <c r="E12" s="22">
        <v>12</v>
      </c>
      <c r="F12" s="22">
        <v>0</v>
      </c>
      <c r="G12" s="23">
        <v>42.9</v>
      </c>
      <c r="H12" s="24"/>
      <c r="I12" s="23">
        <f>H12*G12</f>
        <v>0</v>
      </c>
      <c r="K12" s="10"/>
      <c r="L12" s="26" t="str">
        <f>IFERROR(IF($L$2*F12=0, "-", $L$2*F12), "-")</f>
        <v>-</v>
      </c>
      <c r="M12" s="26" t="str">
        <f>IFERROR(IF(L12&gt;0,G12+L12,"-"),"-")</f>
        <v>-</v>
      </c>
      <c r="N12" s="27" t="str">
        <f>IF(H12&gt;0,H12*F12, "-")</f>
        <v>-</v>
      </c>
      <c r="O12" s="28" t="str">
        <f>IFERROR(IF($L$2&gt;0, $L$2*N12, "-"), "-")</f>
        <v>-</v>
      </c>
      <c r="P12" s="10"/>
      <c r="Q12" s="28" t="str">
        <f>IFERROR(IF(O12+#REF!=0, "-", IF(O12&gt;0, O12+#REF!, "-")), "-")</f>
        <v>-</v>
      </c>
    </row>
    <row r="13" spans="1:17" ht="15.6">
      <c r="A13" s="31" t="s">
        <v>59</v>
      </c>
      <c r="B13" s="31">
        <v>850232005034</v>
      </c>
      <c r="C13" s="21" t="s">
        <v>39</v>
      </c>
      <c r="D13" s="30" t="s">
        <v>24</v>
      </c>
      <c r="E13" s="30">
        <v>12</v>
      </c>
      <c r="F13" s="22">
        <v>0.37</v>
      </c>
      <c r="G13" s="23">
        <v>26.650000000000002</v>
      </c>
      <c r="H13" s="24"/>
      <c r="I13" s="23">
        <f>H13*G13</f>
        <v>0</v>
      </c>
      <c r="L13" s="26" t="str">
        <f>IFERROR(IF($L$2*F13=0, "-", $L$2*F13), "-")</f>
        <v>-</v>
      </c>
      <c r="M13" s="26" t="str">
        <f>IFERROR(IF(L13&gt;0,G13+L13,"-"),"-")</f>
        <v>-</v>
      </c>
      <c r="N13" s="27" t="str">
        <f>IF(H13&gt;0,H13*F13, "-")</f>
        <v>-</v>
      </c>
      <c r="O13" s="28" t="str">
        <f>IFERROR(IF($L$2&gt;0, $L$2*N13, "-"), "-")</f>
        <v>-</v>
      </c>
      <c r="P13" s="10"/>
      <c r="Q13" s="28" t="str">
        <f>IFERROR(IF(O13+#REF!=0, "-", IF(O13&gt;0, O13+#REF!, "-")), "-")</f>
        <v>-</v>
      </c>
    </row>
    <row r="14" spans="1:17" ht="15.6">
      <c r="A14" s="31" t="s">
        <v>60</v>
      </c>
      <c r="B14" s="31">
        <v>850232005058</v>
      </c>
      <c r="C14" s="21" t="s">
        <v>40</v>
      </c>
      <c r="D14" s="30" t="s">
        <v>2</v>
      </c>
      <c r="E14" s="30">
        <v>12</v>
      </c>
      <c r="F14" s="22">
        <v>0.39</v>
      </c>
      <c r="G14" s="23">
        <v>26.650000000000002</v>
      </c>
      <c r="H14" s="24"/>
      <c r="I14" s="23">
        <f>H14*G14</f>
        <v>0</v>
      </c>
      <c r="L14" s="26" t="str">
        <f>IFERROR(IF($L$2*F14=0, "-", $L$2*F14), "-")</f>
        <v>-</v>
      </c>
      <c r="M14" s="26" t="str">
        <f>IFERROR(IF(L14&gt;0,G14+L14,"-"),"-")</f>
        <v>-</v>
      </c>
      <c r="N14" s="27" t="str">
        <f>IF(H14&gt;0,H14*F14, "-")</f>
        <v>-</v>
      </c>
      <c r="O14" s="28" t="str">
        <f>IFERROR(IF($L$2&gt;0, $L$2*N14, "-"), "-")</f>
        <v>-</v>
      </c>
      <c r="P14" s="10"/>
      <c r="Q14" s="28" t="str">
        <f>IFERROR(IF(O14+#REF!=0, "-", IF(O14&gt;0, O14+#REF!, "-")), "-")</f>
        <v>-</v>
      </c>
    </row>
    <row r="15" spans="1:17" ht="15.6">
      <c r="A15" s="31" t="s">
        <v>61</v>
      </c>
      <c r="B15" s="31">
        <v>850017983373</v>
      </c>
      <c r="C15" s="21" t="s">
        <v>41</v>
      </c>
      <c r="D15" s="30" t="s">
        <v>25</v>
      </c>
      <c r="E15" s="30">
        <v>12</v>
      </c>
      <c r="F15" s="22">
        <v>0.91</v>
      </c>
      <c r="G15" s="23">
        <v>24.7</v>
      </c>
      <c r="H15" s="24"/>
      <c r="I15" s="23">
        <f>H15*G15</f>
        <v>0</v>
      </c>
      <c r="L15" s="26" t="str">
        <f>IFERROR(IF($L$2*F15=0, "-", $L$2*F15), "-")</f>
        <v>-</v>
      </c>
      <c r="M15" s="26" t="str">
        <f>IFERROR(IF(L15&gt;0,G15+L15,"-"),"-")</f>
        <v>-</v>
      </c>
      <c r="N15" s="27" t="str">
        <f>IF(H15&gt;0,H15*F15, "-")</f>
        <v>-</v>
      </c>
      <c r="O15" s="28" t="str">
        <f>IFERROR(IF($L$2&gt;0, $L$2*N15, "-"), "-")</f>
        <v>-</v>
      </c>
      <c r="P15" s="10"/>
      <c r="Q15" s="28" t="str">
        <f>IFERROR(IF(O15+#REF!=0, "-", IF(O15&gt;0, O15+#REF!, "-")), "-")</f>
        <v>-</v>
      </c>
    </row>
    <row r="16" spans="1:17" ht="15.6">
      <c r="A16" s="31" t="s">
        <v>62</v>
      </c>
      <c r="B16" s="31">
        <v>810089955913</v>
      </c>
      <c r="C16" s="21" t="s">
        <v>42</v>
      </c>
      <c r="D16" s="30" t="s">
        <v>14</v>
      </c>
      <c r="E16" s="30">
        <v>12</v>
      </c>
      <c r="F16" s="22">
        <v>0.41</v>
      </c>
      <c r="G16" s="23">
        <v>24.7</v>
      </c>
      <c r="H16" s="24"/>
      <c r="I16" s="23">
        <f>H16*G16</f>
        <v>0</v>
      </c>
      <c r="L16" s="26" t="str">
        <f>IFERROR(IF($L$2*F16=0, "-", $L$2*F16), "-")</f>
        <v>-</v>
      </c>
      <c r="M16" s="26" t="str">
        <f>IFERROR(IF(L16&gt;0,G16+L16,"-"),"-")</f>
        <v>-</v>
      </c>
      <c r="N16" s="27" t="str">
        <f>IF(H16&gt;0,H16*F16, "-")</f>
        <v>-</v>
      </c>
      <c r="O16" s="28" t="str">
        <f>IFERROR(IF($L$2&gt;0, $L$2*N16, "-"), "-")</f>
        <v>-</v>
      </c>
      <c r="P16" s="10"/>
      <c r="Q16" s="28" t="str">
        <f>IFERROR(IF(O16+#REF!=0, "-", IF(O16&gt;0, O16+#REF!, "-")), "-")</f>
        <v>-</v>
      </c>
    </row>
    <row r="17" spans="1:17" ht="15.6">
      <c r="A17" s="32" t="s">
        <v>63</v>
      </c>
      <c r="B17" s="32">
        <v>850232005102</v>
      </c>
      <c r="C17" s="21" t="s">
        <v>43</v>
      </c>
      <c r="D17" s="33" t="s">
        <v>26</v>
      </c>
      <c r="E17" s="33">
        <v>12</v>
      </c>
      <c r="F17" s="22">
        <v>0</v>
      </c>
      <c r="G17" s="23">
        <v>25.35</v>
      </c>
      <c r="H17" s="24"/>
      <c r="I17" s="23">
        <f>H17*G17</f>
        <v>0</v>
      </c>
      <c r="L17" s="26" t="str">
        <f>IFERROR(IF($L$2*F17=0, "-", $L$2*F17), "-")</f>
        <v>-</v>
      </c>
      <c r="M17" s="26" t="str">
        <f>IFERROR(IF(L17&gt;0,G17+L17,"-"),"-")</f>
        <v>-</v>
      </c>
      <c r="N17" s="27" t="str">
        <f>IF(H17&gt;0,H17*F17, "-")</f>
        <v>-</v>
      </c>
      <c r="O17" s="28" t="str">
        <f>IFERROR(IF($L$2&gt;0, $L$2*N17, "-"), "-")</f>
        <v>-</v>
      </c>
      <c r="P17" s="10"/>
      <c r="Q17" s="28" t="str">
        <f>IFERROR(IF(O17+#REF!=0, "-", IF(O17&gt;0, O17+#REF!, "-")), "-")</f>
        <v>-</v>
      </c>
    </row>
    <row r="18" spans="1:17" ht="15.6">
      <c r="A18" s="20" t="s">
        <v>64</v>
      </c>
      <c r="B18" s="20">
        <v>850232005157</v>
      </c>
      <c r="C18" s="21" t="s">
        <v>44</v>
      </c>
      <c r="D18" s="22" t="s">
        <v>27</v>
      </c>
      <c r="E18" s="22">
        <v>12</v>
      </c>
      <c r="F18" s="22">
        <v>0.16</v>
      </c>
      <c r="G18" s="23">
        <v>31.200000000000003</v>
      </c>
      <c r="H18" s="24"/>
      <c r="I18" s="23">
        <f>H18*G18</f>
        <v>0</v>
      </c>
      <c r="L18" s="26" t="str">
        <f>IFERROR(IF($L$2*F18=0, "-", $L$2*F18), "-")</f>
        <v>-</v>
      </c>
      <c r="M18" s="26" t="str">
        <f>IFERROR(IF(L18&gt;0,G18+L18,"-"),"-")</f>
        <v>-</v>
      </c>
      <c r="N18" s="27" t="str">
        <f>IF(H18&gt;0,H18*F18, "-")</f>
        <v>-</v>
      </c>
      <c r="O18" s="28" t="str">
        <f>IFERROR(IF($L$2&gt;0, $L$2*N18, "-"), "-")</f>
        <v>-</v>
      </c>
      <c r="P18" s="10"/>
      <c r="Q18" s="28" t="str">
        <f>IFERROR(IF(O18+#REF!=0, "-", IF(O18&gt;0, O18+#REF!, "-")), "-")</f>
        <v>-</v>
      </c>
    </row>
    <row r="19" spans="1:17" ht="15.6">
      <c r="A19" s="20" t="s">
        <v>65</v>
      </c>
      <c r="B19" s="20">
        <v>850502008932</v>
      </c>
      <c r="C19" s="21" t="s">
        <v>45</v>
      </c>
      <c r="D19" s="22" t="s">
        <v>27</v>
      </c>
      <c r="E19" s="22">
        <v>12</v>
      </c>
      <c r="F19" s="22">
        <v>0.16</v>
      </c>
      <c r="G19" s="23">
        <v>33.800000000000004</v>
      </c>
      <c r="H19" s="24"/>
      <c r="I19" s="23">
        <f>H19*G19</f>
        <v>0</v>
      </c>
      <c r="L19" s="26" t="str">
        <f>IFERROR(IF($L$2*F19=0, "-", $L$2*F19), "-")</f>
        <v>-</v>
      </c>
      <c r="M19" s="26" t="str">
        <f>IFERROR(IF(L19&gt;0,G19+L19,"-"),"-")</f>
        <v>-</v>
      </c>
      <c r="N19" s="27" t="str">
        <f>IF(H19&gt;0,H19*F19, "-")</f>
        <v>-</v>
      </c>
      <c r="O19" s="28" t="str">
        <f>IFERROR(IF($L$2&gt;0, $L$2*N19, "-"), "-")</f>
        <v>-</v>
      </c>
      <c r="P19" s="10"/>
      <c r="Q19" s="28" t="str">
        <f>IFERROR(IF(O19+#REF!=0, "-", IF(O19&gt;0, O19+#REF!, "-")), "-")</f>
        <v>-</v>
      </c>
    </row>
    <row r="20" spans="1:17" ht="15.6">
      <c r="A20" s="31" t="s">
        <v>66</v>
      </c>
      <c r="B20" s="31">
        <v>850232005652</v>
      </c>
      <c r="C20" s="21" t="s">
        <v>46</v>
      </c>
      <c r="D20" s="30" t="s">
        <v>28</v>
      </c>
      <c r="E20" s="30">
        <v>12</v>
      </c>
      <c r="F20" s="22">
        <v>0.31</v>
      </c>
      <c r="G20" s="23">
        <v>35.1</v>
      </c>
      <c r="H20" s="24"/>
      <c r="I20" s="23">
        <f>H20*G20</f>
        <v>0</v>
      </c>
      <c r="L20" s="26" t="str">
        <f>IFERROR(IF($L$2*F20=0, "-", $L$2*F20), "-")</f>
        <v>-</v>
      </c>
      <c r="M20" s="26" t="str">
        <f>IFERROR(IF(L20&gt;0,G20+L20,"-"),"-")</f>
        <v>-</v>
      </c>
      <c r="N20" s="27" t="str">
        <f>IF(H20&gt;0,H20*F20, "-")</f>
        <v>-</v>
      </c>
      <c r="O20" s="28" t="str">
        <f>IFERROR(IF($L$2&gt;0, $L$2*N20, "-"), "-")</f>
        <v>-</v>
      </c>
      <c r="P20" s="10"/>
      <c r="Q20" s="28" t="str">
        <f>IFERROR(IF(O20+#REF!=0, "-", IF(O20&gt;0, O20+#REF!, "-")), "-")</f>
        <v>-</v>
      </c>
    </row>
    <row r="21" spans="1:17" ht="15.6">
      <c r="A21" s="31" t="s">
        <v>67</v>
      </c>
      <c r="B21" s="31">
        <v>810089955906</v>
      </c>
      <c r="C21" s="21" t="s">
        <v>47</v>
      </c>
      <c r="D21" s="30" t="s">
        <v>29</v>
      </c>
      <c r="E21" s="30">
        <v>12</v>
      </c>
      <c r="F21" s="22">
        <v>0.6</v>
      </c>
      <c r="G21" s="23">
        <v>13.975</v>
      </c>
      <c r="H21" s="24"/>
      <c r="I21" s="23">
        <f>H21*G21</f>
        <v>0</v>
      </c>
      <c r="L21" s="26" t="str">
        <f>IFERROR(IF($L$2*F21=0, "-", $L$2*F21), "-")</f>
        <v>-</v>
      </c>
      <c r="M21" s="26" t="str">
        <f>IFERROR(IF(L21&gt;0,G21+L21,"-"),"-")</f>
        <v>-</v>
      </c>
      <c r="N21" s="27" t="str">
        <f>IF(H21&gt;0,H21*F21, "-")</f>
        <v>-</v>
      </c>
      <c r="O21" s="28" t="str">
        <f>IFERROR(IF($L$2&gt;0, $L$2*N21, "-"), "-")</f>
        <v>-</v>
      </c>
      <c r="P21" s="10"/>
      <c r="Q21" s="28" t="str">
        <f>IFERROR(IF(O21+#REF!=0, "-", IF(O21&gt;0, O21+#REF!, "-")), "-")</f>
        <v>-</v>
      </c>
    </row>
  </sheetData>
  <sheetProtection algorithmName="SHA-512" hashValue="UzIKmv646UTwJQxeCsBr3SFq+gtl09Rk1s0zybpCTiSDIlgFrvzSy4QyaH3S2hl7Qgo2xfz9/W2/4N8reFRTsg==" saltValue="bWUfy2JYme086eSux/wd/w==" spinCount="100000" sheet="1" formatCells="0" formatColumns="0" formatRows="0" insertColumns="0" insertRows="0" insertHyperlinks="0" deleteColumns="0" deleteRows="0" sort="0" autoFilter="0" pivotTables="0"/>
  <protectedRanges>
    <protectedRange sqref="L2" name="Тариф"/>
    <protectedRange sqref="H3:H21" name="Кількість"/>
  </protectedRanges>
  <autoFilter ref="B2:I21" xr:uid="{00000000-0001-0000-0000-000000000000}"/>
  <mergeCells count="2">
    <mergeCell ref="M1:M2"/>
    <mergeCell ref="A1:I1"/>
  </mergeCells>
  <phoneticPr fontId="1" type="noConversion"/>
  <conditionalFormatting sqref="Q1">
    <cfRule type="expression" dxfId="0" priority="1">
      <formula>"&gt;0"</formula>
    </cfRule>
  </conditionalFormatting>
  <dataValidations count="1">
    <dataValidation type="custom" allowBlank="1" showInputMessage="1" showErrorMessage="1" error="Order quantity must be a multiple of Sales per Unit Case (See Column E)." prompt="Order quantity must be a multiple of Sales per Unit Case (See Column E)." sqref="H3:H21" xr:uid="{A20846E4-48FE-4F22-9644-B390399242DF}">
      <formula1>MOD(H3,E3)=0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(Vital Proteins)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Денис Хомик</cp:lastModifiedBy>
  <dcterms:created xsi:type="dcterms:W3CDTF">2025-05-30T03:41:07Z</dcterms:created>
  <dcterms:modified xsi:type="dcterms:W3CDTF">2026-03-09T10:05:37Z</dcterms:modified>
</cp:coreProperties>
</file>