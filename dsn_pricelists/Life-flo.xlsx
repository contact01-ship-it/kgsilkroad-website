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nch\Downloads\"/>
    </mc:Choice>
  </mc:AlternateContent>
  <xr:revisionPtr revIDLastSave="0" documentId="13_ncr:1_{87474A7C-BB00-4336-AB99-7F8188BBC22A}" xr6:coauthVersionLast="47" xr6:coauthVersionMax="47" xr10:uidLastSave="{00000000-0000-0000-0000-000000000000}"/>
  <bookViews>
    <workbookView xWindow="-108" yWindow="-108" windowWidth="23256" windowHeight="13896" xr2:uid="{09CE9D42-D414-47BA-9BF1-DB66E1FA06BC}"/>
  </bookViews>
  <sheets>
    <sheet name="DSN GROUP (LifeFlo)" sheetId="5" r:id="rId1"/>
    <sheet name="ALL BRANDS" sheetId="8" r:id="rId2"/>
  </sheets>
  <definedNames>
    <definedName name="_xlnm._FilterDatabase" localSheetId="1" hidden="1">'ALL BRANDS'!$A$2:$K$1072</definedName>
    <definedName name="_xlnm._FilterDatabase" localSheetId="0" hidden="1">'DSN GROUP (LifeFlo)'!$A$2:$L$2</definedName>
    <definedName name="myimage">_xlfn.XLOOKUP(#REF!,#REF!,#REF!)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72" i="8" l="1"/>
  <c r="S1072" i="8" s="1"/>
  <c r="P1072" i="8"/>
  <c r="N1072" i="8"/>
  <c r="O1072" i="8" s="1"/>
  <c r="K1072" i="8"/>
  <c r="Q1071" i="8"/>
  <c r="S1071" i="8" s="1"/>
  <c r="P1071" i="8"/>
  <c r="N1071" i="8"/>
  <c r="O1071" i="8" s="1"/>
  <c r="K1071" i="8"/>
  <c r="Q1070" i="8"/>
  <c r="S1070" i="8" s="1"/>
  <c r="P1070" i="8"/>
  <c r="N1070" i="8"/>
  <c r="O1070" i="8" s="1"/>
  <c r="K1070" i="8"/>
  <c r="Q1069" i="8"/>
  <c r="S1069" i="8" s="1"/>
  <c r="P1069" i="8"/>
  <c r="N1069" i="8"/>
  <c r="O1069" i="8" s="1"/>
  <c r="K1069" i="8"/>
  <c r="Q1068" i="8"/>
  <c r="S1068" i="8" s="1"/>
  <c r="P1068" i="8"/>
  <c r="N1068" i="8"/>
  <c r="O1068" i="8" s="1"/>
  <c r="K1068" i="8"/>
  <c r="Q1067" i="8"/>
  <c r="S1067" i="8" s="1"/>
  <c r="P1067" i="8"/>
  <c r="N1067" i="8"/>
  <c r="O1067" i="8" s="1"/>
  <c r="K1067" i="8"/>
  <c r="Q1066" i="8"/>
  <c r="S1066" i="8" s="1"/>
  <c r="P1066" i="8"/>
  <c r="N1066" i="8"/>
  <c r="O1066" i="8" s="1"/>
  <c r="K1066" i="8"/>
  <c r="Q1065" i="8"/>
  <c r="S1065" i="8" s="1"/>
  <c r="P1065" i="8"/>
  <c r="N1065" i="8"/>
  <c r="O1065" i="8" s="1"/>
  <c r="K1065" i="8"/>
  <c r="Q1064" i="8"/>
  <c r="S1064" i="8" s="1"/>
  <c r="P1064" i="8"/>
  <c r="N1064" i="8"/>
  <c r="O1064" i="8" s="1"/>
  <c r="K1064" i="8"/>
  <c r="Q1063" i="8"/>
  <c r="S1063" i="8" s="1"/>
  <c r="P1063" i="8"/>
  <c r="N1063" i="8"/>
  <c r="O1063" i="8" s="1"/>
  <c r="K1063" i="8"/>
  <c r="Q1062" i="8"/>
  <c r="S1062" i="8" s="1"/>
  <c r="P1062" i="8"/>
  <c r="N1062" i="8"/>
  <c r="O1062" i="8" s="1"/>
  <c r="K1062" i="8"/>
  <c r="Q1061" i="8"/>
  <c r="S1061" i="8" s="1"/>
  <c r="P1061" i="8"/>
  <c r="N1061" i="8"/>
  <c r="O1061" i="8" s="1"/>
  <c r="K1061" i="8"/>
  <c r="Q1060" i="8"/>
  <c r="S1060" i="8" s="1"/>
  <c r="P1060" i="8"/>
  <c r="N1060" i="8"/>
  <c r="O1060" i="8" s="1"/>
  <c r="K1060" i="8"/>
  <c r="Q1059" i="8"/>
  <c r="S1059" i="8" s="1"/>
  <c r="P1059" i="8"/>
  <c r="N1059" i="8"/>
  <c r="O1059" i="8" s="1"/>
  <c r="K1059" i="8"/>
  <c r="Q1058" i="8"/>
  <c r="S1058" i="8" s="1"/>
  <c r="P1058" i="8"/>
  <c r="N1058" i="8"/>
  <c r="O1058" i="8" s="1"/>
  <c r="K1058" i="8"/>
  <c r="Q1057" i="8"/>
  <c r="S1057" i="8" s="1"/>
  <c r="P1057" i="8"/>
  <c r="N1057" i="8"/>
  <c r="O1057" i="8" s="1"/>
  <c r="K1057" i="8"/>
  <c r="Q1056" i="8"/>
  <c r="S1056" i="8" s="1"/>
  <c r="P1056" i="8"/>
  <c r="N1056" i="8"/>
  <c r="O1056" i="8" s="1"/>
  <c r="K1056" i="8"/>
  <c r="Q1055" i="8"/>
  <c r="S1055" i="8" s="1"/>
  <c r="P1055" i="8"/>
  <c r="N1055" i="8"/>
  <c r="O1055" i="8" s="1"/>
  <c r="K1055" i="8"/>
  <c r="Q1054" i="8"/>
  <c r="S1054" i="8" s="1"/>
  <c r="P1054" i="8"/>
  <c r="N1054" i="8"/>
  <c r="O1054" i="8" s="1"/>
  <c r="K1054" i="8"/>
  <c r="Q1053" i="8"/>
  <c r="S1053" i="8" s="1"/>
  <c r="P1053" i="8"/>
  <c r="N1053" i="8"/>
  <c r="O1053" i="8" s="1"/>
  <c r="K1053" i="8"/>
  <c r="Q1052" i="8"/>
  <c r="S1052" i="8" s="1"/>
  <c r="P1052" i="8"/>
  <c r="N1052" i="8"/>
  <c r="O1052" i="8" s="1"/>
  <c r="K1052" i="8"/>
  <c r="Q1051" i="8"/>
  <c r="S1051" i="8" s="1"/>
  <c r="P1051" i="8"/>
  <c r="N1051" i="8"/>
  <c r="O1051" i="8" s="1"/>
  <c r="K1051" i="8"/>
  <c r="Q1050" i="8"/>
  <c r="S1050" i="8" s="1"/>
  <c r="P1050" i="8"/>
  <c r="N1050" i="8"/>
  <c r="O1050" i="8" s="1"/>
  <c r="K1050" i="8"/>
  <c r="Q1049" i="8"/>
  <c r="S1049" i="8" s="1"/>
  <c r="P1049" i="8"/>
  <c r="N1049" i="8"/>
  <c r="O1049" i="8" s="1"/>
  <c r="K1049" i="8"/>
  <c r="Q1048" i="8"/>
  <c r="S1048" i="8" s="1"/>
  <c r="P1048" i="8"/>
  <c r="N1048" i="8"/>
  <c r="O1048" i="8" s="1"/>
  <c r="K1048" i="8"/>
  <c r="Q1047" i="8"/>
  <c r="S1047" i="8" s="1"/>
  <c r="P1047" i="8"/>
  <c r="N1047" i="8"/>
  <c r="O1047" i="8" s="1"/>
  <c r="K1047" i="8"/>
  <c r="Q1046" i="8"/>
  <c r="S1046" i="8" s="1"/>
  <c r="P1046" i="8"/>
  <c r="N1046" i="8"/>
  <c r="O1046" i="8" s="1"/>
  <c r="K1046" i="8"/>
  <c r="Q1045" i="8"/>
  <c r="S1045" i="8" s="1"/>
  <c r="P1045" i="8"/>
  <c r="N1045" i="8"/>
  <c r="O1045" i="8" s="1"/>
  <c r="K1045" i="8"/>
  <c r="Q1044" i="8"/>
  <c r="S1044" i="8" s="1"/>
  <c r="P1044" i="8"/>
  <c r="N1044" i="8"/>
  <c r="O1044" i="8" s="1"/>
  <c r="K1044" i="8"/>
  <c r="Q1043" i="8"/>
  <c r="S1043" i="8" s="1"/>
  <c r="P1043" i="8"/>
  <c r="N1043" i="8"/>
  <c r="O1043" i="8" s="1"/>
  <c r="K1043" i="8"/>
  <c r="Q1042" i="8"/>
  <c r="S1042" i="8" s="1"/>
  <c r="P1042" i="8"/>
  <c r="N1042" i="8"/>
  <c r="O1042" i="8" s="1"/>
  <c r="K1042" i="8"/>
  <c r="Q1041" i="8"/>
  <c r="S1041" i="8" s="1"/>
  <c r="P1041" i="8"/>
  <c r="N1041" i="8"/>
  <c r="O1041" i="8" s="1"/>
  <c r="K1041" i="8"/>
  <c r="Q1040" i="8"/>
  <c r="S1040" i="8" s="1"/>
  <c r="P1040" i="8"/>
  <c r="N1040" i="8"/>
  <c r="O1040" i="8" s="1"/>
  <c r="K1040" i="8"/>
  <c r="Q1039" i="8"/>
  <c r="S1039" i="8" s="1"/>
  <c r="P1039" i="8"/>
  <c r="N1039" i="8"/>
  <c r="O1039" i="8" s="1"/>
  <c r="K1039" i="8"/>
  <c r="Q1038" i="8"/>
  <c r="S1038" i="8" s="1"/>
  <c r="P1038" i="8"/>
  <c r="N1038" i="8"/>
  <c r="O1038" i="8" s="1"/>
  <c r="K1038" i="8"/>
  <c r="Q1037" i="8"/>
  <c r="S1037" i="8" s="1"/>
  <c r="P1037" i="8"/>
  <c r="N1037" i="8"/>
  <c r="O1037" i="8" s="1"/>
  <c r="K1037" i="8"/>
  <c r="Q1036" i="8"/>
  <c r="S1036" i="8" s="1"/>
  <c r="P1036" i="8"/>
  <c r="N1036" i="8"/>
  <c r="O1036" i="8" s="1"/>
  <c r="K1036" i="8"/>
  <c r="Q1035" i="8"/>
  <c r="S1035" i="8" s="1"/>
  <c r="P1035" i="8"/>
  <c r="N1035" i="8"/>
  <c r="O1035" i="8" s="1"/>
  <c r="K1035" i="8"/>
  <c r="Q1034" i="8"/>
  <c r="S1034" i="8" s="1"/>
  <c r="P1034" i="8"/>
  <c r="N1034" i="8"/>
  <c r="O1034" i="8" s="1"/>
  <c r="K1034" i="8"/>
  <c r="Q1033" i="8"/>
  <c r="S1033" i="8" s="1"/>
  <c r="P1033" i="8"/>
  <c r="N1033" i="8"/>
  <c r="O1033" i="8" s="1"/>
  <c r="K1033" i="8"/>
  <c r="Q1032" i="8"/>
  <c r="S1032" i="8" s="1"/>
  <c r="P1032" i="8"/>
  <c r="N1032" i="8"/>
  <c r="O1032" i="8" s="1"/>
  <c r="K1032" i="8"/>
  <c r="Q1031" i="8"/>
  <c r="S1031" i="8" s="1"/>
  <c r="P1031" i="8"/>
  <c r="N1031" i="8"/>
  <c r="O1031" i="8" s="1"/>
  <c r="K1031" i="8"/>
  <c r="Q1030" i="8"/>
  <c r="S1030" i="8" s="1"/>
  <c r="P1030" i="8"/>
  <c r="N1030" i="8"/>
  <c r="O1030" i="8" s="1"/>
  <c r="K1030" i="8"/>
  <c r="Q1029" i="8"/>
  <c r="S1029" i="8" s="1"/>
  <c r="P1029" i="8"/>
  <c r="N1029" i="8"/>
  <c r="O1029" i="8" s="1"/>
  <c r="K1029" i="8"/>
  <c r="Q1028" i="8"/>
  <c r="S1028" i="8" s="1"/>
  <c r="P1028" i="8"/>
  <c r="N1028" i="8"/>
  <c r="O1028" i="8" s="1"/>
  <c r="K1028" i="8"/>
  <c r="Q1027" i="8"/>
  <c r="S1027" i="8" s="1"/>
  <c r="P1027" i="8"/>
  <c r="N1027" i="8"/>
  <c r="O1027" i="8" s="1"/>
  <c r="K1027" i="8"/>
  <c r="Q1026" i="8"/>
  <c r="S1026" i="8" s="1"/>
  <c r="P1026" i="8"/>
  <c r="N1026" i="8"/>
  <c r="O1026" i="8" s="1"/>
  <c r="K1026" i="8"/>
  <c r="Q1025" i="8"/>
  <c r="S1025" i="8" s="1"/>
  <c r="P1025" i="8"/>
  <c r="N1025" i="8"/>
  <c r="O1025" i="8" s="1"/>
  <c r="K1025" i="8"/>
  <c r="Q1024" i="8"/>
  <c r="S1024" i="8" s="1"/>
  <c r="P1024" i="8"/>
  <c r="N1024" i="8"/>
  <c r="O1024" i="8" s="1"/>
  <c r="K1024" i="8"/>
  <c r="Q1023" i="8"/>
  <c r="S1023" i="8" s="1"/>
  <c r="P1023" i="8"/>
  <c r="N1023" i="8"/>
  <c r="O1023" i="8" s="1"/>
  <c r="K1023" i="8"/>
  <c r="Q1022" i="8"/>
  <c r="S1022" i="8" s="1"/>
  <c r="P1022" i="8"/>
  <c r="N1022" i="8"/>
  <c r="O1022" i="8" s="1"/>
  <c r="K1022" i="8"/>
  <c r="Q1021" i="8"/>
  <c r="S1021" i="8" s="1"/>
  <c r="P1021" i="8"/>
  <c r="N1021" i="8"/>
  <c r="O1021" i="8" s="1"/>
  <c r="K1021" i="8"/>
  <c r="Q1020" i="8"/>
  <c r="S1020" i="8" s="1"/>
  <c r="P1020" i="8"/>
  <c r="N1020" i="8"/>
  <c r="O1020" i="8" s="1"/>
  <c r="K1020" i="8"/>
  <c r="Q1019" i="8"/>
  <c r="S1019" i="8" s="1"/>
  <c r="P1019" i="8"/>
  <c r="N1019" i="8"/>
  <c r="O1019" i="8" s="1"/>
  <c r="K1019" i="8"/>
  <c r="Q1018" i="8"/>
  <c r="S1018" i="8" s="1"/>
  <c r="P1018" i="8"/>
  <c r="N1018" i="8"/>
  <c r="O1018" i="8" s="1"/>
  <c r="K1018" i="8"/>
  <c r="Q1017" i="8"/>
  <c r="S1017" i="8" s="1"/>
  <c r="P1017" i="8"/>
  <c r="N1017" i="8"/>
  <c r="O1017" i="8" s="1"/>
  <c r="K1017" i="8"/>
  <c r="Q1016" i="8"/>
  <c r="S1016" i="8" s="1"/>
  <c r="P1016" i="8"/>
  <c r="N1016" i="8"/>
  <c r="O1016" i="8" s="1"/>
  <c r="K1016" i="8"/>
  <c r="Q1015" i="8"/>
  <c r="S1015" i="8" s="1"/>
  <c r="P1015" i="8"/>
  <c r="N1015" i="8"/>
  <c r="O1015" i="8" s="1"/>
  <c r="K1015" i="8"/>
  <c r="Q1014" i="8"/>
  <c r="S1014" i="8" s="1"/>
  <c r="P1014" i="8"/>
  <c r="N1014" i="8"/>
  <c r="O1014" i="8" s="1"/>
  <c r="K1014" i="8"/>
  <c r="Q1013" i="8"/>
  <c r="S1013" i="8" s="1"/>
  <c r="P1013" i="8"/>
  <c r="N1013" i="8"/>
  <c r="O1013" i="8" s="1"/>
  <c r="K1013" i="8"/>
  <c r="Q1012" i="8"/>
  <c r="S1012" i="8" s="1"/>
  <c r="P1012" i="8"/>
  <c r="N1012" i="8"/>
  <c r="O1012" i="8" s="1"/>
  <c r="K1012" i="8"/>
  <c r="Q1011" i="8"/>
  <c r="S1011" i="8" s="1"/>
  <c r="P1011" i="8"/>
  <c r="N1011" i="8"/>
  <c r="O1011" i="8" s="1"/>
  <c r="K1011" i="8"/>
  <c r="Q1010" i="8"/>
  <c r="S1010" i="8" s="1"/>
  <c r="P1010" i="8"/>
  <c r="N1010" i="8"/>
  <c r="O1010" i="8" s="1"/>
  <c r="K1010" i="8"/>
  <c r="Q1009" i="8"/>
  <c r="S1009" i="8" s="1"/>
  <c r="P1009" i="8"/>
  <c r="N1009" i="8"/>
  <c r="O1009" i="8" s="1"/>
  <c r="K1009" i="8"/>
  <c r="Q1008" i="8"/>
  <c r="S1008" i="8" s="1"/>
  <c r="P1008" i="8"/>
  <c r="N1008" i="8"/>
  <c r="O1008" i="8" s="1"/>
  <c r="K1008" i="8"/>
  <c r="Q1007" i="8"/>
  <c r="S1007" i="8" s="1"/>
  <c r="P1007" i="8"/>
  <c r="N1007" i="8"/>
  <c r="O1007" i="8" s="1"/>
  <c r="K1007" i="8"/>
  <c r="Q1006" i="8"/>
  <c r="S1006" i="8" s="1"/>
  <c r="P1006" i="8"/>
  <c r="N1006" i="8"/>
  <c r="O1006" i="8" s="1"/>
  <c r="K1006" i="8"/>
  <c r="Q1005" i="8"/>
  <c r="S1005" i="8" s="1"/>
  <c r="P1005" i="8"/>
  <c r="N1005" i="8"/>
  <c r="O1005" i="8" s="1"/>
  <c r="K1005" i="8"/>
  <c r="Q1004" i="8"/>
  <c r="S1004" i="8" s="1"/>
  <c r="P1004" i="8"/>
  <c r="N1004" i="8"/>
  <c r="O1004" i="8" s="1"/>
  <c r="K1004" i="8"/>
  <c r="Q1003" i="8"/>
  <c r="S1003" i="8" s="1"/>
  <c r="P1003" i="8"/>
  <c r="N1003" i="8"/>
  <c r="O1003" i="8" s="1"/>
  <c r="K1003" i="8"/>
  <c r="Q1002" i="8"/>
  <c r="S1002" i="8" s="1"/>
  <c r="P1002" i="8"/>
  <c r="N1002" i="8"/>
  <c r="O1002" i="8" s="1"/>
  <c r="K1002" i="8"/>
  <c r="Q1001" i="8"/>
  <c r="S1001" i="8" s="1"/>
  <c r="P1001" i="8"/>
  <c r="N1001" i="8"/>
  <c r="O1001" i="8" s="1"/>
  <c r="K1001" i="8"/>
  <c r="Q1000" i="8"/>
  <c r="S1000" i="8" s="1"/>
  <c r="P1000" i="8"/>
  <c r="N1000" i="8"/>
  <c r="O1000" i="8" s="1"/>
  <c r="K1000" i="8"/>
  <c r="Q999" i="8"/>
  <c r="S999" i="8" s="1"/>
  <c r="P999" i="8"/>
  <c r="N999" i="8"/>
  <c r="O999" i="8" s="1"/>
  <c r="K999" i="8"/>
  <c r="Q998" i="8"/>
  <c r="S998" i="8" s="1"/>
  <c r="P998" i="8"/>
  <c r="N998" i="8"/>
  <c r="O998" i="8" s="1"/>
  <c r="K998" i="8"/>
  <c r="Q997" i="8"/>
  <c r="S997" i="8" s="1"/>
  <c r="P997" i="8"/>
  <c r="N997" i="8"/>
  <c r="O997" i="8" s="1"/>
  <c r="K997" i="8"/>
  <c r="Q996" i="8"/>
  <c r="S996" i="8" s="1"/>
  <c r="P996" i="8"/>
  <c r="N996" i="8"/>
  <c r="O996" i="8" s="1"/>
  <c r="K996" i="8"/>
  <c r="Q995" i="8"/>
  <c r="S995" i="8" s="1"/>
  <c r="P995" i="8"/>
  <c r="N995" i="8"/>
  <c r="O995" i="8" s="1"/>
  <c r="K995" i="8"/>
  <c r="Q994" i="8"/>
  <c r="S994" i="8" s="1"/>
  <c r="P994" i="8"/>
  <c r="N994" i="8"/>
  <c r="O994" i="8" s="1"/>
  <c r="K994" i="8"/>
  <c r="Q993" i="8"/>
  <c r="S993" i="8" s="1"/>
  <c r="P993" i="8"/>
  <c r="N993" i="8"/>
  <c r="O993" i="8" s="1"/>
  <c r="K993" i="8"/>
  <c r="Q992" i="8"/>
  <c r="S992" i="8" s="1"/>
  <c r="P992" i="8"/>
  <c r="N992" i="8"/>
  <c r="O992" i="8" s="1"/>
  <c r="K992" i="8"/>
  <c r="Q991" i="8"/>
  <c r="S991" i="8" s="1"/>
  <c r="P991" i="8"/>
  <c r="N991" i="8"/>
  <c r="O991" i="8" s="1"/>
  <c r="K991" i="8"/>
  <c r="Q990" i="8"/>
  <c r="S990" i="8" s="1"/>
  <c r="P990" i="8"/>
  <c r="N990" i="8"/>
  <c r="O990" i="8" s="1"/>
  <c r="K990" i="8"/>
  <c r="Q989" i="8"/>
  <c r="S989" i="8" s="1"/>
  <c r="P989" i="8"/>
  <c r="N989" i="8"/>
  <c r="O989" i="8" s="1"/>
  <c r="K989" i="8"/>
  <c r="Q988" i="8"/>
  <c r="S988" i="8" s="1"/>
  <c r="P988" i="8"/>
  <c r="N988" i="8"/>
  <c r="O988" i="8" s="1"/>
  <c r="K988" i="8"/>
  <c r="Q987" i="8"/>
  <c r="S987" i="8" s="1"/>
  <c r="P987" i="8"/>
  <c r="N987" i="8"/>
  <c r="O987" i="8" s="1"/>
  <c r="K987" i="8"/>
  <c r="Q986" i="8"/>
  <c r="S986" i="8" s="1"/>
  <c r="P986" i="8"/>
  <c r="N986" i="8"/>
  <c r="O986" i="8" s="1"/>
  <c r="K986" i="8"/>
  <c r="Q985" i="8"/>
  <c r="S985" i="8" s="1"/>
  <c r="P985" i="8"/>
  <c r="N985" i="8"/>
  <c r="O985" i="8" s="1"/>
  <c r="K985" i="8"/>
  <c r="Q984" i="8"/>
  <c r="S984" i="8" s="1"/>
  <c r="P984" i="8"/>
  <c r="N984" i="8"/>
  <c r="O984" i="8" s="1"/>
  <c r="K984" i="8"/>
  <c r="Q983" i="8"/>
  <c r="S983" i="8" s="1"/>
  <c r="P983" i="8"/>
  <c r="N983" i="8"/>
  <c r="O983" i="8" s="1"/>
  <c r="K983" i="8"/>
  <c r="Q982" i="8"/>
  <c r="S982" i="8" s="1"/>
  <c r="P982" i="8"/>
  <c r="N982" i="8"/>
  <c r="O982" i="8" s="1"/>
  <c r="K982" i="8"/>
  <c r="Q981" i="8"/>
  <c r="S981" i="8" s="1"/>
  <c r="P981" i="8"/>
  <c r="N981" i="8"/>
  <c r="O981" i="8" s="1"/>
  <c r="K981" i="8"/>
  <c r="Q980" i="8"/>
  <c r="S980" i="8" s="1"/>
  <c r="P980" i="8"/>
  <c r="N980" i="8"/>
  <c r="O980" i="8" s="1"/>
  <c r="K980" i="8"/>
  <c r="Q979" i="8"/>
  <c r="S979" i="8" s="1"/>
  <c r="P979" i="8"/>
  <c r="N979" i="8"/>
  <c r="O979" i="8" s="1"/>
  <c r="K979" i="8"/>
  <c r="Q978" i="8"/>
  <c r="S978" i="8" s="1"/>
  <c r="P978" i="8"/>
  <c r="N978" i="8"/>
  <c r="O978" i="8" s="1"/>
  <c r="K978" i="8"/>
  <c r="Q977" i="8"/>
  <c r="S977" i="8" s="1"/>
  <c r="P977" i="8"/>
  <c r="N977" i="8"/>
  <c r="O977" i="8" s="1"/>
  <c r="K977" i="8"/>
  <c r="Q976" i="8"/>
  <c r="S976" i="8" s="1"/>
  <c r="P976" i="8"/>
  <c r="N976" i="8"/>
  <c r="O976" i="8" s="1"/>
  <c r="K976" i="8"/>
  <c r="Q975" i="8"/>
  <c r="S975" i="8" s="1"/>
  <c r="P975" i="8"/>
  <c r="N975" i="8"/>
  <c r="O975" i="8" s="1"/>
  <c r="K975" i="8"/>
  <c r="Q974" i="8"/>
  <c r="S974" i="8" s="1"/>
  <c r="P974" i="8"/>
  <c r="N974" i="8"/>
  <c r="O974" i="8" s="1"/>
  <c r="K974" i="8"/>
  <c r="Q973" i="8"/>
  <c r="S973" i="8" s="1"/>
  <c r="P973" i="8"/>
  <c r="N973" i="8"/>
  <c r="O973" i="8" s="1"/>
  <c r="K973" i="8"/>
  <c r="Q972" i="8"/>
  <c r="S972" i="8" s="1"/>
  <c r="P972" i="8"/>
  <c r="N972" i="8"/>
  <c r="O972" i="8" s="1"/>
  <c r="K972" i="8"/>
  <c r="Q971" i="8"/>
  <c r="S971" i="8" s="1"/>
  <c r="P971" i="8"/>
  <c r="N971" i="8"/>
  <c r="O971" i="8" s="1"/>
  <c r="K971" i="8"/>
  <c r="Q970" i="8"/>
  <c r="S970" i="8" s="1"/>
  <c r="P970" i="8"/>
  <c r="N970" i="8"/>
  <c r="O970" i="8" s="1"/>
  <c r="K970" i="8"/>
  <c r="Q969" i="8"/>
  <c r="S969" i="8" s="1"/>
  <c r="P969" i="8"/>
  <c r="N969" i="8"/>
  <c r="O969" i="8" s="1"/>
  <c r="K969" i="8"/>
  <c r="Q968" i="8"/>
  <c r="S968" i="8" s="1"/>
  <c r="P968" i="8"/>
  <c r="N968" i="8"/>
  <c r="O968" i="8" s="1"/>
  <c r="K968" i="8"/>
  <c r="Q967" i="8"/>
  <c r="S967" i="8" s="1"/>
  <c r="P967" i="8"/>
  <c r="N967" i="8"/>
  <c r="O967" i="8" s="1"/>
  <c r="K967" i="8"/>
  <c r="Q966" i="8"/>
  <c r="S966" i="8" s="1"/>
  <c r="P966" i="8"/>
  <c r="N966" i="8"/>
  <c r="O966" i="8" s="1"/>
  <c r="K966" i="8"/>
  <c r="Q965" i="8"/>
  <c r="S965" i="8" s="1"/>
  <c r="P965" i="8"/>
  <c r="N965" i="8"/>
  <c r="O965" i="8" s="1"/>
  <c r="K965" i="8"/>
  <c r="Q964" i="8"/>
  <c r="S964" i="8" s="1"/>
  <c r="P964" i="8"/>
  <c r="N964" i="8"/>
  <c r="O964" i="8" s="1"/>
  <c r="K964" i="8"/>
  <c r="Q963" i="8"/>
  <c r="S963" i="8" s="1"/>
  <c r="P963" i="8"/>
  <c r="N963" i="8"/>
  <c r="O963" i="8" s="1"/>
  <c r="K963" i="8"/>
  <c r="Q962" i="8"/>
  <c r="S962" i="8" s="1"/>
  <c r="P962" i="8"/>
  <c r="N962" i="8"/>
  <c r="O962" i="8" s="1"/>
  <c r="K962" i="8"/>
  <c r="Q961" i="8"/>
  <c r="S961" i="8" s="1"/>
  <c r="P961" i="8"/>
  <c r="N961" i="8"/>
  <c r="O961" i="8" s="1"/>
  <c r="K961" i="8"/>
  <c r="Q960" i="8"/>
  <c r="S960" i="8" s="1"/>
  <c r="P960" i="8"/>
  <c r="N960" i="8"/>
  <c r="O960" i="8" s="1"/>
  <c r="K960" i="8"/>
  <c r="Q959" i="8"/>
  <c r="S959" i="8" s="1"/>
  <c r="P959" i="8"/>
  <c r="N959" i="8"/>
  <c r="O959" i="8" s="1"/>
  <c r="K959" i="8"/>
  <c r="Q958" i="8"/>
  <c r="S958" i="8" s="1"/>
  <c r="P958" i="8"/>
  <c r="N958" i="8"/>
  <c r="O958" i="8" s="1"/>
  <c r="K958" i="8"/>
  <c r="Q957" i="8"/>
  <c r="S957" i="8" s="1"/>
  <c r="P957" i="8"/>
  <c r="N957" i="8"/>
  <c r="O957" i="8" s="1"/>
  <c r="K957" i="8"/>
  <c r="Q956" i="8"/>
  <c r="S956" i="8" s="1"/>
  <c r="P956" i="8"/>
  <c r="N956" i="8"/>
  <c r="O956" i="8" s="1"/>
  <c r="K956" i="8"/>
  <c r="Q955" i="8"/>
  <c r="S955" i="8" s="1"/>
  <c r="P955" i="8"/>
  <c r="N955" i="8"/>
  <c r="O955" i="8" s="1"/>
  <c r="K955" i="8"/>
  <c r="Q954" i="8"/>
  <c r="S954" i="8" s="1"/>
  <c r="P954" i="8"/>
  <c r="N954" i="8"/>
  <c r="O954" i="8" s="1"/>
  <c r="K954" i="8"/>
  <c r="Q953" i="8"/>
  <c r="S953" i="8" s="1"/>
  <c r="P953" i="8"/>
  <c r="N953" i="8"/>
  <c r="O953" i="8" s="1"/>
  <c r="K953" i="8"/>
  <c r="Q952" i="8"/>
  <c r="S952" i="8" s="1"/>
  <c r="P952" i="8"/>
  <c r="N952" i="8"/>
  <c r="O952" i="8" s="1"/>
  <c r="K952" i="8"/>
  <c r="Q951" i="8"/>
  <c r="S951" i="8" s="1"/>
  <c r="P951" i="8"/>
  <c r="N951" i="8"/>
  <c r="O951" i="8" s="1"/>
  <c r="K951" i="8"/>
  <c r="Q950" i="8"/>
  <c r="S950" i="8" s="1"/>
  <c r="P950" i="8"/>
  <c r="N950" i="8"/>
  <c r="O950" i="8" s="1"/>
  <c r="K950" i="8"/>
  <c r="Q949" i="8"/>
  <c r="S949" i="8" s="1"/>
  <c r="P949" i="8"/>
  <c r="N949" i="8"/>
  <c r="O949" i="8" s="1"/>
  <c r="K949" i="8"/>
  <c r="Q948" i="8"/>
  <c r="S948" i="8" s="1"/>
  <c r="P948" i="8"/>
  <c r="N948" i="8"/>
  <c r="O948" i="8" s="1"/>
  <c r="K948" i="8"/>
  <c r="Q947" i="8"/>
  <c r="S947" i="8" s="1"/>
  <c r="P947" i="8"/>
  <c r="N947" i="8"/>
  <c r="O947" i="8" s="1"/>
  <c r="K947" i="8"/>
  <c r="Q946" i="8"/>
  <c r="S946" i="8" s="1"/>
  <c r="P946" i="8"/>
  <c r="N946" i="8"/>
  <c r="O946" i="8" s="1"/>
  <c r="K946" i="8"/>
  <c r="Q945" i="8"/>
  <c r="S945" i="8" s="1"/>
  <c r="P945" i="8"/>
  <c r="N945" i="8"/>
  <c r="O945" i="8" s="1"/>
  <c r="K945" i="8"/>
  <c r="Q944" i="8"/>
  <c r="S944" i="8" s="1"/>
  <c r="P944" i="8"/>
  <c r="N944" i="8"/>
  <c r="O944" i="8" s="1"/>
  <c r="K944" i="8"/>
  <c r="Q943" i="8"/>
  <c r="S943" i="8" s="1"/>
  <c r="P943" i="8"/>
  <c r="N943" i="8"/>
  <c r="O943" i="8" s="1"/>
  <c r="K943" i="8"/>
  <c r="Q942" i="8"/>
  <c r="S942" i="8" s="1"/>
  <c r="P942" i="8"/>
  <c r="N942" i="8"/>
  <c r="O942" i="8" s="1"/>
  <c r="K942" i="8"/>
  <c r="Q941" i="8"/>
  <c r="S941" i="8" s="1"/>
  <c r="P941" i="8"/>
  <c r="N941" i="8"/>
  <c r="O941" i="8" s="1"/>
  <c r="K941" i="8"/>
  <c r="Q940" i="8"/>
  <c r="S940" i="8" s="1"/>
  <c r="P940" i="8"/>
  <c r="N940" i="8"/>
  <c r="O940" i="8" s="1"/>
  <c r="K940" i="8"/>
  <c r="Q939" i="8"/>
  <c r="S939" i="8" s="1"/>
  <c r="P939" i="8"/>
  <c r="N939" i="8"/>
  <c r="O939" i="8" s="1"/>
  <c r="K939" i="8"/>
  <c r="Q938" i="8"/>
  <c r="S938" i="8" s="1"/>
  <c r="P938" i="8"/>
  <c r="N938" i="8"/>
  <c r="O938" i="8" s="1"/>
  <c r="K938" i="8"/>
  <c r="Q937" i="8"/>
  <c r="S937" i="8" s="1"/>
  <c r="P937" i="8"/>
  <c r="N937" i="8"/>
  <c r="O937" i="8" s="1"/>
  <c r="K937" i="8"/>
  <c r="Q936" i="8"/>
  <c r="S936" i="8" s="1"/>
  <c r="P936" i="8"/>
  <c r="N936" i="8"/>
  <c r="O936" i="8" s="1"/>
  <c r="K936" i="8"/>
  <c r="Q935" i="8"/>
  <c r="S935" i="8" s="1"/>
  <c r="P935" i="8"/>
  <c r="N935" i="8"/>
  <c r="O935" i="8" s="1"/>
  <c r="K935" i="8"/>
  <c r="Q934" i="8"/>
  <c r="S934" i="8" s="1"/>
  <c r="P934" i="8"/>
  <c r="N934" i="8"/>
  <c r="O934" i="8" s="1"/>
  <c r="K934" i="8"/>
  <c r="Q933" i="8"/>
  <c r="S933" i="8" s="1"/>
  <c r="P933" i="8"/>
  <c r="N933" i="8"/>
  <c r="O933" i="8" s="1"/>
  <c r="K933" i="8"/>
  <c r="Q932" i="8"/>
  <c r="S932" i="8" s="1"/>
  <c r="P932" i="8"/>
  <c r="N932" i="8"/>
  <c r="O932" i="8" s="1"/>
  <c r="K932" i="8"/>
  <c r="Q931" i="8"/>
  <c r="S931" i="8" s="1"/>
  <c r="P931" i="8"/>
  <c r="N931" i="8"/>
  <c r="O931" i="8" s="1"/>
  <c r="K931" i="8"/>
  <c r="Q930" i="8"/>
  <c r="S930" i="8" s="1"/>
  <c r="P930" i="8"/>
  <c r="N930" i="8"/>
  <c r="O930" i="8" s="1"/>
  <c r="K930" i="8"/>
  <c r="Q929" i="8"/>
  <c r="S929" i="8" s="1"/>
  <c r="P929" i="8"/>
  <c r="N929" i="8"/>
  <c r="O929" i="8" s="1"/>
  <c r="K929" i="8"/>
  <c r="Q928" i="8"/>
  <c r="S928" i="8" s="1"/>
  <c r="P928" i="8"/>
  <c r="N928" i="8"/>
  <c r="O928" i="8" s="1"/>
  <c r="K928" i="8"/>
  <c r="Q927" i="8"/>
  <c r="S927" i="8" s="1"/>
  <c r="P927" i="8"/>
  <c r="N927" i="8"/>
  <c r="O927" i="8" s="1"/>
  <c r="K927" i="8"/>
  <c r="Q926" i="8"/>
  <c r="S926" i="8" s="1"/>
  <c r="P926" i="8"/>
  <c r="N926" i="8"/>
  <c r="O926" i="8" s="1"/>
  <c r="K926" i="8"/>
  <c r="Q925" i="8"/>
  <c r="S925" i="8" s="1"/>
  <c r="P925" i="8"/>
  <c r="N925" i="8"/>
  <c r="O925" i="8" s="1"/>
  <c r="K925" i="8"/>
  <c r="Q924" i="8"/>
  <c r="S924" i="8" s="1"/>
  <c r="P924" i="8"/>
  <c r="N924" i="8"/>
  <c r="O924" i="8" s="1"/>
  <c r="K924" i="8"/>
  <c r="Q923" i="8"/>
  <c r="S923" i="8" s="1"/>
  <c r="P923" i="8"/>
  <c r="N923" i="8"/>
  <c r="O923" i="8" s="1"/>
  <c r="K923" i="8"/>
  <c r="Q922" i="8"/>
  <c r="S922" i="8" s="1"/>
  <c r="P922" i="8"/>
  <c r="N922" i="8"/>
  <c r="O922" i="8" s="1"/>
  <c r="K922" i="8"/>
  <c r="Q921" i="8"/>
  <c r="S921" i="8" s="1"/>
  <c r="P921" i="8"/>
  <c r="N921" i="8"/>
  <c r="O921" i="8" s="1"/>
  <c r="K921" i="8"/>
  <c r="Q920" i="8"/>
  <c r="S920" i="8" s="1"/>
  <c r="P920" i="8"/>
  <c r="N920" i="8"/>
  <c r="O920" i="8" s="1"/>
  <c r="K920" i="8"/>
  <c r="Q919" i="8"/>
  <c r="S919" i="8" s="1"/>
  <c r="P919" i="8"/>
  <c r="N919" i="8"/>
  <c r="O919" i="8" s="1"/>
  <c r="K919" i="8"/>
  <c r="Q918" i="8"/>
  <c r="S918" i="8" s="1"/>
  <c r="P918" i="8"/>
  <c r="N918" i="8"/>
  <c r="O918" i="8" s="1"/>
  <c r="K918" i="8"/>
  <c r="Q917" i="8"/>
  <c r="S917" i="8" s="1"/>
  <c r="P917" i="8"/>
  <c r="N917" i="8"/>
  <c r="O917" i="8" s="1"/>
  <c r="K917" i="8"/>
  <c r="Q916" i="8"/>
  <c r="S916" i="8" s="1"/>
  <c r="P916" i="8"/>
  <c r="N916" i="8"/>
  <c r="O916" i="8" s="1"/>
  <c r="K916" i="8"/>
  <c r="Q915" i="8"/>
  <c r="S915" i="8" s="1"/>
  <c r="P915" i="8"/>
  <c r="N915" i="8"/>
  <c r="O915" i="8" s="1"/>
  <c r="K915" i="8"/>
  <c r="Q914" i="8"/>
  <c r="S914" i="8" s="1"/>
  <c r="P914" i="8"/>
  <c r="N914" i="8"/>
  <c r="O914" i="8" s="1"/>
  <c r="K914" i="8"/>
  <c r="Q913" i="8"/>
  <c r="S913" i="8" s="1"/>
  <c r="P913" i="8"/>
  <c r="N913" i="8"/>
  <c r="O913" i="8" s="1"/>
  <c r="K913" i="8"/>
  <c r="Q912" i="8"/>
  <c r="S912" i="8" s="1"/>
  <c r="P912" i="8"/>
  <c r="N912" i="8"/>
  <c r="O912" i="8" s="1"/>
  <c r="K912" i="8"/>
  <c r="Q911" i="8"/>
  <c r="S911" i="8" s="1"/>
  <c r="P911" i="8"/>
  <c r="N911" i="8"/>
  <c r="O911" i="8" s="1"/>
  <c r="K911" i="8"/>
  <c r="Q910" i="8"/>
  <c r="S910" i="8" s="1"/>
  <c r="P910" i="8"/>
  <c r="N910" i="8"/>
  <c r="O910" i="8" s="1"/>
  <c r="K910" i="8"/>
  <c r="Q909" i="8"/>
  <c r="S909" i="8" s="1"/>
  <c r="P909" i="8"/>
  <c r="N909" i="8"/>
  <c r="O909" i="8" s="1"/>
  <c r="K909" i="8"/>
  <c r="Q908" i="8"/>
  <c r="S908" i="8" s="1"/>
  <c r="P908" i="8"/>
  <c r="N908" i="8"/>
  <c r="O908" i="8" s="1"/>
  <c r="K908" i="8"/>
  <c r="Q907" i="8"/>
  <c r="S907" i="8" s="1"/>
  <c r="P907" i="8"/>
  <c r="N907" i="8"/>
  <c r="O907" i="8" s="1"/>
  <c r="K907" i="8"/>
  <c r="Q906" i="8"/>
  <c r="S906" i="8" s="1"/>
  <c r="P906" i="8"/>
  <c r="N906" i="8"/>
  <c r="O906" i="8" s="1"/>
  <c r="K906" i="8"/>
  <c r="Q905" i="8"/>
  <c r="S905" i="8" s="1"/>
  <c r="P905" i="8"/>
  <c r="N905" i="8"/>
  <c r="O905" i="8" s="1"/>
  <c r="K905" i="8"/>
  <c r="Q904" i="8"/>
  <c r="S904" i="8" s="1"/>
  <c r="P904" i="8"/>
  <c r="N904" i="8"/>
  <c r="O904" i="8" s="1"/>
  <c r="K904" i="8"/>
  <c r="Q903" i="8"/>
  <c r="S903" i="8" s="1"/>
  <c r="P903" i="8"/>
  <c r="N903" i="8"/>
  <c r="O903" i="8" s="1"/>
  <c r="K903" i="8"/>
  <c r="Q902" i="8"/>
  <c r="S902" i="8" s="1"/>
  <c r="P902" i="8"/>
  <c r="N902" i="8"/>
  <c r="O902" i="8" s="1"/>
  <c r="K902" i="8"/>
  <c r="Q901" i="8"/>
  <c r="S901" i="8" s="1"/>
  <c r="P901" i="8"/>
  <c r="N901" i="8"/>
  <c r="O901" i="8" s="1"/>
  <c r="K901" i="8"/>
  <c r="Q900" i="8"/>
  <c r="S900" i="8" s="1"/>
  <c r="P900" i="8"/>
  <c r="N900" i="8"/>
  <c r="O900" i="8" s="1"/>
  <c r="K900" i="8"/>
  <c r="Q899" i="8"/>
  <c r="S899" i="8" s="1"/>
  <c r="P899" i="8"/>
  <c r="N899" i="8"/>
  <c r="O899" i="8" s="1"/>
  <c r="K899" i="8"/>
  <c r="Q898" i="8"/>
  <c r="S898" i="8" s="1"/>
  <c r="P898" i="8"/>
  <c r="N898" i="8"/>
  <c r="O898" i="8" s="1"/>
  <c r="K898" i="8"/>
  <c r="Q897" i="8"/>
  <c r="S897" i="8" s="1"/>
  <c r="P897" i="8"/>
  <c r="N897" i="8"/>
  <c r="O897" i="8" s="1"/>
  <c r="K897" i="8"/>
  <c r="Q896" i="8"/>
  <c r="S896" i="8" s="1"/>
  <c r="P896" i="8"/>
  <c r="N896" i="8"/>
  <c r="O896" i="8" s="1"/>
  <c r="K896" i="8"/>
  <c r="Q895" i="8"/>
  <c r="S895" i="8" s="1"/>
  <c r="P895" i="8"/>
  <c r="N895" i="8"/>
  <c r="O895" i="8" s="1"/>
  <c r="K895" i="8"/>
  <c r="Q894" i="8"/>
  <c r="S894" i="8" s="1"/>
  <c r="P894" i="8"/>
  <c r="N894" i="8"/>
  <c r="O894" i="8" s="1"/>
  <c r="K894" i="8"/>
  <c r="Q893" i="8"/>
  <c r="S893" i="8" s="1"/>
  <c r="P893" i="8"/>
  <c r="N893" i="8"/>
  <c r="O893" i="8" s="1"/>
  <c r="K893" i="8"/>
  <c r="Q892" i="8"/>
  <c r="S892" i="8" s="1"/>
  <c r="P892" i="8"/>
  <c r="N892" i="8"/>
  <c r="O892" i="8" s="1"/>
  <c r="K892" i="8"/>
  <c r="Q891" i="8"/>
  <c r="S891" i="8" s="1"/>
  <c r="P891" i="8"/>
  <c r="N891" i="8"/>
  <c r="O891" i="8" s="1"/>
  <c r="K891" i="8"/>
  <c r="Q890" i="8"/>
  <c r="S890" i="8" s="1"/>
  <c r="P890" i="8"/>
  <c r="N890" i="8"/>
  <c r="O890" i="8" s="1"/>
  <c r="K890" i="8"/>
  <c r="Q889" i="8"/>
  <c r="S889" i="8" s="1"/>
  <c r="P889" i="8"/>
  <c r="N889" i="8"/>
  <c r="O889" i="8" s="1"/>
  <c r="K889" i="8"/>
  <c r="Q888" i="8"/>
  <c r="S888" i="8" s="1"/>
  <c r="P888" i="8"/>
  <c r="N888" i="8"/>
  <c r="O888" i="8" s="1"/>
  <c r="K888" i="8"/>
  <c r="Q887" i="8"/>
  <c r="S887" i="8" s="1"/>
  <c r="P887" i="8"/>
  <c r="N887" i="8"/>
  <c r="O887" i="8" s="1"/>
  <c r="K887" i="8"/>
  <c r="Q886" i="8"/>
  <c r="S886" i="8" s="1"/>
  <c r="P886" i="8"/>
  <c r="N886" i="8"/>
  <c r="O886" i="8" s="1"/>
  <c r="K886" i="8"/>
  <c r="Q885" i="8"/>
  <c r="S885" i="8" s="1"/>
  <c r="P885" i="8"/>
  <c r="N885" i="8"/>
  <c r="O885" i="8" s="1"/>
  <c r="K885" i="8"/>
  <c r="Q884" i="8"/>
  <c r="S884" i="8" s="1"/>
  <c r="P884" i="8"/>
  <c r="N884" i="8"/>
  <c r="O884" i="8" s="1"/>
  <c r="K884" i="8"/>
  <c r="Q883" i="8"/>
  <c r="S883" i="8" s="1"/>
  <c r="P883" i="8"/>
  <c r="N883" i="8"/>
  <c r="O883" i="8" s="1"/>
  <c r="K883" i="8"/>
  <c r="Q882" i="8"/>
  <c r="S882" i="8" s="1"/>
  <c r="P882" i="8"/>
  <c r="N882" i="8"/>
  <c r="O882" i="8" s="1"/>
  <c r="K882" i="8"/>
  <c r="Q881" i="8"/>
  <c r="S881" i="8" s="1"/>
  <c r="P881" i="8"/>
  <c r="N881" i="8"/>
  <c r="O881" i="8" s="1"/>
  <c r="K881" i="8"/>
  <c r="Q880" i="8"/>
  <c r="S880" i="8" s="1"/>
  <c r="P880" i="8"/>
  <c r="N880" i="8"/>
  <c r="O880" i="8" s="1"/>
  <c r="K880" i="8"/>
  <c r="Q879" i="8"/>
  <c r="S879" i="8" s="1"/>
  <c r="P879" i="8"/>
  <c r="N879" i="8"/>
  <c r="O879" i="8" s="1"/>
  <c r="K879" i="8"/>
  <c r="Q878" i="8"/>
  <c r="S878" i="8" s="1"/>
  <c r="P878" i="8"/>
  <c r="N878" i="8"/>
  <c r="O878" i="8" s="1"/>
  <c r="K878" i="8"/>
  <c r="Q877" i="8"/>
  <c r="S877" i="8" s="1"/>
  <c r="P877" i="8"/>
  <c r="N877" i="8"/>
  <c r="O877" i="8" s="1"/>
  <c r="K877" i="8"/>
  <c r="Q876" i="8"/>
  <c r="S876" i="8" s="1"/>
  <c r="P876" i="8"/>
  <c r="N876" i="8"/>
  <c r="O876" i="8" s="1"/>
  <c r="K876" i="8"/>
  <c r="Q875" i="8"/>
  <c r="S875" i="8" s="1"/>
  <c r="P875" i="8"/>
  <c r="N875" i="8"/>
  <c r="O875" i="8" s="1"/>
  <c r="K875" i="8"/>
  <c r="Q874" i="8"/>
  <c r="S874" i="8" s="1"/>
  <c r="P874" i="8"/>
  <c r="N874" i="8"/>
  <c r="O874" i="8" s="1"/>
  <c r="K874" i="8"/>
  <c r="Q873" i="8"/>
  <c r="S873" i="8" s="1"/>
  <c r="P873" i="8"/>
  <c r="N873" i="8"/>
  <c r="O873" i="8" s="1"/>
  <c r="K873" i="8"/>
  <c r="Q872" i="8"/>
  <c r="S872" i="8" s="1"/>
  <c r="P872" i="8"/>
  <c r="N872" i="8"/>
  <c r="O872" i="8" s="1"/>
  <c r="K872" i="8"/>
  <c r="Q871" i="8"/>
  <c r="S871" i="8" s="1"/>
  <c r="P871" i="8"/>
  <c r="N871" i="8"/>
  <c r="O871" i="8" s="1"/>
  <c r="K871" i="8"/>
  <c r="Q870" i="8"/>
  <c r="S870" i="8" s="1"/>
  <c r="P870" i="8"/>
  <c r="N870" i="8"/>
  <c r="O870" i="8" s="1"/>
  <c r="K870" i="8"/>
  <c r="Q869" i="8"/>
  <c r="S869" i="8" s="1"/>
  <c r="P869" i="8"/>
  <c r="N869" i="8"/>
  <c r="O869" i="8" s="1"/>
  <c r="K869" i="8"/>
  <c r="Q868" i="8"/>
  <c r="S868" i="8" s="1"/>
  <c r="P868" i="8"/>
  <c r="N868" i="8"/>
  <c r="O868" i="8" s="1"/>
  <c r="K868" i="8"/>
  <c r="Q867" i="8"/>
  <c r="S867" i="8" s="1"/>
  <c r="P867" i="8"/>
  <c r="N867" i="8"/>
  <c r="O867" i="8" s="1"/>
  <c r="K867" i="8"/>
  <c r="Q866" i="8"/>
  <c r="S866" i="8" s="1"/>
  <c r="P866" i="8"/>
  <c r="N866" i="8"/>
  <c r="O866" i="8" s="1"/>
  <c r="K866" i="8"/>
  <c r="Q865" i="8"/>
  <c r="S865" i="8" s="1"/>
  <c r="P865" i="8"/>
  <c r="N865" i="8"/>
  <c r="O865" i="8" s="1"/>
  <c r="K865" i="8"/>
  <c r="Q864" i="8"/>
  <c r="S864" i="8" s="1"/>
  <c r="P864" i="8"/>
  <c r="N864" i="8"/>
  <c r="O864" i="8" s="1"/>
  <c r="K864" i="8"/>
  <c r="Q863" i="8"/>
  <c r="S863" i="8" s="1"/>
  <c r="P863" i="8"/>
  <c r="N863" i="8"/>
  <c r="O863" i="8" s="1"/>
  <c r="K863" i="8"/>
  <c r="Q862" i="8"/>
  <c r="S862" i="8" s="1"/>
  <c r="P862" i="8"/>
  <c r="N862" i="8"/>
  <c r="O862" i="8" s="1"/>
  <c r="K862" i="8"/>
  <c r="Q861" i="8"/>
  <c r="S861" i="8" s="1"/>
  <c r="P861" i="8"/>
  <c r="N861" i="8"/>
  <c r="O861" i="8" s="1"/>
  <c r="K861" i="8"/>
  <c r="Q860" i="8"/>
  <c r="S860" i="8" s="1"/>
  <c r="P860" i="8"/>
  <c r="N860" i="8"/>
  <c r="O860" i="8" s="1"/>
  <c r="K860" i="8"/>
  <c r="Q859" i="8"/>
  <c r="S859" i="8" s="1"/>
  <c r="P859" i="8"/>
  <c r="N859" i="8"/>
  <c r="O859" i="8" s="1"/>
  <c r="K859" i="8"/>
  <c r="Q858" i="8"/>
  <c r="S858" i="8" s="1"/>
  <c r="P858" i="8"/>
  <c r="N858" i="8"/>
  <c r="O858" i="8" s="1"/>
  <c r="K858" i="8"/>
  <c r="Q857" i="8"/>
  <c r="S857" i="8" s="1"/>
  <c r="P857" i="8"/>
  <c r="N857" i="8"/>
  <c r="O857" i="8" s="1"/>
  <c r="K857" i="8"/>
  <c r="Q856" i="8"/>
  <c r="S856" i="8" s="1"/>
  <c r="P856" i="8"/>
  <c r="N856" i="8"/>
  <c r="O856" i="8" s="1"/>
  <c r="K856" i="8"/>
  <c r="Q855" i="8"/>
  <c r="S855" i="8" s="1"/>
  <c r="P855" i="8"/>
  <c r="N855" i="8"/>
  <c r="O855" i="8" s="1"/>
  <c r="K855" i="8"/>
  <c r="Q854" i="8"/>
  <c r="S854" i="8" s="1"/>
  <c r="P854" i="8"/>
  <c r="N854" i="8"/>
  <c r="O854" i="8" s="1"/>
  <c r="K854" i="8"/>
  <c r="Q853" i="8"/>
  <c r="S853" i="8" s="1"/>
  <c r="P853" i="8"/>
  <c r="N853" i="8"/>
  <c r="O853" i="8" s="1"/>
  <c r="K853" i="8"/>
  <c r="Q852" i="8"/>
  <c r="S852" i="8" s="1"/>
  <c r="P852" i="8"/>
  <c r="N852" i="8"/>
  <c r="O852" i="8" s="1"/>
  <c r="K852" i="8"/>
  <c r="Q851" i="8"/>
  <c r="S851" i="8" s="1"/>
  <c r="P851" i="8"/>
  <c r="N851" i="8"/>
  <c r="O851" i="8" s="1"/>
  <c r="K851" i="8"/>
  <c r="Q850" i="8"/>
  <c r="S850" i="8" s="1"/>
  <c r="P850" i="8"/>
  <c r="N850" i="8"/>
  <c r="O850" i="8" s="1"/>
  <c r="K850" i="8"/>
  <c r="Q849" i="8"/>
  <c r="S849" i="8" s="1"/>
  <c r="P849" i="8"/>
  <c r="N849" i="8"/>
  <c r="O849" i="8" s="1"/>
  <c r="K849" i="8"/>
  <c r="Q848" i="8"/>
  <c r="S848" i="8" s="1"/>
  <c r="P848" i="8"/>
  <c r="N848" i="8"/>
  <c r="O848" i="8" s="1"/>
  <c r="K848" i="8"/>
  <c r="Q847" i="8"/>
  <c r="S847" i="8" s="1"/>
  <c r="P847" i="8"/>
  <c r="N847" i="8"/>
  <c r="O847" i="8" s="1"/>
  <c r="K847" i="8"/>
  <c r="Q846" i="8"/>
  <c r="S846" i="8" s="1"/>
  <c r="P846" i="8"/>
  <c r="N846" i="8"/>
  <c r="O846" i="8" s="1"/>
  <c r="K846" i="8"/>
  <c r="Q845" i="8"/>
  <c r="S845" i="8" s="1"/>
  <c r="P845" i="8"/>
  <c r="N845" i="8"/>
  <c r="O845" i="8" s="1"/>
  <c r="K845" i="8"/>
  <c r="Q844" i="8"/>
  <c r="S844" i="8" s="1"/>
  <c r="P844" i="8"/>
  <c r="N844" i="8"/>
  <c r="O844" i="8" s="1"/>
  <c r="K844" i="8"/>
  <c r="Q843" i="8"/>
  <c r="S843" i="8" s="1"/>
  <c r="P843" i="8"/>
  <c r="N843" i="8"/>
  <c r="O843" i="8" s="1"/>
  <c r="K843" i="8"/>
  <c r="Q842" i="8"/>
  <c r="S842" i="8" s="1"/>
  <c r="P842" i="8"/>
  <c r="N842" i="8"/>
  <c r="O842" i="8" s="1"/>
  <c r="K842" i="8"/>
  <c r="Q841" i="8"/>
  <c r="S841" i="8" s="1"/>
  <c r="P841" i="8"/>
  <c r="N841" i="8"/>
  <c r="O841" i="8" s="1"/>
  <c r="K841" i="8"/>
  <c r="Q840" i="8"/>
  <c r="S840" i="8" s="1"/>
  <c r="P840" i="8"/>
  <c r="N840" i="8"/>
  <c r="O840" i="8" s="1"/>
  <c r="K840" i="8"/>
  <c r="Q839" i="8"/>
  <c r="S839" i="8" s="1"/>
  <c r="P839" i="8"/>
  <c r="N839" i="8"/>
  <c r="O839" i="8" s="1"/>
  <c r="K839" i="8"/>
  <c r="Q838" i="8"/>
  <c r="S838" i="8" s="1"/>
  <c r="P838" i="8"/>
  <c r="N838" i="8"/>
  <c r="O838" i="8" s="1"/>
  <c r="K838" i="8"/>
  <c r="Q837" i="8"/>
  <c r="S837" i="8" s="1"/>
  <c r="P837" i="8"/>
  <c r="N837" i="8"/>
  <c r="O837" i="8" s="1"/>
  <c r="K837" i="8"/>
  <c r="Q836" i="8"/>
  <c r="S836" i="8" s="1"/>
  <c r="P836" i="8"/>
  <c r="N836" i="8"/>
  <c r="O836" i="8" s="1"/>
  <c r="K836" i="8"/>
  <c r="Q835" i="8"/>
  <c r="S835" i="8" s="1"/>
  <c r="P835" i="8"/>
  <c r="N835" i="8"/>
  <c r="O835" i="8" s="1"/>
  <c r="K835" i="8"/>
  <c r="Q834" i="8"/>
  <c r="S834" i="8" s="1"/>
  <c r="P834" i="8"/>
  <c r="N834" i="8"/>
  <c r="O834" i="8" s="1"/>
  <c r="K834" i="8"/>
  <c r="Q833" i="8"/>
  <c r="S833" i="8" s="1"/>
  <c r="P833" i="8"/>
  <c r="N833" i="8"/>
  <c r="O833" i="8" s="1"/>
  <c r="K833" i="8"/>
  <c r="Q832" i="8"/>
  <c r="S832" i="8" s="1"/>
  <c r="P832" i="8"/>
  <c r="N832" i="8"/>
  <c r="O832" i="8" s="1"/>
  <c r="K832" i="8"/>
  <c r="Q831" i="8"/>
  <c r="S831" i="8" s="1"/>
  <c r="P831" i="8"/>
  <c r="N831" i="8"/>
  <c r="O831" i="8" s="1"/>
  <c r="K831" i="8"/>
  <c r="Q830" i="8"/>
  <c r="S830" i="8" s="1"/>
  <c r="P830" i="8"/>
  <c r="N830" i="8"/>
  <c r="O830" i="8" s="1"/>
  <c r="K830" i="8"/>
  <c r="Q829" i="8"/>
  <c r="S829" i="8" s="1"/>
  <c r="P829" i="8"/>
  <c r="N829" i="8"/>
  <c r="O829" i="8" s="1"/>
  <c r="K829" i="8"/>
  <c r="Q828" i="8"/>
  <c r="S828" i="8" s="1"/>
  <c r="P828" i="8"/>
  <c r="N828" i="8"/>
  <c r="O828" i="8" s="1"/>
  <c r="K828" i="8"/>
  <c r="Q827" i="8"/>
  <c r="S827" i="8" s="1"/>
  <c r="P827" i="8"/>
  <c r="N827" i="8"/>
  <c r="O827" i="8" s="1"/>
  <c r="K827" i="8"/>
  <c r="Q826" i="8"/>
  <c r="S826" i="8" s="1"/>
  <c r="P826" i="8"/>
  <c r="N826" i="8"/>
  <c r="O826" i="8" s="1"/>
  <c r="K826" i="8"/>
  <c r="Q825" i="8"/>
  <c r="S825" i="8" s="1"/>
  <c r="P825" i="8"/>
  <c r="N825" i="8"/>
  <c r="O825" i="8" s="1"/>
  <c r="K825" i="8"/>
  <c r="Q824" i="8"/>
  <c r="S824" i="8" s="1"/>
  <c r="P824" i="8"/>
  <c r="N824" i="8"/>
  <c r="O824" i="8" s="1"/>
  <c r="K824" i="8"/>
  <c r="Q823" i="8"/>
  <c r="S823" i="8" s="1"/>
  <c r="P823" i="8"/>
  <c r="N823" i="8"/>
  <c r="O823" i="8" s="1"/>
  <c r="K823" i="8"/>
  <c r="Q822" i="8"/>
  <c r="S822" i="8" s="1"/>
  <c r="P822" i="8"/>
  <c r="N822" i="8"/>
  <c r="O822" i="8" s="1"/>
  <c r="K822" i="8"/>
  <c r="Q821" i="8"/>
  <c r="S821" i="8" s="1"/>
  <c r="P821" i="8"/>
  <c r="N821" i="8"/>
  <c r="O821" i="8" s="1"/>
  <c r="K821" i="8"/>
  <c r="Q820" i="8"/>
  <c r="S820" i="8" s="1"/>
  <c r="P820" i="8"/>
  <c r="N820" i="8"/>
  <c r="O820" i="8" s="1"/>
  <c r="K820" i="8"/>
  <c r="Q819" i="8"/>
  <c r="S819" i="8" s="1"/>
  <c r="P819" i="8"/>
  <c r="N819" i="8"/>
  <c r="O819" i="8" s="1"/>
  <c r="K819" i="8"/>
  <c r="Q818" i="8"/>
  <c r="S818" i="8" s="1"/>
  <c r="P818" i="8"/>
  <c r="N818" i="8"/>
  <c r="O818" i="8" s="1"/>
  <c r="K818" i="8"/>
  <c r="Q817" i="8"/>
  <c r="S817" i="8" s="1"/>
  <c r="P817" i="8"/>
  <c r="N817" i="8"/>
  <c r="O817" i="8" s="1"/>
  <c r="K817" i="8"/>
  <c r="Q816" i="8"/>
  <c r="S816" i="8" s="1"/>
  <c r="P816" i="8"/>
  <c r="N816" i="8"/>
  <c r="O816" i="8" s="1"/>
  <c r="K816" i="8"/>
  <c r="Q815" i="8"/>
  <c r="S815" i="8" s="1"/>
  <c r="P815" i="8"/>
  <c r="N815" i="8"/>
  <c r="O815" i="8" s="1"/>
  <c r="K815" i="8"/>
  <c r="Q814" i="8"/>
  <c r="S814" i="8" s="1"/>
  <c r="P814" i="8"/>
  <c r="N814" i="8"/>
  <c r="O814" i="8" s="1"/>
  <c r="K814" i="8"/>
  <c r="Q813" i="8"/>
  <c r="S813" i="8" s="1"/>
  <c r="P813" i="8"/>
  <c r="N813" i="8"/>
  <c r="O813" i="8" s="1"/>
  <c r="K813" i="8"/>
  <c r="Q812" i="8"/>
  <c r="S812" i="8" s="1"/>
  <c r="P812" i="8"/>
  <c r="N812" i="8"/>
  <c r="O812" i="8" s="1"/>
  <c r="K812" i="8"/>
  <c r="Q811" i="8"/>
  <c r="S811" i="8" s="1"/>
  <c r="P811" i="8"/>
  <c r="N811" i="8"/>
  <c r="O811" i="8" s="1"/>
  <c r="K811" i="8"/>
  <c r="Q810" i="8"/>
  <c r="S810" i="8" s="1"/>
  <c r="P810" i="8"/>
  <c r="N810" i="8"/>
  <c r="O810" i="8" s="1"/>
  <c r="K810" i="8"/>
  <c r="Q809" i="8"/>
  <c r="S809" i="8" s="1"/>
  <c r="P809" i="8"/>
  <c r="N809" i="8"/>
  <c r="O809" i="8" s="1"/>
  <c r="K809" i="8"/>
  <c r="Q808" i="8"/>
  <c r="S808" i="8" s="1"/>
  <c r="P808" i="8"/>
  <c r="N808" i="8"/>
  <c r="O808" i="8" s="1"/>
  <c r="K808" i="8"/>
  <c r="Q807" i="8"/>
  <c r="S807" i="8" s="1"/>
  <c r="P807" i="8"/>
  <c r="N807" i="8"/>
  <c r="O807" i="8" s="1"/>
  <c r="K807" i="8"/>
  <c r="Q806" i="8"/>
  <c r="S806" i="8" s="1"/>
  <c r="P806" i="8"/>
  <c r="N806" i="8"/>
  <c r="O806" i="8" s="1"/>
  <c r="K806" i="8"/>
  <c r="Q805" i="8"/>
  <c r="S805" i="8" s="1"/>
  <c r="P805" i="8"/>
  <c r="N805" i="8"/>
  <c r="O805" i="8" s="1"/>
  <c r="K805" i="8"/>
  <c r="Q804" i="8"/>
  <c r="S804" i="8" s="1"/>
  <c r="P804" i="8"/>
  <c r="N804" i="8"/>
  <c r="O804" i="8" s="1"/>
  <c r="K804" i="8"/>
  <c r="Q803" i="8"/>
  <c r="S803" i="8" s="1"/>
  <c r="P803" i="8"/>
  <c r="N803" i="8"/>
  <c r="O803" i="8" s="1"/>
  <c r="K803" i="8"/>
  <c r="Q802" i="8"/>
  <c r="S802" i="8" s="1"/>
  <c r="P802" i="8"/>
  <c r="N802" i="8"/>
  <c r="O802" i="8" s="1"/>
  <c r="K802" i="8"/>
  <c r="Q801" i="8"/>
  <c r="S801" i="8" s="1"/>
  <c r="P801" i="8"/>
  <c r="N801" i="8"/>
  <c r="O801" i="8" s="1"/>
  <c r="K801" i="8"/>
  <c r="Q800" i="8"/>
  <c r="S800" i="8" s="1"/>
  <c r="P800" i="8"/>
  <c r="N800" i="8"/>
  <c r="O800" i="8" s="1"/>
  <c r="K800" i="8"/>
  <c r="Q799" i="8"/>
  <c r="S799" i="8" s="1"/>
  <c r="P799" i="8"/>
  <c r="N799" i="8"/>
  <c r="O799" i="8" s="1"/>
  <c r="K799" i="8"/>
  <c r="Q798" i="8"/>
  <c r="S798" i="8" s="1"/>
  <c r="P798" i="8"/>
  <c r="N798" i="8"/>
  <c r="O798" i="8" s="1"/>
  <c r="K798" i="8"/>
  <c r="Q797" i="8"/>
  <c r="S797" i="8" s="1"/>
  <c r="P797" i="8"/>
  <c r="N797" i="8"/>
  <c r="O797" i="8" s="1"/>
  <c r="K797" i="8"/>
  <c r="Q796" i="8"/>
  <c r="S796" i="8" s="1"/>
  <c r="P796" i="8"/>
  <c r="N796" i="8"/>
  <c r="O796" i="8" s="1"/>
  <c r="K796" i="8"/>
  <c r="Q795" i="8"/>
  <c r="S795" i="8" s="1"/>
  <c r="P795" i="8"/>
  <c r="N795" i="8"/>
  <c r="O795" i="8" s="1"/>
  <c r="K795" i="8"/>
  <c r="Q794" i="8"/>
  <c r="S794" i="8" s="1"/>
  <c r="P794" i="8"/>
  <c r="N794" i="8"/>
  <c r="O794" i="8" s="1"/>
  <c r="K794" i="8"/>
  <c r="Q793" i="8"/>
  <c r="S793" i="8" s="1"/>
  <c r="P793" i="8"/>
  <c r="N793" i="8"/>
  <c r="O793" i="8" s="1"/>
  <c r="K793" i="8"/>
  <c r="Q792" i="8"/>
  <c r="S792" i="8" s="1"/>
  <c r="P792" i="8"/>
  <c r="N792" i="8"/>
  <c r="O792" i="8" s="1"/>
  <c r="K792" i="8"/>
  <c r="Q791" i="8"/>
  <c r="S791" i="8" s="1"/>
  <c r="P791" i="8"/>
  <c r="N791" i="8"/>
  <c r="O791" i="8" s="1"/>
  <c r="K791" i="8"/>
  <c r="Q790" i="8"/>
  <c r="S790" i="8" s="1"/>
  <c r="P790" i="8"/>
  <c r="N790" i="8"/>
  <c r="O790" i="8" s="1"/>
  <c r="K790" i="8"/>
  <c r="Q789" i="8"/>
  <c r="S789" i="8" s="1"/>
  <c r="P789" i="8"/>
  <c r="N789" i="8"/>
  <c r="O789" i="8" s="1"/>
  <c r="K789" i="8"/>
  <c r="Q788" i="8"/>
  <c r="S788" i="8" s="1"/>
  <c r="P788" i="8"/>
  <c r="N788" i="8"/>
  <c r="O788" i="8" s="1"/>
  <c r="K788" i="8"/>
  <c r="Q787" i="8"/>
  <c r="S787" i="8" s="1"/>
  <c r="P787" i="8"/>
  <c r="N787" i="8"/>
  <c r="O787" i="8" s="1"/>
  <c r="K787" i="8"/>
  <c r="Q786" i="8"/>
  <c r="S786" i="8" s="1"/>
  <c r="P786" i="8"/>
  <c r="N786" i="8"/>
  <c r="O786" i="8" s="1"/>
  <c r="K786" i="8"/>
  <c r="Q785" i="8"/>
  <c r="S785" i="8" s="1"/>
  <c r="P785" i="8"/>
  <c r="N785" i="8"/>
  <c r="O785" i="8" s="1"/>
  <c r="K785" i="8"/>
  <c r="Q784" i="8"/>
  <c r="S784" i="8" s="1"/>
  <c r="P784" i="8"/>
  <c r="N784" i="8"/>
  <c r="O784" i="8" s="1"/>
  <c r="K784" i="8"/>
  <c r="Q783" i="8"/>
  <c r="S783" i="8" s="1"/>
  <c r="P783" i="8"/>
  <c r="N783" i="8"/>
  <c r="O783" i="8" s="1"/>
  <c r="K783" i="8"/>
  <c r="Q782" i="8"/>
  <c r="S782" i="8" s="1"/>
  <c r="P782" i="8"/>
  <c r="N782" i="8"/>
  <c r="O782" i="8" s="1"/>
  <c r="K782" i="8"/>
  <c r="Q781" i="8"/>
  <c r="S781" i="8" s="1"/>
  <c r="P781" i="8"/>
  <c r="N781" i="8"/>
  <c r="O781" i="8" s="1"/>
  <c r="K781" i="8"/>
  <c r="Q780" i="8"/>
  <c r="S780" i="8" s="1"/>
  <c r="P780" i="8"/>
  <c r="N780" i="8"/>
  <c r="O780" i="8" s="1"/>
  <c r="K780" i="8"/>
  <c r="Q779" i="8"/>
  <c r="S779" i="8" s="1"/>
  <c r="P779" i="8"/>
  <c r="N779" i="8"/>
  <c r="O779" i="8" s="1"/>
  <c r="K779" i="8"/>
  <c r="Q778" i="8"/>
  <c r="S778" i="8" s="1"/>
  <c r="P778" i="8"/>
  <c r="N778" i="8"/>
  <c r="O778" i="8" s="1"/>
  <c r="K778" i="8"/>
  <c r="Q777" i="8"/>
  <c r="S777" i="8" s="1"/>
  <c r="P777" i="8"/>
  <c r="N777" i="8"/>
  <c r="O777" i="8" s="1"/>
  <c r="K777" i="8"/>
  <c r="Q776" i="8"/>
  <c r="S776" i="8" s="1"/>
  <c r="P776" i="8"/>
  <c r="N776" i="8"/>
  <c r="O776" i="8" s="1"/>
  <c r="K776" i="8"/>
  <c r="Q775" i="8"/>
  <c r="S775" i="8" s="1"/>
  <c r="P775" i="8"/>
  <c r="N775" i="8"/>
  <c r="O775" i="8" s="1"/>
  <c r="K775" i="8"/>
  <c r="Q774" i="8"/>
  <c r="S774" i="8" s="1"/>
  <c r="P774" i="8"/>
  <c r="N774" i="8"/>
  <c r="O774" i="8" s="1"/>
  <c r="K774" i="8"/>
  <c r="Q773" i="8"/>
  <c r="S773" i="8" s="1"/>
  <c r="P773" i="8"/>
  <c r="N773" i="8"/>
  <c r="O773" i="8" s="1"/>
  <c r="K773" i="8"/>
  <c r="Q772" i="8"/>
  <c r="S772" i="8" s="1"/>
  <c r="P772" i="8"/>
  <c r="N772" i="8"/>
  <c r="O772" i="8" s="1"/>
  <c r="K772" i="8"/>
  <c r="Q771" i="8"/>
  <c r="S771" i="8" s="1"/>
  <c r="P771" i="8"/>
  <c r="N771" i="8"/>
  <c r="O771" i="8" s="1"/>
  <c r="K771" i="8"/>
  <c r="Q770" i="8"/>
  <c r="S770" i="8" s="1"/>
  <c r="P770" i="8"/>
  <c r="N770" i="8"/>
  <c r="O770" i="8" s="1"/>
  <c r="K770" i="8"/>
  <c r="Q769" i="8"/>
  <c r="S769" i="8" s="1"/>
  <c r="P769" i="8"/>
  <c r="N769" i="8"/>
  <c r="O769" i="8" s="1"/>
  <c r="K769" i="8"/>
  <c r="Q768" i="8"/>
  <c r="S768" i="8" s="1"/>
  <c r="P768" i="8"/>
  <c r="N768" i="8"/>
  <c r="O768" i="8" s="1"/>
  <c r="K768" i="8"/>
  <c r="Q767" i="8"/>
  <c r="S767" i="8" s="1"/>
  <c r="P767" i="8"/>
  <c r="N767" i="8"/>
  <c r="O767" i="8" s="1"/>
  <c r="K767" i="8"/>
  <c r="Q766" i="8"/>
  <c r="S766" i="8" s="1"/>
  <c r="P766" i="8"/>
  <c r="N766" i="8"/>
  <c r="O766" i="8" s="1"/>
  <c r="K766" i="8"/>
  <c r="Q765" i="8"/>
  <c r="S765" i="8" s="1"/>
  <c r="P765" i="8"/>
  <c r="N765" i="8"/>
  <c r="O765" i="8" s="1"/>
  <c r="K765" i="8"/>
  <c r="Q764" i="8"/>
  <c r="S764" i="8" s="1"/>
  <c r="P764" i="8"/>
  <c r="N764" i="8"/>
  <c r="O764" i="8" s="1"/>
  <c r="K764" i="8"/>
  <c r="Q763" i="8"/>
  <c r="S763" i="8" s="1"/>
  <c r="P763" i="8"/>
  <c r="N763" i="8"/>
  <c r="O763" i="8" s="1"/>
  <c r="K763" i="8"/>
  <c r="Q762" i="8"/>
  <c r="S762" i="8" s="1"/>
  <c r="P762" i="8"/>
  <c r="N762" i="8"/>
  <c r="O762" i="8" s="1"/>
  <c r="K762" i="8"/>
  <c r="Q761" i="8"/>
  <c r="S761" i="8" s="1"/>
  <c r="P761" i="8"/>
  <c r="N761" i="8"/>
  <c r="O761" i="8" s="1"/>
  <c r="K761" i="8"/>
  <c r="Q760" i="8"/>
  <c r="S760" i="8" s="1"/>
  <c r="P760" i="8"/>
  <c r="N760" i="8"/>
  <c r="O760" i="8" s="1"/>
  <c r="K760" i="8"/>
  <c r="Q759" i="8"/>
  <c r="S759" i="8" s="1"/>
  <c r="P759" i="8"/>
  <c r="N759" i="8"/>
  <c r="O759" i="8" s="1"/>
  <c r="K759" i="8"/>
  <c r="Q758" i="8"/>
  <c r="S758" i="8" s="1"/>
  <c r="P758" i="8"/>
  <c r="N758" i="8"/>
  <c r="O758" i="8" s="1"/>
  <c r="K758" i="8"/>
  <c r="Q757" i="8"/>
  <c r="S757" i="8" s="1"/>
  <c r="P757" i="8"/>
  <c r="N757" i="8"/>
  <c r="O757" i="8" s="1"/>
  <c r="K757" i="8"/>
  <c r="Q756" i="8"/>
  <c r="S756" i="8" s="1"/>
  <c r="P756" i="8"/>
  <c r="N756" i="8"/>
  <c r="O756" i="8" s="1"/>
  <c r="K756" i="8"/>
  <c r="Q755" i="8"/>
  <c r="S755" i="8" s="1"/>
  <c r="P755" i="8"/>
  <c r="N755" i="8"/>
  <c r="O755" i="8" s="1"/>
  <c r="K755" i="8"/>
  <c r="Q754" i="8"/>
  <c r="S754" i="8" s="1"/>
  <c r="P754" i="8"/>
  <c r="N754" i="8"/>
  <c r="O754" i="8" s="1"/>
  <c r="K754" i="8"/>
  <c r="Q753" i="8"/>
  <c r="S753" i="8" s="1"/>
  <c r="P753" i="8"/>
  <c r="N753" i="8"/>
  <c r="O753" i="8" s="1"/>
  <c r="K753" i="8"/>
  <c r="Q752" i="8"/>
  <c r="S752" i="8" s="1"/>
  <c r="P752" i="8"/>
  <c r="N752" i="8"/>
  <c r="O752" i="8" s="1"/>
  <c r="K752" i="8"/>
  <c r="Q751" i="8"/>
  <c r="S751" i="8" s="1"/>
  <c r="P751" i="8"/>
  <c r="N751" i="8"/>
  <c r="O751" i="8" s="1"/>
  <c r="K751" i="8"/>
  <c r="Q750" i="8"/>
  <c r="S750" i="8" s="1"/>
  <c r="P750" i="8"/>
  <c r="N750" i="8"/>
  <c r="O750" i="8" s="1"/>
  <c r="K750" i="8"/>
  <c r="Q749" i="8"/>
  <c r="S749" i="8" s="1"/>
  <c r="P749" i="8"/>
  <c r="N749" i="8"/>
  <c r="O749" i="8" s="1"/>
  <c r="K749" i="8"/>
  <c r="Q748" i="8"/>
  <c r="S748" i="8" s="1"/>
  <c r="P748" i="8"/>
  <c r="N748" i="8"/>
  <c r="O748" i="8" s="1"/>
  <c r="K748" i="8"/>
  <c r="Q747" i="8"/>
  <c r="S747" i="8" s="1"/>
  <c r="P747" i="8"/>
  <c r="N747" i="8"/>
  <c r="O747" i="8" s="1"/>
  <c r="K747" i="8"/>
  <c r="Q746" i="8"/>
  <c r="S746" i="8" s="1"/>
  <c r="P746" i="8"/>
  <c r="N746" i="8"/>
  <c r="O746" i="8" s="1"/>
  <c r="K746" i="8"/>
  <c r="Q745" i="8"/>
  <c r="S745" i="8" s="1"/>
  <c r="P745" i="8"/>
  <c r="N745" i="8"/>
  <c r="O745" i="8" s="1"/>
  <c r="K745" i="8"/>
  <c r="Q744" i="8"/>
  <c r="S744" i="8" s="1"/>
  <c r="P744" i="8"/>
  <c r="N744" i="8"/>
  <c r="O744" i="8" s="1"/>
  <c r="K744" i="8"/>
  <c r="Q743" i="8"/>
  <c r="S743" i="8" s="1"/>
  <c r="P743" i="8"/>
  <c r="N743" i="8"/>
  <c r="O743" i="8" s="1"/>
  <c r="K743" i="8"/>
  <c r="Q742" i="8"/>
  <c r="S742" i="8" s="1"/>
  <c r="P742" i="8"/>
  <c r="N742" i="8"/>
  <c r="O742" i="8" s="1"/>
  <c r="K742" i="8"/>
  <c r="Q741" i="8"/>
  <c r="S741" i="8" s="1"/>
  <c r="P741" i="8"/>
  <c r="N741" i="8"/>
  <c r="O741" i="8" s="1"/>
  <c r="K741" i="8"/>
  <c r="Q740" i="8"/>
  <c r="S740" i="8" s="1"/>
  <c r="P740" i="8"/>
  <c r="N740" i="8"/>
  <c r="O740" i="8" s="1"/>
  <c r="K740" i="8"/>
  <c r="Q739" i="8"/>
  <c r="S739" i="8" s="1"/>
  <c r="P739" i="8"/>
  <c r="N739" i="8"/>
  <c r="O739" i="8" s="1"/>
  <c r="K739" i="8"/>
  <c r="Q738" i="8"/>
  <c r="S738" i="8" s="1"/>
  <c r="P738" i="8"/>
  <c r="N738" i="8"/>
  <c r="O738" i="8" s="1"/>
  <c r="K738" i="8"/>
  <c r="Q737" i="8"/>
  <c r="S737" i="8" s="1"/>
  <c r="P737" i="8"/>
  <c r="N737" i="8"/>
  <c r="O737" i="8" s="1"/>
  <c r="K737" i="8"/>
  <c r="Q736" i="8"/>
  <c r="S736" i="8" s="1"/>
  <c r="P736" i="8"/>
  <c r="N736" i="8"/>
  <c r="O736" i="8" s="1"/>
  <c r="K736" i="8"/>
  <c r="Q735" i="8"/>
  <c r="S735" i="8" s="1"/>
  <c r="P735" i="8"/>
  <c r="N735" i="8"/>
  <c r="O735" i="8" s="1"/>
  <c r="K735" i="8"/>
  <c r="Q734" i="8"/>
  <c r="S734" i="8" s="1"/>
  <c r="P734" i="8"/>
  <c r="N734" i="8"/>
  <c r="O734" i="8" s="1"/>
  <c r="K734" i="8"/>
  <c r="Q733" i="8"/>
  <c r="S733" i="8" s="1"/>
  <c r="P733" i="8"/>
  <c r="N733" i="8"/>
  <c r="O733" i="8" s="1"/>
  <c r="K733" i="8"/>
  <c r="Q732" i="8"/>
  <c r="S732" i="8" s="1"/>
  <c r="P732" i="8"/>
  <c r="N732" i="8"/>
  <c r="O732" i="8" s="1"/>
  <c r="K732" i="8"/>
  <c r="Q731" i="8"/>
  <c r="S731" i="8" s="1"/>
  <c r="P731" i="8"/>
  <c r="N731" i="8"/>
  <c r="O731" i="8" s="1"/>
  <c r="K731" i="8"/>
  <c r="Q730" i="8"/>
  <c r="S730" i="8" s="1"/>
  <c r="P730" i="8"/>
  <c r="N730" i="8"/>
  <c r="O730" i="8" s="1"/>
  <c r="K730" i="8"/>
  <c r="Q729" i="8"/>
  <c r="S729" i="8" s="1"/>
  <c r="P729" i="8"/>
  <c r="N729" i="8"/>
  <c r="O729" i="8" s="1"/>
  <c r="K729" i="8"/>
  <c r="Q728" i="8"/>
  <c r="S728" i="8" s="1"/>
  <c r="P728" i="8"/>
  <c r="N728" i="8"/>
  <c r="O728" i="8" s="1"/>
  <c r="K728" i="8"/>
  <c r="Q727" i="8"/>
  <c r="S727" i="8" s="1"/>
  <c r="P727" i="8"/>
  <c r="N727" i="8"/>
  <c r="O727" i="8" s="1"/>
  <c r="K727" i="8"/>
  <c r="Q726" i="8"/>
  <c r="S726" i="8" s="1"/>
  <c r="P726" i="8"/>
  <c r="N726" i="8"/>
  <c r="O726" i="8" s="1"/>
  <c r="K726" i="8"/>
  <c r="Q725" i="8"/>
  <c r="S725" i="8" s="1"/>
  <c r="P725" i="8"/>
  <c r="N725" i="8"/>
  <c r="O725" i="8" s="1"/>
  <c r="K725" i="8"/>
  <c r="Q724" i="8"/>
  <c r="S724" i="8" s="1"/>
  <c r="P724" i="8"/>
  <c r="N724" i="8"/>
  <c r="O724" i="8" s="1"/>
  <c r="K724" i="8"/>
  <c r="Q723" i="8"/>
  <c r="S723" i="8" s="1"/>
  <c r="P723" i="8"/>
  <c r="N723" i="8"/>
  <c r="O723" i="8" s="1"/>
  <c r="K723" i="8"/>
  <c r="Q722" i="8"/>
  <c r="S722" i="8" s="1"/>
  <c r="P722" i="8"/>
  <c r="N722" i="8"/>
  <c r="O722" i="8" s="1"/>
  <c r="K722" i="8"/>
  <c r="Q721" i="8"/>
  <c r="S721" i="8" s="1"/>
  <c r="P721" i="8"/>
  <c r="N721" i="8"/>
  <c r="O721" i="8" s="1"/>
  <c r="K721" i="8"/>
  <c r="Q720" i="8"/>
  <c r="S720" i="8" s="1"/>
  <c r="P720" i="8"/>
  <c r="N720" i="8"/>
  <c r="O720" i="8" s="1"/>
  <c r="K720" i="8"/>
  <c r="Q719" i="8"/>
  <c r="S719" i="8" s="1"/>
  <c r="P719" i="8"/>
  <c r="N719" i="8"/>
  <c r="O719" i="8" s="1"/>
  <c r="K719" i="8"/>
  <c r="Q718" i="8"/>
  <c r="S718" i="8" s="1"/>
  <c r="P718" i="8"/>
  <c r="N718" i="8"/>
  <c r="O718" i="8" s="1"/>
  <c r="K718" i="8"/>
  <c r="Q717" i="8"/>
  <c r="S717" i="8" s="1"/>
  <c r="P717" i="8"/>
  <c r="N717" i="8"/>
  <c r="O717" i="8" s="1"/>
  <c r="K717" i="8"/>
  <c r="Q716" i="8"/>
  <c r="S716" i="8" s="1"/>
  <c r="P716" i="8"/>
  <c r="N716" i="8"/>
  <c r="O716" i="8" s="1"/>
  <c r="K716" i="8"/>
  <c r="Q715" i="8"/>
  <c r="S715" i="8" s="1"/>
  <c r="P715" i="8"/>
  <c r="N715" i="8"/>
  <c r="O715" i="8" s="1"/>
  <c r="K715" i="8"/>
  <c r="Q714" i="8"/>
  <c r="S714" i="8" s="1"/>
  <c r="P714" i="8"/>
  <c r="N714" i="8"/>
  <c r="O714" i="8" s="1"/>
  <c r="K714" i="8"/>
  <c r="Q713" i="8"/>
  <c r="S713" i="8" s="1"/>
  <c r="P713" i="8"/>
  <c r="N713" i="8"/>
  <c r="O713" i="8" s="1"/>
  <c r="K713" i="8"/>
  <c r="Q712" i="8"/>
  <c r="S712" i="8" s="1"/>
  <c r="P712" i="8"/>
  <c r="N712" i="8"/>
  <c r="O712" i="8" s="1"/>
  <c r="K712" i="8"/>
  <c r="Q711" i="8"/>
  <c r="S711" i="8" s="1"/>
  <c r="P711" i="8"/>
  <c r="N711" i="8"/>
  <c r="O711" i="8" s="1"/>
  <c r="K711" i="8"/>
  <c r="Q710" i="8"/>
  <c r="S710" i="8" s="1"/>
  <c r="P710" i="8"/>
  <c r="N710" i="8"/>
  <c r="O710" i="8" s="1"/>
  <c r="K710" i="8"/>
  <c r="Q709" i="8"/>
  <c r="S709" i="8" s="1"/>
  <c r="P709" i="8"/>
  <c r="N709" i="8"/>
  <c r="O709" i="8" s="1"/>
  <c r="K709" i="8"/>
  <c r="Q708" i="8"/>
  <c r="S708" i="8" s="1"/>
  <c r="P708" i="8"/>
  <c r="N708" i="8"/>
  <c r="O708" i="8" s="1"/>
  <c r="K708" i="8"/>
  <c r="Q707" i="8"/>
  <c r="S707" i="8" s="1"/>
  <c r="P707" i="8"/>
  <c r="N707" i="8"/>
  <c r="O707" i="8" s="1"/>
  <c r="K707" i="8"/>
  <c r="Q706" i="8"/>
  <c r="S706" i="8" s="1"/>
  <c r="P706" i="8"/>
  <c r="N706" i="8"/>
  <c r="O706" i="8" s="1"/>
  <c r="K706" i="8"/>
  <c r="Q705" i="8"/>
  <c r="S705" i="8" s="1"/>
  <c r="P705" i="8"/>
  <c r="N705" i="8"/>
  <c r="O705" i="8" s="1"/>
  <c r="K705" i="8"/>
  <c r="Q704" i="8"/>
  <c r="S704" i="8" s="1"/>
  <c r="P704" i="8"/>
  <c r="N704" i="8"/>
  <c r="O704" i="8" s="1"/>
  <c r="K704" i="8"/>
  <c r="Q703" i="8"/>
  <c r="S703" i="8" s="1"/>
  <c r="P703" i="8"/>
  <c r="N703" i="8"/>
  <c r="O703" i="8" s="1"/>
  <c r="K703" i="8"/>
  <c r="Q702" i="8"/>
  <c r="S702" i="8" s="1"/>
  <c r="P702" i="8"/>
  <c r="N702" i="8"/>
  <c r="O702" i="8" s="1"/>
  <c r="K702" i="8"/>
  <c r="Q701" i="8"/>
  <c r="S701" i="8" s="1"/>
  <c r="P701" i="8"/>
  <c r="N701" i="8"/>
  <c r="O701" i="8" s="1"/>
  <c r="K701" i="8"/>
  <c r="Q700" i="8"/>
  <c r="S700" i="8" s="1"/>
  <c r="P700" i="8"/>
  <c r="N700" i="8"/>
  <c r="O700" i="8" s="1"/>
  <c r="K700" i="8"/>
  <c r="Q699" i="8"/>
  <c r="S699" i="8" s="1"/>
  <c r="P699" i="8"/>
  <c r="N699" i="8"/>
  <c r="O699" i="8" s="1"/>
  <c r="K699" i="8"/>
  <c r="Q698" i="8"/>
  <c r="S698" i="8" s="1"/>
  <c r="P698" i="8"/>
  <c r="N698" i="8"/>
  <c r="O698" i="8" s="1"/>
  <c r="K698" i="8"/>
  <c r="Q697" i="8"/>
  <c r="S697" i="8" s="1"/>
  <c r="P697" i="8"/>
  <c r="N697" i="8"/>
  <c r="O697" i="8" s="1"/>
  <c r="K697" i="8"/>
  <c r="Q696" i="8"/>
  <c r="S696" i="8" s="1"/>
  <c r="P696" i="8"/>
  <c r="N696" i="8"/>
  <c r="O696" i="8" s="1"/>
  <c r="K696" i="8"/>
  <c r="Q695" i="8"/>
  <c r="S695" i="8" s="1"/>
  <c r="P695" i="8"/>
  <c r="N695" i="8"/>
  <c r="O695" i="8" s="1"/>
  <c r="K695" i="8"/>
  <c r="Q694" i="8"/>
  <c r="S694" i="8" s="1"/>
  <c r="P694" i="8"/>
  <c r="N694" i="8"/>
  <c r="O694" i="8" s="1"/>
  <c r="K694" i="8"/>
  <c r="Q693" i="8"/>
  <c r="S693" i="8" s="1"/>
  <c r="P693" i="8"/>
  <c r="N693" i="8"/>
  <c r="O693" i="8" s="1"/>
  <c r="K693" i="8"/>
  <c r="Q692" i="8"/>
  <c r="S692" i="8" s="1"/>
  <c r="P692" i="8"/>
  <c r="N692" i="8"/>
  <c r="O692" i="8" s="1"/>
  <c r="K692" i="8"/>
  <c r="Q691" i="8"/>
  <c r="S691" i="8" s="1"/>
  <c r="P691" i="8"/>
  <c r="N691" i="8"/>
  <c r="O691" i="8" s="1"/>
  <c r="K691" i="8"/>
  <c r="Q690" i="8"/>
  <c r="S690" i="8" s="1"/>
  <c r="P690" i="8"/>
  <c r="N690" i="8"/>
  <c r="O690" i="8" s="1"/>
  <c r="K690" i="8"/>
  <c r="Q689" i="8"/>
  <c r="S689" i="8" s="1"/>
  <c r="P689" i="8"/>
  <c r="N689" i="8"/>
  <c r="O689" i="8" s="1"/>
  <c r="K689" i="8"/>
  <c r="Q688" i="8"/>
  <c r="S688" i="8" s="1"/>
  <c r="P688" i="8"/>
  <c r="N688" i="8"/>
  <c r="O688" i="8" s="1"/>
  <c r="K688" i="8"/>
  <c r="Q687" i="8"/>
  <c r="S687" i="8" s="1"/>
  <c r="P687" i="8"/>
  <c r="N687" i="8"/>
  <c r="O687" i="8" s="1"/>
  <c r="K687" i="8"/>
  <c r="Q686" i="8"/>
  <c r="S686" i="8" s="1"/>
  <c r="P686" i="8"/>
  <c r="N686" i="8"/>
  <c r="O686" i="8" s="1"/>
  <c r="K686" i="8"/>
  <c r="Q685" i="8"/>
  <c r="S685" i="8" s="1"/>
  <c r="P685" i="8"/>
  <c r="N685" i="8"/>
  <c r="O685" i="8" s="1"/>
  <c r="K685" i="8"/>
  <c r="Q684" i="8"/>
  <c r="S684" i="8" s="1"/>
  <c r="P684" i="8"/>
  <c r="N684" i="8"/>
  <c r="O684" i="8" s="1"/>
  <c r="K684" i="8"/>
  <c r="Q683" i="8"/>
  <c r="S683" i="8" s="1"/>
  <c r="P683" i="8"/>
  <c r="N683" i="8"/>
  <c r="O683" i="8" s="1"/>
  <c r="K683" i="8"/>
  <c r="Q682" i="8"/>
  <c r="S682" i="8" s="1"/>
  <c r="P682" i="8"/>
  <c r="N682" i="8"/>
  <c r="O682" i="8" s="1"/>
  <c r="K682" i="8"/>
  <c r="Q681" i="8"/>
  <c r="S681" i="8" s="1"/>
  <c r="P681" i="8"/>
  <c r="N681" i="8"/>
  <c r="O681" i="8" s="1"/>
  <c r="K681" i="8"/>
  <c r="Q680" i="8"/>
  <c r="S680" i="8" s="1"/>
  <c r="P680" i="8"/>
  <c r="N680" i="8"/>
  <c r="O680" i="8" s="1"/>
  <c r="K680" i="8"/>
  <c r="Q679" i="8"/>
  <c r="S679" i="8" s="1"/>
  <c r="P679" i="8"/>
  <c r="N679" i="8"/>
  <c r="O679" i="8" s="1"/>
  <c r="K679" i="8"/>
  <c r="Q678" i="8"/>
  <c r="S678" i="8" s="1"/>
  <c r="P678" i="8"/>
  <c r="N678" i="8"/>
  <c r="O678" i="8" s="1"/>
  <c r="K678" i="8"/>
  <c r="Q677" i="8"/>
  <c r="S677" i="8" s="1"/>
  <c r="P677" i="8"/>
  <c r="N677" i="8"/>
  <c r="O677" i="8" s="1"/>
  <c r="K677" i="8"/>
  <c r="Q676" i="8"/>
  <c r="S676" i="8" s="1"/>
  <c r="P676" i="8"/>
  <c r="N676" i="8"/>
  <c r="O676" i="8" s="1"/>
  <c r="K676" i="8"/>
  <c r="Q675" i="8"/>
  <c r="S675" i="8" s="1"/>
  <c r="P675" i="8"/>
  <c r="N675" i="8"/>
  <c r="O675" i="8" s="1"/>
  <c r="K675" i="8"/>
  <c r="Q674" i="8"/>
  <c r="S674" i="8" s="1"/>
  <c r="P674" i="8"/>
  <c r="N674" i="8"/>
  <c r="O674" i="8" s="1"/>
  <c r="K674" i="8"/>
  <c r="Q673" i="8"/>
  <c r="S673" i="8" s="1"/>
  <c r="P673" i="8"/>
  <c r="N673" i="8"/>
  <c r="O673" i="8" s="1"/>
  <c r="K673" i="8"/>
  <c r="Q672" i="8"/>
  <c r="S672" i="8" s="1"/>
  <c r="P672" i="8"/>
  <c r="N672" i="8"/>
  <c r="O672" i="8" s="1"/>
  <c r="K672" i="8"/>
  <c r="Q671" i="8"/>
  <c r="S671" i="8" s="1"/>
  <c r="P671" i="8"/>
  <c r="N671" i="8"/>
  <c r="O671" i="8" s="1"/>
  <c r="K671" i="8"/>
  <c r="Q670" i="8"/>
  <c r="S670" i="8" s="1"/>
  <c r="P670" i="8"/>
  <c r="N670" i="8"/>
  <c r="O670" i="8" s="1"/>
  <c r="K670" i="8"/>
  <c r="Q669" i="8"/>
  <c r="S669" i="8" s="1"/>
  <c r="P669" i="8"/>
  <c r="N669" i="8"/>
  <c r="O669" i="8" s="1"/>
  <c r="K669" i="8"/>
  <c r="Q668" i="8"/>
  <c r="S668" i="8" s="1"/>
  <c r="P668" i="8"/>
  <c r="N668" i="8"/>
  <c r="O668" i="8" s="1"/>
  <c r="K668" i="8"/>
  <c r="Q667" i="8"/>
  <c r="S667" i="8" s="1"/>
  <c r="P667" i="8"/>
  <c r="N667" i="8"/>
  <c r="O667" i="8" s="1"/>
  <c r="K667" i="8"/>
  <c r="Q666" i="8"/>
  <c r="S666" i="8" s="1"/>
  <c r="P666" i="8"/>
  <c r="N666" i="8"/>
  <c r="O666" i="8" s="1"/>
  <c r="K666" i="8"/>
  <c r="Q665" i="8"/>
  <c r="S665" i="8" s="1"/>
  <c r="P665" i="8"/>
  <c r="N665" i="8"/>
  <c r="O665" i="8" s="1"/>
  <c r="K665" i="8"/>
  <c r="Q664" i="8"/>
  <c r="S664" i="8" s="1"/>
  <c r="P664" i="8"/>
  <c r="N664" i="8"/>
  <c r="O664" i="8" s="1"/>
  <c r="K664" i="8"/>
  <c r="Q663" i="8"/>
  <c r="S663" i="8" s="1"/>
  <c r="P663" i="8"/>
  <c r="N663" i="8"/>
  <c r="O663" i="8" s="1"/>
  <c r="K663" i="8"/>
  <c r="Q662" i="8"/>
  <c r="S662" i="8" s="1"/>
  <c r="P662" i="8"/>
  <c r="N662" i="8"/>
  <c r="O662" i="8" s="1"/>
  <c r="K662" i="8"/>
  <c r="Q661" i="8"/>
  <c r="S661" i="8" s="1"/>
  <c r="P661" i="8"/>
  <c r="N661" i="8"/>
  <c r="O661" i="8" s="1"/>
  <c r="K661" i="8"/>
  <c r="Q660" i="8"/>
  <c r="S660" i="8" s="1"/>
  <c r="P660" i="8"/>
  <c r="N660" i="8"/>
  <c r="O660" i="8" s="1"/>
  <c r="K660" i="8"/>
  <c r="Q659" i="8"/>
  <c r="S659" i="8" s="1"/>
  <c r="P659" i="8"/>
  <c r="N659" i="8"/>
  <c r="O659" i="8" s="1"/>
  <c r="K659" i="8"/>
  <c r="Q658" i="8"/>
  <c r="S658" i="8" s="1"/>
  <c r="P658" i="8"/>
  <c r="N658" i="8"/>
  <c r="O658" i="8" s="1"/>
  <c r="K658" i="8"/>
  <c r="Q657" i="8"/>
  <c r="S657" i="8" s="1"/>
  <c r="P657" i="8"/>
  <c r="N657" i="8"/>
  <c r="O657" i="8" s="1"/>
  <c r="K657" i="8"/>
  <c r="Q656" i="8"/>
  <c r="S656" i="8" s="1"/>
  <c r="P656" i="8"/>
  <c r="N656" i="8"/>
  <c r="O656" i="8" s="1"/>
  <c r="K656" i="8"/>
  <c r="Q655" i="8"/>
  <c r="S655" i="8" s="1"/>
  <c r="P655" i="8"/>
  <c r="N655" i="8"/>
  <c r="O655" i="8" s="1"/>
  <c r="K655" i="8"/>
  <c r="Q654" i="8"/>
  <c r="S654" i="8" s="1"/>
  <c r="P654" i="8"/>
  <c r="N654" i="8"/>
  <c r="O654" i="8" s="1"/>
  <c r="K654" i="8"/>
  <c r="Q653" i="8"/>
  <c r="S653" i="8" s="1"/>
  <c r="P653" i="8"/>
  <c r="N653" i="8"/>
  <c r="O653" i="8" s="1"/>
  <c r="K653" i="8"/>
  <c r="Q652" i="8"/>
  <c r="S652" i="8" s="1"/>
  <c r="P652" i="8"/>
  <c r="N652" i="8"/>
  <c r="O652" i="8" s="1"/>
  <c r="K652" i="8"/>
  <c r="Q651" i="8"/>
  <c r="S651" i="8" s="1"/>
  <c r="P651" i="8"/>
  <c r="N651" i="8"/>
  <c r="O651" i="8" s="1"/>
  <c r="K651" i="8"/>
  <c r="Q650" i="8"/>
  <c r="S650" i="8" s="1"/>
  <c r="P650" i="8"/>
  <c r="N650" i="8"/>
  <c r="O650" i="8" s="1"/>
  <c r="K650" i="8"/>
  <c r="Q649" i="8"/>
  <c r="S649" i="8" s="1"/>
  <c r="P649" i="8"/>
  <c r="N649" i="8"/>
  <c r="O649" i="8" s="1"/>
  <c r="K649" i="8"/>
  <c r="Q648" i="8"/>
  <c r="S648" i="8" s="1"/>
  <c r="P648" i="8"/>
  <c r="N648" i="8"/>
  <c r="O648" i="8" s="1"/>
  <c r="K648" i="8"/>
  <c r="Q647" i="8"/>
  <c r="S647" i="8" s="1"/>
  <c r="P647" i="8"/>
  <c r="N647" i="8"/>
  <c r="O647" i="8" s="1"/>
  <c r="K647" i="8"/>
  <c r="Q646" i="8"/>
  <c r="S646" i="8" s="1"/>
  <c r="P646" i="8"/>
  <c r="N646" i="8"/>
  <c r="O646" i="8" s="1"/>
  <c r="K646" i="8"/>
  <c r="Q645" i="8"/>
  <c r="S645" i="8" s="1"/>
  <c r="P645" i="8"/>
  <c r="N645" i="8"/>
  <c r="O645" i="8" s="1"/>
  <c r="K645" i="8"/>
  <c r="Q644" i="8"/>
  <c r="S644" i="8" s="1"/>
  <c r="P644" i="8"/>
  <c r="N644" i="8"/>
  <c r="O644" i="8" s="1"/>
  <c r="K644" i="8"/>
  <c r="Q643" i="8"/>
  <c r="S643" i="8" s="1"/>
  <c r="P643" i="8"/>
  <c r="N643" i="8"/>
  <c r="O643" i="8" s="1"/>
  <c r="K643" i="8"/>
  <c r="Q642" i="8"/>
  <c r="S642" i="8" s="1"/>
  <c r="P642" i="8"/>
  <c r="N642" i="8"/>
  <c r="O642" i="8" s="1"/>
  <c r="K642" i="8"/>
  <c r="Q641" i="8"/>
  <c r="S641" i="8" s="1"/>
  <c r="P641" i="8"/>
  <c r="N641" i="8"/>
  <c r="O641" i="8" s="1"/>
  <c r="K641" i="8"/>
  <c r="Q640" i="8"/>
  <c r="S640" i="8" s="1"/>
  <c r="P640" i="8"/>
  <c r="N640" i="8"/>
  <c r="O640" i="8" s="1"/>
  <c r="K640" i="8"/>
  <c r="Q639" i="8"/>
  <c r="S639" i="8" s="1"/>
  <c r="P639" i="8"/>
  <c r="N639" i="8"/>
  <c r="O639" i="8" s="1"/>
  <c r="K639" i="8"/>
  <c r="Q638" i="8"/>
  <c r="S638" i="8" s="1"/>
  <c r="P638" i="8"/>
  <c r="N638" i="8"/>
  <c r="O638" i="8" s="1"/>
  <c r="K638" i="8"/>
  <c r="Q637" i="8"/>
  <c r="S637" i="8" s="1"/>
  <c r="P637" i="8"/>
  <c r="N637" i="8"/>
  <c r="O637" i="8" s="1"/>
  <c r="K637" i="8"/>
  <c r="Q636" i="8"/>
  <c r="S636" i="8" s="1"/>
  <c r="P636" i="8"/>
  <c r="N636" i="8"/>
  <c r="O636" i="8" s="1"/>
  <c r="K636" i="8"/>
  <c r="Q635" i="8"/>
  <c r="S635" i="8" s="1"/>
  <c r="P635" i="8"/>
  <c r="N635" i="8"/>
  <c r="O635" i="8" s="1"/>
  <c r="K635" i="8"/>
  <c r="Q634" i="8"/>
  <c r="S634" i="8" s="1"/>
  <c r="P634" i="8"/>
  <c r="N634" i="8"/>
  <c r="O634" i="8" s="1"/>
  <c r="K634" i="8"/>
  <c r="Q633" i="8"/>
  <c r="S633" i="8" s="1"/>
  <c r="P633" i="8"/>
  <c r="N633" i="8"/>
  <c r="O633" i="8" s="1"/>
  <c r="K633" i="8"/>
  <c r="Q632" i="8"/>
  <c r="S632" i="8" s="1"/>
  <c r="P632" i="8"/>
  <c r="N632" i="8"/>
  <c r="O632" i="8" s="1"/>
  <c r="K632" i="8"/>
  <c r="Q631" i="8"/>
  <c r="S631" i="8" s="1"/>
  <c r="P631" i="8"/>
  <c r="N631" i="8"/>
  <c r="O631" i="8" s="1"/>
  <c r="K631" i="8"/>
  <c r="Q630" i="8"/>
  <c r="S630" i="8" s="1"/>
  <c r="P630" i="8"/>
  <c r="N630" i="8"/>
  <c r="O630" i="8" s="1"/>
  <c r="K630" i="8"/>
  <c r="Q629" i="8"/>
  <c r="S629" i="8" s="1"/>
  <c r="P629" i="8"/>
  <c r="N629" i="8"/>
  <c r="O629" i="8" s="1"/>
  <c r="K629" i="8"/>
  <c r="Q628" i="8"/>
  <c r="S628" i="8" s="1"/>
  <c r="P628" i="8"/>
  <c r="N628" i="8"/>
  <c r="O628" i="8" s="1"/>
  <c r="K628" i="8"/>
  <c r="Q627" i="8"/>
  <c r="S627" i="8" s="1"/>
  <c r="P627" i="8"/>
  <c r="N627" i="8"/>
  <c r="O627" i="8" s="1"/>
  <c r="K627" i="8"/>
  <c r="Q626" i="8"/>
  <c r="S626" i="8" s="1"/>
  <c r="P626" i="8"/>
  <c r="N626" i="8"/>
  <c r="O626" i="8" s="1"/>
  <c r="K626" i="8"/>
  <c r="Q625" i="8"/>
  <c r="S625" i="8" s="1"/>
  <c r="P625" i="8"/>
  <c r="N625" i="8"/>
  <c r="O625" i="8" s="1"/>
  <c r="K625" i="8"/>
  <c r="Q624" i="8"/>
  <c r="S624" i="8" s="1"/>
  <c r="P624" i="8"/>
  <c r="N624" i="8"/>
  <c r="O624" i="8" s="1"/>
  <c r="K624" i="8"/>
  <c r="Q623" i="8"/>
  <c r="S623" i="8" s="1"/>
  <c r="P623" i="8"/>
  <c r="N623" i="8"/>
  <c r="O623" i="8" s="1"/>
  <c r="K623" i="8"/>
  <c r="Q622" i="8"/>
  <c r="S622" i="8" s="1"/>
  <c r="P622" i="8"/>
  <c r="N622" i="8"/>
  <c r="O622" i="8" s="1"/>
  <c r="K622" i="8"/>
  <c r="Q621" i="8"/>
  <c r="S621" i="8" s="1"/>
  <c r="P621" i="8"/>
  <c r="N621" i="8"/>
  <c r="O621" i="8" s="1"/>
  <c r="K621" i="8"/>
  <c r="Q620" i="8"/>
  <c r="S620" i="8" s="1"/>
  <c r="P620" i="8"/>
  <c r="N620" i="8"/>
  <c r="O620" i="8" s="1"/>
  <c r="K620" i="8"/>
  <c r="Q619" i="8"/>
  <c r="S619" i="8" s="1"/>
  <c r="P619" i="8"/>
  <c r="N619" i="8"/>
  <c r="O619" i="8" s="1"/>
  <c r="K619" i="8"/>
  <c r="Q618" i="8"/>
  <c r="S618" i="8" s="1"/>
  <c r="P618" i="8"/>
  <c r="N618" i="8"/>
  <c r="O618" i="8" s="1"/>
  <c r="K618" i="8"/>
  <c r="Q617" i="8"/>
  <c r="S617" i="8" s="1"/>
  <c r="P617" i="8"/>
  <c r="N617" i="8"/>
  <c r="O617" i="8" s="1"/>
  <c r="K617" i="8"/>
  <c r="Q616" i="8"/>
  <c r="S616" i="8" s="1"/>
  <c r="P616" i="8"/>
  <c r="N616" i="8"/>
  <c r="O616" i="8" s="1"/>
  <c r="K616" i="8"/>
  <c r="Q615" i="8"/>
  <c r="S615" i="8" s="1"/>
  <c r="P615" i="8"/>
  <c r="N615" i="8"/>
  <c r="O615" i="8" s="1"/>
  <c r="K615" i="8"/>
  <c r="Q614" i="8"/>
  <c r="S614" i="8" s="1"/>
  <c r="P614" i="8"/>
  <c r="N614" i="8"/>
  <c r="O614" i="8" s="1"/>
  <c r="K614" i="8"/>
  <c r="Q613" i="8"/>
  <c r="S613" i="8" s="1"/>
  <c r="P613" i="8"/>
  <c r="N613" i="8"/>
  <c r="O613" i="8" s="1"/>
  <c r="K613" i="8"/>
  <c r="Q612" i="8"/>
  <c r="S612" i="8" s="1"/>
  <c r="P612" i="8"/>
  <c r="N612" i="8"/>
  <c r="O612" i="8" s="1"/>
  <c r="K612" i="8"/>
  <c r="Q611" i="8"/>
  <c r="S611" i="8" s="1"/>
  <c r="P611" i="8"/>
  <c r="N611" i="8"/>
  <c r="O611" i="8" s="1"/>
  <c r="K611" i="8"/>
  <c r="Q610" i="8"/>
  <c r="S610" i="8" s="1"/>
  <c r="P610" i="8"/>
  <c r="N610" i="8"/>
  <c r="O610" i="8" s="1"/>
  <c r="K610" i="8"/>
  <c r="Q609" i="8"/>
  <c r="S609" i="8" s="1"/>
  <c r="P609" i="8"/>
  <c r="N609" i="8"/>
  <c r="O609" i="8" s="1"/>
  <c r="K609" i="8"/>
  <c r="Q608" i="8"/>
  <c r="S608" i="8" s="1"/>
  <c r="P608" i="8"/>
  <c r="N608" i="8"/>
  <c r="O608" i="8" s="1"/>
  <c r="K608" i="8"/>
  <c r="Q607" i="8"/>
  <c r="S607" i="8" s="1"/>
  <c r="P607" i="8"/>
  <c r="N607" i="8"/>
  <c r="O607" i="8" s="1"/>
  <c r="K607" i="8"/>
  <c r="Q606" i="8"/>
  <c r="S606" i="8" s="1"/>
  <c r="P606" i="8"/>
  <c r="N606" i="8"/>
  <c r="O606" i="8" s="1"/>
  <c r="K606" i="8"/>
  <c r="Q605" i="8"/>
  <c r="S605" i="8" s="1"/>
  <c r="P605" i="8"/>
  <c r="N605" i="8"/>
  <c r="O605" i="8" s="1"/>
  <c r="K605" i="8"/>
  <c r="Q604" i="8"/>
  <c r="S604" i="8" s="1"/>
  <c r="P604" i="8"/>
  <c r="N604" i="8"/>
  <c r="O604" i="8" s="1"/>
  <c r="K604" i="8"/>
  <c r="Q603" i="8"/>
  <c r="S603" i="8" s="1"/>
  <c r="P603" i="8"/>
  <c r="N603" i="8"/>
  <c r="O603" i="8" s="1"/>
  <c r="K603" i="8"/>
  <c r="Q602" i="8"/>
  <c r="S602" i="8" s="1"/>
  <c r="P602" i="8"/>
  <c r="N602" i="8"/>
  <c r="O602" i="8" s="1"/>
  <c r="K602" i="8"/>
  <c r="Q601" i="8"/>
  <c r="S601" i="8" s="1"/>
  <c r="P601" i="8"/>
  <c r="N601" i="8"/>
  <c r="O601" i="8" s="1"/>
  <c r="K601" i="8"/>
  <c r="Q600" i="8"/>
  <c r="S600" i="8" s="1"/>
  <c r="P600" i="8"/>
  <c r="N600" i="8"/>
  <c r="O600" i="8" s="1"/>
  <c r="K600" i="8"/>
  <c r="Q599" i="8"/>
  <c r="S599" i="8" s="1"/>
  <c r="P599" i="8"/>
  <c r="N599" i="8"/>
  <c r="O599" i="8" s="1"/>
  <c r="K599" i="8"/>
  <c r="Q598" i="8"/>
  <c r="S598" i="8" s="1"/>
  <c r="P598" i="8"/>
  <c r="N598" i="8"/>
  <c r="O598" i="8" s="1"/>
  <c r="K598" i="8"/>
  <c r="Q597" i="8"/>
  <c r="S597" i="8" s="1"/>
  <c r="P597" i="8"/>
  <c r="N597" i="8"/>
  <c r="O597" i="8" s="1"/>
  <c r="K597" i="8"/>
  <c r="Q596" i="8"/>
  <c r="S596" i="8" s="1"/>
  <c r="P596" i="8"/>
  <c r="N596" i="8"/>
  <c r="O596" i="8" s="1"/>
  <c r="K596" i="8"/>
  <c r="Q595" i="8"/>
  <c r="S595" i="8" s="1"/>
  <c r="P595" i="8"/>
  <c r="N595" i="8"/>
  <c r="O595" i="8" s="1"/>
  <c r="K595" i="8"/>
  <c r="Q594" i="8"/>
  <c r="S594" i="8" s="1"/>
  <c r="P594" i="8"/>
  <c r="N594" i="8"/>
  <c r="O594" i="8" s="1"/>
  <c r="K594" i="8"/>
  <c r="Q593" i="8"/>
  <c r="S593" i="8" s="1"/>
  <c r="P593" i="8"/>
  <c r="N593" i="8"/>
  <c r="O593" i="8" s="1"/>
  <c r="K593" i="8"/>
  <c r="Q592" i="8"/>
  <c r="S592" i="8" s="1"/>
  <c r="P592" i="8"/>
  <c r="N592" i="8"/>
  <c r="O592" i="8" s="1"/>
  <c r="K592" i="8"/>
  <c r="Q591" i="8"/>
  <c r="S591" i="8" s="1"/>
  <c r="P591" i="8"/>
  <c r="N591" i="8"/>
  <c r="O591" i="8" s="1"/>
  <c r="K591" i="8"/>
  <c r="Q590" i="8"/>
  <c r="S590" i="8" s="1"/>
  <c r="P590" i="8"/>
  <c r="N590" i="8"/>
  <c r="O590" i="8" s="1"/>
  <c r="K590" i="8"/>
  <c r="Q589" i="8"/>
  <c r="S589" i="8" s="1"/>
  <c r="P589" i="8"/>
  <c r="N589" i="8"/>
  <c r="O589" i="8" s="1"/>
  <c r="K589" i="8"/>
  <c r="Q588" i="8"/>
  <c r="S588" i="8" s="1"/>
  <c r="P588" i="8"/>
  <c r="N588" i="8"/>
  <c r="O588" i="8" s="1"/>
  <c r="K588" i="8"/>
  <c r="Q587" i="8"/>
  <c r="S587" i="8" s="1"/>
  <c r="P587" i="8"/>
  <c r="N587" i="8"/>
  <c r="O587" i="8" s="1"/>
  <c r="K587" i="8"/>
  <c r="Q586" i="8"/>
  <c r="S586" i="8" s="1"/>
  <c r="P586" i="8"/>
  <c r="N586" i="8"/>
  <c r="O586" i="8" s="1"/>
  <c r="K586" i="8"/>
  <c r="Q585" i="8"/>
  <c r="S585" i="8" s="1"/>
  <c r="P585" i="8"/>
  <c r="N585" i="8"/>
  <c r="O585" i="8" s="1"/>
  <c r="K585" i="8"/>
  <c r="Q584" i="8"/>
  <c r="S584" i="8" s="1"/>
  <c r="P584" i="8"/>
  <c r="N584" i="8"/>
  <c r="O584" i="8" s="1"/>
  <c r="K584" i="8"/>
  <c r="Q583" i="8"/>
  <c r="S583" i="8" s="1"/>
  <c r="P583" i="8"/>
  <c r="N583" i="8"/>
  <c r="O583" i="8" s="1"/>
  <c r="K583" i="8"/>
  <c r="Q582" i="8"/>
  <c r="S582" i="8" s="1"/>
  <c r="P582" i="8"/>
  <c r="N582" i="8"/>
  <c r="O582" i="8" s="1"/>
  <c r="K582" i="8"/>
  <c r="Q581" i="8"/>
  <c r="S581" i="8" s="1"/>
  <c r="P581" i="8"/>
  <c r="N581" i="8"/>
  <c r="O581" i="8" s="1"/>
  <c r="K581" i="8"/>
  <c r="Q580" i="8"/>
  <c r="S580" i="8" s="1"/>
  <c r="P580" i="8"/>
  <c r="N580" i="8"/>
  <c r="O580" i="8" s="1"/>
  <c r="K580" i="8"/>
  <c r="Q579" i="8"/>
  <c r="S579" i="8" s="1"/>
  <c r="P579" i="8"/>
  <c r="N579" i="8"/>
  <c r="O579" i="8" s="1"/>
  <c r="K579" i="8"/>
  <c r="Q578" i="8"/>
  <c r="S578" i="8" s="1"/>
  <c r="P578" i="8"/>
  <c r="N578" i="8"/>
  <c r="O578" i="8" s="1"/>
  <c r="K578" i="8"/>
  <c r="Q577" i="8"/>
  <c r="S577" i="8" s="1"/>
  <c r="P577" i="8"/>
  <c r="N577" i="8"/>
  <c r="O577" i="8" s="1"/>
  <c r="K577" i="8"/>
  <c r="Q576" i="8"/>
  <c r="S576" i="8" s="1"/>
  <c r="P576" i="8"/>
  <c r="N576" i="8"/>
  <c r="O576" i="8" s="1"/>
  <c r="K576" i="8"/>
  <c r="Q575" i="8"/>
  <c r="S575" i="8" s="1"/>
  <c r="P575" i="8"/>
  <c r="N575" i="8"/>
  <c r="O575" i="8" s="1"/>
  <c r="K575" i="8"/>
  <c r="Q574" i="8"/>
  <c r="S574" i="8" s="1"/>
  <c r="P574" i="8"/>
  <c r="N574" i="8"/>
  <c r="O574" i="8" s="1"/>
  <c r="K574" i="8"/>
  <c r="Q573" i="8"/>
  <c r="S573" i="8" s="1"/>
  <c r="P573" i="8"/>
  <c r="N573" i="8"/>
  <c r="O573" i="8" s="1"/>
  <c r="K573" i="8"/>
  <c r="Q572" i="8"/>
  <c r="S572" i="8" s="1"/>
  <c r="P572" i="8"/>
  <c r="N572" i="8"/>
  <c r="O572" i="8" s="1"/>
  <c r="K572" i="8"/>
  <c r="Q571" i="8"/>
  <c r="S571" i="8" s="1"/>
  <c r="P571" i="8"/>
  <c r="N571" i="8"/>
  <c r="O571" i="8" s="1"/>
  <c r="K571" i="8"/>
  <c r="Q570" i="8"/>
  <c r="S570" i="8" s="1"/>
  <c r="P570" i="8"/>
  <c r="N570" i="8"/>
  <c r="O570" i="8" s="1"/>
  <c r="K570" i="8"/>
  <c r="Q569" i="8"/>
  <c r="S569" i="8" s="1"/>
  <c r="P569" i="8"/>
  <c r="N569" i="8"/>
  <c r="O569" i="8" s="1"/>
  <c r="K569" i="8"/>
  <c r="Q568" i="8"/>
  <c r="S568" i="8" s="1"/>
  <c r="P568" i="8"/>
  <c r="N568" i="8"/>
  <c r="O568" i="8" s="1"/>
  <c r="K568" i="8"/>
  <c r="Q567" i="8"/>
  <c r="S567" i="8" s="1"/>
  <c r="P567" i="8"/>
  <c r="N567" i="8"/>
  <c r="O567" i="8" s="1"/>
  <c r="K567" i="8"/>
  <c r="Q566" i="8"/>
  <c r="S566" i="8" s="1"/>
  <c r="P566" i="8"/>
  <c r="N566" i="8"/>
  <c r="O566" i="8" s="1"/>
  <c r="K566" i="8"/>
  <c r="Q565" i="8"/>
  <c r="S565" i="8" s="1"/>
  <c r="P565" i="8"/>
  <c r="N565" i="8"/>
  <c r="O565" i="8" s="1"/>
  <c r="K565" i="8"/>
  <c r="Q564" i="8"/>
  <c r="S564" i="8" s="1"/>
  <c r="P564" i="8"/>
  <c r="N564" i="8"/>
  <c r="O564" i="8" s="1"/>
  <c r="K564" i="8"/>
  <c r="Q563" i="8"/>
  <c r="S563" i="8" s="1"/>
  <c r="P563" i="8"/>
  <c r="N563" i="8"/>
  <c r="O563" i="8" s="1"/>
  <c r="K563" i="8"/>
  <c r="Q562" i="8"/>
  <c r="S562" i="8" s="1"/>
  <c r="P562" i="8"/>
  <c r="N562" i="8"/>
  <c r="O562" i="8" s="1"/>
  <c r="K562" i="8"/>
  <c r="Q561" i="8"/>
  <c r="S561" i="8" s="1"/>
  <c r="P561" i="8"/>
  <c r="N561" i="8"/>
  <c r="O561" i="8" s="1"/>
  <c r="K561" i="8"/>
  <c r="Q560" i="8"/>
  <c r="S560" i="8" s="1"/>
  <c r="P560" i="8"/>
  <c r="N560" i="8"/>
  <c r="O560" i="8" s="1"/>
  <c r="K560" i="8"/>
  <c r="Q559" i="8"/>
  <c r="S559" i="8" s="1"/>
  <c r="P559" i="8"/>
  <c r="N559" i="8"/>
  <c r="O559" i="8" s="1"/>
  <c r="K559" i="8"/>
  <c r="Q558" i="8"/>
  <c r="S558" i="8" s="1"/>
  <c r="P558" i="8"/>
  <c r="N558" i="8"/>
  <c r="O558" i="8" s="1"/>
  <c r="K558" i="8"/>
  <c r="Q557" i="8"/>
  <c r="S557" i="8" s="1"/>
  <c r="P557" i="8"/>
  <c r="N557" i="8"/>
  <c r="O557" i="8" s="1"/>
  <c r="K557" i="8"/>
  <c r="Q556" i="8"/>
  <c r="S556" i="8" s="1"/>
  <c r="P556" i="8"/>
  <c r="N556" i="8"/>
  <c r="O556" i="8" s="1"/>
  <c r="K556" i="8"/>
  <c r="Q555" i="8"/>
  <c r="S555" i="8" s="1"/>
  <c r="P555" i="8"/>
  <c r="N555" i="8"/>
  <c r="O555" i="8" s="1"/>
  <c r="K555" i="8"/>
  <c r="Q554" i="8"/>
  <c r="S554" i="8" s="1"/>
  <c r="P554" i="8"/>
  <c r="N554" i="8"/>
  <c r="O554" i="8" s="1"/>
  <c r="K554" i="8"/>
  <c r="Q553" i="8"/>
  <c r="S553" i="8" s="1"/>
  <c r="P553" i="8"/>
  <c r="N553" i="8"/>
  <c r="O553" i="8" s="1"/>
  <c r="K553" i="8"/>
  <c r="Q552" i="8"/>
  <c r="S552" i="8" s="1"/>
  <c r="P552" i="8"/>
  <c r="N552" i="8"/>
  <c r="O552" i="8" s="1"/>
  <c r="K552" i="8"/>
  <c r="Q551" i="8"/>
  <c r="S551" i="8" s="1"/>
  <c r="P551" i="8"/>
  <c r="N551" i="8"/>
  <c r="O551" i="8" s="1"/>
  <c r="K551" i="8"/>
  <c r="Q550" i="8"/>
  <c r="S550" i="8" s="1"/>
  <c r="P550" i="8"/>
  <c r="N550" i="8"/>
  <c r="O550" i="8" s="1"/>
  <c r="K550" i="8"/>
  <c r="Q549" i="8"/>
  <c r="S549" i="8" s="1"/>
  <c r="P549" i="8"/>
  <c r="N549" i="8"/>
  <c r="O549" i="8" s="1"/>
  <c r="K549" i="8"/>
  <c r="Q548" i="8"/>
  <c r="S548" i="8" s="1"/>
  <c r="P548" i="8"/>
  <c r="N548" i="8"/>
  <c r="O548" i="8" s="1"/>
  <c r="K548" i="8"/>
  <c r="Q547" i="8"/>
  <c r="S547" i="8" s="1"/>
  <c r="P547" i="8"/>
  <c r="N547" i="8"/>
  <c r="O547" i="8" s="1"/>
  <c r="K547" i="8"/>
  <c r="Q546" i="8"/>
  <c r="S546" i="8" s="1"/>
  <c r="P546" i="8"/>
  <c r="N546" i="8"/>
  <c r="O546" i="8" s="1"/>
  <c r="K546" i="8"/>
  <c r="Q545" i="8"/>
  <c r="S545" i="8" s="1"/>
  <c r="P545" i="8"/>
  <c r="N545" i="8"/>
  <c r="O545" i="8" s="1"/>
  <c r="K545" i="8"/>
  <c r="Q544" i="8"/>
  <c r="S544" i="8" s="1"/>
  <c r="P544" i="8"/>
  <c r="N544" i="8"/>
  <c r="O544" i="8" s="1"/>
  <c r="K544" i="8"/>
  <c r="Q543" i="8"/>
  <c r="S543" i="8" s="1"/>
  <c r="P543" i="8"/>
  <c r="N543" i="8"/>
  <c r="O543" i="8" s="1"/>
  <c r="K543" i="8"/>
  <c r="Q542" i="8"/>
  <c r="S542" i="8" s="1"/>
  <c r="P542" i="8"/>
  <c r="N542" i="8"/>
  <c r="O542" i="8" s="1"/>
  <c r="K542" i="8"/>
  <c r="Q541" i="8"/>
  <c r="S541" i="8" s="1"/>
  <c r="P541" i="8"/>
  <c r="N541" i="8"/>
  <c r="O541" i="8" s="1"/>
  <c r="K541" i="8"/>
  <c r="Q540" i="8"/>
  <c r="S540" i="8" s="1"/>
  <c r="P540" i="8"/>
  <c r="N540" i="8"/>
  <c r="O540" i="8" s="1"/>
  <c r="K540" i="8"/>
  <c r="Q539" i="8"/>
  <c r="S539" i="8" s="1"/>
  <c r="P539" i="8"/>
  <c r="N539" i="8"/>
  <c r="O539" i="8" s="1"/>
  <c r="K539" i="8"/>
  <c r="Q538" i="8"/>
  <c r="S538" i="8" s="1"/>
  <c r="P538" i="8"/>
  <c r="N538" i="8"/>
  <c r="O538" i="8" s="1"/>
  <c r="K538" i="8"/>
  <c r="Q537" i="8"/>
  <c r="S537" i="8" s="1"/>
  <c r="P537" i="8"/>
  <c r="N537" i="8"/>
  <c r="O537" i="8" s="1"/>
  <c r="K537" i="8"/>
  <c r="Q536" i="8"/>
  <c r="S536" i="8" s="1"/>
  <c r="P536" i="8"/>
  <c r="N536" i="8"/>
  <c r="O536" i="8" s="1"/>
  <c r="K536" i="8"/>
  <c r="Q535" i="8"/>
  <c r="S535" i="8" s="1"/>
  <c r="P535" i="8"/>
  <c r="N535" i="8"/>
  <c r="O535" i="8" s="1"/>
  <c r="K535" i="8"/>
  <c r="Q534" i="8"/>
  <c r="S534" i="8" s="1"/>
  <c r="P534" i="8"/>
  <c r="N534" i="8"/>
  <c r="O534" i="8" s="1"/>
  <c r="K534" i="8"/>
  <c r="Q533" i="8"/>
  <c r="S533" i="8" s="1"/>
  <c r="P533" i="8"/>
  <c r="N533" i="8"/>
  <c r="O533" i="8" s="1"/>
  <c r="K533" i="8"/>
  <c r="Q532" i="8"/>
  <c r="S532" i="8" s="1"/>
  <c r="P532" i="8"/>
  <c r="N532" i="8"/>
  <c r="O532" i="8" s="1"/>
  <c r="K532" i="8"/>
  <c r="Q531" i="8"/>
  <c r="S531" i="8" s="1"/>
  <c r="P531" i="8"/>
  <c r="N531" i="8"/>
  <c r="O531" i="8" s="1"/>
  <c r="K531" i="8"/>
  <c r="Q530" i="8"/>
  <c r="S530" i="8" s="1"/>
  <c r="P530" i="8"/>
  <c r="N530" i="8"/>
  <c r="O530" i="8" s="1"/>
  <c r="K530" i="8"/>
  <c r="Q529" i="8"/>
  <c r="S529" i="8" s="1"/>
  <c r="P529" i="8"/>
  <c r="N529" i="8"/>
  <c r="O529" i="8" s="1"/>
  <c r="K529" i="8"/>
  <c r="Q528" i="8"/>
  <c r="S528" i="8" s="1"/>
  <c r="P528" i="8"/>
  <c r="N528" i="8"/>
  <c r="O528" i="8" s="1"/>
  <c r="K528" i="8"/>
  <c r="Q527" i="8"/>
  <c r="S527" i="8" s="1"/>
  <c r="P527" i="8"/>
  <c r="N527" i="8"/>
  <c r="O527" i="8" s="1"/>
  <c r="K527" i="8"/>
  <c r="Q526" i="8"/>
  <c r="S526" i="8" s="1"/>
  <c r="P526" i="8"/>
  <c r="N526" i="8"/>
  <c r="O526" i="8" s="1"/>
  <c r="K526" i="8"/>
  <c r="Q525" i="8"/>
  <c r="S525" i="8" s="1"/>
  <c r="P525" i="8"/>
  <c r="N525" i="8"/>
  <c r="O525" i="8" s="1"/>
  <c r="K525" i="8"/>
  <c r="Q524" i="8"/>
  <c r="S524" i="8" s="1"/>
  <c r="P524" i="8"/>
  <c r="N524" i="8"/>
  <c r="O524" i="8" s="1"/>
  <c r="K524" i="8"/>
  <c r="Q523" i="8"/>
  <c r="S523" i="8" s="1"/>
  <c r="P523" i="8"/>
  <c r="N523" i="8"/>
  <c r="O523" i="8" s="1"/>
  <c r="K523" i="8"/>
  <c r="Q522" i="8"/>
  <c r="S522" i="8" s="1"/>
  <c r="P522" i="8"/>
  <c r="N522" i="8"/>
  <c r="O522" i="8" s="1"/>
  <c r="K522" i="8"/>
  <c r="Q521" i="8"/>
  <c r="S521" i="8" s="1"/>
  <c r="P521" i="8"/>
  <c r="N521" i="8"/>
  <c r="O521" i="8" s="1"/>
  <c r="K521" i="8"/>
  <c r="Q520" i="8"/>
  <c r="S520" i="8" s="1"/>
  <c r="P520" i="8"/>
  <c r="N520" i="8"/>
  <c r="O520" i="8" s="1"/>
  <c r="K520" i="8"/>
  <c r="Q519" i="8"/>
  <c r="S519" i="8" s="1"/>
  <c r="P519" i="8"/>
  <c r="N519" i="8"/>
  <c r="O519" i="8" s="1"/>
  <c r="K519" i="8"/>
  <c r="Q518" i="8"/>
  <c r="S518" i="8" s="1"/>
  <c r="P518" i="8"/>
  <c r="N518" i="8"/>
  <c r="O518" i="8" s="1"/>
  <c r="K518" i="8"/>
  <c r="Q517" i="8"/>
  <c r="S517" i="8" s="1"/>
  <c r="P517" i="8"/>
  <c r="N517" i="8"/>
  <c r="O517" i="8" s="1"/>
  <c r="K517" i="8"/>
  <c r="Q516" i="8"/>
  <c r="S516" i="8" s="1"/>
  <c r="P516" i="8"/>
  <c r="N516" i="8"/>
  <c r="O516" i="8" s="1"/>
  <c r="K516" i="8"/>
  <c r="Q515" i="8"/>
  <c r="S515" i="8" s="1"/>
  <c r="P515" i="8"/>
  <c r="N515" i="8"/>
  <c r="O515" i="8" s="1"/>
  <c r="K515" i="8"/>
  <c r="Q514" i="8"/>
  <c r="S514" i="8" s="1"/>
  <c r="P514" i="8"/>
  <c r="N514" i="8"/>
  <c r="O514" i="8" s="1"/>
  <c r="K514" i="8"/>
  <c r="Q513" i="8"/>
  <c r="S513" i="8" s="1"/>
  <c r="P513" i="8"/>
  <c r="N513" i="8"/>
  <c r="O513" i="8" s="1"/>
  <c r="K513" i="8"/>
  <c r="Q512" i="8"/>
  <c r="S512" i="8" s="1"/>
  <c r="P512" i="8"/>
  <c r="N512" i="8"/>
  <c r="O512" i="8" s="1"/>
  <c r="K512" i="8"/>
  <c r="Q511" i="8"/>
  <c r="S511" i="8" s="1"/>
  <c r="P511" i="8"/>
  <c r="N511" i="8"/>
  <c r="O511" i="8" s="1"/>
  <c r="K511" i="8"/>
  <c r="Q510" i="8"/>
  <c r="S510" i="8" s="1"/>
  <c r="P510" i="8"/>
  <c r="N510" i="8"/>
  <c r="O510" i="8" s="1"/>
  <c r="K510" i="8"/>
  <c r="Q509" i="8"/>
  <c r="S509" i="8" s="1"/>
  <c r="P509" i="8"/>
  <c r="N509" i="8"/>
  <c r="O509" i="8" s="1"/>
  <c r="K509" i="8"/>
  <c r="Q508" i="8"/>
  <c r="S508" i="8" s="1"/>
  <c r="P508" i="8"/>
  <c r="N508" i="8"/>
  <c r="O508" i="8" s="1"/>
  <c r="K508" i="8"/>
  <c r="Q507" i="8"/>
  <c r="S507" i="8" s="1"/>
  <c r="P507" i="8"/>
  <c r="N507" i="8"/>
  <c r="O507" i="8" s="1"/>
  <c r="K507" i="8"/>
  <c r="Q506" i="8"/>
  <c r="S506" i="8" s="1"/>
  <c r="P506" i="8"/>
  <c r="N506" i="8"/>
  <c r="O506" i="8" s="1"/>
  <c r="K506" i="8"/>
  <c r="Q505" i="8"/>
  <c r="S505" i="8" s="1"/>
  <c r="P505" i="8"/>
  <c r="N505" i="8"/>
  <c r="O505" i="8" s="1"/>
  <c r="K505" i="8"/>
  <c r="Q504" i="8"/>
  <c r="S504" i="8" s="1"/>
  <c r="P504" i="8"/>
  <c r="N504" i="8"/>
  <c r="O504" i="8" s="1"/>
  <c r="K504" i="8"/>
  <c r="Q503" i="8"/>
  <c r="S503" i="8" s="1"/>
  <c r="P503" i="8"/>
  <c r="N503" i="8"/>
  <c r="O503" i="8" s="1"/>
  <c r="K503" i="8"/>
  <c r="Q502" i="8"/>
  <c r="S502" i="8" s="1"/>
  <c r="P502" i="8"/>
  <c r="N502" i="8"/>
  <c r="O502" i="8" s="1"/>
  <c r="K502" i="8"/>
  <c r="Q501" i="8"/>
  <c r="S501" i="8" s="1"/>
  <c r="P501" i="8"/>
  <c r="N501" i="8"/>
  <c r="O501" i="8" s="1"/>
  <c r="K501" i="8"/>
  <c r="Q500" i="8"/>
  <c r="S500" i="8" s="1"/>
  <c r="P500" i="8"/>
  <c r="N500" i="8"/>
  <c r="O500" i="8" s="1"/>
  <c r="K500" i="8"/>
  <c r="Q499" i="8"/>
  <c r="S499" i="8" s="1"/>
  <c r="P499" i="8"/>
  <c r="N499" i="8"/>
  <c r="O499" i="8" s="1"/>
  <c r="K499" i="8"/>
  <c r="Q498" i="8"/>
  <c r="S498" i="8" s="1"/>
  <c r="P498" i="8"/>
  <c r="N498" i="8"/>
  <c r="O498" i="8" s="1"/>
  <c r="K498" i="8"/>
  <c r="Q497" i="8"/>
  <c r="S497" i="8" s="1"/>
  <c r="P497" i="8"/>
  <c r="N497" i="8"/>
  <c r="O497" i="8" s="1"/>
  <c r="K497" i="8"/>
  <c r="Q496" i="8"/>
  <c r="S496" i="8" s="1"/>
  <c r="P496" i="8"/>
  <c r="N496" i="8"/>
  <c r="O496" i="8" s="1"/>
  <c r="K496" i="8"/>
  <c r="Q495" i="8"/>
  <c r="S495" i="8" s="1"/>
  <c r="P495" i="8"/>
  <c r="N495" i="8"/>
  <c r="O495" i="8" s="1"/>
  <c r="K495" i="8"/>
  <c r="Q494" i="8"/>
  <c r="S494" i="8" s="1"/>
  <c r="P494" i="8"/>
  <c r="N494" i="8"/>
  <c r="O494" i="8" s="1"/>
  <c r="K494" i="8"/>
  <c r="Q493" i="8"/>
  <c r="S493" i="8" s="1"/>
  <c r="P493" i="8"/>
  <c r="N493" i="8"/>
  <c r="O493" i="8" s="1"/>
  <c r="K493" i="8"/>
  <c r="Q492" i="8"/>
  <c r="S492" i="8" s="1"/>
  <c r="P492" i="8"/>
  <c r="N492" i="8"/>
  <c r="O492" i="8" s="1"/>
  <c r="K492" i="8"/>
  <c r="Q491" i="8"/>
  <c r="S491" i="8" s="1"/>
  <c r="P491" i="8"/>
  <c r="N491" i="8"/>
  <c r="O491" i="8" s="1"/>
  <c r="K491" i="8"/>
  <c r="Q490" i="8"/>
  <c r="S490" i="8" s="1"/>
  <c r="P490" i="8"/>
  <c r="N490" i="8"/>
  <c r="O490" i="8" s="1"/>
  <c r="K490" i="8"/>
  <c r="Q489" i="8"/>
  <c r="S489" i="8" s="1"/>
  <c r="P489" i="8"/>
  <c r="N489" i="8"/>
  <c r="O489" i="8" s="1"/>
  <c r="K489" i="8"/>
  <c r="Q488" i="8"/>
  <c r="S488" i="8" s="1"/>
  <c r="P488" i="8"/>
  <c r="N488" i="8"/>
  <c r="O488" i="8" s="1"/>
  <c r="K488" i="8"/>
  <c r="Q487" i="8"/>
  <c r="S487" i="8" s="1"/>
  <c r="P487" i="8"/>
  <c r="N487" i="8"/>
  <c r="O487" i="8" s="1"/>
  <c r="K487" i="8"/>
  <c r="Q486" i="8"/>
  <c r="S486" i="8" s="1"/>
  <c r="P486" i="8"/>
  <c r="N486" i="8"/>
  <c r="O486" i="8" s="1"/>
  <c r="K486" i="8"/>
  <c r="Q485" i="8"/>
  <c r="S485" i="8" s="1"/>
  <c r="P485" i="8"/>
  <c r="N485" i="8"/>
  <c r="O485" i="8" s="1"/>
  <c r="K485" i="8"/>
  <c r="Q484" i="8"/>
  <c r="S484" i="8" s="1"/>
  <c r="P484" i="8"/>
  <c r="N484" i="8"/>
  <c r="O484" i="8" s="1"/>
  <c r="K484" i="8"/>
  <c r="Q483" i="8"/>
  <c r="S483" i="8" s="1"/>
  <c r="P483" i="8"/>
  <c r="N483" i="8"/>
  <c r="O483" i="8" s="1"/>
  <c r="K483" i="8"/>
  <c r="Q482" i="8"/>
  <c r="S482" i="8" s="1"/>
  <c r="P482" i="8"/>
  <c r="N482" i="8"/>
  <c r="O482" i="8" s="1"/>
  <c r="K482" i="8"/>
  <c r="Q481" i="8"/>
  <c r="S481" i="8" s="1"/>
  <c r="P481" i="8"/>
  <c r="N481" i="8"/>
  <c r="O481" i="8" s="1"/>
  <c r="K481" i="8"/>
  <c r="Q480" i="8"/>
  <c r="S480" i="8" s="1"/>
  <c r="P480" i="8"/>
  <c r="N480" i="8"/>
  <c r="O480" i="8" s="1"/>
  <c r="K480" i="8"/>
  <c r="Q479" i="8"/>
  <c r="S479" i="8" s="1"/>
  <c r="P479" i="8"/>
  <c r="N479" i="8"/>
  <c r="O479" i="8" s="1"/>
  <c r="K479" i="8"/>
  <c r="Q478" i="8"/>
  <c r="S478" i="8" s="1"/>
  <c r="P478" i="8"/>
  <c r="N478" i="8"/>
  <c r="O478" i="8" s="1"/>
  <c r="K478" i="8"/>
  <c r="Q477" i="8"/>
  <c r="S477" i="8" s="1"/>
  <c r="P477" i="8"/>
  <c r="N477" i="8"/>
  <c r="O477" i="8" s="1"/>
  <c r="K477" i="8"/>
  <c r="Q476" i="8"/>
  <c r="S476" i="8" s="1"/>
  <c r="P476" i="8"/>
  <c r="N476" i="8"/>
  <c r="O476" i="8" s="1"/>
  <c r="K476" i="8"/>
  <c r="Q475" i="8"/>
  <c r="S475" i="8" s="1"/>
  <c r="P475" i="8"/>
  <c r="N475" i="8"/>
  <c r="O475" i="8" s="1"/>
  <c r="K475" i="8"/>
  <c r="Q474" i="8"/>
  <c r="S474" i="8" s="1"/>
  <c r="P474" i="8"/>
  <c r="N474" i="8"/>
  <c r="O474" i="8" s="1"/>
  <c r="K474" i="8"/>
  <c r="Q473" i="8"/>
  <c r="S473" i="8" s="1"/>
  <c r="P473" i="8"/>
  <c r="N473" i="8"/>
  <c r="O473" i="8" s="1"/>
  <c r="K473" i="8"/>
  <c r="Q472" i="8"/>
  <c r="S472" i="8" s="1"/>
  <c r="P472" i="8"/>
  <c r="N472" i="8"/>
  <c r="O472" i="8" s="1"/>
  <c r="K472" i="8"/>
  <c r="Q471" i="8"/>
  <c r="S471" i="8" s="1"/>
  <c r="P471" i="8"/>
  <c r="N471" i="8"/>
  <c r="O471" i="8" s="1"/>
  <c r="K471" i="8"/>
  <c r="Q470" i="8"/>
  <c r="S470" i="8" s="1"/>
  <c r="P470" i="8"/>
  <c r="N470" i="8"/>
  <c r="O470" i="8" s="1"/>
  <c r="K470" i="8"/>
  <c r="Q469" i="8"/>
  <c r="S469" i="8" s="1"/>
  <c r="P469" i="8"/>
  <c r="N469" i="8"/>
  <c r="O469" i="8" s="1"/>
  <c r="K469" i="8"/>
  <c r="Q468" i="8"/>
  <c r="S468" i="8" s="1"/>
  <c r="P468" i="8"/>
  <c r="N468" i="8"/>
  <c r="O468" i="8" s="1"/>
  <c r="K468" i="8"/>
  <c r="Q467" i="8"/>
  <c r="S467" i="8" s="1"/>
  <c r="P467" i="8"/>
  <c r="N467" i="8"/>
  <c r="O467" i="8" s="1"/>
  <c r="K467" i="8"/>
  <c r="Q466" i="8"/>
  <c r="S466" i="8" s="1"/>
  <c r="P466" i="8"/>
  <c r="N466" i="8"/>
  <c r="O466" i="8" s="1"/>
  <c r="K466" i="8"/>
  <c r="Q465" i="8"/>
  <c r="S465" i="8" s="1"/>
  <c r="P465" i="8"/>
  <c r="N465" i="8"/>
  <c r="O465" i="8" s="1"/>
  <c r="K465" i="8"/>
  <c r="Q464" i="8"/>
  <c r="S464" i="8" s="1"/>
  <c r="P464" i="8"/>
  <c r="N464" i="8"/>
  <c r="O464" i="8" s="1"/>
  <c r="K464" i="8"/>
  <c r="Q463" i="8"/>
  <c r="S463" i="8" s="1"/>
  <c r="P463" i="8"/>
  <c r="N463" i="8"/>
  <c r="O463" i="8" s="1"/>
  <c r="K463" i="8"/>
  <c r="Q462" i="8"/>
  <c r="S462" i="8" s="1"/>
  <c r="P462" i="8"/>
  <c r="N462" i="8"/>
  <c r="O462" i="8" s="1"/>
  <c r="K462" i="8"/>
  <c r="Q461" i="8"/>
  <c r="S461" i="8" s="1"/>
  <c r="P461" i="8"/>
  <c r="N461" i="8"/>
  <c r="O461" i="8" s="1"/>
  <c r="K461" i="8"/>
  <c r="Q460" i="8"/>
  <c r="S460" i="8" s="1"/>
  <c r="P460" i="8"/>
  <c r="N460" i="8"/>
  <c r="O460" i="8" s="1"/>
  <c r="K460" i="8"/>
  <c r="Q459" i="8"/>
  <c r="S459" i="8" s="1"/>
  <c r="P459" i="8"/>
  <c r="N459" i="8"/>
  <c r="O459" i="8" s="1"/>
  <c r="K459" i="8"/>
  <c r="Q458" i="8"/>
  <c r="S458" i="8" s="1"/>
  <c r="P458" i="8"/>
  <c r="N458" i="8"/>
  <c r="O458" i="8" s="1"/>
  <c r="K458" i="8"/>
  <c r="Q457" i="8"/>
  <c r="S457" i="8" s="1"/>
  <c r="P457" i="8"/>
  <c r="N457" i="8"/>
  <c r="O457" i="8" s="1"/>
  <c r="K457" i="8"/>
  <c r="Q456" i="8"/>
  <c r="S456" i="8" s="1"/>
  <c r="P456" i="8"/>
  <c r="N456" i="8"/>
  <c r="O456" i="8" s="1"/>
  <c r="K456" i="8"/>
  <c r="Q455" i="8"/>
  <c r="S455" i="8" s="1"/>
  <c r="P455" i="8"/>
  <c r="N455" i="8"/>
  <c r="O455" i="8" s="1"/>
  <c r="K455" i="8"/>
  <c r="Q454" i="8"/>
  <c r="S454" i="8" s="1"/>
  <c r="P454" i="8"/>
  <c r="N454" i="8"/>
  <c r="O454" i="8" s="1"/>
  <c r="K454" i="8"/>
  <c r="Q453" i="8"/>
  <c r="S453" i="8" s="1"/>
  <c r="P453" i="8"/>
  <c r="N453" i="8"/>
  <c r="O453" i="8" s="1"/>
  <c r="K453" i="8"/>
  <c r="Q452" i="8"/>
  <c r="S452" i="8" s="1"/>
  <c r="P452" i="8"/>
  <c r="N452" i="8"/>
  <c r="O452" i="8" s="1"/>
  <c r="K452" i="8"/>
  <c r="Q451" i="8"/>
  <c r="S451" i="8" s="1"/>
  <c r="P451" i="8"/>
  <c r="N451" i="8"/>
  <c r="O451" i="8" s="1"/>
  <c r="K451" i="8"/>
  <c r="Q450" i="8"/>
  <c r="S450" i="8" s="1"/>
  <c r="P450" i="8"/>
  <c r="N450" i="8"/>
  <c r="O450" i="8" s="1"/>
  <c r="K450" i="8"/>
  <c r="Q449" i="8"/>
  <c r="S449" i="8" s="1"/>
  <c r="P449" i="8"/>
  <c r="N449" i="8"/>
  <c r="O449" i="8" s="1"/>
  <c r="K449" i="8"/>
  <c r="Q448" i="8"/>
  <c r="S448" i="8" s="1"/>
  <c r="P448" i="8"/>
  <c r="N448" i="8"/>
  <c r="O448" i="8" s="1"/>
  <c r="K448" i="8"/>
  <c r="Q447" i="8"/>
  <c r="S447" i="8" s="1"/>
  <c r="P447" i="8"/>
  <c r="N447" i="8"/>
  <c r="O447" i="8" s="1"/>
  <c r="K447" i="8"/>
  <c r="Q446" i="8"/>
  <c r="S446" i="8" s="1"/>
  <c r="P446" i="8"/>
  <c r="N446" i="8"/>
  <c r="O446" i="8" s="1"/>
  <c r="K446" i="8"/>
  <c r="Q445" i="8"/>
  <c r="S445" i="8" s="1"/>
  <c r="P445" i="8"/>
  <c r="N445" i="8"/>
  <c r="O445" i="8" s="1"/>
  <c r="K445" i="8"/>
  <c r="Q444" i="8"/>
  <c r="S444" i="8" s="1"/>
  <c r="P444" i="8"/>
  <c r="N444" i="8"/>
  <c r="O444" i="8" s="1"/>
  <c r="K444" i="8"/>
  <c r="Q443" i="8"/>
  <c r="S443" i="8" s="1"/>
  <c r="P443" i="8"/>
  <c r="N443" i="8"/>
  <c r="O443" i="8" s="1"/>
  <c r="K443" i="8"/>
  <c r="Q442" i="8"/>
  <c r="S442" i="8" s="1"/>
  <c r="P442" i="8"/>
  <c r="N442" i="8"/>
  <c r="O442" i="8" s="1"/>
  <c r="K442" i="8"/>
  <c r="Q441" i="8"/>
  <c r="S441" i="8" s="1"/>
  <c r="P441" i="8"/>
  <c r="N441" i="8"/>
  <c r="O441" i="8" s="1"/>
  <c r="K441" i="8"/>
  <c r="Q440" i="8"/>
  <c r="S440" i="8" s="1"/>
  <c r="P440" i="8"/>
  <c r="N440" i="8"/>
  <c r="O440" i="8" s="1"/>
  <c r="K440" i="8"/>
  <c r="Q439" i="8"/>
  <c r="S439" i="8" s="1"/>
  <c r="P439" i="8"/>
  <c r="N439" i="8"/>
  <c r="O439" i="8" s="1"/>
  <c r="K439" i="8"/>
  <c r="Q438" i="8"/>
  <c r="S438" i="8" s="1"/>
  <c r="P438" i="8"/>
  <c r="N438" i="8"/>
  <c r="O438" i="8" s="1"/>
  <c r="K438" i="8"/>
  <c r="Q437" i="8"/>
  <c r="S437" i="8" s="1"/>
  <c r="P437" i="8"/>
  <c r="N437" i="8"/>
  <c r="O437" i="8" s="1"/>
  <c r="K437" i="8"/>
  <c r="Q436" i="8"/>
  <c r="S436" i="8" s="1"/>
  <c r="P436" i="8"/>
  <c r="N436" i="8"/>
  <c r="O436" i="8" s="1"/>
  <c r="K436" i="8"/>
  <c r="Q435" i="8"/>
  <c r="S435" i="8" s="1"/>
  <c r="P435" i="8"/>
  <c r="N435" i="8"/>
  <c r="O435" i="8" s="1"/>
  <c r="K435" i="8"/>
  <c r="Q434" i="8"/>
  <c r="S434" i="8" s="1"/>
  <c r="P434" i="8"/>
  <c r="N434" i="8"/>
  <c r="O434" i="8" s="1"/>
  <c r="K434" i="8"/>
  <c r="Q433" i="8"/>
  <c r="S433" i="8" s="1"/>
  <c r="P433" i="8"/>
  <c r="N433" i="8"/>
  <c r="O433" i="8" s="1"/>
  <c r="K433" i="8"/>
  <c r="Q432" i="8"/>
  <c r="S432" i="8" s="1"/>
  <c r="P432" i="8"/>
  <c r="N432" i="8"/>
  <c r="O432" i="8" s="1"/>
  <c r="K432" i="8"/>
  <c r="Q431" i="8"/>
  <c r="S431" i="8" s="1"/>
  <c r="P431" i="8"/>
  <c r="N431" i="8"/>
  <c r="O431" i="8" s="1"/>
  <c r="K431" i="8"/>
  <c r="Q430" i="8"/>
  <c r="S430" i="8" s="1"/>
  <c r="P430" i="8"/>
  <c r="N430" i="8"/>
  <c r="O430" i="8" s="1"/>
  <c r="K430" i="8"/>
  <c r="Q429" i="8"/>
  <c r="S429" i="8" s="1"/>
  <c r="P429" i="8"/>
  <c r="N429" i="8"/>
  <c r="O429" i="8" s="1"/>
  <c r="K429" i="8"/>
  <c r="Q428" i="8"/>
  <c r="S428" i="8" s="1"/>
  <c r="P428" i="8"/>
  <c r="N428" i="8"/>
  <c r="O428" i="8" s="1"/>
  <c r="K428" i="8"/>
  <c r="Q427" i="8"/>
  <c r="S427" i="8" s="1"/>
  <c r="P427" i="8"/>
  <c r="N427" i="8"/>
  <c r="O427" i="8" s="1"/>
  <c r="K427" i="8"/>
  <c r="Q426" i="8"/>
  <c r="S426" i="8" s="1"/>
  <c r="P426" i="8"/>
  <c r="N426" i="8"/>
  <c r="O426" i="8" s="1"/>
  <c r="K426" i="8"/>
  <c r="Q425" i="8"/>
  <c r="S425" i="8" s="1"/>
  <c r="P425" i="8"/>
  <c r="N425" i="8"/>
  <c r="O425" i="8" s="1"/>
  <c r="K425" i="8"/>
  <c r="Q424" i="8"/>
  <c r="S424" i="8" s="1"/>
  <c r="P424" i="8"/>
  <c r="N424" i="8"/>
  <c r="O424" i="8" s="1"/>
  <c r="K424" i="8"/>
  <c r="Q423" i="8"/>
  <c r="S423" i="8" s="1"/>
  <c r="P423" i="8"/>
  <c r="N423" i="8"/>
  <c r="O423" i="8" s="1"/>
  <c r="K423" i="8"/>
  <c r="Q422" i="8"/>
  <c r="S422" i="8" s="1"/>
  <c r="P422" i="8"/>
  <c r="N422" i="8"/>
  <c r="O422" i="8" s="1"/>
  <c r="K422" i="8"/>
  <c r="Q421" i="8"/>
  <c r="S421" i="8" s="1"/>
  <c r="P421" i="8"/>
  <c r="N421" i="8"/>
  <c r="O421" i="8" s="1"/>
  <c r="K421" i="8"/>
  <c r="Q420" i="8"/>
  <c r="S420" i="8" s="1"/>
  <c r="P420" i="8"/>
  <c r="N420" i="8"/>
  <c r="O420" i="8" s="1"/>
  <c r="K420" i="8"/>
  <c r="Q419" i="8"/>
  <c r="S419" i="8" s="1"/>
  <c r="P419" i="8"/>
  <c r="N419" i="8"/>
  <c r="O419" i="8" s="1"/>
  <c r="K419" i="8"/>
  <c r="Q418" i="8"/>
  <c r="S418" i="8" s="1"/>
  <c r="P418" i="8"/>
  <c r="N418" i="8"/>
  <c r="O418" i="8" s="1"/>
  <c r="K418" i="8"/>
  <c r="Q417" i="8"/>
  <c r="S417" i="8" s="1"/>
  <c r="P417" i="8"/>
  <c r="N417" i="8"/>
  <c r="O417" i="8" s="1"/>
  <c r="K417" i="8"/>
  <c r="Q416" i="8"/>
  <c r="S416" i="8" s="1"/>
  <c r="P416" i="8"/>
  <c r="N416" i="8"/>
  <c r="O416" i="8" s="1"/>
  <c r="K416" i="8"/>
  <c r="Q415" i="8"/>
  <c r="S415" i="8" s="1"/>
  <c r="P415" i="8"/>
  <c r="N415" i="8"/>
  <c r="O415" i="8" s="1"/>
  <c r="K415" i="8"/>
  <c r="Q414" i="8"/>
  <c r="S414" i="8" s="1"/>
  <c r="P414" i="8"/>
  <c r="N414" i="8"/>
  <c r="O414" i="8" s="1"/>
  <c r="K414" i="8"/>
  <c r="Q413" i="8"/>
  <c r="S413" i="8" s="1"/>
  <c r="P413" i="8"/>
  <c r="N413" i="8"/>
  <c r="O413" i="8" s="1"/>
  <c r="K413" i="8"/>
  <c r="Q412" i="8"/>
  <c r="S412" i="8" s="1"/>
  <c r="P412" i="8"/>
  <c r="N412" i="8"/>
  <c r="O412" i="8" s="1"/>
  <c r="K412" i="8"/>
  <c r="Q411" i="8"/>
  <c r="S411" i="8" s="1"/>
  <c r="P411" i="8"/>
  <c r="N411" i="8"/>
  <c r="O411" i="8" s="1"/>
  <c r="K411" i="8"/>
  <c r="Q410" i="8"/>
  <c r="S410" i="8" s="1"/>
  <c r="P410" i="8"/>
  <c r="N410" i="8"/>
  <c r="O410" i="8" s="1"/>
  <c r="K410" i="8"/>
  <c r="Q409" i="8"/>
  <c r="S409" i="8" s="1"/>
  <c r="P409" i="8"/>
  <c r="N409" i="8"/>
  <c r="O409" i="8" s="1"/>
  <c r="K409" i="8"/>
  <c r="Q408" i="8"/>
  <c r="S408" i="8" s="1"/>
  <c r="P408" i="8"/>
  <c r="N408" i="8"/>
  <c r="O408" i="8" s="1"/>
  <c r="K408" i="8"/>
  <c r="Q407" i="8"/>
  <c r="S407" i="8" s="1"/>
  <c r="P407" i="8"/>
  <c r="N407" i="8"/>
  <c r="O407" i="8" s="1"/>
  <c r="K407" i="8"/>
  <c r="Q406" i="8"/>
  <c r="S406" i="8" s="1"/>
  <c r="P406" i="8"/>
  <c r="N406" i="8"/>
  <c r="O406" i="8" s="1"/>
  <c r="K406" i="8"/>
  <c r="Q405" i="8"/>
  <c r="S405" i="8" s="1"/>
  <c r="P405" i="8"/>
  <c r="N405" i="8"/>
  <c r="O405" i="8" s="1"/>
  <c r="K405" i="8"/>
  <c r="Q404" i="8"/>
  <c r="S404" i="8" s="1"/>
  <c r="P404" i="8"/>
  <c r="N404" i="8"/>
  <c r="O404" i="8" s="1"/>
  <c r="K404" i="8"/>
  <c r="Q403" i="8"/>
  <c r="S403" i="8" s="1"/>
  <c r="P403" i="8"/>
  <c r="N403" i="8"/>
  <c r="O403" i="8" s="1"/>
  <c r="K403" i="8"/>
  <c r="Q402" i="8"/>
  <c r="S402" i="8" s="1"/>
  <c r="P402" i="8"/>
  <c r="N402" i="8"/>
  <c r="O402" i="8" s="1"/>
  <c r="K402" i="8"/>
  <c r="Q401" i="8"/>
  <c r="S401" i="8" s="1"/>
  <c r="P401" i="8"/>
  <c r="N401" i="8"/>
  <c r="O401" i="8" s="1"/>
  <c r="K401" i="8"/>
  <c r="Q400" i="8"/>
  <c r="S400" i="8" s="1"/>
  <c r="P400" i="8"/>
  <c r="N400" i="8"/>
  <c r="O400" i="8" s="1"/>
  <c r="K400" i="8"/>
  <c r="Q399" i="8"/>
  <c r="S399" i="8" s="1"/>
  <c r="P399" i="8"/>
  <c r="N399" i="8"/>
  <c r="O399" i="8" s="1"/>
  <c r="K399" i="8"/>
  <c r="Q398" i="8"/>
  <c r="S398" i="8" s="1"/>
  <c r="P398" i="8"/>
  <c r="N398" i="8"/>
  <c r="O398" i="8" s="1"/>
  <c r="K398" i="8"/>
  <c r="Q397" i="8"/>
  <c r="S397" i="8" s="1"/>
  <c r="P397" i="8"/>
  <c r="N397" i="8"/>
  <c r="O397" i="8" s="1"/>
  <c r="K397" i="8"/>
  <c r="Q396" i="8"/>
  <c r="S396" i="8" s="1"/>
  <c r="P396" i="8"/>
  <c r="N396" i="8"/>
  <c r="O396" i="8" s="1"/>
  <c r="K396" i="8"/>
  <c r="Q395" i="8"/>
  <c r="S395" i="8" s="1"/>
  <c r="P395" i="8"/>
  <c r="N395" i="8"/>
  <c r="O395" i="8" s="1"/>
  <c r="K395" i="8"/>
  <c r="Q394" i="8"/>
  <c r="S394" i="8" s="1"/>
  <c r="P394" i="8"/>
  <c r="N394" i="8"/>
  <c r="O394" i="8" s="1"/>
  <c r="K394" i="8"/>
  <c r="Q393" i="8"/>
  <c r="S393" i="8" s="1"/>
  <c r="P393" i="8"/>
  <c r="N393" i="8"/>
  <c r="O393" i="8" s="1"/>
  <c r="K393" i="8"/>
  <c r="Q392" i="8"/>
  <c r="S392" i="8" s="1"/>
  <c r="P392" i="8"/>
  <c r="N392" i="8"/>
  <c r="O392" i="8" s="1"/>
  <c r="K392" i="8"/>
  <c r="Q391" i="8"/>
  <c r="S391" i="8" s="1"/>
  <c r="P391" i="8"/>
  <c r="N391" i="8"/>
  <c r="O391" i="8" s="1"/>
  <c r="K391" i="8"/>
  <c r="Q390" i="8"/>
  <c r="S390" i="8" s="1"/>
  <c r="P390" i="8"/>
  <c r="N390" i="8"/>
  <c r="O390" i="8" s="1"/>
  <c r="K390" i="8"/>
  <c r="Q389" i="8"/>
  <c r="S389" i="8" s="1"/>
  <c r="P389" i="8"/>
  <c r="N389" i="8"/>
  <c r="O389" i="8" s="1"/>
  <c r="K389" i="8"/>
  <c r="Q388" i="8"/>
  <c r="S388" i="8" s="1"/>
  <c r="P388" i="8"/>
  <c r="N388" i="8"/>
  <c r="O388" i="8" s="1"/>
  <c r="K388" i="8"/>
  <c r="Q387" i="8"/>
  <c r="S387" i="8" s="1"/>
  <c r="P387" i="8"/>
  <c r="N387" i="8"/>
  <c r="O387" i="8" s="1"/>
  <c r="K387" i="8"/>
  <c r="Q386" i="8"/>
  <c r="S386" i="8" s="1"/>
  <c r="P386" i="8"/>
  <c r="N386" i="8"/>
  <c r="O386" i="8" s="1"/>
  <c r="K386" i="8"/>
  <c r="Q385" i="8"/>
  <c r="S385" i="8" s="1"/>
  <c r="P385" i="8"/>
  <c r="N385" i="8"/>
  <c r="O385" i="8" s="1"/>
  <c r="K385" i="8"/>
  <c r="Q384" i="8"/>
  <c r="S384" i="8" s="1"/>
  <c r="P384" i="8"/>
  <c r="N384" i="8"/>
  <c r="O384" i="8" s="1"/>
  <c r="K384" i="8"/>
  <c r="Q383" i="8"/>
  <c r="S383" i="8" s="1"/>
  <c r="P383" i="8"/>
  <c r="N383" i="8"/>
  <c r="O383" i="8" s="1"/>
  <c r="K383" i="8"/>
  <c r="Q382" i="8"/>
  <c r="S382" i="8" s="1"/>
  <c r="P382" i="8"/>
  <c r="N382" i="8"/>
  <c r="O382" i="8" s="1"/>
  <c r="K382" i="8"/>
  <c r="Q381" i="8"/>
  <c r="S381" i="8" s="1"/>
  <c r="P381" i="8"/>
  <c r="N381" i="8"/>
  <c r="O381" i="8" s="1"/>
  <c r="K381" i="8"/>
  <c r="Q380" i="8"/>
  <c r="S380" i="8" s="1"/>
  <c r="P380" i="8"/>
  <c r="N380" i="8"/>
  <c r="O380" i="8" s="1"/>
  <c r="K380" i="8"/>
  <c r="Q379" i="8"/>
  <c r="S379" i="8" s="1"/>
  <c r="P379" i="8"/>
  <c r="N379" i="8"/>
  <c r="O379" i="8" s="1"/>
  <c r="K379" i="8"/>
  <c r="Q378" i="8"/>
  <c r="S378" i="8" s="1"/>
  <c r="P378" i="8"/>
  <c r="N378" i="8"/>
  <c r="O378" i="8" s="1"/>
  <c r="K378" i="8"/>
  <c r="Q377" i="8"/>
  <c r="S377" i="8" s="1"/>
  <c r="P377" i="8"/>
  <c r="N377" i="8"/>
  <c r="O377" i="8" s="1"/>
  <c r="K377" i="8"/>
  <c r="Q376" i="8"/>
  <c r="S376" i="8" s="1"/>
  <c r="P376" i="8"/>
  <c r="N376" i="8"/>
  <c r="O376" i="8" s="1"/>
  <c r="K376" i="8"/>
  <c r="Q375" i="8"/>
  <c r="S375" i="8" s="1"/>
  <c r="P375" i="8"/>
  <c r="N375" i="8"/>
  <c r="O375" i="8" s="1"/>
  <c r="K375" i="8"/>
  <c r="Q374" i="8"/>
  <c r="S374" i="8" s="1"/>
  <c r="P374" i="8"/>
  <c r="N374" i="8"/>
  <c r="O374" i="8" s="1"/>
  <c r="K374" i="8"/>
  <c r="Q373" i="8"/>
  <c r="S373" i="8" s="1"/>
  <c r="P373" i="8"/>
  <c r="N373" i="8"/>
  <c r="O373" i="8" s="1"/>
  <c r="K373" i="8"/>
  <c r="Q372" i="8"/>
  <c r="S372" i="8" s="1"/>
  <c r="P372" i="8"/>
  <c r="N372" i="8"/>
  <c r="O372" i="8" s="1"/>
  <c r="K372" i="8"/>
  <c r="Q371" i="8"/>
  <c r="S371" i="8" s="1"/>
  <c r="P371" i="8"/>
  <c r="N371" i="8"/>
  <c r="O371" i="8" s="1"/>
  <c r="K371" i="8"/>
  <c r="Q370" i="8"/>
  <c r="S370" i="8" s="1"/>
  <c r="P370" i="8"/>
  <c r="N370" i="8"/>
  <c r="O370" i="8" s="1"/>
  <c r="K370" i="8"/>
  <c r="Q369" i="8"/>
  <c r="S369" i="8" s="1"/>
  <c r="P369" i="8"/>
  <c r="N369" i="8"/>
  <c r="O369" i="8" s="1"/>
  <c r="K369" i="8"/>
  <c r="Q368" i="8"/>
  <c r="S368" i="8" s="1"/>
  <c r="P368" i="8"/>
  <c r="N368" i="8"/>
  <c r="O368" i="8" s="1"/>
  <c r="K368" i="8"/>
  <c r="Q367" i="8"/>
  <c r="S367" i="8" s="1"/>
  <c r="P367" i="8"/>
  <c r="N367" i="8"/>
  <c r="O367" i="8" s="1"/>
  <c r="K367" i="8"/>
  <c r="Q366" i="8"/>
  <c r="S366" i="8" s="1"/>
  <c r="P366" i="8"/>
  <c r="N366" i="8"/>
  <c r="O366" i="8" s="1"/>
  <c r="K366" i="8"/>
  <c r="Q365" i="8"/>
  <c r="S365" i="8" s="1"/>
  <c r="P365" i="8"/>
  <c r="N365" i="8"/>
  <c r="O365" i="8" s="1"/>
  <c r="K365" i="8"/>
  <c r="Q364" i="8"/>
  <c r="S364" i="8" s="1"/>
  <c r="P364" i="8"/>
  <c r="N364" i="8"/>
  <c r="O364" i="8" s="1"/>
  <c r="K364" i="8"/>
  <c r="Q363" i="8"/>
  <c r="S363" i="8" s="1"/>
  <c r="P363" i="8"/>
  <c r="N363" i="8"/>
  <c r="O363" i="8" s="1"/>
  <c r="K363" i="8"/>
  <c r="Q362" i="8"/>
  <c r="S362" i="8" s="1"/>
  <c r="P362" i="8"/>
  <c r="N362" i="8"/>
  <c r="O362" i="8" s="1"/>
  <c r="K362" i="8"/>
  <c r="Q361" i="8"/>
  <c r="S361" i="8" s="1"/>
  <c r="P361" i="8"/>
  <c r="N361" i="8"/>
  <c r="O361" i="8" s="1"/>
  <c r="K361" i="8"/>
  <c r="Q360" i="8"/>
  <c r="S360" i="8" s="1"/>
  <c r="P360" i="8"/>
  <c r="N360" i="8"/>
  <c r="O360" i="8" s="1"/>
  <c r="K360" i="8"/>
  <c r="Q359" i="8"/>
  <c r="S359" i="8" s="1"/>
  <c r="P359" i="8"/>
  <c r="N359" i="8"/>
  <c r="O359" i="8" s="1"/>
  <c r="K359" i="8"/>
  <c r="Q358" i="8"/>
  <c r="S358" i="8" s="1"/>
  <c r="P358" i="8"/>
  <c r="N358" i="8"/>
  <c r="O358" i="8" s="1"/>
  <c r="K358" i="8"/>
  <c r="Q357" i="8"/>
  <c r="S357" i="8" s="1"/>
  <c r="P357" i="8"/>
  <c r="N357" i="8"/>
  <c r="O357" i="8" s="1"/>
  <c r="K357" i="8"/>
  <c r="Q356" i="8"/>
  <c r="S356" i="8" s="1"/>
  <c r="P356" i="8"/>
  <c r="N356" i="8"/>
  <c r="O356" i="8" s="1"/>
  <c r="K356" i="8"/>
  <c r="Q355" i="8"/>
  <c r="S355" i="8" s="1"/>
  <c r="P355" i="8"/>
  <c r="N355" i="8"/>
  <c r="O355" i="8" s="1"/>
  <c r="K355" i="8"/>
  <c r="Q354" i="8"/>
  <c r="S354" i="8" s="1"/>
  <c r="P354" i="8"/>
  <c r="N354" i="8"/>
  <c r="O354" i="8" s="1"/>
  <c r="K354" i="8"/>
  <c r="Q353" i="8"/>
  <c r="S353" i="8" s="1"/>
  <c r="P353" i="8"/>
  <c r="N353" i="8"/>
  <c r="O353" i="8" s="1"/>
  <c r="K353" i="8"/>
  <c r="Q352" i="8"/>
  <c r="S352" i="8" s="1"/>
  <c r="P352" i="8"/>
  <c r="N352" i="8"/>
  <c r="O352" i="8" s="1"/>
  <c r="K352" i="8"/>
  <c r="Q351" i="8"/>
  <c r="S351" i="8" s="1"/>
  <c r="P351" i="8"/>
  <c r="N351" i="8"/>
  <c r="O351" i="8" s="1"/>
  <c r="K351" i="8"/>
  <c r="Q350" i="8"/>
  <c r="S350" i="8" s="1"/>
  <c r="P350" i="8"/>
  <c r="N350" i="8"/>
  <c r="O350" i="8" s="1"/>
  <c r="K350" i="8"/>
  <c r="Q349" i="8"/>
  <c r="S349" i="8" s="1"/>
  <c r="P349" i="8"/>
  <c r="N349" i="8"/>
  <c r="O349" i="8" s="1"/>
  <c r="K349" i="8"/>
  <c r="Q348" i="8"/>
  <c r="S348" i="8" s="1"/>
  <c r="P348" i="8"/>
  <c r="N348" i="8"/>
  <c r="O348" i="8" s="1"/>
  <c r="K348" i="8"/>
  <c r="Q347" i="8"/>
  <c r="S347" i="8" s="1"/>
  <c r="P347" i="8"/>
  <c r="N347" i="8"/>
  <c r="O347" i="8" s="1"/>
  <c r="K347" i="8"/>
  <c r="Q346" i="8"/>
  <c r="S346" i="8" s="1"/>
  <c r="P346" i="8"/>
  <c r="N346" i="8"/>
  <c r="O346" i="8" s="1"/>
  <c r="K346" i="8"/>
  <c r="Q345" i="8"/>
  <c r="S345" i="8" s="1"/>
  <c r="P345" i="8"/>
  <c r="N345" i="8"/>
  <c r="O345" i="8" s="1"/>
  <c r="K345" i="8"/>
  <c r="Q344" i="8"/>
  <c r="S344" i="8" s="1"/>
  <c r="P344" i="8"/>
  <c r="N344" i="8"/>
  <c r="O344" i="8" s="1"/>
  <c r="K344" i="8"/>
  <c r="Q343" i="8"/>
  <c r="S343" i="8" s="1"/>
  <c r="P343" i="8"/>
  <c r="N343" i="8"/>
  <c r="O343" i="8" s="1"/>
  <c r="K343" i="8"/>
  <c r="Q342" i="8"/>
  <c r="S342" i="8" s="1"/>
  <c r="P342" i="8"/>
  <c r="N342" i="8"/>
  <c r="O342" i="8" s="1"/>
  <c r="K342" i="8"/>
  <c r="Q341" i="8"/>
  <c r="S341" i="8" s="1"/>
  <c r="P341" i="8"/>
  <c r="N341" i="8"/>
  <c r="O341" i="8" s="1"/>
  <c r="K341" i="8"/>
  <c r="Q340" i="8"/>
  <c r="S340" i="8" s="1"/>
  <c r="P340" i="8"/>
  <c r="N340" i="8"/>
  <c r="O340" i="8" s="1"/>
  <c r="K340" i="8"/>
  <c r="Q339" i="8"/>
  <c r="S339" i="8" s="1"/>
  <c r="P339" i="8"/>
  <c r="N339" i="8"/>
  <c r="O339" i="8" s="1"/>
  <c r="K339" i="8"/>
  <c r="Q338" i="8"/>
  <c r="S338" i="8" s="1"/>
  <c r="P338" i="8"/>
  <c r="N338" i="8"/>
  <c r="O338" i="8" s="1"/>
  <c r="K338" i="8"/>
  <c r="Q337" i="8"/>
  <c r="S337" i="8" s="1"/>
  <c r="P337" i="8"/>
  <c r="N337" i="8"/>
  <c r="O337" i="8" s="1"/>
  <c r="K337" i="8"/>
  <c r="Q336" i="8"/>
  <c r="S336" i="8" s="1"/>
  <c r="P336" i="8"/>
  <c r="N336" i="8"/>
  <c r="O336" i="8" s="1"/>
  <c r="K336" i="8"/>
  <c r="Q335" i="8"/>
  <c r="S335" i="8" s="1"/>
  <c r="P335" i="8"/>
  <c r="N335" i="8"/>
  <c r="O335" i="8" s="1"/>
  <c r="K335" i="8"/>
  <c r="Q334" i="8"/>
  <c r="S334" i="8" s="1"/>
  <c r="P334" i="8"/>
  <c r="N334" i="8"/>
  <c r="O334" i="8" s="1"/>
  <c r="K334" i="8"/>
  <c r="Q333" i="8"/>
  <c r="S333" i="8" s="1"/>
  <c r="P333" i="8"/>
  <c r="N333" i="8"/>
  <c r="O333" i="8" s="1"/>
  <c r="K333" i="8"/>
  <c r="Q332" i="8"/>
  <c r="S332" i="8" s="1"/>
  <c r="P332" i="8"/>
  <c r="N332" i="8"/>
  <c r="O332" i="8" s="1"/>
  <c r="K332" i="8"/>
  <c r="Q331" i="8"/>
  <c r="S331" i="8" s="1"/>
  <c r="P331" i="8"/>
  <c r="N331" i="8"/>
  <c r="O331" i="8" s="1"/>
  <c r="K331" i="8"/>
  <c r="Q330" i="8"/>
  <c r="S330" i="8" s="1"/>
  <c r="P330" i="8"/>
  <c r="N330" i="8"/>
  <c r="O330" i="8" s="1"/>
  <c r="K330" i="8"/>
  <c r="Q329" i="8"/>
  <c r="S329" i="8" s="1"/>
  <c r="P329" i="8"/>
  <c r="N329" i="8"/>
  <c r="O329" i="8" s="1"/>
  <c r="K329" i="8"/>
  <c r="Q328" i="8"/>
  <c r="S328" i="8" s="1"/>
  <c r="P328" i="8"/>
  <c r="N328" i="8"/>
  <c r="O328" i="8" s="1"/>
  <c r="K328" i="8"/>
  <c r="Q327" i="8"/>
  <c r="S327" i="8" s="1"/>
  <c r="P327" i="8"/>
  <c r="N327" i="8"/>
  <c r="O327" i="8" s="1"/>
  <c r="K327" i="8"/>
  <c r="Q326" i="8"/>
  <c r="S326" i="8" s="1"/>
  <c r="P326" i="8"/>
  <c r="N326" i="8"/>
  <c r="O326" i="8" s="1"/>
  <c r="K326" i="8"/>
  <c r="Q325" i="8"/>
  <c r="S325" i="8" s="1"/>
  <c r="P325" i="8"/>
  <c r="N325" i="8"/>
  <c r="O325" i="8" s="1"/>
  <c r="K325" i="8"/>
  <c r="Q324" i="8"/>
  <c r="S324" i="8" s="1"/>
  <c r="P324" i="8"/>
  <c r="N324" i="8"/>
  <c r="O324" i="8" s="1"/>
  <c r="K324" i="8"/>
  <c r="Q323" i="8"/>
  <c r="S323" i="8" s="1"/>
  <c r="P323" i="8"/>
  <c r="N323" i="8"/>
  <c r="O323" i="8" s="1"/>
  <c r="K323" i="8"/>
  <c r="Q322" i="8"/>
  <c r="S322" i="8" s="1"/>
  <c r="P322" i="8"/>
  <c r="N322" i="8"/>
  <c r="O322" i="8" s="1"/>
  <c r="K322" i="8"/>
  <c r="Q321" i="8"/>
  <c r="S321" i="8" s="1"/>
  <c r="P321" i="8"/>
  <c r="N321" i="8"/>
  <c r="O321" i="8" s="1"/>
  <c r="K321" i="8"/>
  <c r="Q320" i="8"/>
  <c r="S320" i="8" s="1"/>
  <c r="P320" i="8"/>
  <c r="N320" i="8"/>
  <c r="O320" i="8" s="1"/>
  <c r="K320" i="8"/>
  <c r="Q319" i="8"/>
  <c r="S319" i="8" s="1"/>
  <c r="P319" i="8"/>
  <c r="N319" i="8"/>
  <c r="O319" i="8" s="1"/>
  <c r="K319" i="8"/>
  <c r="Q318" i="8"/>
  <c r="S318" i="8" s="1"/>
  <c r="P318" i="8"/>
  <c r="N318" i="8"/>
  <c r="O318" i="8" s="1"/>
  <c r="K318" i="8"/>
  <c r="Q317" i="8"/>
  <c r="S317" i="8" s="1"/>
  <c r="P317" i="8"/>
  <c r="N317" i="8"/>
  <c r="O317" i="8" s="1"/>
  <c r="K317" i="8"/>
  <c r="Q316" i="8"/>
  <c r="S316" i="8" s="1"/>
  <c r="P316" i="8"/>
  <c r="N316" i="8"/>
  <c r="O316" i="8" s="1"/>
  <c r="K316" i="8"/>
  <c r="Q315" i="8"/>
  <c r="S315" i="8" s="1"/>
  <c r="P315" i="8"/>
  <c r="N315" i="8"/>
  <c r="O315" i="8" s="1"/>
  <c r="K315" i="8"/>
  <c r="Q314" i="8"/>
  <c r="S314" i="8" s="1"/>
  <c r="P314" i="8"/>
  <c r="N314" i="8"/>
  <c r="O314" i="8" s="1"/>
  <c r="K314" i="8"/>
  <c r="Q313" i="8"/>
  <c r="S313" i="8" s="1"/>
  <c r="P313" i="8"/>
  <c r="N313" i="8"/>
  <c r="O313" i="8" s="1"/>
  <c r="K313" i="8"/>
  <c r="Q312" i="8"/>
  <c r="S312" i="8" s="1"/>
  <c r="P312" i="8"/>
  <c r="N312" i="8"/>
  <c r="O312" i="8" s="1"/>
  <c r="K312" i="8"/>
  <c r="Q311" i="8"/>
  <c r="S311" i="8" s="1"/>
  <c r="P311" i="8"/>
  <c r="N311" i="8"/>
  <c r="O311" i="8" s="1"/>
  <c r="K311" i="8"/>
  <c r="Q310" i="8"/>
  <c r="S310" i="8" s="1"/>
  <c r="P310" i="8"/>
  <c r="N310" i="8"/>
  <c r="O310" i="8" s="1"/>
  <c r="K310" i="8"/>
  <c r="Q309" i="8"/>
  <c r="S309" i="8" s="1"/>
  <c r="P309" i="8"/>
  <c r="N309" i="8"/>
  <c r="O309" i="8" s="1"/>
  <c r="K309" i="8"/>
  <c r="Q308" i="8"/>
  <c r="S308" i="8" s="1"/>
  <c r="P308" i="8"/>
  <c r="N308" i="8"/>
  <c r="O308" i="8" s="1"/>
  <c r="K308" i="8"/>
  <c r="Q307" i="8"/>
  <c r="S307" i="8" s="1"/>
  <c r="P307" i="8"/>
  <c r="N307" i="8"/>
  <c r="O307" i="8" s="1"/>
  <c r="K307" i="8"/>
  <c r="Q306" i="8"/>
  <c r="S306" i="8" s="1"/>
  <c r="P306" i="8"/>
  <c r="N306" i="8"/>
  <c r="O306" i="8" s="1"/>
  <c r="K306" i="8"/>
  <c r="Q305" i="8"/>
  <c r="S305" i="8" s="1"/>
  <c r="P305" i="8"/>
  <c r="N305" i="8"/>
  <c r="O305" i="8" s="1"/>
  <c r="K305" i="8"/>
  <c r="Q304" i="8"/>
  <c r="S304" i="8" s="1"/>
  <c r="P304" i="8"/>
  <c r="N304" i="8"/>
  <c r="O304" i="8" s="1"/>
  <c r="K304" i="8"/>
  <c r="Q303" i="8"/>
  <c r="S303" i="8" s="1"/>
  <c r="P303" i="8"/>
  <c r="N303" i="8"/>
  <c r="O303" i="8" s="1"/>
  <c r="K303" i="8"/>
  <c r="Q302" i="8"/>
  <c r="S302" i="8" s="1"/>
  <c r="P302" i="8"/>
  <c r="N302" i="8"/>
  <c r="O302" i="8" s="1"/>
  <c r="K302" i="8"/>
  <c r="Q301" i="8"/>
  <c r="S301" i="8" s="1"/>
  <c r="P301" i="8"/>
  <c r="N301" i="8"/>
  <c r="O301" i="8" s="1"/>
  <c r="K301" i="8"/>
  <c r="Q300" i="8"/>
  <c r="S300" i="8" s="1"/>
  <c r="P300" i="8"/>
  <c r="N300" i="8"/>
  <c r="O300" i="8" s="1"/>
  <c r="K300" i="8"/>
  <c r="Q299" i="8"/>
  <c r="S299" i="8" s="1"/>
  <c r="P299" i="8"/>
  <c r="N299" i="8"/>
  <c r="O299" i="8" s="1"/>
  <c r="K299" i="8"/>
  <c r="Q298" i="8"/>
  <c r="S298" i="8" s="1"/>
  <c r="P298" i="8"/>
  <c r="N298" i="8"/>
  <c r="O298" i="8" s="1"/>
  <c r="K298" i="8"/>
  <c r="Q297" i="8"/>
  <c r="S297" i="8" s="1"/>
  <c r="P297" i="8"/>
  <c r="N297" i="8"/>
  <c r="O297" i="8" s="1"/>
  <c r="K297" i="8"/>
  <c r="Q296" i="8"/>
  <c r="S296" i="8" s="1"/>
  <c r="P296" i="8"/>
  <c r="N296" i="8"/>
  <c r="O296" i="8" s="1"/>
  <c r="K296" i="8"/>
  <c r="Q295" i="8"/>
  <c r="S295" i="8" s="1"/>
  <c r="P295" i="8"/>
  <c r="N295" i="8"/>
  <c r="O295" i="8" s="1"/>
  <c r="K295" i="8"/>
  <c r="Q294" i="8"/>
  <c r="S294" i="8" s="1"/>
  <c r="P294" i="8"/>
  <c r="N294" i="8"/>
  <c r="O294" i="8" s="1"/>
  <c r="K294" i="8"/>
  <c r="Q293" i="8"/>
  <c r="S293" i="8" s="1"/>
  <c r="P293" i="8"/>
  <c r="N293" i="8"/>
  <c r="O293" i="8" s="1"/>
  <c r="K293" i="8"/>
  <c r="Q292" i="8"/>
  <c r="S292" i="8" s="1"/>
  <c r="P292" i="8"/>
  <c r="N292" i="8"/>
  <c r="O292" i="8" s="1"/>
  <c r="K292" i="8"/>
  <c r="Q291" i="8"/>
  <c r="S291" i="8" s="1"/>
  <c r="P291" i="8"/>
  <c r="N291" i="8"/>
  <c r="O291" i="8" s="1"/>
  <c r="K291" i="8"/>
  <c r="Q290" i="8"/>
  <c r="S290" i="8" s="1"/>
  <c r="P290" i="8"/>
  <c r="N290" i="8"/>
  <c r="O290" i="8" s="1"/>
  <c r="K290" i="8"/>
  <c r="Q289" i="8"/>
  <c r="S289" i="8" s="1"/>
  <c r="P289" i="8"/>
  <c r="N289" i="8"/>
  <c r="O289" i="8" s="1"/>
  <c r="K289" i="8"/>
  <c r="Q288" i="8"/>
  <c r="S288" i="8" s="1"/>
  <c r="P288" i="8"/>
  <c r="N288" i="8"/>
  <c r="O288" i="8" s="1"/>
  <c r="K288" i="8"/>
  <c r="Q287" i="8"/>
  <c r="S287" i="8" s="1"/>
  <c r="P287" i="8"/>
  <c r="N287" i="8"/>
  <c r="O287" i="8" s="1"/>
  <c r="K287" i="8"/>
  <c r="Q286" i="8"/>
  <c r="S286" i="8" s="1"/>
  <c r="P286" i="8"/>
  <c r="N286" i="8"/>
  <c r="O286" i="8" s="1"/>
  <c r="K286" i="8"/>
  <c r="Q285" i="8"/>
  <c r="S285" i="8" s="1"/>
  <c r="P285" i="8"/>
  <c r="N285" i="8"/>
  <c r="O285" i="8" s="1"/>
  <c r="K285" i="8"/>
  <c r="Q284" i="8"/>
  <c r="S284" i="8" s="1"/>
  <c r="P284" i="8"/>
  <c r="N284" i="8"/>
  <c r="O284" i="8" s="1"/>
  <c r="K284" i="8"/>
  <c r="Q283" i="8"/>
  <c r="S283" i="8" s="1"/>
  <c r="P283" i="8"/>
  <c r="N283" i="8"/>
  <c r="O283" i="8" s="1"/>
  <c r="K283" i="8"/>
  <c r="Q282" i="8"/>
  <c r="S282" i="8" s="1"/>
  <c r="P282" i="8"/>
  <c r="N282" i="8"/>
  <c r="O282" i="8" s="1"/>
  <c r="K282" i="8"/>
  <c r="Q281" i="8"/>
  <c r="S281" i="8" s="1"/>
  <c r="P281" i="8"/>
  <c r="N281" i="8"/>
  <c r="O281" i="8" s="1"/>
  <c r="K281" i="8"/>
  <c r="Q280" i="8"/>
  <c r="S280" i="8" s="1"/>
  <c r="P280" i="8"/>
  <c r="N280" i="8"/>
  <c r="O280" i="8" s="1"/>
  <c r="K280" i="8"/>
  <c r="Q279" i="8"/>
  <c r="S279" i="8" s="1"/>
  <c r="P279" i="8"/>
  <c r="N279" i="8"/>
  <c r="O279" i="8" s="1"/>
  <c r="K279" i="8"/>
  <c r="Q278" i="8"/>
  <c r="S278" i="8" s="1"/>
  <c r="P278" i="8"/>
  <c r="N278" i="8"/>
  <c r="O278" i="8" s="1"/>
  <c r="K278" i="8"/>
  <c r="Q277" i="8"/>
  <c r="S277" i="8" s="1"/>
  <c r="P277" i="8"/>
  <c r="N277" i="8"/>
  <c r="O277" i="8" s="1"/>
  <c r="K277" i="8"/>
  <c r="Q276" i="8"/>
  <c r="S276" i="8" s="1"/>
  <c r="P276" i="8"/>
  <c r="N276" i="8"/>
  <c r="O276" i="8" s="1"/>
  <c r="K276" i="8"/>
  <c r="Q275" i="8"/>
  <c r="S275" i="8" s="1"/>
  <c r="P275" i="8"/>
  <c r="N275" i="8"/>
  <c r="O275" i="8" s="1"/>
  <c r="K275" i="8"/>
  <c r="Q274" i="8"/>
  <c r="S274" i="8" s="1"/>
  <c r="P274" i="8"/>
  <c r="N274" i="8"/>
  <c r="O274" i="8" s="1"/>
  <c r="K274" i="8"/>
  <c r="Q273" i="8"/>
  <c r="S273" i="8" s="1"/>
  <c r="P273" i="8"/>
  <c r="N273" i="8"/>
  <c r="O273" i="8" s="1"/>
  <c r="K273" i="8"/>
  <c r="Q272" i="8"/>
  <c r="S272" i="8" s="1"/>
  <c r="P272" i="8"/>
  <c r="N272" i="8"/>
  <c r="O272" i="8" s="1"/>
  <c r="K272" i="8"/>
  <c r="Q271" i="8"/>
  <c r="S271" i="8" s="1"/>
  <c r="P271" i="8"/>
  <c r="N271" i="8"/>
  <c r="O271" i="8" s="1"/>
  <c r="K271" i="8"/>
  <c r="Q270" i="8"/>
  <c r="S270" i="8" s="1"/>
  <c r="P270" i="8"/>
  <c r="N270" i="8"/>
  <c r="O270" i="8" s="1"/>
  <c r="K270" i="8"/>
  <c r="Q269" i="8"/>
  <c r="S269" i="8" s="1"/>
  <c r="P269" i="8"/>
  <c r="N269" i="8"/>
  <c r="O269" i="8" s="1"/>
  <c r="K269" i="8"/>
  <c r="Q268" i="8"/>
  <c r="S268" i="8" s="1"/>
  <c r="P268" i="8"/>
  <c r="N268" i="8"/>
  <c r="O268" i="8" s="1"/>
  <c r="K268" i="8"/>
  <c r="Q267" i="8"/>
  <c r="S267" i="8" s="1"/>
  <c r="P267" i="8"/>
  <c r="N267" i="8"/>
  <c r="O267" i="8" s="1"/>
  <c r="K267" i="8"/>
  <c r="Q266" i="8"/>
  <c r="S266" i="8" s="1"/>
  <c r="P266" i="8"/>
  <c r="N266" i="8"/>
  <c r="O266" i="8" s="1"/>
  <c r="K266" i="8"/>
  <c r="Q265" i="8"/>
  <c r="S265" i="8" s="1"/>
  <c r="P265" i="8"/>
  <c r="N265" i="8"/>
  <c r="O265" i="8" s="1"/>
  <c r="K265" i="8"/>
  <c r="Q264" i="8"/>
  <c r="S264" i="8" s="1"/>
  <c r="P264" i="8"/>
  <c r="N264" i="8"/>
  <c r="O264" i="8" s="1"/>
  <c r="K264" i="8"/>
  <c r="Q263" i="8"/>
  <c r="S263" i="8" s="1"/>
  <c r="P263" i="8"/>
  <c r="N263" i="8"/>
  <c r="O263" i="8" s="1"/>
  <c r="K263" i="8"/>
  <c r="Q262" i="8"/>
  <c r="S262" i="8" s="1"/>
  <c r="P262" i="8"/>
  <c r="N262" i="8"/>
  <c r="O262" i="8" s="1"/>
  <c r="K262" i="8"/>
  <c r="Q261" i="8"/>
  <c r="S261" i="8" s="1"/>
  <c r="P261" i="8"/>
  <c r="N261" i="8"/>
  <c r="O261" i="8" s="1"/>
  <c r="K261" i="8"/>
  <c r="Q260" i="8"/>
  <c r="S260" i="8" s="1"/>
  <c r="P260" i="8"/>
  <c r="N260" i="8"/>
  <c r="O260" i="8" s="1"/>
  <c r="K260" i="8"/>
  <c r="Q259" i="8"/>
  <c r="S259" i="8" s="1"/>
  <c r="P259" i="8"/>
  <c r="N259" i="8"/>
  <c r="O259" i="8" s="1"/>
  <c r="K259" i="8"/>
  <c r="Q258" i="8"/>
  <c r="S258" i="8" s="1"/>
  <c r="P258" i="8"/>
  <c r="N258" i="8"/>
  <c r="O258" i="8" s="1"/>
  <c r="K258" i="8"/>
  <c r="Q257" i="8"/>
  <c r="S257" i="8" s="1"/>
  <c r="P257" i="8"/>
  <c r="N257" i="8"/>
  <c r="O257" i="8" s="1"/>
  <c r="K257" i="8"/>
  <c r="Q256" i="8"/>
  <c r="S256" i="8" s="1"/>
  <c r="P256" i="8"/>
  <c r="N256" i="8"/>
  <c r="O256" i="8" s="1"/>
  <c r="K256" i="8"/>
  <c r="Q255" i="8"/>
  <c r="S255" i="8" s="1"/>
  <c r="P255" i="8"/>
  <c r="N255" i="8"/>
  <c r="O255" i="8" s="1"/>
  <c r="K255" i="8"/>
  <c r="Q254" i="8"/>
  <c r="S254" i="8" s="1"/>
  <c r="P254" i="8"/>
  <c r="N254" i="8"/>
  <c r="O254" i="8" s="1"/>
  <c r="K254" i="8"/>
  <c r="Q253" i="8"/>
  <c r="S253" i="8" s="1"/>
  <c r="P253" i="8"/>
  <c r="N253" i="8"/>
  <c r="O253" i="8" s="1"/>
  <c r="K253" i="8"/>
  <c r="Q252" i="8"/>
  <c r="S252" i="8" s="1"/>
  <c r="P252" i="8"/>
  <c r="N252" i="8"/>
  <c r="O252" i="8" s="1"/>
  <c r="K252" i="8"/>
  <c r="Q251" i="8"/>
  <c r="S251" i="8" s="1"/>
  <c r="P251" i="8"/>
  <c r="N251" i="8"/>
  <c r="O251" i="8" s="1"/>
  <c r="K251" i="8"/>
  <c r="Q250" i="8"/>
  <c r="S250" i="8" s="1"/>
  <c r="P250" i="8"/>
  <c r="N250" i="8"/>
  <c r="O250" i="8" s="1"/>
  <c r="K250" i="8"/>
  <c r="Q249" i="8"/>
  <c r="S249" i="8" s="1"/>
  <c r="P249" i="8"/>
  <c r="N249" i="8"/>
  <c r="O249" i="8" s="1"/>
  <c r="K249" i="8"/>
  <c r="Q248" i="8"/>
  <c r="S248" i="8" s="1"/>
  <c r="P248" i="8"/>
  <c r="N248" i="8"/>
  <c r="O248" i="8" s="1"/>
  <c r="K248" i="8"/>
  <c r="Q247" i="8"/>
  <c r="S247" i="8" s="1"/>
  <c r="P247" i="8"/>
  <c r="N247" i="8"/>
  <c r="O247" i="8" s="1"/>
  <c r="K247" i="8"/>
  <c r="Q246" i="8"/>
  <c r="S246" i="8" s="1"/>
  <c r="P246" i="8"/>
  <c r="N246" i="8"/>
  <c r="O246" i="8" s="1"/>
  <c r="K246" i="8"/>
  <c r="Q245" i="8"/>
  <c r="S245" i="8" s="1"/>
  <c r="P245" i="8"/>
  <c r="N245" i="8"/>
  <c r="O245" i="8" s="1"/>
  <c r="K245" i="8"/>
  <c r="Q244" i="8"/>
  <c r="S244" i="8" s="1"/>
  <c r="P244" i="8"/>
  <c r="N244" i="8"/>
  <c r="O244" i="8" s="1"/>
  <c r="K244" i="8"/>
  <c r="Q243" i="8"/>
  <c r="S243" i="8" s="1"/>
  <c r="P243" i="8"/>
  <c r="N243" i="8"/>
  <c r="O243" i="8" s="1"/>
  <c r="K243" i="8"/>
  <c r="Q242" i="8"/>
  <c r="S242" i="8" s="1"/>
  <c r="P242" i="8"/>
  <c r="N242" i="8"/>
  <c r="O242" i="8" s="1"/>
  <c r="K242" i="8"/>
  <c r="Q241" i="8"/>
  <c r="S241" i="8" s="1"/>
  <c r="P241" i="8"/>
  <c r="N241" i="8"/>
  <c r="O241" i="8" s="1"/>
  <c r="K241" i="8"/>
  <c r="Q240" i="8"/>
  <c r="S240" i="8" s="1"/>
  <c r="P240" i="8"/>
  <c r="N240" i="8"/>
  <c r="O240" i="8" s="1"/>
  <c r="K240" i="8"/>
  <c r="Q239" i="8"/>
  <c r="S239" i="8" s="1"/>
  <c r="P239" i="8"/>
  <c r="N239" i="8"/>
  <c r="O239" i="8" s="1"/>
  <c r="K239" i="8"/>
  <c r="Q238" i="8"/>
  <c r="S238" i="8" s="1"/>
  <c r="P238" i="8"/>
  <c r="N238" i="8"/>
  <c r="O238" i="8" s="1"/>
  <c r="K238" i="8"/>
  <c r="Q237" i="8"/>
  <c r="S237" i="8" s="1"/>
  <c r="P237" i="8"/>
  <c r="N237" i="8"/>
  <c r="O237" i="8" s="1"/>
  <c r="K237" i="8"/>
  <c r="Q236" i="8"/>
  <c r="S236" i="8" s="1"/>
  <c r="P236" i="8"/>
  <c r="N236" i="8"/>
  <c r="O236" i="8" s="1"/>
  <c r="K236" i="8"/>
  <c r="Q235" i="8"/>
  <c r="S235" i="8" s="1"/>
  <c r="P235" i="8"/>
  <c r="N235" i="8"/>
  <c r="O235" i="8" s="1"/>
  <c r="K235" i="8"/>
  <c r="Q234" i="8"/>
  <c r="S234" i="8" s="1"/>
  <c r="P234" i="8"/>
  <c r="N234" i="8"/>
  <c r="O234" i="8" s="1"/>
  <c r="K234" i="8"/>
  <c r="Q233" i="8"/>
  <c r="S233" i="8" s="1"/>
  <c r="P233" i="8"/>
  <c r="N233" i="8"/>
  <c r="O233" i="8" s="1"/>
  <c r="K233" i="8"/>
  <c r="Q232" i="8"/>
  <c r="S232" i="8" s="1"/>
  <c r="P232" i="8"/>
  <c r="N232" i="8"/>
  <c r="O232" i="8" s="1"/>
  <c r="K232" i="8"/>
  <c r="Q231" i="8"/>
  <c r="S231" i="8" s="1"/>
  <c r="P231" i="8"/>
  <c r="N231" i="8"/>
  <c r="O231" i="8" s="1"/>
  <c r="K231" i="8"/>
  <c r="Q230" i="8"/>
  <c r="S230" i="8" s="1"/>
  <c r="P230" i="8"/>
  <c r="N230" i="8"/>
  <c r="O230" i="8" s="1"/>
  <c r="K230" i="8"/>
  <c r="Q229" i="8"/>
  <c r="S229" i="8" s="1"/>
  <c r="P229" i="8"/>
  <c r="N229" i="8"/>
  <c r="O229" i="8" s="1"/>
  <c r="K229" i="8"/>
  <c r="Q228" i="8"/>
  <c r="S228" i="8" s="1"/>
  <c r="P228" i="8"/>
  <c r="N228" i="8"/>
  <c r="O228" i="8" s="1"/>
  <c r="K228" i="8"/>
  <c r="Q227" i="8"/>
  <c r="S227" i="8" s="1"/>
  <c r="P227" i="8"/>
  <c r="N227" i="8"/>
  <c r="O227" i="8" s="1"/>
  <c r="K227" i="8"/>
  <c r="Q226" i="8"/>
  <c r="S226" i="8" s="1"/>
  <c r="P226" i="8"/>
  <c r="N226" i="8"/>
  <c r="O226" i="8" s="1"/>
  <c r="K226" i="8"/>
  <c r="Q225" i="8"/>
  <c r="S225" i="8" s="1"/>
  <c r="P225" i="8"/>
  <c r="N225" i="8"/>
  <c r="O225" i="8" s="1"/>
  <c r="K225" i="8"/>
  <c r="Q224" i="8"/>
  <c r="S224" i="8" s="1"/>
  <c r="P224" i="8"/>
  <c r="N224" i="8"/>
  <c r="O224" i="8" s="1"/>
  <c r="K224" i="8"/>
  <c r="Q223" i="8"/>
  <c r="S223" i="8" s="1"/>
  <c r="P223" i="8"/>
  <c r="N223" i="8"/>
  <c r="O223" i="8" s="1"/>
  <c r="K223" i="8"/>
  <c r="Q222" i="8"/>
  <c r="S222" i="8" s="1"/>
  <c r="P222" i="8"/>
  <c r="N222" i="8"/>
  <c r="O222" i="8" s="1"/>
  <c r="K222" i="8"/>
  <c r="Q221" i="8"/>
  <c r="S221" i="8" s="1"/>
  <c r="P221" i="8"/>
  <c r="N221" i="8"/>
  <c r="O221" i="8" s="1"/>
  <c r="K221" i="8"/>
  <c r="Q220" i="8"/>
  <c r="S220" i="8" s="1"/>
  <c r="P220" i="8"/>
  <c r="N220" i="8"/>
  <c r="O220" i="8" s="1"/>
  <c r="K220" i="8"/>
  <c r="Q219" i="8"/>
  <c r="S219" i="8" s="1"/>
  <c r="P219" i="8"/>
  <c r="N219" i="8"/>
  <c r="O219" i="8" s="1"/>
  <c r="K219" i="8"/>
  <c r="Q218" i="8"/>
  <c r="S218" i="8" s="1"/>
  <c r="P218" i="8"/>
  <c r="N218" i="8"/>
  <c r="O218" i="8" s="1"/>
  <c r="K218" i="8"/>
  <c r="Q217" i="8"/>
  <c r="S217" i="8" s="1"/>
  <c r="P217" i="8"/>
  <c r="N217" i="8"/>
  <c r="O217" i="8" s="1"/>
  <c r="K217" i="8"/>
  <c r="Q216" i="8"/>
  <c r="S216" i="8" s="1"/>
  <c r="P216" i="8"/>
  <c r="N216" i="8"/>
  <c r="O216" i="8" s="1"/>
  <c r="K216" i="8"/>
  <c r="Q215" i="8"/>
  <c r="S215" i="8" s="1"/>
  <c r="P215" i="8"/>
  <c r="N215" i="8"/>
  <c r="O215" i="8" s="1"/>
  <c r="K215" i="8"/>
  <c r="Q214" i="8"/>
  <c r="S214" i="8" s="1"/>
  <c r="P214" i="8"/>
  <c r="N214" i="8"/>
  <c r="O214" i="8" s="1"/>
  <c r="K214" i="8"/>
  <c r="Q213" i="8"/>
  <c r="S213" i="8" s="1"/>
  <c r="P213" i="8"/>
  <c r="N213" i="8"/>
  <c r="O213" i="8" s="1"/>
  <c r="K213" i="8"/>
  <c r="Q212" i="8"/>
  <c r="S212" i="8" s="1"/>
  <c r="P212" i="8"/>
  <c r="N212" i="8"/>
  <c r="O212" i="8" s="1"/>
  <c r="K212" i="8"/>
  <c r="Q211" i="8"/>
  <c r="S211" i="8" s="1"/>
  <c r="P211" i="8"/>
  <c r="N211" i="8"/>
  <c r="O211" i="8" s="1"/>
  <c r="K211" i="8"/>
  <c r="Q210" i="8"/>
  <c r="S210" i="8" s="1"/>
  <c r="P210" i="8"/>
  <c r="N210" i="8"/>
  <c r="O210" i="8" s="1"/>
  <c r="K210" i="8"/>
  <c r="Q209" i="8"/>
  <c r="S209" i="8" s="1"/>
  <c r="P209" i="8"/>
  <c r="N209" i="8"/>
  <c r="O209" i="8" s="1"/>
  <c r="K209" i="8"/>
  <c r="Q208" i="8"/>
  <c r="S208" i="8" s="1"/>
  <c r="P208" i="8"/>
  <c r="N208" i="8"/>
  <c r="O208" i="8" s="1"/>
  <c r="K208" i="8"/>
  <c r="Q207" i="8"/>
  <c r="S207" i="8" s="1"/>
  <c r="P207" i="8"/>
  <c r="N207" i="8"/>
  <c r="O207" i="8" s="1"/>
  <c r="K207" i="8"/>
  <c r="Q206" i="8"/>
  <c r="S206" i="8" s="1"/>
  <c r="P206" i="8"/>
  <c r="N206" i="8"/>
  <c r="O206" i="8" s="1"/>
  <c r="K206" i="8"/>
  <c r="Q205" i="8"/>
  <c r="S205" i="8" s="1"/>
  <c r="P205" i="8"/>
  <c r="N205" i="8"/>
  <c r="O205" i="8" s="1"/>
  <c r="K205" i="8"/>
  <c r="Q204" i="8"/>
  <c r="S204" i="8" s="1"/>
  <c r="P204" i="8"/>
  <c r="N204" i="8"/>
  <c r="O204" i="8" s="1"/>
  <c r="K204" i="8"/>
  <c r="Q203" i="8"/>
  <c r="S203" i="8" s="1"/>
  <c r="P203" i="8"/>
  <c r="N203" i="8"/>
  <c r="O203" i="8" s="1"/>
  <c r="K203" i="8"/>
  <c r="Q202" i="8"/>
  <c r="S202" i="8" s="1"/>
  <c r="P202" i="8"/>
  <c r="N202" i="8"/>
  <c r="O202" i="8" s="1"/>
  <c r="K202" i="8"/>
  <c r="Q201" i="8"/>
  <c r="S201" i="8" s="1"/>
  <c r="P201" i="8"/>
  <c r="N201" i="8"/>
  <c r="O201" i="8" s="1"/>
  <c r="K201" i="8"/>
  <c r="Q200" i="8"/>
  <c r="S200" i="8" s="1"/>
  <c r="P200" i="8"/>
  <c r="N200" i="8"/>
  <c r="O200" i="8" s="1"/>
  <c r="K200" i="8"/>
  <c r="Q199" i="8"/>
  <c r="S199" i="8" s="1"/>
  <c r="P199" i="8"/>
  <c r="N199" i="8"/>
  <c r="O199" i="8" s="1"/>
  <c r="K199" i="8"/>
  <c r="Q198" i="8"/>
  <c r="S198" i="8" s="1"/>
  <c r="P198" i="8"/>
  <c r="N198" i="8"/>
  <c r="O198" i="8" s="1"/>
  <c r="K198" i="8"/>
  <c r="Q197" i="8"/>
  <c r="S197" i="8" s="1"/>
  <c r="P197" i="8"/>
  <c r="N197" i="8"/>
  <c r="O197" i="8" s="1"/>
  <c r="K197" i="8"/>
  <c r="Q196" i="8"/>
  <c r="S196" i="8" s="1"/>
  <c r="P196" i="8"/>
  <c r="N196" i="8"/>
  <c r="O196" i="8" s="1"/>
  <c r="K196" i="8"/>
  <c r="Q195" i="8"/>
  <c r="S195" i="8" s="1"/>
  <c r="P195" i="8"/>
  <c r="N195" i="8"/>
  <c r="O195" i="8" s="1"/>
  <c r="K195" i="8"/>
  <c r="Q194" i="8"/>
  <c r="S194" i="8" s="1"/>
  <c r="P194" i="8"/>
  <c r="N194" i="8"/>
  <c r="O194" i="8" s="1"/>
  <c r="K194" i="8"/>
  <c r="Q193" i="8"/>
  <c r="S193" i="8" s="1"/>
  <c r="P193" i="8"/>
  <c r="N193" i="8"/>
  <c r="O193" i="8" s="1"/>
  <c r="K193" i="8"/>
  <c r="S192" i="8"/>
  <c r="Q192" i="8"/>
  <c r="P192" i="8"/>
  <c r="N192" i="8"/>
  <c r="O192" i="8" s="1"/>
  <c r="K192" i="8"/>
  <c r="Q191" i="8"/>
  <c r="S191" i="8" s="1"/>
  <c r="P191" i="8"/>
  <c r="N191" i="8"/>
  <c r="O191" i="8" s="1"/>
  <c r="K191" i="8"/>
  <c r="Q190" i="8"/>
  <c r="S190" i="8" s="1"/>
  <c r="P190" i="8"/>
  <c r="N190" i="8"/>
  <c r="O190" i="8" s="1"/>
  <c r="K190" i="8"/>
  <c r="Q189" i="8"/>
  <c r="S189" i="8" s="1"/>
  <c r="P189" i="8"/>
  <c r="N189" i="8"/>
  <c r="O189" i="8" s="1"/>
  <c r="K189" i="8"/>
  <c r="Q188" i="8"/>
  <c r="S188" i="8" s="1"/>
  <c r="P188" i="8"/>
  <c r="N188" i="8"/>
  <c r="O188" i="8" s="1"/>
  <c r="K188" i="8"/>
  <c r="Q187" i="8"/>
  <c r="S187" i="8" s="1"/>
  <c r="P187" i="8"/>
  <c r="N187" i="8"/>
  <c r="O187" i="8" s="1"/>
  <c r="K187" i="8"/>
  <c r="Q186" i="8"/>
  <c r="S186" i="8" s="1"/>
  <c r="P186" i="8"/>
  <c r="N186" i="8"/>
  <c r="O186" i="8" s="1"/>
  <c r="K186" i="8"/>
  <c r="Q185" i="8"/>
  <c r="S185" i="8" s="1"/>
  <c r="P185" i="8"/>
  <c r="N185" i="8"/>
  <c r="O185" i="8" s="1"/>
  <c r="K185" i="8"/>
  <c r="Q184" i="8"/>
  <c r="S184" i="8" s="1"/>
  <c r="P184" i="8"/>
  <c r="N184" i="8"/>
  <c r="O184" i="8" s="1"/>
  <c r="K184" i="8"/>
  <c r="Q183" i="8"/>
  <c r="S183" i="8" s="1"/>
  <c r="P183" i="8"/>
  <c r="N183" i="8"/>
  <c r="O183" i="8" s="1"/>
  <c r="K183" i="8"/>
  <c r="Q182" i="8"/>
  <c r="S182" i="8" s="1"/>
  <c r="P182" i="8"/>
  <c r="N182" i="8"/>
  <c r="O182" i="8" s="1"/>
  <c r="K182" i="8"/>
  <c r="Q181" i="8"/>
  <c r="S181" i="8" s="1"/>
  <c r="P181" i="8"/>
  <c r="N181" i="8"/>
  <c r="O181" i="8" s="1"/>
  <c r="K181" i="8"/>
  <c r="Q180" i="8"/>
  <c r="S180" i="8" s="1"/>
  <c r="P180" i="8"/>
  <c r="N180" i="8"/>
  <c r="O180" i="8" s="1"/>
  <c r="K180" i="8"/>
  <c r="Q179" i="8"/>
  <c r="S179" i="8" s="1"/>
  <c r="P179" i="8"/>
  <c r="N179" i="8"/>
  <c r="O179" i="8" s="1"/>
  <c r="K179" i="8"/>
  <c r="Q178" i="8"/>
  <c r="S178" i="8" s="1"/>
  <c r="P178" i="8"/>
  <c r="N178" i="8"/>
  <c r="O178" i="8" s="1"/>
  <c r="K178" i="8"/>
  <c r="Q177" i="8"/>
  <c r="S177" i="8" s="1"/>
  <c r="P177" i="8"/>
  <c r="N177" i="8"/>
  <c r="O177" i="8" s="1"/>
  <c r="K177" i="8"/>
  <c r="Q176" i="8"/>
  <c r="P176" i="8"/>
  <c r="N176" i="8"/>
  <c r="O176" i="8" s="1"/>
  <c r="K176" i="8"/>
  <c r="S176" i="8" s="1"/>
  <c r="Q175" i="8"/>
  <c r="S175" i="8" s="1"/>
  <c r="P175" i="8"/>
  <c r="N175" i="8"/>
  <c r="O175" i="8" s="1"/>
  <c r="K175" i="8"/>
  <c r="Q174" i="8"/>
  <c r="S174" i="8" s="1"/>
  <c r="P174" i="8"/>
  <c r="N174" i="8"/>
  <c r="O174" i="8" s="1"/>
  <c r="K174" i="8"/>
  <c r="Q173" i="8"/>
  <c r="S173" i="8" s="1"/>
  <c r="P173" i="8"/>
  <c r="N173" i="8"/>
  <c r="O173" i="8" s="1"/>
  <c r="K173" i="8"/>
  <c r="Q172" i="8"/>
  <c r="S172" i="8" s="1"/>
  <c r="P172" i="8"/>
  <c r="N172" i="8"/>
  <c r="O172" i="8" s="1"/>
  <c r="K172" i="8"/>
  <c r="Q171" i="8"/>
  <c r="S171" i="8" s="1"/>
  <c r="P171" i="8"/>
  <c r="N171" i="8"/>
  <c r="O171" i="8" s="1"/>
  <c r="K171" i="8"/>
  <c r="Q170" i="8"/>
  <c r="S170" i="8" s="1"/>
  <c r="P170" i="8"/>
  <c r="N170" i="8"/>
  <c r="O170" i="8" s="1"/>
  <c r="K170" i="8"/>
  <c r="Q169" i="8"/>
  <c r="S169" i="8" s="1"/>
  <c r="P169" i="8"/>
  <c r="N169" i="8"/>
  <c r="O169" i="8" s="1"/>
  <c r="K169" i="8"/>
  <c r="Q168" i="8"/>
  <c r="S168" i="8" s="1"/>
  <c r="P168" i="8"/>
  <c r="N168" i="8"/>
  <c r="O168" i="8" s="1"/>
  <c r="K168" i="8"/>
  <c r="Q167" i="8"/>
  <c r="S167" i="8" s="1"/>
  <c r="P167" i="8"/>
  <c r="N167" i="8"/>
  <c r="O167" i="8" s="1"/>
  <c r="K167" i="8"/>
  <c r="Q166" i="8"/>
  <c r="S166" i="8" s="1"/>
  <c r="P166" i="8"/>
  <c r="N166" i="8"/>
  <c r="O166" i="8" s="1"/>
  <c r="K166" i="8"/>
  <c r="Q165" i="8"/>
  <c r="S165" i="8" s="1"/>
  <c r="P165" i="8"/>
  <c r="N165" i="8"/>
  <c r="O165" i="8" s="1"/>
  <c r="K165" i="8"/>
  <c r="Q164" i="8"/>
  <c r="S164" i="8" s="1"/>
  <c r="P164" i="8"/>
  <c r="N164" i="8"/>
  <c r="O164" i="8" s="1"/>
  <c r="K164" i="8"/>
  <c r="Q163" i="8"/>
  <c r="S163" i="8" s="1"/>
  <c r="P163" i="8"/>
  <c r="N163" i="8"/>
  <c r="O163" i="8" s="1"/>
  <c r="K163" i="8"/>
  <c r="Q162" i="8"/>
  <c r="S162" i="8" s="1"/>
  <c r="P162" i="8"/>
  <c r="N162" i="8"/>
  <c r="O162" i="8" s="1"/>
  <c r="K162" i="8"/>
  <c r="Q161" i="8"/>
  <c r="S161" i="8" s="1"/>
  <c r="P161" i="8"/>
  <c r="N161" i="8"/>
  <c r="O161" i="8" s="1"/>
  <c r="K161" i="8"/>
  <c r="Q160" i="8"/>
  <c r="S160" i="8" s="1"/>
  <c r="P160" i="8"/>
  <c r="N160" i="8"/>
  <c r="O160" i="8" s="1"/>
  <c r="K160" i="8"/>
  <c r="Q159" i="8"/>
  <c r="S159" i="8" s="1"/>
  <c r="P159" i="8"/>
  <c r="N159" i="8"/>
  <c r="O159" i="8" s="1"/>
  <c r="K159" i="8"/>
  <c r="Q158" i="8"/>
  <c r="S158" i="8" s="1"/>
  <c r="P158" i="8"/>
  <c r="N158" i="8"/>
  <c r="O158" i="8" s="1"/>
  <c r="K158" i="8"/>
  <c r="Q157" i="8"/>
  <c r="S157" i="8" s="1"/>
  <c r="P157" i="8"/>
  <c r="N157" i="8"/>
  <c r="O157" i="8" s="1"/>
  <c r="K157" i="8"/>
  <c r="Q156" i="8"/>
  <c r="S156" i="8" s="1"/>
  <c r="P156" i="8"/>
  <c r="N156" i="8"/>
  <c r="O156" i="8" s="1"/>
  <c r="K156" i="8"/>
  <c r="Q155" i="8"/>
  <c r="S155" i="8" s="1"/>
  <c r="P155" i="8"/>
  <c r="N155" i="8"/>
  <c r="O155" i="8" s="1"/>
  <c r="K155" i="8"/>
  <c r="Q154" i="8"/>
  <c r="S154" i="8" s="1"/>
  <c r="P154" i="8"/>
  <c r="N154" i="8"/>
  <c r="O154" i="8" s="1"/>
  <c r="K154" i="8"/>
  <c r="Q153" i="8"/>
  <c r="S153" i="8" s="1"/>
  <c r="P153" i="8"/>
  <c r="N153" i="8"/>
  <c r="O153" i="8" s="1"/>
  <c r="K153" i="8"/>
  <c r="Q152" i="8"/>
  <c r="S152" i="8" s="1"/>
  <c r="P152" i="8"/>
  <c r="N152" i="8"/>
  <c r="O152" i="8" s="1"/>
  <c r="K152" i="8"/>
  <c r="Q151" i="8"/>
  <c r="S151" i="8" s="1"/>
  <c r="P151" i="8"/>
  <c r="N151" i="8"/>
  <c r="O151" i="8" s="1"/>
  <c r="K151" i="8"/>
  <c r="Q150" i="8"/>
  <c r="S150" i="8" s="1"/>
  <c r="P150" i="8"/>
  <c r="N150" i="8"/>
  <c r="O150" i="8" s="1"/>
  <c r="K150" i="8"/>
  <c r="Q149" i="8"/>
  <c r="S149" i="8" s="1"/>
  <c r="P149" i="8"/>
  <c r="N149" i="8"/>
  <c r="O149" i="8" s="1"/>
  <c r="K149" i="8"/>
  <c r="Q148" i="8"/>
  <c r="S148" i="8" s="1"/>
  <c r="P148" i="8"/>
  <c r="N148" i="8"/>
  <c r="O148" i="8" s="1"/>
  <c r="K148" i="8"/>
  <c r="Q147" i="8"/>
  <c r="S147" i="8" s="1"/>
  <c r="P147" i="8"/>
  <c r="N147" i="8"/>
  <c r="O147" i="8" s="1"/>
  <c r="K147" i="8"/>
  <c r="Q146" i="8"/>
  <c r="S146" i="8" s="1"/>
  <c r="P146" i="8"/>
  <c r="N146" i="8"/>
  <c r="O146" i="8" s="1"/>
  <c r="K146" i="8"/>
  <c r="Q145" i="8"/>
  <c r="S145" i="8" s="1"/>
  <c r="P145" i="8"/>
  <c r="N145" i="8"/>
  <c r="O145" i="8" s="1"/>
  <c r="K145" i="8"/>
  <c r="Q144" i="8"/>
  <c r="S144" i="8" s="1"/>
  <c r="P144" i="8"/>
  <c r="N144" i="8"/>
  <c r="O144" i="8" s="1"/>
  <c r="K144" i="8"/>
  <c r="Q143" i="8"/>
  <c r="S143" i="8" s="1"/>
  <c r="P143" i="8"/>
  <c r="N143" i="8"/>
  <c r="O143" i="8" s="1"/>
  <c r="K143" i="8"/>
  <c r="Q142" i="8"/>
  <c r="S142" i="8" s="1"/>
  <c r="P142" i="8"/>
  <c r="N142" i="8"/>
  <c r="O142" i="8" s="1"/>
  <c r="K142" i="8"/>
  <c r="Q141" i="8"/>
  <c r="S141" i="8" s="1"/>
  <c r="P141" i="8"/>
  <c r="N141" i="8"/>
  <c r="O141" i="8" s="1"/>
  <c r="K141" i="8"/>
  <c r="Q140" i="8"/>
  <c r="S140" i="8" s="1"/>
  <c r="P140" i="8"/>
  <c r="N140" i="8"/>
  <c r="O140" i="8" s="1"/>
  <c r="K140" i="8"/>
  <c r="Q139" i="8"/>
  <c r="S139" i="8" s="1"/>
  <c r="P139" i="8"/>
  <c r="N139" i="8"/>
  <c r="O139" i="8" s="1"/>
  <c r="K139" i="8"/>
  <c r="Q138" i="8"/>
  <c r="S138" i="8" s="1"/>
  <c r="P138" i="8"/>
  <c r="N138" i="8"/>
  <c r="O138" i="8" s="1"/>
  <c r="K138" i="8"/>
  <c r="Q137" i="8"/>
  <c r="S137" i="8" s="1"/>
  <c r="P137" i="8"/>
  <c r="N137" i="8"/>
  <c r="O137" i="8" s="1"/>
  <c r="K137" i="8"/>
  <c r="Q136" i="8"/>
  <c r="S136" i="8" s="1"/>
  <c r="P136" i="8"/>
  <c r="N136" i="8"/>
  <c r="O136" i="8" s="1"/>
  <c r="K136" i="8"/>
  <c r="Q135" i="8"/>
  <c r="S135" i="8" s="1"/>
  <c r="P135" i="8"/>
  <c r="N135" i="8"/>
  <c r="O135" i="8" s="1"/>
  <c r="K135" i="8"/>
  <c r="Q134" i="8"/>
  <c r="S134" i="8" s="1"/>
  <c r="P134" i="8"/>
  <c r="N134" i="8"/>
  <c r="O134" i="8" s="1"/>
  <c r="K134" i="8"/>
  <c r="Q133" i="8"/>
  <c r="S133" i="8" s="1"/>
  <c r="P133" i="8"/>
  <c r="N133" i="8"/>
  <c r="O133" i="8" s="1"/>
  <c r="K133" i="8"/>
  <c r="Q132" i="8"/>
  <c r="S132" i="8" s="1"/>
  <c r="P132" i="8"/>
  <c r="N132" i="8"/>
  <c r="O132" i="8" s="1"/>
  <c r="K132" i="8"/>
  <c r="Q131" i="8"/>
  <c r="S131" i="8" s="1"/>
  <c r="P131" i="8"/>
  <c r="N131" i="8"/>
  <c r="O131" i="8" s="1"/>
  <c r="K131" i="8"/>
  <c r="Q130" i="8"/>
  <c r="S130" i="8" s="1"/>
  <c r="P130" i="8"/>
  <c r="N130" i="8"/>
  <c r="O130" i="8" s="1"/>
  <c r="K130" i="8"/>
  <c r="Q129" i="8"/>
  <c r="S129" i="8" s="1"/>
  <c r="P129" i="8"/>
  <c r="N129" i="8"/>
  <c r="O129" i="8" s="1"/>
  <c r="K129" i="8"/>
  <c r="Q128" i="8"/>
  <c r="S128" i="8" s="1"/>
  <c r="P128" i="8"/>
  <c r="N128" i="8"/>
  <c r="O128" i="8" s="1"/>
  <c r="K128" i="8"/>
  <c r="Q127" i="8"/>
  <c r="S127" i="8" s="1"/>
  <c r="P127" i="8"/>
  <c r="N127" i="8"/>
  <c r="O127" i="8" s="1"/>
  <c r="K127" i="8"/>
  <c r="Q126" i="8"/>
  <c r="S126" i="8" s="1"/>
  <c r="P126" i="8"/>
  <c r="N126" i="8"/>
  <c r="O126" i="8" s="1"/>
  <c r="K126" i="8"/>
  <c r="Q125" i="8"/>
  <c r="S125" i="8" s="1"/>
  <c r="P125" i="8"/>
  <c r="N125" i="8"/>
  <c r="O125" i="8" s="1"/>
  <c r="K125" i="8"/>
  <c r="Q124" i="8"/>
  <c r="S124" i="8" s="1"/>
  <c r="P124" i="8"/>
  <c r="N124" i="8"/>
  <c r="O124" i="8" s="1"/>
  <c r="K124" i="8"/>
  <c r="Q123" i="8"/>
  <c r="S123" i="8" s="1"/>
  <c r="P123" i="8"/>
  <c r="N123" i="8"/>
  <c r="O123" i="8" s="1"/>
  <c r="K123" i="8"/>
  <c r="Q122" i="8"/>
  <c r="S122" i="8" s="1"/>
  <c r="P122" i="8"/>
  <c r="N122" i="8"/>
  <c r="O122" i="8" s="1"/>
  <c r="K122" i="8"/>
  <c r="Q121" i="8"/>
  <c r="S121" i="8" s="1"/>
  <c r="P121" i="8"/>
  <c r="N121" i="8"/>
  <c r="O121" i="8" s="1"/>
  <c r="K121" i="8"/>
  <c r="Q120" i="8"/>
  <c r="S120" i="8" s="1"/>
  <c r="P120" i="8"/>
  <c r="N120" i="8"/>
  <c r="O120" i="8" s="1"/>
  <c r="K120" i="8"/>
  <c r="Q119" i="8"/>
  <c r="S119" i="8" s="1"/>
  <c r="P119" i="8"/>
  <c r="N119" i="8"/>
  <c r="O119" i="8" s="1"/>
  <c r="K119" i="8"/>
  <c r="Q118" i="8"/>
  <c r="S118" i="8" s="1"/>
  <c r="P118" i="8"/>
  <c r="N118" i="8"/>
  <c r="O118" i="8" s="1"/>
  <c r="K118" i="8"/>
  <c r="Q117" i="8"/>
  <c r="S117" i="8" s="1"/>
  <c r="P117" i="8"/>
  <c r="N117" i="8"/>
  <c r="O117" i="8" s="1"/>
  <c r="K117" i="8"/>
  <c r="Q116" i="8"/>
  <c r="S116" i="8" s="1"/>
  <c r="P116" i="8"/>
  <c r="N116" i="8"/>
  <c r="O116" i="8" s="1"/>
  <c r="K116" i="8"/>
  <c r="Q115" i="8"/>
  <c r="S115" i="8" s="1"/>
  <c r="P115" i="8"/>
  <c r="N115" i="8"/>
  <c r="O115" i="8" s="1"/>
  <c r="K115" i="8"/>
  <c r="Q114" i="8"/>
  <c r="S114" i="8" s="1"/>
  <c r="P114" i="8"/>
  <c r="N114" i="8"/>
  <c r="O114" i="8" s="1"/>
  <c r="K114" i="8"/>
  <c r="Q113" i="8"/>
  <c r="S113" i="8" s="1"/>
  <c r="P113" i="8"/>
  <c r="N113" i="8"/>
  <c r="O113" i="8" s="1"/>
  <c r="K113" i="8"/>
  <c r="Q112" i="8"/>
  <c r="S112" i="8" s="1"/>
  <c r="P112" i="8"/>
  <c r="N112" i="8"/>
  <c r="O112" i="8" s="1"/>
  <c r="K112" i="8"/>
  <c r="Q111" i="8"/>
  <c r="S111" i="8" s="1"/>
  <c r="P111" i="8"/>
  <c r="N111" i="8"/>
  <c r="O111" i="8" s="1"/>
  <c r="K111" i="8"/>
  <c r="Q110" i="8"/>
  <c r="S110" i="8" s="1"/>
  <c r="P110" i="8"/>
  <c r="N110" i="8"/>
  <c r="O110" i="8" s="1"/>
  <c r="K110" i="8"/>
  <c r="Q109" i="8"/>
  <c r="S109" i="8" s="1"/>
  <c r="P109" i="8"/>
  <c r="N109" i="8"/>
  <c r="O109" i="8" s="1"/>
  <c r="K109" i="8"/>
  <c r="Q108" i="8"/>
  <c r="S108" i="8" s="1"/>
  <c r="P108" i="8"/>
  <c r="N108" i="8"/>
  <c r="O108" i="8" s="1"/>
  <c r="K108" i="8"/>
  <c r="Q107" i="8"/>
  <c r="S107" i="8" s="1"/>
  <c r="P107" i="8"/>
  <c r="N107" i="8"/>
  <c r="O107" i="8" s="1"/>
  <c r="K107" i="8"/>
  <c r="Q106" i="8"/>
  <c r="S106" i="8" s="1"/>
  <c r="P106" i="8"/>
  <c r="N106" i="8"/>
  <c r="O106" i="8" s="1"/>
  <c r="K106" i="8"/>
  <c r="Q105" i="8"/>
  <c r="S105" i="8" s="1"/>
  <c r="P105" i="8"/>
  <c r="N105" i="8"/>
  <c r="O105" i="8" s="1"/>
  <c r="K105" i="8"/>
  <c r="Q104" i="8"/>
  <c r="S104" i="8" s="1"/>
  <c r="P104" i="8"/>
  <c r="N104" i="8"/>
  <c r="O104" i="8" s="1"/>
  <c r="K104" i="8"/>
  <c r="Q103" i="8"/>
  <c r="S103" i="8" s="1"/>
  <c r="P103" i="8"/>
  <c r="N103" i="8"/>
  <c r="O103" i="8" s="1"/>
  <c r="K103" i="8"/>
  <c r="Q102" i="8"/>
  <c r="S102" i="8" s="1"/>
  <c r="P102" i="8"/>
  <c r="N102" i="8"/>
  <c r="O102" i="8" s="1"/>
  <c r="K102" i="8"/>
  <c r="Q101" i="8"/>
  <c r="S101" i="8" s="1"/>
  <c r="P101" i="8"/>
  <c r="N101" i="8"/>
  <c r="O101" i="8" s="1"/>
  <c r="K101" i="8"/>
  <c r="Q100" i="8"/>
  <c r="S100" i="8" s="1"/>
  <c r="P100" i="8"/>
  <c r="N100" i="8"/>
  <c r="O100" i="8" s="1"/>
  <c r="K100" i="8"/>
  <c r="Q99" i="8"/>
  <c r="S99" i="8" s="1"/>
  <c r="P99" i="8"/>
  <c r="N99" i="8"/>
  <c r="O99" i="8" s="1"/>
  <c r="K99" i="8"/>
  <c r="Q98" i="8"/>
  <c r="S98" i="8" s="1"/>
  <c r="P98" i="8"/>
  <c r="N98" i="8"/>
  <c r="O98" i="8" s="1"/>
  <c r="K98" i="8"/>
  <c r="Q97" i="8"/>
  <c r="S97" i="8" s="1"/>
  <c r="P97" i="8"/>
  <c r="N97" i="8"/>
  <c r="O97" i="8" s="1"/>
  <c r="K97" i="8"/>
  <c r="Q96" i="8"/>
  <c r="S96" i="8" s="1"/>
  <c r="P96" i="8"/>
  <c r="N96" i="8"/>
  <c r="O96" i="8" s="1"/>
  <c r="K96" i="8"/>
  <c r="Q95" i="8"/>
  <c r="S95" i="8" s="1"/>
  <c r="P95" i="8"/>
  <c r="N95" i="8"/>
  <c r="O95" i="8" s="1"/>
  <c r="K95" i="8"/>
  <c r="Q94" i="8"/>
  <c r="S94" i="8" s="1"/>
  <c r="P94" i="8"/>
  <c r="N94" i="8"/>
  <c r="O94" i="8" s="1"/>
  <c r="K94" i="8"/>
  <c r="Q93" i="8"/>
  <c r="S93" i="8" s="1"/>
  <c r="P93" i="8"/>
  <c r="N93" i="8"/>
  <c r="O93" i="8" s="1"/>
  <c r="K93" i="8"/>
  <c r="Q92" i="8"/>
  <c r="S92" i="8" s="1"/>
  <c r="P92" i="8"/>
  <c r="N92" i="8"/>
  <c r="O92" i="8" s="1"/>
  <c r="K92" i="8"/>
  <c r="Q91" i="8"/>
  <c r="S91" i="8" s="1"/>
  <c r="P91" i="8"/>
  <c r="N91" i="8"/>
  <c r="O91" i="8" s="1"/>
  <c r="K91" i="8"/>
  <c r="Q90" i="8"/>
  <c r="S90" i="8" s="1"/>
  <c r="P90" i="8"/>
  <c r="N90" i="8"/>
  <c r="O90" i="8" s="1"/>
  <c r="K90" i="8"/>
  <c r="Q89" i="8"/>
  <c r="S89" i="8" s="1"/>
  <c r="P89" i="8"/>
  <c r="N89" i="8"/>
  <c r="O89" i="8" s="1"/>
  <c r="K89" i="8"/>
  <c r="Q88" i="8"/>
  <c r="S88" i="8" s="1"/>
  <c r="P88" i="8"/>
  <c r="N88" i="8"/>
  <c r="O88" i="8" s="1"/>
  <c r="K88" i="8"/>
  <c r="Q87" i="8"/>
  <c r="S87" i="8" s="1"/>
  <c r="P87" i="8"/>
  <c r="N87" i="8"/>
  <c r="O87" i="8" s="1"/>
  <c r="K87" i="8"/>
  <c r="Q86" i="8"/>
  <c r="S86" i="8" s="1"/>
  <c r="P86" i="8"/>
  <c r="N86" i="8"/>
  <c r="O86" i="8" s="1"/>
  <c r="K86" i="8"/>
  <c r="Q85" i="8"/>
  <c r="S85" i="8" s="1"/>
  <c r="P85" i="8"/>
  <c r="N85" i="8"/>
  <c r="O85" i="8" s="1"/>
  <c r="K85" i="8"/>
  <c r="Q84" i="8"/>
  <c r="S84" i="8" s="1"/>
  <c r="P84" i="8"/>
  <c r="N84" i="8"/>
  <c r="O84" i="8" s="1"/>
  <c r="K84" i="8"/>
  <c r="Q83" i="8"/>
  <c r="S83" i="8" s="1"/>
  <c r="P83" i="8"/>
  <c r="N83" i="8"/>
  <c r="O83" i="8" s="1"/>
  <c r="K83" i="8"/>
  <c r="Q82" i="8"/>
  <c r="S82" i="8" s="1"/>
  <c r="P82" i="8"/>
  <c r="N82" i="8"/>
  <c r="O82" i="8" s="1"/>
  <c r="K82" i="8"/>
  <c r="Q81" i="8"/>
  <c r="S81" i="8" s="1"/>
  <c r="P81" i="8"/>
  <c r="N81" i="8"/>
  <c r="O81" i="8" s="1"/>
  <c r="K81" i="8"/>
  <c r="Q80" i="8"/>
  <c r="S80" i="8" s="1"/>
  <c r="P80" i="8"/>
  <c r="N80" i="8"/>
  <c r="O80" i="8" s="1"/>
  <c r="K80" i="8"/>
  <c r="Q79" i="8"/>
  <c r="S79" i="8" s="1"/>
  <c r="P79" i="8"/>
  <c r="N79" i="8"/>
  <c r="O79" i="8" s="1"/>
  <c r="K79" i="8"/>
  <c r="Q78" i="8"/>
  <c r="S78" i="8" s="1"/>
  <c r="P78" i="8"/>
  <c r="N78" i="8"/>
  <c r="O78" i="8" s="1"/>
  <c r="K78" i="8"/>
  <c r="Q77" i="8"/>
  <c r="S77" i="8" s="1"/>
  <c r="P77" i="8"/>
  <c r="N77" i="8"/>
  <c r="O77" i="8" s="1"/>
  <c r="K77" i="8"/>
  <c r="Q76" i="8"/>
  <c r="S76" i="8" s="1"/>
  <c r="P76" i="8"/>
  <c r="N76" i="8"/>
  <c r="O76" i="8" s="1"/>
  <c r="K76" i="8"/>
  <c r="Q75" i="8"/>
  <c r="S75" i="8" s="1"/>
  <c r="P75" i="8"/>
  <c r="N75" i="8"/>
  <c r="O75" i="8" s="1"/>
  <c r="K75" i="8"/>
  <c r="Q74" i="8"/>
  <c r="S74" i="8" s="1"/>
  <c r="P74" i="8"/>
  <c r="N74" i="8"/>
  <c r="O74" i="8" s="1"/>
  <c r="K74" i="8"/>
  <c r="Q73" i="8"/>
  <c r="S73" i="8" s="1"/>
  <c r="P73" i="8"/>
  <c r="N73" i="8"/>
  <c r="O73" i="8" s="1"/>
  <c r="K73" i="8"/>
  <c r="Q72" i="8"/>
  <c r="S72" i="8" s="1"/>
  <c r="P72" i="8"/>
  <c r="N72" i="8"/>
  <c r="O72" i="8" s="1"/>
  <c r="K72" i="8"/>
  <c r="Q71" i="8"/>
  <c r="S71" i="8" s="1"/>
  <c r="P71" i="8"/>
  <c r="N71" i="8"/>
  <c r="O71" i="8" s="1"/>
  <c r="K71" i="8"/>
  <c r="Q70" i="8"/>
  <c r="S70" i="8" s="1"/>
  <c r="P70" i="8"/>
  <c r="N70" i="8"/>
  <c r="O70" i="8" s="1"/>
  <c r="K70" i="8"/>
  <c r="Q69" i="8"/>
  <c r="S69" i="8" s="1"/>
  <c r="P69" i="8"/>
  <c r="N69" i="8"/>
  <c r="O69" i="8" s="1"/>
  <c r="K69" i="8"/>
  <c r="Q68" i="8"/>
  <c r="S68" i="8" s="1"/>
  <c r="P68" i="8"/>
  <c r="N68" i="8"/>
  <c r="O68" i="8" s="1"/>
  <c r="K68" i="8"/>
  <c r="Q67" i="8"/>
  <c r="S67" i="8" s="1"/>
  <c r="P67" i="8"/>
  <c r="N67" i="8"/>
  <c r="O67" i="8" s="1"/>
  <c r="K67" i="8"/>
  <c r="Q66" i="8"/>
  <c r="S66" i="8" s="1"/>
  <c r="P66" i="8"/>
  <c r="N66" i="8"/>
  <c r="O66" i="8" s="1"/>
  <c r="K66" i="8"/>
  <c r="Q65" i="8"/>
  <c r="S65" i="8" s="1"/>
  <c r="P65" i="8"/>
  <c r="N65" i="8"/>
  <c r="O65" i="8" s="1"/>
  <c r="K65" i="8"/>
  <c r="Q64" i="8"/>
  <c r="S64" i="8" s="1"/>
  <c r="P64" i="8"/>
  <c r="N64" i="8"/>
  <c r="O64" i="8" s="1"/>
  <c r="K64" i="8"/>
  <c r="Q63" i="8"/>
  <c r="S63" i="8" s="1"/>
  <c r="P63" i="8"/>
  <c r="N63" i="8"/>
  <c r="O63" i="8" s="1"/>
  <c r="K63" i="8"/>
  <c r="Q62" i="8"/>
  <c r="S62" i="8" s="1"/>
  <c r="P62" i="8"/>
  <c r="N62" i="8"/>
  <c r="O62" i="8" s="1"/>
  <c r="K62" i="8"/>
  <c r="Q61" i="8"/>
  <c r="S61" i="8" s="1"/>
  <c r="P61" i="8"/>
  <c r="N61" i="8"/>
  <c r="O61" i="8" s="1"/>
  <c r="K61" i="8"/>
  <c r="Q60" i="8"/>
  <c r="S60" i="8" s="1"/>
  <c r="P60" i="8"/>
  <c r="N60" i="8"/>
  <c r="O60" i="8" s="1"/>
  <c r="K60" i="8"/>
  <c r="Q59" i="8"/>
  <c r="S59" i="8" s="1"/>
  <c r="P59" i="8"/>
  <c r="N59" i="8"/>
  <c r="O59" i="8" s="1"/>
  <c r="K59" i="8"/>
  <c r="Q58" i="8"/>
  <c r="S58" i="8" s="1"/>
  <c r="P58" i="8"/>
  <c r="N58" i="8"/>
  <c r="O58" i="8" s="1"/>
  <c r="K58" i="8"/>
  <c r="Q57" i="8"/>
  <c r="S57" i="8" s="1"/>
  <c r="P57" i="8"/>
  <c r="N57" i="8"/>
  <c r="O57" i="8" s="1"/>
  <c r="K57" i="8"/>
  <c r="Q56" i="8"/>
  <c r="S56" i="8" s="1"/>
  <c r="P56" i="8"/>
  <c r="N56" i="8"/>
  <c r="O56" i="8" s="1"/>
  <c r="K56" i="8"/>
  <c r="Q55" i="8"/>
  <c r="S55" i="8" s="1"/>
  <c r="P55" i="8"/>
  <c r="N55" i="8"/>
  <c r="O55" i="8" s="1"/>
  <c r="K55" i="8"/>
  <c r="Q54" i="8"/>
  <c r="S54" i="8" s="1"/>
  <c r="P54" i="8"/>
  <c r="N54" i="8"/>
  <c r="O54" i="8" s="1"/>
  <c r="K54" i="8"/>
  <c r="Q53" i="8"/>
  <c r="S53" i="8" s="1"/>
  <c r="P53" i="8"/>
  <c r="N53" i="8"/>
  <c r="O53" i="8" s="1"/>
  <c r="K53" i="8"/>
  <c r="Q52" i="8"/>
  <c r="S52" i="8" s="1"/>
  <c r="P52" i="8"/>
  <c r="N52" i="8"/>
  <c r="O52" i="8" s="1"/>
  <c r="K52" i="8"/>
  <c r="Q51" i="8"/>
  <c r="S51" i="8" s="1"/>
  <c r="P51" i="8"/>
  <c r="N51" i="8"/>
  <c r="O51" i="8" s="1"/>
  <c r="K51" i="8"/>
  <c r="Q50" i="8"/>
  <c r="S50" i="8" s="1"/>
  <c r="P50" i="8"/>
  <c r="N50" i="8"/>
  <c r="O50" i="8" s="1"/>
  <c r="K50" i="8"/>
  <c r="Q49" i="8"/>
  <c r="S49" i="8" s="1"/>
  <c r="P49" i="8"/>
  <c r="N49" i="8"/>
  <c r="O49" i="8" s="1"/>
  <c r="K49" i="8"/>
  <c r="Q48" i="8"/>
  <c r="S48" i="8" s="1"/>
  <c r="P48" i="8"/>
  <c r="N48" i="8"/>
  <c r="O48" i="8" s="1"/>
  <c r="K48" i="8"/>
  <c r="Q47" i="8"/>
  <c r="S47" i="8" s="1"/>
  <c r="P47" i="8"/>
  <c r="N47" i="8"/>
  <c r="O47" i="8" s="1"/>
  <c r="K47" i="8"/>
  <c r="Q46" i="8"/>
  <c r="S46" i="8" s="1"/>
  <c r="P46" i="8"/>
  <c r="N46" i="8"/>
  <c r="O46" i="8" s="1"/>
  <c r="K46" i="8"/>
  <c r="Q45" i="8"/>
  <c r="S45" i="8" s="1"/>
  <c r="P45" i="8"/>
  <c r="N45" i="8"/>
  <c r="O45" i="8" s="1"/>
  <c r="K45" i="8"/>
  <c r="Q44" i="8"/>
  <c r="S44" i="8" s="1"/>
  <c r="P44" i="8"/>
  <c r="N44" i="8"/>
  <c r="O44" i="8" s="1"/>
  <c r="K44" i="8"/>
  <c r="Q43" i="8"/>
  <c r="S43" i="8" s="1"/>
  <c r="P43" i="8"/>
  <c r="N43" i="8"/>
  <c r="O43" i="8" s="1"/>
  <c r="K43" i="8"/>
  <c r="Q42" i="8"/>
  <c r="S42" i="8" s="1"/>
  <c r="P42" i="8"/>
  <c r="N42" i="8"/>
  <c r="O42" i="8" s="1"/>
  <c r="K42" i="8"/>
  <c r="Q41" i="8"/>
  <c r="S41" i="8" s="1"/>
  <c r="P41" i="8"/>
  <c r="N41" i="8"/>
  <c r="O41" i="8" s="1"/>
  <c r="K41" i="8"/>
  <c r="Q40" i="8"/>
  <c r="S40" i="8" s="1"/>
  <c r="P40" i="8"/>
  <c r="N40" i="8"/>
  <c r="O40" i="8" s="1"/>
  <c r="K40" i="8"/>
  <c r="Q39" i="8"/>
  <c r="S39" i="8" s="1"/>
  <c r="P39" i="8"/>
  <c r="N39" i="8"/>
  <c r="O39" i="8" s="1"/>
  <c r="K39" i="8"/>
  <c r="Q38" i="8"/>
  <c r="S38" i="8" s="1"/>
  <c r="P38" i="8"/>
  <c r="N38" i="8"/>
  <c r="O38" i="8" s="1"/>
  <c r="K38" i="8"/>
  <c r="Q37" i="8"/>
  <c r="S37" i="8" s="1"/>
  <c r="P37" i="8"/>
  <c r="N37" i="8"/>
  <c r="O37" i="8" s="1"/>
  <c r="K37" i="8"/>
  <c r="Q36" i="8"/>
  <c r="S36" i="8" s="1"/>
  <c r="P36" i="8"/>
  <c r="N36" i="8"/>
  <c r="O36" i="8" s="1"/>
  <c r="K36" i="8"/>
  <c r="Q35" i="8"/>
  <c r="S35" i="8" s="1"/>
  <c r="P35" i="8"/>
  <c r="N35" i="8"/>
  <c r="O35" i="8" s="1"/>
  <c r="K35" i="8"/>
  <c r="Q34" i="8"/>
  <c r="S34" i="8" s="1"/>
  <c r="P34" i="8"/>
  <c r="N34" i="8"/>
  <c r="O34" i="8" s="1"/>
  <c r="K34" i="8"/>
  <c r="Q33" i="8"/>
  <c r="S33" i="8" s="1"/>
  <c r="P33" i="8"/>
  <c r="N33" i="8"/>
  <c r="O33" i="8" s="1"/>
  <c r="K33" i="8"/>
  <c r="Q32" i="8"/>
  <c r="S32" i="8" s="1"/>
  <c r="P32" i="8"/>
  <c r="N32" i="8"/>
  <c r="O32" i="8" s="1"/>
  <c r="K32" i="8"/>
  <c r="Q31" i="8"/>
  <c r="S31" i="8" s="1"/>
  <c r="P31" i="8"/>
  <c r="N31" i="8"/>
  <c r="O31" i="8" s="1"/>
  <c r="K31" i="8"/>
  <c r="Q30" i="8"/>
  <c r="S30" i="8" s="1"/>
  <c r="P30" i="8"/>
  <c r="N30" i="8"/>
  <c r="O30" i="8" s="1"/>
  <c r="K30" i="8"/>
  <c r="Q29" i="8"/>
  <c r="S29" i="8" s="1"/>
  <c r="P29" i="8"/>
  <c r="N29" i="8"/>
  <c r="O29" i="8" s="1"/>
  <c r="K29" i="8"/>
  <c r="Q28" i="8"/>
  <c r="S28" i="8" s="1"/>
  <c r="P28" i="8"/>
  <c r="N28" i="8"/>
  <c r="O28" i="8" s="1"/>
  <c r="K28" i="8"/>
  <c r="Q27" i="8"/>
  <c r="S27" i="8" s="1"/>
  <c r="P27" i="8"/>
  <c r="N27" i="8"/>
  <c r="O27" i="8" s="1"/>
  <c r="K27" i="8"/>
  <c r="Q26" i="8"/>
  <c r="S26" i="8" s="1"/>
  <c r="P26" i="8"/>
  <c r="N26" i="8"/>
  <c r="O26" i="8" s="1"/>
  <c r="K26" i="8"/>
  <c r="Q25" i="8"/>
  <c r="S25" i="8" s="1"/>
  <c r="P25" i="8"/>
  <c r="N25" i="8"/>
  <c r="O25" i="8" s="1"/>
  <c r="K25" i="8"/>
  <c r="Q24" i="8"/>
  <c r="S24" i="8" s="1"/>
  <c r="P24" i="8"/>
  <c r="N24" i="8"/>
  <c r="O24" i="8" s="1"/>
  <c r="K24" i="8"/>
  <c r="Q23" i="8"/>
  <c r="S23" i="8" s="1"/>
  <c r="P23" i="8"/>
  <c r="N23" i="8"/>
  <c r="O23" i="8" s="1"/>
  <c r="K23" i="8"/>
  <c r="Q22" i="8"/>
  <c r="S22" i="8" s="1"/>
  <c r="P22" i="8"/>
  <c r="N22" i="8"/>
  <c r="O22" i="8" s="1"/>
  <c r="K22" i="8"/>
  <c r="Q21" i="8"/>
  <c r="S21" i="8" s="1"/>
  <c r="P21" i="8"/>
  <c r="N21" i="8"/>
  <c r="O21" i="8" s="1"/>
  <c r="K21" i="8"/>
  <c r="Q20" i="8"/>
  <c r="S20" i="8" s="1"/>
  <c r="P20" i="8"/>
  <c r="N20" i="8"/>
  <c r="O20" i="8" s="1"/>
  <c r="K20" i="8"/>
  <c r="Q19" i="8"/>
  <c r="S19" i="8" s="1"/>
  <c r="P19" i="8"/>
  <c r="N19" i="8"/>
  <c r="O19" i="8" s="1"/>
  <c r="K19" i="8"/>
  <c r="Q18" i="8"/>
  <c r="S18" i="8" s="1"/>
  <c r="P18" i="8"/>
  <c r="N18" i="8"/>
  <c r="O18" i="8" s="1"/>
  <c r="K18" i="8"/>
  <c r="Q17" i="8"/>
  <c r="S17" i="8" s="1"/>
  <c r="P17" i="8"/>
  <c r="N17" i="8"/>
  <c r="O17" i="8" s="1"/>
  <c r="K17" i="8"/>
  <c r="Q16" i="8"/>
  <c r="S16" i="8" s="1"/>
  <c r="P16" i="8"/>
  <c r="N16" i="8"/>
  <c r="O16" i="8" s="1"/>
  <c r="K16" i="8"/>
  <c r="Q15" i="8"/>
  <c r="S15" i="8" s="1"/>
  <c r="P15" i="8"/>
  <c r="N15" i="8"/>
  <c r="O15" i="8" s="1"/>
  <c r="K15" i="8"/>
  <c r="Q14" i="8"/>
  <c r="S14" i="8" s="1"/>
  <c r="P14" i="8"/>
  <c r="N14" i="8"/>
  <c r="O14" i="8" s="1"/>
  <c r="K14" i="8"/>
  <c r="Q13" i="8"/>
  <c r="S13" i="8" s="1"/>
  <c r="P13" i="8"/>
  <c r="N13" i="8"/>
  <c r="O13" i="8" s="1"/>
  <c r="K13" i="8"/>
  <c r="Q12" i="8"/>
  <c r="S12" i="8" s="1"/>
  <c r="P12" i="8"/>
  <c r="N12" i="8"/>
  <c r="O12" i="8" s="1"/>
  <c r="K12" i="8"/>
  <c r="Q11" i="8"/>
  <c r="S11" i="8" s="1"/>
  <c r="P11" i="8"/>
  <c r="N11" i="8"/>
  <c r="O11" i="8" s="1"/>
  <c r="K11" i="8"/>
  <c r="Q10" i="8"/>
  <c r="S10" i="8" s="1"/>
  <c r="P10" i="8"/>
  <c r="N10" i="8"/>
  <c r="O10" i="8" s="1"/>
  <c r="K10" i="8"/>
  <c r="Q9" i="8"/>
  <c r="S9" i="8" s="1"/>
  <c r="P9" i="8"/>
  <c r="N9" i="8"/>
  <c r="O9" i="8" s="1"/>
  <c r="K9" i="8"/>
  <c r="Q8" i="8"/>
  <c r="S8" i="8" s="1"/>
  <c r="P8" i="8"/>
  <c r="N8" i="8"/>
  <c r="O8" i="8" s="1"/>
  <c r="K8" i="8"/>
  <c r="Q7" i="8"/>
  <c r="S7" i="8" s="1"/>
  <c r="P7" i="8"/>
  <c r="N7" i="8"/>
  <c r="O7" i="8" s="1"/>
  <c r="K7" i="8"/>
  <c r="Q6" i="8"/>
  <c r="S6" i="8" s="1"/>
  <c r="P6" i="8"/>
  <c r="N6" i="8"/>
  <c r="O6" i="8" s="1"/>
  <c r="K6" i="8"/>
  <c r="Q5" i="8"/>
  <c r="S5" i="8" s="1"/>
  <c r="P5" i="8"/>
  <c r="N5" i="8"/>
  <c r="O5" i="8" s="1"/>
  <c r="K5" i="8"/>
  <c r="Q4" i="8"/>
  <c r="S4" i="8" s="1"/>
  <c r="P4" i="8"/>
  <c r="N4" i="8"/>
  <c r="O4" i="8" s="1"/>
  <c r="K4" i="8"/>
  <c r="Q3" i="8"/>
  <c r="S3" i="8" s="1"/>
  <c r="P3" i="8"/>
  <c r="N3" i="8"/>
  <c r="O3" i="8" s="1"/>
  <c r="K3" i="8"/>
  <c r="Q2" i="8"/>
  <c r="P2" i="8"/>
  <c r="L2" i="8"/>
  <c r="S1" i="8" l="1"/>
  <c r="Q22" i="5"/>
  <c r="P22" i="5"/>
  <c r="N22" i="5"/>
  <c r="O22" i="5" s="1"/>
  <c r="K22" i="5"/>
  <c r="Q21" i="5"/>
  <c r="P21" i="5"/>
  <c r="N21" i="5"/>
  <c r="O21" i="5" s="1"/>
  <c r="K21" i="5"/>
  <c r="Q20" i="5"/>
  <c r="P20" i="5"/>
  <c r="N20" i="5"/>
  <c r="O20" i="5" s="1"/>
  <c r="K20" i="5"/>
  <c r="Q19" i="5"/>
  <c r="S19" i="5" s="1"/>
  <c r="P19" i="5"/>
  <c r="N19" i="5"/>
  <c r="O19" i="5" s="1"/>
  <c r="K19" i="5"/>
  <c r="Q18" i="5"/>
  <c r="P18" i="5"/>
  <c r="N18" i="5"/>
  <c r="O18" i="5" s="1"/>
  <c r="K16" i="5"/>
  <c r="Q17" i="5"/>
  <c r="P17" i="5"/>
  <c r="N17" i="5"/>
  <c r="O17" i="5" s="1"/>
  <c r="K18" i="5"/>
  <c r="Q16" i="5"/>
  <c r="S16" i="5" s="1"/>
  <c r="P16" i="5"/>
  <c r="N16" i="5"/>
  <c r="O16" i="5" s="1"/>
  <c r="K15" i="5"/>
  <c r="Q15" i="5"/>
  <c r="P15" i="5"/>
  <c r="N15" i="5"/>
  <c r="O15" i="5" s="1"/>
  <c r="K14" i="5"/>
  <c r="Q14" i="5"/>
  <c r="P14" i="5"/>
  <c r="N14" i="5"/>
  <c r="O14" i="5" s="1"/>
  <c r="K13" i="5"/>
  <c r="Q13" i="5"/>
  <c r="P13" i="5"/>
  <c r="N13" i="5"/>
  <c r="O13" i="5" s="1"/>
  <c r="K17" i="5"/>
  <c r="Q12" i="5"/>
  <c r="P12" i="5"/>
  <c r="N12" i="5"/>
  <c r="O12" i="5" s="1"/>
  <c r="K12" i="5"/>
  <c r="Q11" i="5"/>
  <c r="P11" i="5"/>
  <c r="N11" i="5"/>
  <c r="O11" i="5" s="1"/>
  <c r="K11" i="5"/>
  <c r="Q10" i="5"/>
  <c r="P10" i="5"/>
  <c r="N10" i="5"/>
  <c r="O10" i="5" s="1"/>
  <c r="K10" i="5"/>
  <c r="Q9" i="5"/>
  <c r="P9" i="5"/>
  <c r="N9" i="5"/>
  <c r="O9" i="5" s="1"/>
  <c r="K9" i="5"/>
  <c r="Q8" i="5"/>
  <c r="P8" i="5"/>
  <c r="N8" i="5"/>
  <c r="O8" i="5" s="1"/>
  <c r="K8" i="5"/>
  <c r="Q7" i="5"/>
  <c r="P7" i="5"/>
  <c r="N7" i="5"/>
  <c r="O7" i="5" s="1"/>
  <c r="K7" i="5"/>
  <c r="Q6" i="5"/>
  <c r="S6" i="5" s="1"/>
  <c r="P6" i="5"/>
  <c r="N6" i="5"/>
  <c r="O6" i="5" s="1"/>
  <c r="K3" i="5"/>
  <c r="Q5" i="5"/>
  <c r="P5" i="5"/>
  <c r="N5" i="5"/>
  <c r="O5" i="5" s="1"/>
  <c r="K6" i="5"/>
  <c r="Q4" i="5"/>
  <c r="P4" i="5"/>
  <c r="N4" i="5"/>
  <c r="O4" i="5" s="1"/>
  <c r="K5" i="5"/>
  <c r="Q3" i="5"/>
  <c r="S3" i="5" s="1"/>
  <c r="P3" i="5"/>
  <c r="N3" i="5"/>
  <c r="O3" i="5" s="1"/>
  <c r="K4" i="5"/>
  <c r="S13" i="5" l="1"/>
  <c r="S10" i="5"/>
  <c r="P2" i="5"/>
  <c r="S7" i="5"/>
  <c r="Q2" i="5"/>
  <c r="S20" i="5"/>
  <c r="S5" i="5"/>
  <c r="S21" i="5"/>
  <c r="L2" i="5"/>
  <c r="S14" i="5"/>
  <c r="S18" i="5"/>
  <c r="S15" i="5"/>
  <c r="S8" i="5"/>
  <c r="S12" i="5"/>
  <c r="S11" i="5"/>
  <c r="S9" i="5"/>
  <c r="S17" i="5"/>
  <c r="S22" i="5"/>
  <c r="S4" i="5"/>
  <c r="S1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 PC</author>
  </authors>
  <commentList>
    <comment ref="I3" authorId="0" shapeId="0" xr:uid="{6FA9778B-5329-4D5B-A4FA-24E2C7355D3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I4" authorId="0" shapeId="0" xr:uid="{3AFD3FA0-BA93-481F-9629-1016B83EA36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I5" authorId="0" shapeId="0" xr:uid="{2349D4FE-160E-4B3C-9835-D07B3EED312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I6" authorId="0" shapeId="0" xr:uid="{A8A86BC5-364B-48CE-A9A8-AAFD36F44FE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I7" authorId="0" shapeId="0" xr:uid="{F2A7E180-E51C-4AA1-BC31-3E3790C208A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I8" authorId="0" shapeId="0" xr:uid="{AB25E20A-3FBC-42B6-A229-94816FD5111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I9" authorId="0" shapeId="0" xr:uid="{37643B95-6D15-419E-9A04-240514E7EBE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I10" authorId="0" shapeId="0" xr:uid="{FA159A05-5AF6-4FB7-8F0B-F284488343D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I11" authorId="0" shapeId="0" xr:uid="{F86699DB-21A1-4C39-8FD1-DC994526FFB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I12" authorId="0" shapeId="0" xr:uid="{1B0BA73B-B39C-42D4-B843-93BF4B1A124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I13" authorId="0" shapeId="0" xr:uid="{C0265773-8F75-4D9B-A581-0B058A10C60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I14" authorId="0" shapeId="0" xr:uid="{351C4F3E-6C1F-477F-BFD8-5D3DFCCDB99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I15" authorId="0" shapeId="0" xr:uid="{2E287E03-2F5E-47BA-A78F-5D3812360E8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I16" authorId="0" shapeId="0" xr:uid="{9C89CEFE-116D-4839-BB87-88B207ED68F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<sst xmlns="http://schemas.openxmlformats.org/spreadsheetml/2006/main" count="3314" uniqueCount="1315">
  <si>
    <t>Nutra #</t>
  </si>
  <si>
    <t>Prod #</t>
  </si>
  <si>
    <t>UPC</t>
  </si>
  <si>
    <t>Description</t>
  </si>
  <si>
    <t>Size</t>
  </si>
  <si>
    <t>Case
Qty</t>
  </si>
  <si>
    <t>Pure Magnesium Oil</t>
  </si>
  <si>
    <t>8oz</t>
  </si>
  <si>
    <t>2 oz</t>
  </si>
  <si>
    <t>Pure Argan Oil Organic</t>
  </si>
  <si>
    <t>4oz</t>
  </si>
  <si>
    <t>Pure Magnesium Flakes</t>
  </si>
  <si>
    <t>Liquid Iodine Plus</t>
  </si>
  <si>
    <t>2oz</t>
  </si>
  <si>
    <t>Progesta-Care Plus</t>
  </si>
  <si>
    <t>Pure Almond Oil</t>
  </si>
  <si>
    <t>16oz</t>
  </si>
  <si>
    <t>Biotin Drops 10,000mcg</t>
  </si>
  <si>
    <t>2oz 10000mcg</t>
  </si>
  <si>
    <t>Magnesium Oil Night Spray</t>
  </si>
  <si>
    <t>44oz</t>
  </si>
  <si>
    <t>1oz</t>
  </si>
  <si>
    <t>1.7oz</t>
  </si>
  <si>
    <t>Magnesium Oil Sport Roll-on</t>
  </si>
  <si>
    <t>3oz</t>
  </si>
  <si>
    <t>Bi-Estro</t>
  </si>
  <si>
    <t>Pure Shea Nut Oil</t>
  </si>
  <si>
    <t>Liquid Iodine Plus Orange</t>
  </si>
  <si>
    <t>MigraZap(TM) Magnesium Roll-on</t>
  </si>
  <si>
    <t>7 ml</t>
  </si>
  <si>
    <t>Pure Olive Squalane Oil</t>
  </si>
  <si>
    <t>Pure Red Raspberry Seed Oil</t>
  </si>
  <si>
    <t>3.4oz</t>
  </si>
  <si>
    <t>Power of Krill</t>
  </si>
  <si>
    <t>60ct</t>
  </si>
  <si>
    <t>Pure Tamanu Oil Organic</t>
  </si>
  <si>
    <t xml:space="preserve">Price </t>
  </si>
  <si>
    <t>Order</t>
  </si>
  <si>
    <t>Total</t>
  </si>
  <si>
    <t>WhatsApp → +380-9871-54085</t>
  </si>
  <si>
    <t>E-mail → info@dsn.group</t>
  </si>
  <si>
    <t>Instagram → https://www.instagram.com/dsngroup.official/</t>
  </si>
  <si>
    <r>
      <rPr>
        <b/>
        <sz val="10"/>
        <color rgb="FFFF0000"/>
        <rFont val="Calibri"/>
        <family val="2"/>
        <scheme val="minor"/>
      </rPr>
      <t>Importantly!</t>
    </r>
    <r>
      <rPr>
        <sz val="10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</si>
  <si>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Retinol A 1%</t>
  </si>
  <si>
    <t>LF Cooling Mist</t>
  </si>
  <si>
    <t>1.65lb</t>
  </si>
  <si>
    <t>USA → +13-322-093-910</t>
  </si>
  <si>
    <t>Poland → +48-459-568-603</t>
  </si>
  <si>
    <t>Unіt Freight Cost</t>
  </si>
  <si>
    <t>unit, key</t>
  </si>
  <si>
    <t>Weight, kg</t>
  </si>
  <si>
    <t>Logistic Price</t>
  </si>
  <si>
    <t>Standard Description</t>
  </si>
  <si>
    <t>Price</t>
  </si>
  <si>
    <t>Landed Cost</t>
  </si>
  <si>
    <t>Magnesium Bisglycinate 350</t>
  </si>
  <si>
    <t>160ct 350mg</t>
  </si>
  <si>
    <t>Magnesium Taurate+</t>
  </si>
  <si>
    <t>90ct 400mg</t>
  </si>
  <si>
    <t>Magnesium Taurate 180ct</t>
  </si>
  <si>
    <t>180ct 400mg</t>
  </si>
  <si>
    <t>Magnesium Malate 400</t>
  </si>
  <si>
    <t>Magnesium Glycinate ActivGels</t>
  </si>
  <si>
    <t>90ct</t>
  </si>
  <si>
    <t>180ct</t>
  </si>
  <si>
    <t>Think Magnesium</t>
  </si>
  <si>
    <t>60ct 2000mg</t>
  </si>
  <si>
    <t>Lithium Orotate</t>
  </si>
  <si>
    <t>120 ct 5 mg</t>
  </si>
  <si>
    <t>60ct 5mg</t>
  </si>
  <si>
    <t>D-3 K-2 DropIns Emulsion</t>
  </si>
  <si>
    <t>2oz 125mcg</t>
  </si>
  <si>
    <t>Calcium Citrate 1000</t>
  </si>
  <si>
    <t>180ct 1000mg</t>
  </si>
  <si>
    <t>90ct 1000mg</t>
  </si>
  <si>
    <t>B-12 Methyl ActivMelt</t>
  </si>
  <si>
    <t>90ct 1000mcg</t>
  </si>
  <si>
    <t>Chelated Magnesium Bisgly</t>
  </si>
  <si>
    <t>Chelated Magnesium Glycinate</t>
  </si>
  <si>
    <t>270ct</t>
  </si>
  <si>
    <t>Uric Acid Flush</t>
  </si>
  <si>
    <t>Sure Stevia Liquid Extract</t>
  </si>
  <si>
    <t>D-3 K-2 ActivMelt</t>
  </si>
  <si>
    <t>60ct 25mcg</t>
  </si>
  <si>
    <t>Melatonin</t>
  </si>
  <si>
    <t>120ct 1mg</t>
  </si>
  <si>
    <t>Sure Stevia Extract</t>
  </si>
  <si>
    <t>3.5oz</t>
  </si>
  <si>
    <t>1.3oz</t>
  </si>
  <si>
    <t>Magnesium Citrate</t>
  </si>
  <si>
    <t>60ct 400mg</t>
  </si>
  <si>
    <t>Inositol</t>
  </si>
  <si>
    <t>2oz 550mg</t>
  </si>
  <si>
    <t>8oz 550mg</t>
  </si>
  <si>
    <t>4oz 550mg</t>
  </si>
  <si>
    <t>B6 B12 MethylFolate ActivMelt</t>
  </si>
  <si>
    <t>60 ct</t>
  </si>
  <si>
    <t>Magnesium Once Daily</t>
  </si>
  <si>
    <t>60ct 500mg</t>
  </si>
  <si>
    <t>B-6 B-12 Folic Acid DropIns</t>
  </si>
  <si>
    <t>B-6 B-12 Folic Acid ActMlt</t>
  </si>
  <si>
    <t>Vitamin K</t>
  </si>
  <si>
    <t>100ct 100mcg</t>
  </si>
  <si>
    <t>B-12 Methylcobalamin Adenosyl</t>
  </si>
  <si>
    <t>60 ct 2000 mcg</t>
  </si>
  <si>
    <t>Charcoal, Activated Coconut Sh</t>
  </si>
  <si>
    <t>50ct 280mg</t>
  </si>
  <si>
    <t>100ct 280mg</t>
  </si>
  <si>
    <t>Acidophilus Probiotic-4</t>
  </si>
  <si>
    <t>100ct 500mil</t>
  </si>
  <si>
    <t>250ct 500mil</t>
  </si>
  <si>
    <t>100ct 500mcg</t>
  </si>
  <si>
    <t>Zinc Elderberry ActivMelt</t>
  </si>
  <si>
    <t>90 ct 5 mg</t>
  </si>
  <si>
    <t>Melatonin DropIns+</t>
  </si>
  <si>
    <t>1.85oz 3mg</t>
  </si>
  <si>
    <t>C-1000+ Sustained Release</t>
  </si>
  <si>
    <t>100ct 1000mg</t>
  </si>
  <si>
    <t>250ct 1000mg</t>
  </si>
  <si>
    <t>Ultra Biotin DropIns</t>
  </si>
  <si>
    <t>2 oz 10000 mcg</t>
  </si>
  <si>
    <t>Stress B Magnesium Glycinate</t>
  </si>
  <si>
    <t>30ct 5mg</t>
  </si>
  <si>
    <t>Omega 3 6 9</t>
  </si>
  <si>
    <t>100ct 1200mg</t>
  </si>
  <si>
    <t>Ultra Omega 3 6 9</t>
  </si>
  <si>
    <t>50ct 1200mg</t>
  </si>
  <si>
    <t>Glucosamine Chondroitin MSM</t>
  </si>
  <si>
    <t>B-12 Methylcobalamin</t>
  </si>
  <si>
    <t>60ct 5000mcg</t>
  </si>
  <si>
    <t>CALMING Magnesium - Cherry</t>
  </si>
  <si>
    <t>9oz</t>
  </si>
  <si>
    <t>Methyl Folate</t>
  </si>
  <si>
    <t>90 ct 400 mcg</t>
  </si>
  <si>
    <t>Relax-a-Saurus</t>
  </si>
  <si>
    <t>30ct</t>
  </si>
  <si>
    <t>Nutritional Yeast</t>
  </si>
  <si>
    <t>22oz</t>
  </si>
  <si>
    <t>Enhanced Energy TEEN</t>
  </si>
  <si>
    <t>Lithium Orotate ActivMelt</t>
  </si>
  <si>
    <t>Apple Cider Vinegar</t>
  </si>
  <si>
    <t>120ct 1g</t>
  </si>
  <si>
    <t>Potassium 99 Citrate</t>
  </si>
  <si>
    <t>100ct 99mg</t>
  </si>
  <si>
    <t>Mood Magnesium - Tangerine</t>
  </si>
  <si>
    <t>9.8oz</t>
  </si>
  <si>
    <t>Niacin</t>
  </si>
  <si>
    <t>200ct 50mg</t>
  </si>
  <si>
    <t>Zinc 50 Chelated</t>
  </si>
  <si>
    <t>90 ct 50 mg</t>
  </si>
  <si>
    <t>Tri-Zinc 50</t>
  </si>
  <si>
    <t>90ct 50mg</t>
  </si>
  <si>
    <t>60ct 600mg</t>
  </si>
  <si>
    <t>GABA L-Then Strs B Loz</t>
  </si>
  <si>
    <t>100ct</t>
  </si>
  <si>
    <t>Calcium + Mag &amp; Zinc</t>
  </si>
  <si>
    <t>Cal Mag Zinc 100%</t>
  </si>
  <si>
    <t>250ct</t>
  </si>
  <si>
    <t>Blood Sugar Defense</t>
  </si>
  <si>
    <t>Nattokinase</t>
  </si>
  <si>
    <t>30ct 100mg</t>
  </si>
  <si>
    <t>90 ct 1000 mcg</t>
  </si>
  <si>
    <t>B-12 Methylcobalamin ActivMelt</t>
  </si>
  <si>
    <t>90 ct 5000 mcg</t>
  </si>
  <si>
    <t>Chlorophyll</t>
  </si>
  <si>
    <t>100ct 20mg</t>
  </si>
  <si>
    <t>Garlic Oil 2000 ActivGels</t>
  </si>
  <si>
    <t>100ct 2000mg</t>
  </si>
  <si>
    <t>250ct 2000mg</t>
  </si>
  <si>
    <t>Zinc 15+ Chelated</t>
  </si>
  <si>
    <t>100ct 15mg</t>
  </si>
  <si>
    <t>Silica Plus</t>
  </si>
  <si>
    <t>Zinc 30 Orotate Sustained Rele</t>
  </si>
  <si>
    <t>90ct 30mg</t>
  </si>
  <si>
    <t>CALMING Magnesium - Lemon Lime</t>
  </si>
  <si>
    <t>9.5oz</t>
  </si>
  <si>
    <t>DHEA</t>
  </si>
  <si>
    <t>60ct 10mg</t>
  </si>
  <si>
    <t>Potassium 99 Chloride</t>
  </si>
  <si>
    <t>Magnesium Orotate</t>
  </si>
  <si>
    <t>120ct 200mg</t>
  </si>
  <si>
    <t>12oz</t>
  </si>
  <si>
    <t>B-Complex 50</t>
  </si>
  <si>
    <t>50ct 50mg</t>
  </si>
  <si>
    <t>Lactase ActivGels</t>
  </si>
  <si>
    <t>60ct 250mg</t>
  </si>
  <si>
    <t>Ultra B-12 Methyl ActivMelt</t>
  </si>
  <si>
    <t>30 ct 10000 mcg</t>
  </si>
  <si>
    <t>Imported Yeast</t>
  </si>
  <si>
    <t>7.8oz</t>
  </si>
  <si>
    <t>NAC+</t>
  </si>
  <si>
    <t>30ct 600mg</t>
  </si>
  <si>
    <t>Magnesium Triple Source SR</t>
  </si>
  <si>
    <t>100 ct 500 mg</t>
  </si>
  <si>
    <t>90ct 800mcg</t>
  </si>
  <si>
    <t>CALMING Magnesium - Blueberry</t>
  </si>
  <si>
    <t>Zinc ActivMelt+</t>
  </si>
  <si>
    <t>Selenium Yeast Free</t>
  </si>
  <si>
    <t>60ct 25mg</t>
  </si>
  <si>
    <t>B-1</t>
  </si>
  <si>
    <t>100ct 100mg</t>
  </si>
  <si>
    <t>Methyl Folate ActivMelt</t>
  </si>
  <si>
    <t>60ct 1000mcg</t>
  </si>
  <si>
    <t>3.1oz</t>
  </si>
  <si>
    <t>Bromelain 500</t>
  </si>
  <si>
    <t>Bromelain 1000</t>
  </si>
  <si>
    <t>C 500 + Rose Hips &amp; Bio</t>
  </si>
  <si>
    <t>100ct 500mg</t>
  </si>
  <si>
    <t>Magnesium Collagen Creamer</t>
  </si>
  <si>
    <t>237g 19g</t>
  </si>
  <si>
    <t>K-2 MK-7 ActivMelt</t>
  </si>
  <si>
    <t>60 ct 100 mcg</t>
  </si>
  <si>
    <t>60ct 3mg</t>
  </si>
  <si>
    <t>120ct 3mg</t>
  </si>
  <si>
    <t>Red Yeast Rice Once Dly</t>
  </si>
  <si>
    <t>60ct 1200mg</t>
  </si>
  <si>
    <t>Red Yeast Rice 1 Daily</t>
  </si>
  <si>
    <t>30ct 1200mg</t>
  </si>
  <si>
    <t>RYR, CoQ10. Omega 3 AG</t>
  </si>
  <si>
    <t>Ultra D-3 10000 IU ActivMelt</t>
  </si>
  <si>
    <t>90ct 250mcg</t>
  </si>
  <si>
    <t>D-3 1000 IU ActivGels</t>
  </si>
  <si>
    <t>200ct 25mcg</t>
  </si>
  <si>
    <t>100ct 25mcg</t>
  </si>
  <si>
    <t>Super Enzymes</t>
  </si>
  <si>
    <t>L-Theanine ActivMelt</t>
  </si>
  <si>
    <t>120 ct 25 mg</t>
  </si>
  <si>
    <t>MSM</t>
  </si>
  <si>
    <t>80ct 1000mg</t>
  </si>
  <si>
    <t>Calcium Citrate D-3 1000</t>
  </si>
  <si>
    <t>B-12 Sustained Release</t>
  </si>
  <si>
    <t>100ct 1000mcg</t>
  </si>
  <si>
    <t>D-3 5000 IU</t>
  </si>
  <si>
    <t>60ct 125mcg</t>
  </si>
  <si>
    <t>B-6 B-12 Folic Acid</t>
  </si>
  <si>
    <t>Mocha Mag Collagen Creamer</t>
  </si>
  <si>
    <t>237g 19.75g</t>
  </si>
  <si>
    <t>Calcium+ ActivGels</t>
  </si>
  <si>
    <t>200ct 1000mg</t>
  </si>
  <si>
    <t>Niacinamide</t>
  </si>
  <si>
    <t>100ct 250mg</t>
  </si>
  <si>
    <t>Betaine HCl</t>
  </si>
  <si>
    <t>Sure Stevia Plus Monk Fruit</t>
  </si>
  <si>
    <t>100ct 1g</t>
  </si>
  <si>
    <t>D-3 5000 IU ActivMelt</t>
  </si>
  <si>
    <t>90ct 125mcg</t>
  </si>
  <si>
    <t>D-Mannose Powder</t>
  </si>
  <si>
    <t>2.5oz 1600mg</t>
  </si>
  <si>
    <t>Stress B Complex</t>
  </si>
  <si>
    <t>Cleanout Mag Powder</t>
  </si>
  <si>
    <t>8.5oz</t>
  </si>
  <si>
    <t>Liposomal K2</t>
  </si>
  <si>
    <t>30ct 100mcg</t>
  </si>
  <si>
    <t>Liposomal Calcium, D3, and K2</t>
  </si>
  <si>
    <t>90ct+2x30ct</t>
  </si>
  <si>
    <t>Benfotiamine+</t>
  </si>
  <si>
    <t>60ct 150mg</t>
  </si>
  <si>
    <t>Hydro Mag Powder</t>
  </si>
  <si>
    <t>9.2oz</t>
  </si>
  <si>
    <t>Kelp Iodine</t>
  </si>
  <si>
    <t>250ct 225mcg</t>
  </si>
  <si>
    <t>NADH</t>
  </si>
  <si>
    <t>Magnesium Citrate ActivMix</t>
  </si>
  <si>
    <t>7.9oz 600mg</t>
  </si>
  <si>
    <t>Trace Minerals ActiSorb</t>
  </si>
  <si>
    <t>Vitamin C-Rex</t>
  </si>
  <si>
    <t>MultiSaurus</t>
  </si>
  <si>
    <t>Liposomal B12</t>
  </si>
  <si>
    <t>30ct 2500mg</t>
  </si>
  <si>
    <t>Astaxanthin</t>
  </si>
  <si>
    <t>B-12 Adenosyl ActivMelt</t>
  </si>
  <si>
    <t>Magnesium Chewable</t>
  </si>
  <si>
    <t>Magnesium Chelated</t>
  </si>
  <si>
    <t>100ct 220mg</t>
  </si>
  <si>
    <t>D-3 2000 IU Sugarless</t>
  </si>
  <si>
    <t>200ct 50mcg</t>
  </si>
  <si>
    <t>100ct 50mcg</t>
  </si>
  <si>
    <t>Liposomal Iron</t>
  </si>
  <si>
    <t>30ct 18mg</t>
  </si>
  <si>
    <t>DinoDophilus</t>
  </si>
  <si>
    <t>60ct 2bil</t>
  </si>
  <si>
    <t>Calcium Oyster Shell</t>
  </si>
  <si>
    <t>100ct 600mg</t>
  </si>
  <si>
    <t>Pycnogenol</t>
  </si>
  <si>
    <t>30ct 50mg</t>
  </si>
  <si>
    <t>60ct 50mg</t>
  </si>
  <si>
    <t>Liposomal Mag Oxide</t>
  </si>
  <si>
    <t>60ct 210mg</t>
  </si>
  <si>
    <t>Super Silica Plus</t>
  </si>
  <si>
    <t>Cal-Citrate+</t>
  </si>
  <si>
    <t>120ct 1000mg</t>
  </si>
  <si>
    <t>240ct 1000mg</t>
  </si>
  <si>
    <t>L-Taurine</t>
  </si>
  <si>
    <t>D-3 DropIns</t>
  </si>
  <si>
    <t>1.8oz 50mcg</t>
  </si>
  <si>
    <t>Sure Stevia Organic Extract</t>
  </si>
  <si>
    <t>Enhanced Energy Once Dl</t>
  </si>
  <si>
    <t>D-3 1000 IU ActivMelt</t>
  </si>
  <si>
    <t>Vegetarn MSM &amp; Glucsmin</t>
  </si>
  <si>
    <t>Vitamin K-2</t>
  </si>
  <si>
    <t>60ct 100mcg</t>
  </si>
  <si>
    <t>Choline</t>
  </si>
  <si>
    <t>Adrenal Vitality</t>
  </si>
  <si>
    <t>Lithium Orotate DropIns</t>
  </si>
  <si>
    <t>2oz 4mg</t>
  </si>
  <si>
    <t>Ultra Biotin ActivMelt</t>
  </si>
  <si>
    <t>60 ct 10000 mcg</t>
  </si>
  <si>
    <t>Ultra Lysine Lips</t>
  </si>
  <si>
    <t>Kids' Magnesium Citrate</t>
  </si>
  <si>
    <t>4oz 200mg</t>
  </si>
  <si>
    <t>Liposomal Calcium</t>
  </si>
  <si>
    <t>Colostrum Lactoferrin</t>
  </si>
  <si>
    <t>Energy Mag Powder</t>
  </si>
  <si>
    <t>8.9oz</t>
  </si>
  <si>
    <t>B-6 P-5-P Pyridoxal-5-Phosphat</t>
  </si>
  <si>
    <t>BP Defense</t>
  </si>
  <si>
    <t>Heart Magnesium Powder46393</t>
  </si>
  <si>
    <t>11oz</t>
  </si>
  <si>
    <t>Liposomal Zinc</t>
  </si>
  <si>
    <t>30ct 30mg</t>
  </si>
  <si>
    <t>Cell Defense</t>
  </si>
  <si>
    <t>Molybdenum Chelated</t>
  </si>
  <si>
    <t>100ct 250mcg</t>
  </si>
  <si>
    <t>L-Arginine Sustnd Rls</t>
  </si>
  <si>
    <t>Quercetin Reacta-C Brom</t>
  </si>
  <si>
    <t>E 200 d-Alpha Tocopherol</t>
  </si>
  <si>
    <t>90ct 134mg</t>
  </si>
  <si>
    <t>Beyond Red Yeast Rice</t>
  </si>
  <si>
    <t>Calcium Citrate+</t>
  </si>
  <si>
    <t>Reacta-C w/Bioflavonoids</t>
  </si>
  <si>
    <t>60ct 1000mg</t>
  </si>
  <si>
    <t>B-2</t>
  </si>
  <si>
    <t>60ct 100mg</t>
  </si>
  <si>
    <t>Mgnsm Ptssm Bromel</t>
  </si>
  <si>
    <t>Enhan Energy Iron Free</t>
  </si>
  <si>
    <t>Niacin ActivMelt</t>
  </si>
  <si>
    <t>200ct 25mg</t>
  </si>
  <si>
    <t>L Glutathione 500mg 30ct</t>
  </si>
  <si>
    <t>30ct 500mg</t>
  </si>
  <si>
    <t>D-3 Mag Glycinate</t>
  </si>
  <si>
    <t>Zinc 50</t>
  </si>
  <si>
    <t>500ct</t>
  </si>
  <si>
    <t>Omega 3 450/300</t>
  </si>
  <si>
    <t>60ct 1280mg</t>
  </si>
  <si>
    <t>L-Lysine</t>
  </si>
  <si>
    <t>B-12 DropIns</t>
  </si>
  <si>
    <t>2 oz 1000 mcg</t>
  </si>
  <si>
    <t>Xylitol Powder</t>
  </si>
  <si>
    <t>1lb 4g</t>
  </si>
  <si>
    <t>Xylitol</t>
  </si>
  <si>
    <t>2lb 4g</t>
  </si>
  <si>
    <t>Folic Acid Methyl B-12 ActivMe</t>
  </si>
  <si>
    <t>60ct 800mcg</t>
  </si>
  <si>
    <t>Virility for Men</t>
  </si>
  <si>
    <t>Biotin ActivMelt</t>
  </si>
  <si>
    <t>100ct 5000mcg</t>
  </si>
  <si>
    <t>D-3 5000 IU ActivGels</t>
  </si>
  <si>
    <t>Herburetic</t>
  </si>
  <si>
    <t>Zinc 11mg + C</t>
  </si>
  <si>
    <t>D-3 1000 IU</t>
  </si>
  <si>
    <t>D-3 1000iu</t>
  </si>
  <si>
    <t>Clinical Youth Collagen I&amp;III</t>
  </si>
  <si>
    <t>ImmunoRaptor</t>
  </si>
  <si>
    <t>Malic Acid &amp; Magnesium</t>
  </si>
  <si>
    <t>120ct</t>
  </si>
  <si>
    <t>Melatonin ActivMelt</t>
  </si>
  <si>
    <t>120 ct 1 mg</t>
  </si>
  <si>
    <t>Omega 3 Krill</t>
  </si>
  <si>
    <t>C 1000 Buffered SR</t>
  </si>
  <si>
    <t>C-1000 Buffered SR</t>
  </si>
  <si>
    <t>Melatonin Elderberry DropIns</t>
  </si>
  <si>
    <t>2oz 0.3mg</t>
  </si>
  <si>
    <t>B Complex SR</t>
  </si>
  <si>
    <t>120ct 100mg</t>
  </si>
  <si>
    <t>Maximum NK Cells</t>
  </si>
  <si>
    <t>Liposomal Multivitamin</t>
  </si>
  <si>
    <t>Magnesium Actisorb</t>
  </si>
  <si>
    <t>L-Glutathione ActivMelt</t>
  </si>
  <si>
    <t>90ct 25mg</t>
  </si>
  <si>
    <t>90ct 5mg</t>
  </si>
  <si>
    <t>Gut Magnesium Powder</t>
  </si>
  <si>
    <t>4.8oz</t>
  </si>
  <si>
    <t>Hair Force</t>
  </si>
  <si>
    <t>Bone Defense</t>
  </si>
  <si>
    <t>Ultra D-3 10000 IU ActivGels</t>
  </si>
  <si>
    <t>GABA ActivMelt+</t>
  </si>
  <si>
    <t>120ct 25mg</t>
  </si>
  <si>
    <t>Bone Meal</t>
  </si>
  <si>
    <t>Liposomal D3</t>
  </si>
  <si>
    <t>30ct 50mcg</t>
  </si>
  <si>
    <t>Vitamin D-Rex</t>
  </si>
  <si>
    <t>90ct 400iu</t>
  </si>
  <si>
    <t>Ex St Calcium + Mag</t>
  </si>
  <si>
    <t>Vegetarian Glucosamine</t>
  </si>
  <si>
    <t>R-Lipoic Acid ActivOxidant</t>
  </si>
  <si>
    <t>Ultra Cal-Citrate+</t>
  </si>
  <si>
    <t>Acidophilus Probiotic 5</t>
  </si>
  <si>
    <t>60ct 3bil</t>
  </si>
  <si>
    <t>EE Once Iron Free</t>
  </si>
  <si>
    <t>Eye Formula Plus</t>
  </si>
  <si>
    <t>90ct 500mg</t>
  </si>
  <si>
    <t>Ultra D-3 10000 IU</t>
  </si>
  <si>
    <t>120ct 250mcg</t>
  </si>
  <si>
    <t>Balanced K2 Plus D-3</t>
  </si>
  <si>
    <t>Apple Pectin</t>
  </si>
  <si>
    <t>120ct 600mg</t>
  </si>
  <si>
    <t>Chromium Picolinate Actml</t>
  </si>
  <si>
    <t>120ct 200mcg</t>
  </si>
  <si>
    <t>SOD 3000</t>
  </si>
  <si>
    <t>100ct 400mg</t>
  </si>
  <si>
    <t>L-Carnosine</t>
  </si>
  <si>
    <t>DLPA</t>
  </si>
  <si>
    <t>60ct 750mg</t>
  </si>
  <si>
    <t>GABA</t>
  </si>
  <si>
    <t>90ct 750mg</t>
  </si>
  <si>
    <t>Quercetin</t>
  </si>
  <si>
    <t>Niacin Flush-Free</t>
  </si>
  <si>
    <t>120ct 500mg</t>
  </si>
  <si>
    <t>7-Keto DHEA</t>
  </si>
  <si>
    <t>Serrapeptase</t>
  </si>
  <si>
    <t>90ct 20mg</t>
  </si>
  <si>
    <t>10.5oz 5g</t>
  </si>
  <si>
    <t>Amino Acid Complex</t>
  </si>
  <si>
    <t>Trace Minerals</t>
  </si>
  <si>
    <t>Joint Guard COX-2 Control</t>
  </si>
  <si>
    <t>Iron</t>
  </si>
  <si>
    <t>100ct 7500mcg</t>
  </si>
  <si>
    <t>Vitamin D-Rex  ActivMelt</t>
  </si>
  <si>
    <t>120ct 15mcg</t>
  </si>
  <si>
    <t>Dolomite</t>
  </si>
  <si>
    <t>Biotin 5000 Sustained Release</t>
  </si>
  <si>
    <t>Enhanced Energy</t>
  </si>
  <si>
    <t>Vanadyl</t>
  </si>
  <si>
    <t>90ct 10mg</t>
  </si>
  <si>
    <t>Coenzyme B-Complex</t>
  </si>
  <si>
    <t>Gamma Oryzanol</t>
  </si>
  <si>
    <t>Guarana</t>
  </si>
  <si>
    <t>120ct 800mg</t>
  </si>
  <si>
    <t>Monk Fruit</t>
  </si>
  <si>
    <t>1.8oz</t>
  </si>
  <si>
    <t>Amino Max</t>
  </si>
  <si>
    <t>Defender-C</t>
  </si>
  <si>
    <t>B-12 Methylcobalamin ActivSpra</t>
  </si>
  <si>
    <t>2oz 2500mcg</t>
  </si>
  <si>
    <t>SOD 2000</t>
  </si>
  <si>
    <t>Pantothenic Acid Sustained Rel</t>
  </si>
  <si>
    <t>50ct 1000mg</t>
  </si>
  <si>
    <t>CoQ10 ActivMelt</t>
  </si>
  <si>
    <t>Ipriflavone</t>
  </si>
  <si>
    <t>Methyl B-12 Sustained Release</t>
  </si>
  <si>
    <t>LoZINC</t>
  </si>
  <si>
    <t>75ct 13mg</t>
  </si>
  <si>
    <t>C 1000+ Mega Potency</t>
  </si>
  <si>
    <t>E d-Alpha Tocopherol</t>
  </si>
  <si>
    <t>30ct 670mg</t>
  </si>
  <si>
    <t>Vein Defense</t>
  </si>
  <si>
    <t>Glucsmn Condtn/MSM/D3</t>
  </si>
  <si>
    <t>Deep Thought</t>
  </si>
  <si>
    <t>Coral Calcium Powder</t>
  </si>
  <si>
    <t>8oz 1000mg</t>
  </si>
  <si>
    <t>SAMe</t>
  </si>
  <si>
    <t>30ct 200mg</t>
  </si>
  <si>
    <t>Red Yeast Rice CoQ10 OD</t>
  </si>
  <si>
    <t>Radiant Skin Mag Powder</t>
  </si>
  <si>
    <t>7.3oz</t>
  </si>
  <si>
    <t>Mag Collagen Creamer &amp; Mag Pwd</t>
  </si>
  <si>
    <t>237g + 7.3oz</t>
  </si>
  <si>
    <t>Chitosan</t>
  </si>
  <si>
    <t>120ct 750mg</t>
  </si>
  <si>
    <t>6.3oz</t>
  </si>
  <si>
    <t>Enh Energy Multi</t>
  </si>
  <si>
    <t>Calcium 1000 D-3 ActivMix</t>
  </si>
  <si>
    <t>10.6oz 1000mg</t>
  </si>
  <si>
    <t>E 400 d-Alpha Tocopherol</t>
  </si>
  <si>
    <t>90ct 268mg</t>
  </si>
  <si>
    <t>C Powder Acid-Free</t>
  </si>
  <si>
    <t>8oz 4200mg</t>
  </si>
  <si>
    <t>Pantothenic Acid</t>
  </si>
  <si>
    <t>Calming Mag Glycinate Powder</t>
  </si>
  <si>
    <t>9.84oz</t>
  </si>
  <si>
    <t>C Crystals</t>
  </si>
  <si>
    <t>8oz 1250mg</t>
  </si>
  <si>
    <t>Focus-Saurus</t>
  </si>
  <si>
    <t>Magnesium Glycinate 350mg</t>
  </si>
  <si>
    <t>120ct 350mg</t>
  </si>
  <si>
    <t>240ct 350mg</t>
  </si>
  <si>
    <t>Vitamin D-3 &amp; K-2</t>
  </si>
  <si>
    <t>180 ct 400 mg</t>
  </si>
  <si>
    <t>Vitamin C with Rose Hips, Acer</t>
  </si>
  <si>
    <t>Berberine Root Extract</t>
  </si>
  <si>
    <t>60 ct 500 mg</t>
  </si>
  <si>
    <t>Potassium 99</t>
  </si>
  <si>
    <t>200ct 99mg</t>
  </si>
  <si>
    <t>Tongkat Ali Root</t>
  </si>
  <si>
    <t>100ct 50mg</t>
  </si>
  <si>
    <t>Vitamin B-Complex 100</t>
  </si>
  <si>
    <t>50ct 100mg</t>
  </si>
  <si>
    <t>250ct 100mg</t>
  </si>
  <si>
    <t>Mullein Leaf</t>
  </si>
  <si>
    <t>100ct 330mg</t>
  </si>
  <si>
    <t>Super Bio C, Buffered, TSTR</t>
  </si>
  <si>
    <t>360ct 1000mg</t>
  </si>
  <si>
    <t>Zinc + Copper</t>
  </si>
  <si>
    <t>Vitamin C with Rose Hips &amp; Ace</t>
  </si>
  <si>
    <t>Calcium Citrate</t>
  </si>
  <si>
    <t>D-Mannose with CranActin</t>
  </si>
  <si>
    <t>Cal Mag Zinc</t>
  </si>
  <si>
    <t>180ct 750mg</t>
  </si>
  <si>
    <t>L-Lysine, Free-Form</t>
  </si>
  <si>
    <t>L-Lysine, Free Form</t>
  </si>
  <si>
    <t>Multidophilus 12 Strain 20 Bn</t>
  </si>
  <si>
    <t>50ct 20bil</t>
  </si>
  <si>
    <t>100ct 20bil</t>
  </si>
  <si>
    <t>Children's Multi-Vitamin</t>
  </si>
  <si>
    <t>Calcium Citrate w/Vit D-3</t>
  </si>
  <si>
    <t>Ashwagandha Root Extract</t>
  </si>
  <si>
    <t>60ct 470mg</t>
  </si>
  <si>
    <t>L-Lysine Monolaurin 1:1 Ratio</t>
  </si>
  <si>
    <t>Vitamin B-1</t>
  </si>
  <si>
    <t>Magnesium &amp; Potassium Asporota</t>
  </si>
  <si>
    <t>QBC Plex, Quercetin &amp; Bromelai</t>
  </si>
  <si>
    <t>Liposomal Vitamin C</t>
  </si>
  <si>
    <t>Liver Blend SP-13</t>
  </si>
  <si>
    <t>250ct 500mg</t>
  </si>
  <si>
    <t>Vitamin B-Complex 50</t>
  </si>
  <si>
    <t>250ct 50mg</t>
  </si>
  <si>
    <t>Monolaurin, Immune System</t>
  </si>
  <si>
    <t>Bergamot Advanced Formula</t>
  </si>
  <si>
    <t>OptiZinc</t>
  </si>
  <si>
    <t>60ct 30mg</t>
  </si>
  <si>
    <t>Once Daily High Energy Multi</t>
  </si>
  <si>
    <t>Multi Mineral</t>
  </si>
  <si>
    <t>200ct</t>
  </si>
  <si>
    <t>CranActin Cranberry Extract</t>
  </si>
  <si>
    <t>120ct 400mg</t>
  </si>
  <si>
    <t>Copper</t>
  </si>
  <si>
    <t>100ct 2mg</t>
  </si>
  <si>
    <t>Vitex Berry</t>
  </si>
  <si>
    <t>Papaya Enzyme</t>
  </si>
  <si>
    <t>Super Papaya Plex</t>
  </si>
  <si>
    <t>Slippery Elm Bark</t>
  </si>
  <si>
    <t>Org Grown Fermented Lion's M</t>
  </si>
  <si>
    <t>Once Daily Adult 50+ Multi</t>
  </si>
  <si>
    <t>Magnesium, Amino Acid Chelate</t>
  </si>
  <si>
    <t>100ct 200mg</t>
  </si>
  <si>
    <t>Bio Zinc</t>
  </si>
  <si>
    <t>Beet Root</t>
  </si>
  <si>
    <t>100ct 605mg</t>
  </si>
  <si>
    <t>Vitamin K-2, MK-7</t>
  </si>
  <si>
    <t>60 ct 50 mcg</t>
  </si>
  <si>
    <t>Mega Vitamin B-Stress, Timed-R</t>
  </si>
  <si>
    <t>240ct</t>
  </si>
  <si>
    <t>Selenium 200, Yeast-Free</t>
  </si>
  <si>
    <t>90ct 200mcg</t>
  </si>
  <si>
    <t>Yeast Cleanse</t>
  </si>
  <si>
    <t>Yeast Cleanse+-MP</t>
  </si>
  <si>
    <t>2x3 x 90ct</t>
  </si>
  <si>
    <t>Super Multidophilus 24, 30 Bn</t>
  </si>
  <si>
    <t>60ct 30bil</t>
  </si>
  <si>
    <t>High Potency Betaine HCl with</t>
  </si>
  <si>
    <t>100ct 650mg</t>
  </si>
  <si>
    <t>250ct 650mg</t>
  </si>
  <si>
    <t>Super Digestaway</t>
  </si>
  <si>
    <t>NAC (N-Acetyl-L-Cysteine)</t>
  </si>
  <si>
    <t>Saw Palmetto Berry</t>
  </si>
  <si>
    <t>100ct 580mg</t>
  </si>
  <si>
    <t>180ct 580mg</t>
  </si>
  <si>
    <t>360ct 580mg</t>
  </si>
  <si>
    <t>Cool Cayenne Pepper 40,000 HU</t>
  </si>
  <si>
    <t>180ct 600mg</t>
  </si>
  <si>
    <t>90ct 600mg</t>
  </si>
  <si>
    <t>Milk Thistle Seed Extract, One</t>
  </si>
  <si>
    <t>30ct 350mg</t>
  </si>
  <si>
    <t>60ct 350mg</t>
  </si>
  <si>
    <t>Turmeric Root Extract, One</t>
  </si>
  <si>
    <t>Turmeric Root Ext, One Daily</t>
  </si>
  <si>
    <t>60 ct 600 mg</t>
  </si>
  <si>
    <t>Fulvic Minerals</t>
  </si>
  <si>
    <t>30 ct 100 mg</t>
  </si>
  <si>
    <t>Vitamin E, d-Alpha Tocopherol</t>
  </si>
  <si>
    <t>50ct 268mg</t>
  </si>
  <si>
    <t>100ct 268mg</t>
  </si>
  <si>
    <t>Magnesium Asporotate</t>
  </si>
  <si>
    <t>Triple Strength Vit K-2 MK-7</t>
  </si>
  <si>
    <t>30ct 150mcg</t>
  </si>
  <si>
    <t>Red Yeast Rice</t>
  </si>
  <si>
    <t>45ct 600mg</t>
  </si>
  <si>
    <t>Vitamin C with Bioflavonoids</t>
  </si>
  <si>
    <t>Vitamin A, Dry Form</t>
  </si>
  <si>
    <t>60ct 7600mcg</t>
  </si>
  <si>
    <t>Total Cleanse Uric Acid</t>
  </si>
  <si>
    <t>Ginger Root</t>
  </si>
  <si>
    <t>100ct 550mg</t>
  </si>
  <si>
    <t>180ct 550mg</t>
  </si>
  <si>
    <t>Vitamin B-12</t>
  </si>
  <si>
    <t>90ct 2000mcg</t>
  </si>
  <si>
    <t>Once Daily Woman Multi-Vitamin</t>
  </si>
  <si>
    <t>Selenium 100, Yeast-Free</t>
  </si>
  <si>
    <t>90ct 100mcg</t>
  </si>
  <si>
    <t>Passion Flower Aerial</t>
  </si>
  <si>
    <t>100ct 350mg</t>
  </si>
  <si>
    <t>Mega Multi Mineral, Iron-Free</t>
  </si>
  <si>
    <t>Super Bio Vit D-3 in Coconut</t>
  </si>
  <si>
    <t>120ct 125mcg</t>
  </si>
  <si>
    <t>Milk Thistle Seed Extract</t>
  </si>
  <si>
    <t>60ct 175mg</t>
  </si>
  <si>
    <t>120ct 175mg</t>
  </si>
  <si>
    <t>Womens 50+ Liposomal Multi</t>
  </si>
  <si>
    <t>Liposomal Multi - Women's 50+</t>
  </si>
  <si>
    <t>Chromium Picolinate</t>
  </si>
  <si>
    <t>60ct 500mcg</t>
  </si>
  <si>
    <t>Pancreatin 1300, Digestive Enz</t>
  </si>
  <si>
    <t>90ct 1300mg</t>
  </si>
  <si>
    <t>Hawthorn Berry</t>
  </si>
  <si>
    <t>180ct 525mg</t>
  </si>
  <si>
    <t>100ct 525mg</t>
  </si>
  <si>
    <t>Calcium &amp; Magnesium, AAC 2:1</t>
  </si>
  <si>
    <t>Total Cleanse Lymph</t>
  </si>
  <si>
    <t>100ct 200mcg</t>
  </si>
  <si>
    <t>200ct 200mcg</t>
  </si>
  <si>
    <t>50ct 200mcg</t>
  </si>
  <si>
    <t>Dandelion Root</t>
  </si>
  <si>
    <t>100ct 520mg</t>
  </si>
  <si>
    <t>180ct 520mg</t>
  </si>
  <si>
    <t>Zinc Citrate</t>
  </si>
  <si>
    <t>Boswellia Resin Extract</t>
  </si>
  <si>
    <t>60ct 450mg</t>
  </si>
  <si>
    <t>Pumpkin Seed Oil</t>
  </si>
  <si>
    <t>Prostate Blend SP-16</t>
  </si>
  <si>
    <t>Kidney Blend SP-6</t>
  </si>
  <si>
    <t>Selenium 200</t>
  </si>
  <si>
    <t>Once Daily Active Man Multi</t>
  </si>
  <si>
    <t>Vitamin C &amp; Bioflavonoids 1:1</t>
  </si>
  <si>
    <t>Activated Charcoal, Coconut</t>
  </si>
  <si>
    <t>90ct 280mg</t>
  </si>
  <si>
    <t>Vitamin C, Buffered</t>
  </si>
  <si>
    <t>100ct 485mg</t>
  </si>
  <si>
    <t>2oz 315mg</t>
  </si>
  <si>
    <t>Organically Grown Garlic Bulb</t>
  </si>
  <si>
    <t>100ct 560mg</t>
  </si>
  <si>
    <t>Lutein Eyes 24</t>
  </si>
  <si>
    <t>30ct 24mg</t>
  </si>
  <si>
    <t>60ct 24mg</t>
  </si>
  <si>
    <t>Tart Cherry Fruit Extract</t>
  </si>
  <si>
    <t>90ct 425mg</t>
  </si>
  <si>
    <t>Adrenal Caps, Freeze-Dried Raw</t>
  </si>
  <si>
    <t>60ct 170mg</t>
  </si>
  <si>
    <t>Turmeric Root Extract</t>
  </si>
  <si>
    <t>60ct 300mg</t>
  </si>
  <si>
    <t>120ct 300mg</t>
  </si>
  <si>
    <t>Bio Vitamin E with Selenium</t>
  </si>
  <si>
    <t>120ct 268mg</t>
  </si>
  <si>
    <t>60ct 268mg</t>
  </si>
  <si>
    <t>PhytoEstrogen</t>
  </si>
  <si>
    <t>Red Yeast Rice + CoQ10</t>
  </si>
  <si>
    <t>Collagen Bone Complete</t>
  </si>
  <si>
    <t>Female Hormone SP-7C</t>
  </si>
  <si>
    <t>Female Hormone Blend</t>
  </si>
  <si>
    <t>CircuLegs, Circulation Support</t>
  </si>
  <si>
    <t>60ct 200mg</t>
  </si>
  <si>
    <t>Potassium Asporotate</t>
  </si>
  <si>
    <t>Vitamin B-6, Timed-Release</t>
  </si>
  <si>
    <t>Celery Seed</t>
  </si>
  <si>
    <t>100ct 505mg</t>
  </si>
  <si>
    <t>Cayenne Pepper 100,000 HU</t>
  </si>
  <si>
    <t>100ct 450mg</t>
  </si>
  <si>
    <t>30ct 5000mcg</t>
  </si>
  <si>
    <t>Vitamin C</t>
  </si>
  <si>
    <t>Korean Ginseng Root</t>
  </si>
  <si>
    <t>50ct 550mg</t>
  </si>
  <si>
    <t>Valerian Root</t>
  </si>
  <si>
    <t>100ct 470mg</t>
  </si>
  <si>
    <t>Cal-Mag Citrate w/D-2, 2:1 Rat</t>
  </si>
  <si>
    <t>Cal-Mag Citrate w/D-3, 2:1 Rat</t>
  </si>
  <si>
    <t>360ct</t>
  </si>
  <si>
    <t>Mega Quercetin</t>
  </si>
  <si>
    <t>Biotin, Timed-Release</t>
  </si>
  <si>
    <t>Cleanse - Liver</t>
  </si>
  <si>
    <t>Nettle Leaf</t>
  </si>
  <si>
    <t>180ct 450mg</t>
  </si>
  <si>
    <t>Thyroid Caps, Freeze-Dried Raw</t>
  </si>
  <si>
    <t>Vitamin B-2</t>
  </si>
  <si>
    <t>Calcium &amp; Magnesium Citrate</t>
  </si>
  <si>
    <t>Super Omega 3-7-9</t>
  </si>
  <si>
    <t>Extra Hot Cool Cayenne Pepper</t>
  </si>
  <si>
    <t>L-Cysteine, Free Form</t>
  </si>
  <si>
    <t>Organically Gro Ginger Root</t>
  </si>
  <si>
    <t>100ct 540mg</t>
  </si>
  <si>
    <t>Fenugreek Seed</t>
  </si>
  <si>
    <t>100ct 620mg</t>
  </si>
  <si>
    <t>180ct 620mg</t>
  </si>
  <si>
    <t>Mens Liposomal Multi</t>
  </si>
  <si>
    <t>Morosil</t>
  </si>
  <si>
    <t>Magnesium Glycinate Powder</t>
  </si>
  <si>
    <t>6oz</t>
  </si>
  <si>
    <t>Artichoke</t>
  </si>
  <si>
    <t>Womens Liposomal Multi</t>
  </si>
  <si>
    <t>Liposomal Women's</t>
  </si>
  <si>
    <t>Prossorb Berberine 9x</t>
  </si>
  <si>
    <t>Ginkgo Biloba Leaf Extract</t>
  </si>
  <si>
    <t>60ct 60mg</t>
  </si>
  <si>
    <t>120ct 60mg</t>
  </si>
  <si>
    <t>Nattokinase &amp; Serrapeptase</t>
  </si>
  <si>
    <t>Horse Chestnut Seed Extract</t>
  </si>
  <si>
    <t>White Willow Bark</t>
  </si>
  <si>
    <t>Org Grown Mushroom Complete</t>
  </si>
  <si>
    <t>Bilberry Berry Extract</t>
  </si>
  <si>
    <t>Niacin, No Flush</t>
  </si>
  <si>
    <t>BioCitrate Potassium</t>
  </si>
  <si>
    <t>60ct 99mg</t>
  </si>
  <si>
    <t>Womens Health Perimenopause</t>
  </si>
  <si>
    <t>Cascara Sagrada Bark</t>
  </si>
  <si>
    <t>150g</t>
  </si>
  <si>
    <t>GTF Chromium</t>
  </si>
  <si>
    <t>Mastic Gum Extract</t>
  </si>
  <si>
    <t>45ct 500mg</t>
  </si>
  <si>
    <t>Vitex Chaste Berry Extract</t>
  </si>
  <si>
    <t>60ct 225mg</t>
  </si>
  <si>
    <t>Vitamin B-Complex</t>
  </si>
  <si>
    <t>50ct 250mg</t>
  </si>
  <si>
    <t>Womens Health Menopause</t>
  </si>
  <si>
    <t>Potassium Iodine</t>
  </si>
  <si>
    <t>30ct 500mcg</t>
  </si>
  <si>
    <t>Once Daily High Ener Ir-Free</t>
  </si>
  <si>
    <t>DIM Supreme</t>
  </si>
  <si>
    <t>Marshmallow</t>
  </si>
  <si>
    <t>100ct 480mg</t>
  </si>
  <si>
    <t>Cayenne Pepper 40,000 HU</t>
  </si>
  <si>
    <t>100ct 515mg</t>
  </si>
  <si>
    <t>180ct 515mg</t>
  </si>
  <si>
    <t>Cal-Mag Citrate w/D-3 &amp; K-2</t>
  </si>
  <si>
    <t>Womens Health Libido</t>
  </si>
  <si>
    <t>Cat's Claw Bark</t>
  </si>
  <si>
    <t>Pau D'Arco Inner Bark</t>
  </si>
  <si>
    <t>Horsetail Aerial</t>
  </si>
  <si>
    <t>100ct 440mg</t>
  </si>
  <si>
    <t>Total Cleanse Kidney</t>
  </si>
  <si>
    <t>Manganese</t>
  </si>
  <si>
    <t>Affron Saffron Extract</t>
  </si>
  <si>
    <t>Maca Root</t>
  </si>
  <si>
    <t>Vitamin E, Dry</t>
  </si>
  <si>
    <t>50ct 330mg</t>
  </si>
  <si>
    <t>Capryl, Caprylic Acid Formula</t>
  </si>
  <si>
    <t>100ct 360mg</t>
  </si>
  <si>
    <t>Vitamin D-3</t>
  </si>
  <si>
    <t>120ct 10mcg</t>
  </si>
  <si>
    <t>Vit C Crystalline, Buffered</t>
  </si>
  <si>
    <t>8oz 5000mg</t>
  </si>
  <si>
    <t>Reacta-C &amp; Bioflavonoids</t>
  </si>
  <si>
    <t>180ct 500mg</t>
  </si>
  <si>
    <t>Ginger Trips</t>
  </si>
  <si>
    <t>60ct 67mg</t>
  </si>
  <si>
    <t>Aloe Vera Gel</t>
  </si>
  <si>
    <t>Folic Acid</t>
  </si>
  <si>
    <t>100ct 1360mcg</t>
  </si>
  <si>
    <t>Super Resveratrol with Pterost</t>
  </si>
  <si>
    <t>30ct 250mg</t>
  </si>
  <si>
    <t>Moringa Leaf Extract</t>
  </si>
  <si>
    <t>60ct 900mg</t>
  </si>
  <si>
    <t>Akkermansia</t>
  </si>
  <si>
    <t>Garlic Bulb</t>
  </si>
  <si>
    <t>Butterbur Root Extract</t>
  </si>
  <si>
    <t>Saw Palmetto Berry Extract</t>
  </si>
  <si>
    <t>60ct 160mg</t>
  </si>
  <si>
    <t>120ct 160mg</t>
  </si>
  <si>
    <t>Methyl B-12 &amp; Methyl Folate</t>
  </si>
  <si>
    <t>Spirulina Algae</t>
  </si>
  <si>
    <t>100ct 410mg</t>
  </si>
  <si>
    <t>Alfalfa Leaf</t>
  </si>
  <si>
    <t>100ct 430mg</t>
  </si>
  <si>
    <t>Irish Sea Moss</t>
  </si>
  <si>
    <t>Hawthorn Aerial Extract</t>
  </si>
  <si>
    <t>Lutein Eyes 18</t>
  </si>
  <si>
    <t>60ct 18mg</t>
  </si>
  <si>
    <t>Super Strength Vitamin D-3</t>
  </si>
  <si>
    <t>60ct 250mcg</t>
  </si>
  <si>
    <t>Bromelain</t>
  </si>
  <si>
    <t>Universal Liposomal Multi</t>
  </si>
  <si>
    <t>Nettle Root Extract</t>
  </si>
  <si>
    <t>Psyllium Husk</t>
  </si>
  <si>
    <t>Lemon Balm Aerial</t>
  </si>
  <si>
    <t>100ct 475mg</t>
  </si>
  <si>
    <t>L-Theanine</t>
  </si>
  <si>
    <t>Vitamin B-Complex, Timed-Relea</t>
  </si>
  <si>
    <t>100ct 75mg</t>
  </si>
  <si>
    <t>L-Arginine, Free Form</t>
  </si>
  <si>
    <t>Berberine &amp; Curcumin Root Extr</t>
  </si>
  <si>
    <t>Fermented Black Garlic Bulb</t>
  </si>
  <si>
    <t>50ct 500mg</t>
  </si>
  <si>
    <t>L-Tyrosine, Free Form</t>
  </si>
  <si>
    <t>L-Carnitine, Free Form</t>
  </si>
  <si>
    <t>Super Rhodiola Root Extract</t>
  </si>
  <si>
    <t>Methyl B-12</t>
  </si>
  <si>
    <t>60ct 2500mcg</t>
  </si>
  <si>
    <t>Schizandra Berry</t>
  </si>
  <si>
    <t>Glycine, Free Form</t>
  </si>
  <si>
    <t>Biotin</t>
  </si>
  <si>
    <t>Circulation Blend SP-11B</t>
  </si>
  <si>
    <t>Pygeum Bark Extract</t>
  </si>
  <si>
    <t>Boron Citrate</t>
  </si>
  <si>
    <t>SharpMind, Cognitive Support</t>
  </si>
  <si>
    <t>Org Grwn Frmtd Beet Root</t>
  </si>
  <si>
    <t>L-Glutathione, Free Form</t>
  </si>
  <si>
    <t>Vitamin K-1</t>
  </si>
  <si>
    <t>Ultra Zeaxanthin</t>
  </si>
  <si>
    <t>30ct 6mg</t>
  </si>
  <si>
    <t>Valerian Root Extract</t>
  </si>
  <si>
    <t>Kelp Seaweed</t>
  </si>
  <si>
    <t>Methyl B-Complex</t>
  </si>
  <si>
    <t>Calcium &amp; Magnesium Amino Acid</t>
  </si>
  <si>
    <t>45ct 200mg</t>
  </si>
  <si>
    <t>90ct 200mg</t>
  </si>
  <si>
    <t>SharpMind Nootropics Focus</t>
  </si>
  <si>
    <t>Selenium 100</t>
  </si>
  <si>
    <t>Bladderwrack Seaweed</t>
  </si>
  <si>
    <t>Organic Maca Root</t>
  </si>
  <si>
    <t>Vitamin C Crystalline</t>
  </si>
  <si>
    <t>Copper Citrate</t>
  </si>
  <si>
    <t>60ct 2mg</t>
  </si>
  <si>
    <t>Pomegranate Fruit Extract</t>
  </si>
  <si>
    <t>Vit C with Rose Hips &amp; Acerola</t>
  </si>
  <si>
    <t>Glucosamine Sulfate, Two Daily</t>
  </si>
  <si>
    <t>120ct 1500mg</t>
  </si>
  <si>
    <t>226g</t>
  </si>
  <si>
    <t>Sleep Blend SP-17</t>
  </si>
  <si>
    <t>Spectro Man Multi-Vitamin</t>
  </si>
  <si>
    <t>Ginkgo Biloba Extract, One</t>
  </si>
  <si>
    <t>30ct 120mg</t>
  </si>
  <si>
    <t>60ct 120mg</t>
  </si>
  <si>
    <t>Oregano Oil 70% Carvacrol</t>
  </si>
  <si>
    <t>SOD 2000 Plus</t>
  </si>
  <si>
    <t>Womens Health Postmenopause</t>
  </si>
  <si>
    <t>60ct 42mg</t>
  </si>
  <si>
    <t>120ct 42mg</t>
  </si>
  <si>
    <t>Calcium Hydroxyapatite</t>
  </si>
  <si>
    <t>120ct 250mg</t>
  </si>
  <si>
    <t>Organically Grown Nettle Leaf</t>
  </si>
  <si>
    <t>Prosorb CoQ10 9x</t>
  </si>
  <si>
    <t>Triple Strength Tart Cherry</t>
  </si>
  <si>
    <t>Reishi Mushroom</t>
  </si>
  <si>
    <t>Devil's Claw Root</t>
  </si>
  <si>
    <t>Garlic Bulb &amp; Parsley Leaf</t>
  </si>
  <si>
    <t>100ct 530mg</t>
  </si>
  <si>
    <t>Black Currant Seed Hexane-Free</t>
  </si>
  <si>
    <t>Triple Strength Resveratrol</t>
  </si>
  <si>
    <t>Senna Leaf</t>
  </si>
  <si>
    <t>L-Glutamine, Free Form</t>
  </si>
  <si>
    <t>Cal-Mag Citrate with D-2 1:3</t>
  </si>
  <si>
    <t>Cal-Mag Citrate with D-2 1:1</t>
  </si>
  <si>
    <t>Food Carotene, Vit A as Beta C</t>
  </si>
  <si>
    <t>200ct 500mcg</t>
  </si>
  <si>
    <t>Vegan Collagen Booster</t>
  </si>
  <si>
    <t>6.1oz</t>
  </si>
  <si>
    <t>60ct 670mg</t>
  </si>
  <si>
    <t>50ct 7500mcg</t>
  </si>
  <si>
    <t>200ct 7500mcg</t>
  </si>
  <si>
    <t>Okra Fruit</t>
  </si>
  <si>
    <t>Choline &amp; Inositol</t>
  </si>
  <si>
    <t>Oregano</t>
  </si>
  <si>
    <t>1oz 68mg</t>
  </si>
  <si>
    <t>Astragalus Root</t>
  </si>
  <si>
    <t>Bilberry Extract, One Daily</t>
  </si>
  <si>
    <t>30ct 160mg</t>
  </si>
  <si>
    <t>Once Daily High Ener IF TSTR</t>
  </si>
  <si>
    <t>Glucosamine, Chondroitin, HA</t>
  </si>
  <si>
    <t>L-Lysine with Beta Glucan</t>
  </si>
  <si>
    <t>Betaine HCl with Pepsin</t>
  </si>
  <si>
    <t>180ct 250mg</t>
  </si>
  <si>
    <t>Once Daily Prenatal Multi-Vita</t>
  </si>
  <si>
    <t>Burdock</t>
  </si>
  <si>
    <t>100ct 425mg</t>
  </si>
  <si>
    <t>Total Cleanse Colon</t>
  </si>
  <si>
    <t>Twice Daily Energy Multi</t>
  </si>
  <si>
    <t>Bitter Melon Fruit Extract 10%</t>
  </si>
  <si>
    <t>Complete Probiotic Women's</t>
  </si>
  <si>
    <t>Melatonin with L-Glycine</t>
  </si>
  <si>
    <t>100ct 10mg</t>
  </si>
  <si>
    <t>DAO Enzyme</t>
  </si>
  <si>
    <t>Gotu Kola Aerial</t>
  </si>
  <si>
    <t>Echinacea Root with Vitamin C</t>
  </si>
  <si>
    <t>100ct 850mg</t>
  </si>
  <si>
    <t>Bacopa Leaf Extract</t>
  </si>
  <si>
    <t>Vitamin C &amp; Echinacea Root</t>
  </si>
  <si>
    <t>Gymnema Leaf Extract</t>
  </si>
  <si>
    <t>60ct 385mg</t>
  </si>
  <si>
    <t>Womens Health Menstruation</t>
  </si>
  <si>
    <t>24ct</t>
  </si>
  <si>
    <t>Black Cohosh Root</t>
  </si>
  <si>
    <t>BioCitrate Strontium</t>
  </si>
  <si>
    <t>Blood Glucose Success</t>
  </si>
  <si>
    <t>Cordyceps Mushroom Extract</t>
  </si>
  <si>
    <t>Grapefruit Seed Extract</t>
  </si>
  <si>
    <t>1oz 100mg</t>
  </si>
  <si>
    <t>Complete Probiotic Adult 50+</t>
  </si>
  <si>
    <t>60 ct 5000 mcg</t>
  </si>
  <si>
    <t>Complete Probiotic Men's</t>
  </si>
  <si>
    <t>Once Daily High Ener TSTR</t>
  </si>
  <si>
    <t>Astragalus Root Extract</t>
  </si>
  <si>
    <t>Cinnamon Bark</t>
  </si>
  <si>
    <t>Focus for Children</t>
  </si>
  <si>
    <t>Rutin</t>
  </si>
  <si>
    <t>90 ct 500 mg</t>
  </si>
  <si>
    <t>Turmeric Root Ext, Formula</t>
  </si>
  <si>
    <t>Complete Probiotic Ult Potency</t>
  </si>
  <si>
    <t>Bilberry &amp; Lutein, One Daily</t>
  </si>
  <si>
    <t>L-Methionine, Free Form</t>
  </si>
  <si>
    <t>90ct 320mg</t>
  </si>
  <si>
    <t>Hair Nutrients</t>
  </si>
  <si>
    <t>St. John's Wort Aerial Extract</t>
  </si>
  <si>
    <t>30ct 900mg</t>
  </si>
  <si>
    <t>Elderberry Berry &amp; Flower</t>
  </si>
  <si>
    <t>Activated Broccoli Seed Extrac</t>
  </si>
  <si>
    <t>Hawthorn Aerial Ext, One Daily</t>
  </si>
  <si>
    <t>Sweet Wormwood Aerial</t>
  </si>
  <si>
    <t>100ct 300mg</t>
  </si>
  <si>
    <t>Alpha Lipoic Acid</t>
  </si>
  <si>
    <t>Organically Gro Dandelion Root</t>
  </si>
  <si>
    <t>Vit E Tocotrienols, Annatto</t>
  </si>
  <si>
    <t>Chamomile Flowering Tops</t>
  </si>
  <si>
    <t>Uva Ursi Leaf</t>
  </si>
  <si>
    <t>100ct 460mg</t>
  </si>
  <si>
    <t>Red Clover Blossom</t>
  </si>
  <si>
    <t>100ct 375mg</t>
  </si>
  <si>
    <t>Yohimbe Bark Extract</t>
  </si>
  <si>
    <t>60ct 135mg</t>
  </si>
  <si>
    <t>Black Walnut</t>
  </si>
  <si>
    <t>CoQ-10, Pure</t>
  </si>
  <si>
    <t>Yarrow Aerial</t>
  </si>
  <si>
    <t>100ct 320mg</t>
  </si>
  <si>
    <t>Cayenne Pepper &amp; Garlic Bulb</t>
  </si>
  <si>
    <t>Acetyl L-Carnitine</t>
  </si>
  <si>
    <t>Glucomannan, Konjac Root Ext</t>
  </si>
  <si>
    <t>Bean (Alpha Galoctosidase)</t>
  </si>
  <si>
    <t>Fo-Ti Root</t>
  </si>
  <si>
    <t>100ct 610mg</t>
  </si>
  <si>
    <t>Thyroid Blend SP-26</t>
  </si>
  <si>
    <t>Tart Cherry &amp; Celery Seed</t>
  </si>
  <si>
    <t>60ct 620mg</t>
  </si>
  <si>
    <t>ProSorb Ashwagandha</t>
  </si>
  <si>
    <t>Chamomile Extract</t>
  </si>
  <si>
    <t>St. John's Wort Aerial</t>
  </si>
  <si>
    <t>100ct 325mg</t>
  </si>
  <si>
    <t>180ct 325mg</t>
  </si>
  <si>
    <t>DopaBean, Velvet Bean Extract</t>
  </si>
  <si>
    <t>60ct 333mg</t>
  </si>
  <si>
    <t>CoQ-10</t>
  </si>
  <si>
    <t>4oz 700mg</t>
  </si>
  <si>
    <t>Pygeum Bark Extract, One Daily</t>
  </si>
  <si>
    <t>Black Cohosh Root Extract</t>
  </si>
  <si>
    <t>120ct 545mg</t>
  </si>
  <si>
    <t>Super CranActin Cranberry Ext</t>
  </si>
  <si>
    <t>Women's Golden Multi-Vitamin</t>
  </si>
  <si>
    <t>Mega-Mineral Multi-Vitamin</t>
  </si>
  <si>
    <t>Calcium D-Glucarate</t>
  </si>
  <si>
    <t>SharpMind Nootropics Mood CTN</t>
  </si>
  <si>
    <t>Rose Hips Fruit</t>
  </si>
  <si>
    <t>Psyllium Fiber</t>
  </si>
  <si>
    <t>6.2oz</t>
  </si>
  <si>
    <t>PhytoEstrogen Plus EFA's</t>
  </si>
  <si>
    <t>Prostate Defense</t>
  </si>
  <si>
    <t>Bamboo Stem Extract</t>
  </si>
  <si>
    <t>Lactase</t>
  </si>
  <si>
    <t>100ct 40mg</t>
  </si>
  <si>
    <t>Propolis Plus, Immune System</t>
  </si>
  <si>
    <t>Echinacea &amp; Goldenseal Root</t>
  </si>
  <si>
    <t>Spectro Multi-Vitamin, Iron-Fr</t>
  </si>
  <si>
    <t>Green Tea Leaf</t>
  </si>
  <si>
    <t>Gallbladder Support Formula</t>
  </si>
  <si>
    <t>90ct 450mg</t>
  </si>
  <si>
    <t>Tetra-Boron</t>
  </si>
  <si>
    <t>100ct 3mg</t>
  </si>
  <si>
    <t>Selenium 50</t>
  </si>
  <si>
    <t>Garcinia Cambogia Fruit Ext</t>
  </si>
  <si>
    <t>DL-Phenylalanine, Free Form</t>
  </si>
  <si>
    <t>Nerve Blend SP-14</t>
  </si>
  <si>
    <t>Respiration Blend SP-3</t>
  </si>
  <si>
    <t>Sarsaparilla Root</t>
  </si>
  <si>
    <t>Org Grwn Frmtd Turmeric Root</t>
  </si>
  <si>
    <t>60ct 50mcg</t>
  </si>
  <si>
    <t>Organically Grown Hawthorn</t>
  </si>
  <si>
    <t>Guggul Ext &amp; Red Yeast Rice</t>
  </si>
  <si>
    <t>Men's Golden Multi-Vitamin</t>
  </si>
  <si>
    <t>QBC Plex Quercetin &amp; Bromelain</t>
  </si>
  <si>
    <t>Spectro Woman Multi-Vitamin</t>
  </si>
  <si>
    <t>High Potency Evening Primrose</t>
  </si>
  <si>
    <t>Vitamin B-Stress</t>
  </si>
  <si>
    <t>ProSorb Turmeric 29x</t>
  </si>
  <si>
    <t>Sharpmind Memory</t>
  </si>
  <si>
    <t>Org Grown Fermented Turkey T</t>
  </si>
  <si>
    <t>Butcher's Broom Root</t>
  </si>
  <si>
    <t>Vitamin C w/Rose Hips, Buffere</t>
  </si>
  <si>
    <t>90ct 800mg</t>
  </si>
  <si>
    <t>Garlic Bulb Extract, Odor-Free</t>
  </si>
  <si>
    <t>Hibiscus Flower Extract</t>
  </si>
  <si>
    <t>Valerian Root Ext, One Daily</t>
  </si>
  <si>
    <t>30ct 300mg</t>
  </si>
  <si>
    <t>120ct 450mg</t>
  </si>
  <si>
    <t>Rhodiola Root &amp; Schizandra</t>
  </si>
  <si>
    <t>PQQ &amp; CoQ-10 with Glutathione</t>
  </si>
  <si>
    <t>30 ct</t>
  </si>
  <si>
    <t>Echinacea Purpurea &amp; Angustifo</t>
  </si>
  <si>
    <t>180ct 460mg</t>
  </si>
  <si>
    <t>Lycopene</t>
  </si>
  <si>
    <t>IbuActin, Comfort Formula</t>
  </si>
  <si>
    <t>Red Raspberry Leaf</t>
  </si>
  <si>
    <t>Bio CoQ-10</t>
  </si>
  <si>
    <t>Fenugreek Seed Extract</t>
  </si>
  <si>
    <t>90ct 350mg</t>
  </si>
  <si>
    <t>Green Tea Leaf Extract, Double</t>
  </si>
  <si>
    <t>Fennel Seed</t>
  </si>
  <si>
    <t>Mushroom Immune Complex</t>
  </si>
  <si>
    <t>Tribulus Fruit Extract</t>
  </si>
  <si>
    <t>Pygeum &amp; Saw Palmetto Extracts</t>
  </si>
  <si>
    <t>Blue Skullcap Aerial</t>
  </si>
  <si>
    <t>Focus for Adults</t>
  </si>
  <si>
    <t>Cranberry Berry</t>
  </si>
  <si>
    <t>Bacillus Coagulans, Shelf Stab</t>
  </si>
  <si>
    <t>60ct 5bil</t>
  </si>
  <si>
    <t>SharpMind Nootropics Stress</t>
  </si>
  <si>
    <t>Organically Grown Sage Leaf</t>
  </si>
  <si>
    <t>100ct 570mg</t>
  </si>
  <si>
    <t>Prosorb Quercetin 20x</t>
  </si>
  <si>
    <t>Holy Basil Aerial Extract</t>
  </si>
  <si>
    <t>High Potency  Beta Glucan</t>
  </si>
  <si>
    <t>CoQ-10, Ubiquinol</t>
  </si>
  <si>
    <t>Organic Fermented Mushroom Com</t>
  </si>
  <si>
    <t>60g 2000mg</t>
  </si>
  <si>
    <t>Wild Yam Root Extract</t>
  </si>
  <si>
    <t>60ct 275mg</t>
  </si>
  <si>
    <t>Calcium Bisglycinate w/D-3</t>
  </si>
  <si>
    <t>PhytoEstrogen, One Daily</t>
  </si>
  <si>
    <t>SharpMind Nootropics Sleep</t>
  </si>
  <si>
    <t>Licorice</t>
  </si>
  <si>
    <t>GarliCare, Cardiovascular</t>
  </si>
  <si>
    <t>60ct 12000mcg</t>
  </si>
  <si>
    <t>Prebiotic Powder Unflavored</t>
  </si>
  <si>
    <t>5.64oz</t>
  </si>
  <si>
    <t>Acetyl L-Carnitine &amp; ALA</t>
  </si>
  <si>
    <t>5-HTP</t>
  </si>
  <si>
    <t>Resveratrol, Japanese Knotweed</t>
  </si>
  <si>
    <t>60ct 75mg</t>
  </si>
  <si>
    <t>MSM &amp; Glucosamine</t>
  </si>
  <si>
    <t>Reacta-C &amp; Elderberry</t>
  </si>
  <si>
    <t>100ct 165mg</t>
  </si>
  <si>
    <t>Skin Blend SP-4</t>
  </si>
  <si>
    <t>Parsley Leaf</t>
  </si>
  <si>
    <t>White Willow Bark Extract</t>
  </si>
  <si>
    <t>60 ct 650 mg</t>
  </si>
  <si>
    <t>L-5-HTP with Vitamin B-6 &amp; C</t>
  </si>
  <si>
    <t>Black Cohosh Root Extract, One</t>
  </si>
  <si>
    <t>30ct 80mg</t>
  </si>
  <si>
    <t>Dong Quai Root</t>
  </si>
  <si>
    <t>Org Grown Fermented Reishi</t>
  </si>
  <si>
    <t>Maca Root Extract</t>
  </si>
  <si>
    <t>Fenugreek Seed &amp; Thyme Leaf</t>
  </si>
  <si>
    <t>Lipotropic + 1000</t>
  </si>
  <si>
    <t>Peppermint Oil, Enteric Coated</t>
  </si>
  <si>
    <t>Olive Leaf</t>
  </si>
  <si>
    <t>Collagen Keratin, Hair Skin &amp;</t>
  </si>
  <si>
    <t>Spectro Multi-Vitamin</t>
  </si>
  <si>
    <t>Rhodiola Root Extract</t>
  </si>
  <si>
    <t>Muira Puama</t>
  </si>
  <si>
    <t>Damiana Leaf</t>
  </si>
  <si>
    <t>100ct 370mg</t>
  </si>
  <si>
    <t>GutShield, Gastrointestinal</t>
  </si>
  <si>
    <t>L-Phenylalanine, Free Form</t>
  </si>
  <si>
    <t>Nopal, Prickly Pear Cactus</t>
  </si>
  <si>
    <t>Cinnamon Bark Extract</t>
  </si>
  <si>
    <t>Org Grown Fermented Shiitake</t>
  </si>
  <si>
    <t>Pygeum Bark &amp; Saw Palmetto Ext</t>
  </si>
  <si>
    <t>Triphala Fruit Extract</t>
  </si>
  <si>
    <t>Eyes Complete, Eye Support</t>
  </si>
  <si>
    <t>Andrographis Aerial Extract</t>
  </si>
  <si>
    <t>Cat's Claw Bark Extract</t>
  </si>
  <si>
    <t>Neem Leaf</t>
  </si>
  <si>
    <t>Ultra Astaxanthin</t>
  </si>
  <si>
    <t>60ct 4mg</t>
  </si>
  <si>
    <t>Complete Probiotic ACTIVE</t>
  </si>
  <si>
    <t>Flax</t>
  </si>
  <si>
    <t>Flaxseed Oil</t>
  </si>
  <si>
    <t>Continence with Flowtrol</t>
  </si>
  <si>
    <t>3x Strength Hyaluronic Acid</t>
  </si>
  <si>
    <t>30ct 60mg</t>
  </si>
  <si>
    <t>Complete Probiotic MOOD</t>
  </si>
  <si>
    <t>Memory Blend SP-30</t>
  </si>
  <si>
    <t>2oz 700mg</t>
  </si>
  <si>
    <t>Celery Seed Extract</t>
  </si>
  <si>
    <t>SharpMind Nootropics Energy</t>
  </si>
  <si>
    <t>Org Grown Fermented Cordycep</t>
  </si>
  <si>
    <t>Hawthorn Aerial Ext, Two Daily</t>
  </si>
  <si>
    <t>Cordyceps Mushroom</t>
  </si>
  <si>
    <t>Complete Probiotic PostNatal</t>
  </si>
  <si>
    <t>Histamine Blend SP-33</t>
  </si>
  <si>
    <t>Super Aloe Vera Gel</t>
  </si>
  <si>
    <t>100ct 8000mg</t>
  </si>
  <si>
    <t>Vitamin D-2, Dry</t>
  </si>
  <si>
    <t>60ct 1000iu</t>
  </si>
  <si>
    <t>Grape Seed Extract</t>
  </si>
  <si>
    <t>60 ct 200 mg</t>
  </si>
  <si>
    <t>Super IbuActin, Maximum</t>
  </si>
  <si>
    <t>60 ct 100 mg</t>
  </si>
  <si>
    <t>Total Calm Advanced, Mood</t>
  </si>
  <si>
    <t>Org Grown Fermented Chaga</t>
  </si>
  <si>
    <t>Triple Strength Sambuactin</t>
  </si>
  <si>
    <t>GlucoReg, Blood Glucose Suppor</t>
  </si>
  <si>
    <t>Lobelia Aerial</t>
  </si>
  <si>
    <t>L-5-hydroxyTryptophan, 5-HTP</t>
  </si>
  <si>
    <t>Black Seed Oil - 7% Thymoquino</t>
  </si>
  <si>
    <t>30ml 64mg</t>
  </si>
  <si>
    <t>Oat Fiber (Oakwell)</t>
  </si>
  <si>
    <t>11.6oz</t>
  </si>
  <si>
    <t>Org Grown Fermented Maitake</t>
  </si>
  <si>
    <t>Organically Grown Astragalus</t>
  </si>
  <si>
    <t>Asparagus Rhizome Extract</t>
  </si>
  <si>
    <t>Rosemary Leaf Extract</t>
  </si>
  <si>
    <t>45ct 275mg</t>
  </si>
  <si>
    <t>Sea Buckthorn Berry</t>
  </si>
  <si>
    <t>Cal-Mag Strontium w/D-3 &amp; K-2</t>
  </si>
  <si>
    <t>Organically Grow Licorice Root</t>
  </si>
  <si>
    <t>Hawthorn Berry Extract Cardiov</t>
  </si>
  <si>
    <t>90ct 150mg</t>
  </si>
  <si>
    <t>Super Bio Vit E from Sunflower</t>
  </si>
  <si>
    <t>Super Digestaway &amp; Probiotics</t>
  </si>
  <si>
    <t>Mangosteen Fruit Extract</t>
  </si>
  <si>
    <t>Continence Max with Flowtrol</t>
  </si>
  <si>
    <t>Dong Quai Root Ext</t>
  </si>
  <si>
    <t>Olive Leaf Extract 17%</t>
  </si>
  <si>
    <t>Chlorella Broken Cell</t>
  </si>
  <si>
    <t>Okra Fiber (Okralin)</t>
  </si>
  <si>
    <t>2.6oz</t>
  </si>
  <si>
    <t>Feverfew Leaf</t>
  </si>
  <si>
    <t>100ct 380mg</t>
  </si>
  <si>
    <t>Passion Flower Aerial Extract</t>
  </si>
  <si>
    <t>American Ginseng Root</t>
  </si>
  <si>
    <t>50ct 480mg</t>
  </si>
  <si>
    <t>Shiitake Mushroom</t>
  </si>
  <si>
    <t>Juniper Berry</t>
  </si>
  <si>
    <t>Bitter Melon Fruit Extract 5%</t>
  </si>
  <si>
    <t>Echinacea Angustifolia Root Ex</t>
  </si>
  <si>
    <t>60ct 125mg</t>
  </si>
  <si>
    <t>Pituitary Caps, Freeze-Dried</t>
  </si>
  <si>
    <t>60ct 196mg</t>
  </si>
  <si>
    <t>Hormone Blend SP-1</t>
  </si>
  <si>
    <t>Organically Gro Feverfew Leaf</t>
  </si>
  <si>
    <t>100ct 455mg</t>
  </si>
  <si>
    <t>Vitamin B-Stress PM</t>
  </si>
  <si>
    <t>Malic Acid + Magnesium</t>
  </si>
  <si>
    <t>90ct 133mg</t>
  </si>
  <si>
    <t>Mangosteen Fruit</t>
  </si>
  <si>
    <t>Black Elderberry Extract</t>
  </si>
  <si>
    <t>Deep Vein Support</t>
  </si>
  <si>
    <t>Hyaluronic Acid</t>
  </si>
  <si>
    <t>30ct 20mg</t>
  </si>
  <si>
    <t>Horsetail Aerial Extract</t>
  </si>
  <si>
    <t>Organically Gr St. John's Wort</t>
  </si>
  <si>
    <t>Hops Cone</t>
  </si>
  <si>
    <t>100ct 340mg</t>
  </si>
  <si>
    <t>Indole 3 Carbinol</t>
  </si>
  <si>
    <t>Siliverin, Liver Cleanse</t>
  </si>
  <si>
    <t>90ct 140mg</t>
  </si>
  <si>
    <t>Jiaogulan Root Extract</t>
  </si>
  <si>
    <t>60ct 410mg</t>
  </si>
  <si>
    <t>Spectro Energy Multi-Vitamin</t>
  </si>
  <si>
    <t>Vegan Betane HCL &amp; Pepsin</t>
  </si>
  <si>
    <t>PQQ</t>
  </si>
  <si>
    <t>30ct 10mg</t>
  </si>
  <si>
    <t>Organically Grown Neem Leaf</t>
  </si>
  <si>
    <t>Shatavari Root Extract</t>
  </si>
  <si>
    <t>Korean Ginseng Root Extract</t>
  </si>
  <si>
    <t>Fermented Korean Ginseng Root</t>
  </si>
  <si>
    <t>30 ct 150 mg</t>
  </si>
  <si>
    <t>Green Tea Leaf Extract</t>
  </si>
  <si>
    <t>Org Grown Fermented Royal A</t>
  </si>
  <si>
    <t>Hawthorn Berry Ext &amp; CoQ-10</t>
  </si>
  <si>
    <t>Huperzine A</t>
  </si>
  <si>
    <t>Echinacea Root &amp; Elderberry</t>
  </si>
  <si>
    <t>Fucoxanthin, Kombu Extract</t>
  </si>
  <si>
    <t>30ct 400mg</t>
  </si>
  <si>
    <t>CardioComplete, Cardiovascular</t>
  </si>
  <si>
    <t>Black Seed Oil v 3% Thymoquino</t>
  </si>
  <si>
    <t>60ct 15mg</t>
  </si>
  <si>
    <t>Org Grwn Frmtd Ginger Root</t>
  </si>
  <si>
    <t>100 ct 400 mg</t>
  </si>
  <si>
    <t>Suma Root</t>
  </si>
  <si>
    <t>Hair Blend SP-38</t>
  </si>
  <si>
    <t>Glucosamine Sulfate</t>
  </si>
  <si>
    <t>EuroCalm, Mood Support Formula</t>
  </si>
  <si>
    <t>D-Ribose</t>
  </si>
  <si>
    <t>150g 5000mg</t>
  </si>
  <si>
    <t>Beta Glucan with Vitamin C</t>
  </si>
  <si>
    <t>L-Arginine &amp; L-Ornithine, Free</t>
  </si>
  <si>
    <t>50ct</t>
  </si>
  <si>
    <t>Catuaba Bark</t>
  </si>
  <si>
    <t>100ct 465mg</t>
  </si>
  <si>
    <t>Echinacea Purpurea Root</t>
  </si>
  <si>
    <t>Calcium Citrate Supreme, Bone</t>
  </si>
  <si>
    <t>180ct 800mg</t>
  </si>
  <si>
    <t>Chickweed Aerial</t>
  </si>
  <si>
    <t>100ct 385mg</t>
  </si>
  <si>
    <t>Citrus Prebiotic Powder</t>
  </si>
  <si>
    <t>Borage Seed Oil GLA</t>
  </si>
  <si>
    <t>Olive Leaf Extract 22%</t>
  </si>
  <si>
    <t>Avena Sativa Stem</t>
  </si>
  <si>
    <t>Org Grwn Matcha Green Tea</t>
  </si>
  <si>
    <t>Vitamin B-Stress AM, Timed-Rel</t>
  </si>
  <si>
    <t>Oregon Grape Root</t>
  </si>
  <si>
    <t>Olive Leaf Ext Double Strength</t>
  </si>
  <si>
    <t>Caralluma Aerial Extract</t>
  </si>
  <si>
    <t>Forskohlii Root Extract</t>
  </si>
  <si>
    <t>Devil's Claw Special Formula</t>
  </si>
  <si>
    <t>Mushroom Complete 8</t>
  </si>
  <si>
    <t>Feverfew Leaf Extract</t>
  </si>
  <si>
    <t>St. John's Wort Mood Support</t>
  </si>
  <si>
    <t>Super Forskohlii Root Exract</t>
  </si>
  <si>
    <t>Org Grn Echinacea Purpurea</t>
  </si>
  <si>
    <t>Arabinogalactan, Larch Tree</t>
  </si>
  <si>
    <t>St. John's Wort Extract 2 Dail</t>
  </si>
  <si>
    <t>Triple Fiber</t>
  </si>
  <si>
    <t>401g</t>
  </si>
  <si>
    <t>GABA Plant-Sourced</t>
  </si>
  <si>
    <t>Green Coffee Bean Extract</t>
  </si>
  <si>
    <t>Plant Melatonin</t>
  </si>
  <si>
    <t>30ct 3mg</t>
  </si>
  <si>
    <t>BriteSide Mood Support Formula</t>
  </si>
  <si>
    <t>Grapefruit Seed Ext Immu</t>
  </si>
  <si>
    <t>Peak ATP®</t>
  </si>
  <si>
    <t>EMIQ</t>
  </si>
  <si>
    <t>Lutein Eyes 18, Triple Strengt</t>
  </si>
  <si>
    <t>0.5oz 25mcg</t>
  </si>
  <si>
    <t>Super Bio Turmeric Root Ext</t>
  </si>
  <si>
    <t>Total Calm, Mood Support</t>
  </si>
  <si>
    <t>SmartMag™</t>
  </si>
  <si>
    <t>Men's Testosterone</t>
  </si>
  <si>
    <t>Men's Heath Tongkat Ali Ext</t>
  </si>
  <si>
    <t>Shilajit</t>
  </si>
  <si>
    <t>Men's DIM Complex</t>
  </si>
  <si>
    <t>Indole-3 Supreme</t>
  </si>
  <si>
    <t>Pure Magnesium Oil Natural</t>
  </si>
  <si>
    <t>Pure Magnesium Flakes Natural</t>
  </si>
  <si>
    <t xml:space="preserve">Pure Magnesium Flakes  </t>
  </si>
  <si>
    <t>Liquid Iodine Plus Unflavored</t>
  </si>
  <si>
    <t>Retinol A 1% Citrus</t>
  </si>
  <si>
    <t>Pure Almond Oil Natural</t>
  </si>
  <si>
    <t>Magnesium Oil Night Spray Lavender</t>
  </si>
  <si>
    <t>Magnesium Oil Sport Roll-on Menthol</t>
  </si>
  <si>
    <t>Pure Argan Oil Organic Natural</t>
  </si>
  <si>
    <t>Bi-Estro Fragrance Free</t>
  </si>
  <si>
    <t>Progesta-Care Plus Fragrance Free</t>
  </si>
  <si>
    <t>Biotin Drops 10,000mcg Vanilla</t>
  </si>
  <si>
    <t xml:space="preserve">Pure Shea Nut Oil  </t>
  </si>
  <si>
    <t>Liquid Iodine Plus Orange Orange</t>
  </si>
  <si>
    <t xml:space="preserve">Power of Krill  </t>
  </si>
  <si>
    <t>MigraZap(TM) Magnesium Roll-on Mint</t>
  </si>
  <si>
    <t>Pure Tamanu Oil Organic Natural</t>
  </si>
  <si>
    <t xml:space="preserve">Pure Olive Squalane Oil  </t>
  </si>
  <si>
    <t xml:space="preserve">Pure Red Raspberry Seed Oil  </t>
  </si>
  <si>
    <t xml:space="preserve">LF Cooling Mist  </t>
  </si>
  <si>
    <t>RATING</t>
  </si>
  <si>
    <t>С</t>
  </si>
  <si>
    <t>А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</si>
  <si>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theme="1"/>
        <rFont val="Calibri"/>
        <family val="2"/>
        <charset val="204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</si>
  <si>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Case qty</t>
  </si>
  <si>
    <t>Rating</t>
  </si>
  <si>
    <t>В</t>
  </si>
  <si>
    <t>USA → +14-1770-86052</t>
  </si>
  <si>
    <t>Poland → +48-2260-22010</t>
  </si>
  <si>
    <t>Omega 3</t>
  </si>
  <si>
    <t>K Magnesium Gummy 60ct</t>
  </si>
  <si>
    <t>60ct 83mg</t>
  </si>
  <si>
    <t>200ct 1200mg</t>
  </si>
  <si>
    <t>14.8oz</t>
  </si>
  <si>
    <t>Brewer's Yeast</t>
  </si>
  <si>
    <t>7.4oz</t>
  </si>
  <si>
    <t>Omega 3 720/480</t>
  </si>
  <si>
    <t>Mellow Mineral+</t>
  </si>
  <si>
    <t>6.9oz</t>
  </si>
  <si>
    <t>Magnesium 7</t>
  </si>
  <si>
    <t>Total Mineral+</t>
  </si>
  <si>
    <t>Total Mineral + Powder</t>
  </si>
  <si>
    <t>117g</t>
  </si>
  <si>
    <t>Men 18+ Multivitamin</t>
  </si>
  <si>
    <t>Women 18+ Multivitamin</t>
  </si>
  <si>
    <t>Men 50+ Multivitamin</t>
  </si>
  <si>
    <t>Women 50+ Multivitamin</t>
  </si>
  <si>
    <t>K2 MK7</t>
  </si>
  <si>
    <t>Oil of Oregano</t>
  </si>
  <si>
    <t>Magnesium Glycinate Powder EXS</t>
  </si>
  <si>
    <t>8.4oz 500mg</t>
  </si>
  <si>
    <t>Liposomal Multivitamin - Men's</t>
  </si>
  <si>
    <t>Goldenseal Root</t>
  </si>
  <si>
    <t>AMPK Activator w/ Dihydroberbe</t>
  </si>
  <si>
    <t>Organic Fenugreek Seed</t>
  </si>
  <si>
    <t>Zinc Picolinate</t>
  </si>
  <si>
    <t>HMB + D3</t>
  </si>
  <si>
    <t>138g</t>
  </si>
  <si>
    <t>120g</t>
  </si>
  <si>
    <t>SleepMag</t>
  </si>
  <si>
    <t>Creatine w/ Shilajit</t>
  </si>
  <si>
    <t>7.6oz</t>
  </si>
  <si>
    <t>Liposomal Multi Prenatal</t>
  </si>
  <si>
    <t>ActiveMag</t>
  </si>
  <si>
    <t>NMN</t>
  </si>
  <si>
    <t>Creatine + MBP®</t>
  </si>
  <si>
    <t>9.21oz</t>
  </si>
  <si>
    <t>Liposomal Glutathione</t>
  </si>
  <si>
    <t>Beetroot Juice</t>
  </si>
  <si>
    <t>16floz</t>
  </si>
  <si>
    <t>Tart Cherry Concentrate</t>
  </si>
  <si>
    <t>16floz 36g</t>
  </si>
  <si>
    <t>Men's Libido Support</t>
  </si>
  <si>
    <t>Fisetin</t>
  </si>
  <si>
    <t>Spermidine</t>
  </si>
  <si>
    <t>60ct 3.3mg</t>
  </si>
  <si>
    <t>StressMag</t>
  </si>
  <si>
    <t>9.9oz 500mg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</si>
</sst>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-[$$-1009]* #,##0.00_-;\-[$$-1009]* #,##0.00_-;_-[$$-1009]* &quot;-&quot;??_-;_-@_-"/>
    <numFmt numFmtId="166" formatCode="_-[$$-409]* #,##0.00_ ;_-[$$-409]* \-#,##0.00\ ;_-[$$-409]* &quot;-&quot;??_ ;_-@_ "/>
    <numFmt numFmtId="167" formatCode="[$$-409]#,##0.00"/>
    <numFmt numFmtId="168" formatCode="000000000000"/>
    <numFmt numFmtId="169" formatCode="_-[$$-3C09]* #,##0.00_-;\-[$$-3C09]* #,##0.00_-;_-[$$-3C09]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1"/>
      <color rgb="FFFFFFFF"/>
      <name val="Segoe UI"/>
      <family val="2"/>
    </font>
    <font>
      <b/>
      <sz val="12"/>
      <color rgb="FFFF0000"/>
      <name val="Calibri"/>
      <family val="2"/>
      <charset val="204"/>
    </font>
    <font>
      <sz val="10"/>
      <color rgb="FF333333"/>
      <name val="Segoe UI"/>
      <family val="2"/>
    </font>
    <font>
      <b/>
      <sz val="10"/>
      <color rgb="FF333333"/>
      <name val="Segoe UI"/>
      <family val="2"/>
      <charset val="204"/>
    </font>
    <font>
      <sz val="11"/>
      <name val="Calibri"/>
      <family val="2"/>
    </font>
    <font>
      <b/>
      <sz val="11"/>
      <color theme="1"/>
      <name val="Segoe UI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9"/>
      <color theme="1"/>
      <name val="Calibri"/>
      <family val="2"/>
      <charset val="204"/>
      <scheme val="minor"/>
    </font>
    <font>
      <b/>
      <sz val="9"/>
      <color rgb="FFFF00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006400"/>
      </patternFill>
    </fill>
    <fill>
      <patternFill patternType="solid">
        <fgColor rgb="FF002060"/>
        <bgColor rgb="FF006400"/>
      </patternFill>
    </fill>
  </fills>
  <borders count="46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4" fillId="2" borderId="0" applyNumberFormat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0" fillId="0" borderId="2" xfId="0" applyNumberFormat="1" applyBorder="1"/>
    <xf numFmtId="0" fontId="0" fillId="0" borderId="2" xfId="0" applyBorder="1"/>
    <xf numFmtId="1" fontId="3" fillId="0" borderId="6" xfId="0" applyNumberFormat="1" applyFont="1" applyBorder="1" applyAlignment="1">
      <alignment horizontal="center"/>
    </xf>
    <xf numFmtId="165" fontId="2" fillId="3" borderId="3" xfId="2" applyNumberFormat="1" applyFill="1" applyBorder="1" applyAlignment="1" applyProtection="1">
      <alignment horizontal="center" vertical="center" wrapText="1"/>
    </xf>
    <xf numFmtId="1" fontId="3" fillId="0" borderId="4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0" fillId="0" borderId="14" xfId="0" applyNumberFormat="1" applyBorder="1"/>
    <xf numFmtId="0" fontId="0" fillId="0" borderId="14" xfId="0" applyBorder="1"/>
    <xf numFmtId="0" fontId="5" fillId="2" borderId="18" xfId="3" applyNumberFormat="1" applyFont="1" applyBorder="1" applyAlignment="1" applyProtection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3" borderId="19" xfId="2" applyNumberFormat="1" applyFill="1" applyBorder="1" applyAlignment="1" applyProtection="1">
      <alignment horizontal="center" vertical="center" wrapText="1"/>
    </xf>
    <xf numFmtId="0" fontId="5" fillId="2" borderId="19" xfId="3" applyNumberFormat="1" applyFont="1" applyBorder="1" applyAlignment="1" applyProtection="1">
      <alignment horizontal="center" vertical="center" wrapText="1"/>
    </xf>
    <xf numFmtId="14" fontId="6" fillId="0" borderId="0" xfId="0" quotePrefix="1" applyNumberFormat="1" applyFont="1" applyAlignment="1">
      <alignment horizontal="center" vertical="center"/>
    </xf>
    <xf numFmtId="0" fontId="2" fillId="3" borderId="20" xfId="2" applyNumberFormat="1" applyFill="1" applyBorder="1" applyAlignment="1" applyProtection="1">
      <alignment horizontal="center" vertical="center" wrapText="1"/>
    </xf>
    <xf numFmtId="164" fontId="0" fillId="0" borderId="16" xfId="1" applyFont="1" applyBorder="1" applyAlignment="1" applyProtection="1"/>
    <xf numFmtId="164" fontId="0" fillId="0" borderId="17" xfId="1" applyFont="1" applyBorder="1" applyAlignment="1" applyProtection="1"/>
    <xf numFmtId="0" fontId="2" fillId="3" borderId="21" xfId="2" applyNumberFormat="1" applyFill="1" applyBorder="1" applyAlignment="1" applyProtection="1">
      <alignment horizontal="center" vertical="center" wrapText="1"/>
    </xf>
    <xf numFmtId="1" fontId="3" fillId="0" borderId="8" xfId="0" applyNumberFormat="1" applyFont="1" applyBorder="1" applyAlignment="1">
      <alignment horizontal="center"/>
    </xf>
    <xf numFmtId="1" fontId="3" fillId="0" borderId="22" xfId="0" applyNumberFormat="1" applyFont="1" applyBorder="1" applyAlignment="1">
      <alignment horizontal="center"/>
    </xf>
    <xf numFmtId="1" fontId="0" fillId="0" borderId="22" xfId="0" applyNumberFormat="1" applyBorder="1"/>
    <xf numFmtId="0" fontId="0" fillId="0" borderId="22" xfId="0" applyBorder="1"/>
    <xf numFmtId="0" fontId="0" fillId="0" borderId="23" xfId="0" applyBorder="1" applyAlignment="1">
      <alignment horizontal="center"/>
    </xf>
    <xf numFmtId="164" fontId="0" fillId="0" borderId="24" xfId="1" applyFont="1" applyBorder="1" applyAlignment="1" applyProtection="1"/>
    <xf numFmtId="14" fontId="9" fillId="0" borderId="0" xfId="0" quotePrefix="1" applyNumberFormat="1" applyFont="1" applyAlignment="1" applyProtection="1">
      <alignment horizontal="center" vertical="center"/>
      <protection hidden="1"/>
    </xf>
    <xf numFmtId="14" fontId="6" fillId="4" borderId="3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166" fontId="10" fillId="4" borderId="3" xfId="0" applyNumberFormat="1" applyFont="1" applyFill="1" applyBorder="1" applyAlignment="1" applyProtection="1">
      <alignment horizontal="center" vertical="center" wrapText="1" readingOrder="1"/>
      <protection hidden="1"/>
    </xf>
    <xf numFmtId="167" fontId="6" fillId="4" borderId="3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2" fillId="5" borderId="3" xfId="0" applyFont="1" applyFill="1" applyBorder="1" applyAlignment="1" applyProtection="1">
      <alignment horizontal="center" vertical="center" wrapText="1" readingOrder="1"/>
      <protection locked="0"/>
    </xf>
    <xf numFmtId="4" fontId="6" fillId="5" borderId="25" xfId="0" applyNumberFormat="1" applyFont="1" applyFill="1" applyBorder="1" applyAlignment="1">
      <alignment horizontal="center" vertical="center"/>
    </xf>
    <xf numFmtId="166" fontId="10" fillId="5" borderId="3" xfId="0" applyNumberFormat="1" applyFont="1" applyFill="1" applyBorder="1" applyAlignment="1" applyProtection="1">
      <alignment horizontal="center" vertical="center" wrapText="1" readingOrder="1"/>
      <protection hidden="1"/>
    </xf>
    <xf numFmtId="0" fontId="6" fillId="6" borderId="3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 applyProtection="1">
      <alignment horizontal="center" vertical="top" readingOrder="1"/>
      <protection hidden="1"/>
    </xf>
    <xf numFmtId="0" fontId="13" fillId="7" borderId="2" xfId="0" applyFont="1" applyFill="1" applyBorder="1" applyAlignment="1" applyProtection="1">
      <alignment vertical="top" readingOrder="1"/>
      <protection hidden="1"/>
    </xf>
    <xf numFmtId="166" fontId="14" fillId="8" borderId="2" xfId="0" applyNumberFormat="1" applyFont="1" applyFill="1" applyBorder="1" applyAlignment="1" applyProtection="1">
      <alignment vertical="top" readingOrder="1"/>
      <protection hidden="1"/>
    </xf>
    <xf numFmtId="0" fontId="15" fillId="0" borderId="2" xfId="0" applyFont="1" applyBorder="1" applyAlignment="1" applyProtection="1">
      <alignment horizontal="center"/>
      <protection locked="0"/>
    </xf>
    <xf numFmtId="0" fontId="15" fillId="0" borderId="0" xfId="0" applyFont="1" applyProtection="1">
      <protection hidden="1"/>
    </xf>
    <xf numFmtId="4" fontId="6" fillId="0" borderId="26" xfId="0" applyNumberFormat="1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167" fontId="6" fillId="0" borderId="26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0" fontId="0" fillId="0" borderId="0" xfId="0" applyAlignment="1" applyProtection="1">
      <alignment horizontal="center"/>
      <protection hidden="1"/>
    </xf>
    <xf numFmtId="0" fontId="0" fillId="0" borderId="0" xfId="0" applyProtection="1">
      <protection hidden="1"/>
    </xf>
    <xf numFmtId="166" fontId="0" fillId="0" borderId="0" xfId="0" applyNumberFormat="1" applyProtection="1">
      <protection hidden="1"/>
    </xf>
    <xf numFmtId="0" fontId="0" fillId="0" borderId="0" xfId="0" applyAlignment="1" applyProtection="1">
      <alignment horizontal="center"/>
      <protection locked="0"/>
    </xf>
    <xf numFmtId="2" fontId="0" fillId="0" borderId="1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166" fontId="10" fillId="0" borderId="0" xfId="0" applyNumberFormat="1" applyFont="1" applyAlignment="1" applyProtection="1">
      <alignment vertical="center" wrapText="1" readingOrder="1"/>
      <protection hidden="1"/>
    </xf>
    <xf numFmtId="4" fontId="6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4" fontId="0" fillId="0" borderId="15" xfId="1" applyFont="1" applyBorder="1" applyAlignment="1" applyProtection="1"/>
    <xf numFmtId="164" fontId="0" fillId="0" borderId="10" xfId="1" applyFont="1" applyBorder="1" applyAlignment="1" applyProtection="1"/>
    <xf numFmtId="164" fontId="0" fillId="0" borderId="23" xfId="1" applyFont="1" applyBorder="1" applyAlignment="1" applyProtection="1"/>
    <xf numFmtId="0" fontId="0" fillId="0" borderId="27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2" fontId="13" fillId="7" borderId="2" xfId="0" applyNumberFormat="1" applyFont="1" applyFill="1" applyBorder="1" applyAlignment="1" applyProtection="1">
      <alignment horizontal="center" vertical="top" readingOrder="1"/>
      <protection hidden="1"/>
    </xf>
    <xf numFmtId="166" fontId="16" fillId="9" borderId="30" xfId="0" applyNumberFormat="1" applyFont="1" applyFill="1" applyBorder="1" applyAlignment="1" applyProtection="1">
      <alignment horizontal="center" vertical="center" readingOrder="1"/>
      <protection hidden="1"/>
    </xf>
    <xf numFmtId="0" fontId="6" fillId="0" borderId="31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11" fillId="10" borderId="20" xfId="0" applyFont="1" applyFill="1" applyBorder="1" applyAlignment="1" applyProtection="1">
      <alignment horizontal="center" vertical="center" wrapText="1" readingOrder="1"/>
      <protection hidden="1"/>
    </xf>
    <xf numFmtId="168" fontId="13" fillId="7" borderId="2" xfId="0" applyNumberFormat="1" applyFont="1" applyFill="1" applyBorder="1" applyAlignment="1" applyProtection="1">
      <alignment horizontal="center" vertical="top" readingOrder="1"/>
      <protection hidden="1"/>
    </xf>
    <xf numFmtId="3" fontId="13" fillId="7" borderId="2" xfId="0" applyNumberFormat="1" applyFont="1" applyFill="1" applyBorder="1" applyAlignment="1" applyProtection="1">
      <alignment horizontal="center" vertical="top" readingOrder="1"/>
      <protection hidden="1"/>
    </xf>
    <xf numFmtId="0" fontId="11" fillId="10" borderId="21" xfId="0" applyFont="1" applyFill="1" applyBorder="1" applyAlignment="1" applyProtection="1">
      <alignment horizontal="center" vertical="center" wrapText="1" readingOrder="1"/>
      <protection hidden="1"/>
    </xf>
    <xf numFmtId="0" fontId="11" fillId="10" borderId="35" xfId="0" applyFont="1" applyFill="1" applyBorder="1" applyAlignment="1" applyProtection="1">
      <alignment horizontal="center" vertical="center" wrapText="1" readingOrder="1"/>
      <protection hidden="1"/>
    </xf>
    <xf numFmtId="169" fontId="11" fillId="10" borderId="36" xfId="0" applyNumberFormat="1" applyFont="1" applyFill="1" applyBorder="1" applyAlignment="1" applyProtection="1">
      <alignment horizontal="center" vertical="center" wrapText="1" readingOrder="1"/>
      <protection hidden="1"/>
    </xf>
    <xf numFmtId="0" fontId="13" fillId="7" borderId="6" xfId="0" applyFont="1" applyFill="1" applyBorder="1" applyAlignment="1" applyProtection="1">
      <alignment horizontal="center" vertical="top" readingOrder="1"/>
      <protection hidden="1"/>
    </xf>
    <xf numFmtId="166" fontId="15" fillId="0" borderId="7" xfId="0" applyNumberFormat="1" applyFont="1" applyBorder="1" applyProtection="1">
      <protection hidden="1"/>
    </xf>
    <xf numFmtId="0" fontId="13" fillId="7" borderId="8" xfId="0" applyFont="1" applyFill="1" applyBorder="1" applyAlignment="1" applyProtection="1">
      <alignment horizontal="center" vertical="top" readingOrder="1"/>
      <protection hidden="1"/>
    </xf>
    <xf numFmtId="0" fontId="13" fillId="7" borderId="22" xfId="0" applyFont="1" applyFill="1" applyBorder="1" applyAlignment="1" applyProtection="1">
      <alignment horizontal="center" vertical="top" readingOrder="1"/>
      <protection hidden="1"/>
    </xf>
    <xf numFmtId="168" fontId="13" fillId="7" borderId="22" xfId="0" applyNumberFormat="1" applyFont="1" applyFill="1" applyBorder="1" applyAlignment="1" applyProtection="1">
      <alignment horizontal="center" vertical="top" readingOrder="1"/>
      <protection hidden="1"/>
    </xf>
    <xf numFmtId="0" fontId="13" fillId="7" borderId="22" xfId="0" applyFont="1" applyFill="1" applyBorder="1" applyAlignment="1" applyProtection="1">
      <alignment vertical="top" readingOrder="1"/>
      <protection hidden="1"/>
    </xf>
    <xf numFmtId="2" fontId="13" fillId="7" borderId="22" xfId="0" applyNumberFormat="1" applyFont="1" applyFill="1" applyBorder="1" applyAlignment="1" applyProtection="1">
      <alignment horizontal="center" vertical="top" readingOrder="1"/>
      <protection hidden="1"/>
    </xf>
    <xf numFmtId="3" fontId="13" fillId="7" borderId="22" xfId="0" applyNumberFormat="1" applyFont="1" applyFill="1" applyBorder="1" applyAlignment="1" applyProtection="1">
      <alignment horizontal="center" vertical="top" readingOrder="1"/>
      <protection hidden="1"/>
    </xf>
    <xf numFmtId="166" fontId="14" fillId="8" borderId="22" xfId="0" applyNumberFormat="1" applyFont="1" applyFill="1" applyBorder="1" applyAlignment="1" applyProtection="1">
      <alignment vertical="top" readingOrder="1"/>
      <protection hidden="1"/>
    </xf>
    <xf numFmtId="0" fontId="15" fillId="0" borderId="22" xfId="0" applyFont="1" applyBorder="1" applyAlignment="1" applyProtection="1">
      <alignment horizontal="center"/>
      <protection locked="0"/>
    </xf>
    <xf numFmtId="166" fontId="15" fillId="0" borderId="9" xfId="0" applyNumberFormat="1" applyFont="1" applyBorder="1" applyProtection="1">
      <protection hidden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11" xfId="0" applyFont="1" applyBorder="1" applyAlignment="1">
      <alignment horizontal="left" wrapText="1"/>
    </xf>
    <xf numFmtId="0" fontId="7" fillId="0" borderId="11" xfId="0" applyFont="1" applyBorder="1" applyAlignment="1">
      <alignment horizontal="left"/>
    </xf>
    <xf numFmtId="14" fontId="6" fillId="4" borderId="19" xfId="0" applyNumberFormat="1" applyFont="1" applyFill="1" applyBorder="1" applyAlignment="1">
      <alignment horizontal="center" vertical="center" wrapText="1"/>
    </xf>
    <xf numFmtId="14" fontId="6" fillId="4" borderId="25" xfId="0" applyNumberFormat="1" applyFont="1" applyFill="1" applyBorder="1" applyAlignment="1">
      <alignment horizontal="center" vertical="center" wrapText="1"/>
    </xf>
    <xf numFmtId="0" fontId="0" fillId="0" borderId="33" xfId="0" applyBorder="1" applyAlignment="1" applyProtection="1">
      <alignment horizontal="center"/>
      <protection hidden="1"/>
    </xf>
    <xf numFmtId="0" fontId="0" fillId="0" borderId="34" xfId="0" applyBorder="1" applyAlignment="1" applyProtection="1">
      <alignment horizontal="center"/>
      <protection hidden="1"/>
    </xf>
    <xf numFmtId="0" fontId="0" fillId="0" borderId="3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2" xfId="0" applyBorder="1" applyAlignment="1" applyProtection="1">
      <alignment horizontal="center"/>
      <protection hidden="1"/>
    </xf>
    <xf numFmtId="0" fontId="0" fillId="0" borderId="45" xfId="0" applyBorder="1" applyAlignment="1" applyProtection="1">
      <alignment horizontal="center"/>
      <protection hidden="1"/>
    </xf>
    <xf numFmtId="0" fontId="0" fillId="0" borderId="16" xfId="0" applyBorder="1" applyAlignment="1" applyProtection="1">
      <alignment horizontal="center"/>
      <protection hidden="1"/>
    </xf>
    <xf numFmtId="0" fontId="0" fillId="0" borderId="42" xfId="0" applyBorder="1" applyAlignment="1" applyProtection="1">
      <alignment horizontal="center"/>
      <protection hidden="1"/>
    </xf>
    <xf numFmtId="0" fontId="0" fillId="0" borderId="43" xfId="0" applyBorder="1" applyAlignment="1" applyProtection="1">
      <alignment horizontal="center"/>
      <protection hidden="1"/>
    </xf>
    <xf numFmtId="0" fontId="0" fillId="0" borderId="44" xfId="0" applyBorder="1" applyAlignment="1" applyProtection="1">
      <alignment horizontal="center"/>
      <protection hidden="1"/>
    </xf>
    <xf numFmtId="0" fontId="19" fillId="0" borderId="11" xfId="0" applyFont="1" applyBorder="1" applyAlignment="1" applyProtection="1">
      <alignment horizontal="left" vertical="center" wrapText="1"/>
      <protection hidden="1"/>
    </xf>
    <xf numFmtId="0" fontId="0" fillId="0" borderId="37" xfId="0" applyBorder="1" applyAlignment="1" applyProtection="1">
      <alignment horizontal="center"/>
      <protection hidden="1"/>
    </xf>
    <xf numFmtId="0" fontId="0" fillId="0" borderId="30" xfId="0" applyBorder="1" applyAlignment="1" applyProtection="1">
      <alignment horizontal="center"/>
      <protection hidden="1"/>
    </xf>
    <xf numFmtId="0" fontId="0" fillId="0" borderId="38" xfId="0" applyBorder="1" applyAlignment="1" applyProtection="1">
      <alignment horizontal="center"/>
      <protection hidden="1"/>
    </xf>
    <xf numFmtId="0" fontId="0" fillId="0" borderId="39" xfId="0" applyBorder="1" applyAlignment="1" applyProtection="1">
      <alignment horizontal="center"/>
      <protection hidden="1"/>
    </xf>
    <xf numFmtId="0" fontId="0" fillId="0" borderId="40" xfId="0" applyBorder="1" applyAlignment="1" applyProtection="1">
      <alignment horizontal="center"/>
      <protection hidden="1"/>
    </xf>
    <xf numFmtId="0" fontId="0" fillId="0" borderId="41" xfId="0" applyBorder="1" applyAlignment="1" applyProtection="1">
      <alignment horizontal="center"/>
      <protection hidden="1"/>
    </xf>
  </cellXfs>
  <cellStyles count="4">
    <cellStyle name="Грошовий" xfId="1" builtinId="4"/>
    <cellStyle name="Заголовок 3" xfId="2" builtinId="18"/>
    <cellStyle name="Звичайний" xfId="0" builtinId="0"/>
    <cellStyle name="Колірна тема 1" xfId="3" builtinId="29"/>
  </cellStyles>
  <dxfs count="10">
    <dxf>
      <fill>
        <patternFill>
          <bgColor rgb="FF92D050"/>
        </patternFill>
      </fill>
    </dxf>
    <dxf>
      <fill>
        <patternFill>
          <bgColor rgb="FFB9D7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gradientFill degree="180">
          <stop position="0">
            <color rgb="FFFF6600"/>
          </stop>
          <stop position="1">
            <color rgb="FFFFFF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541020</xdr:colOff>
      <xdr:row>0</xdr:row>
      <xdr:rowOff>0</xdr:rowOff>
    </xdr:from>
    <xdr:to>
      <xdr:col>9</xdr:col>
      <xdr:colOff>116541</xdr:colOff>
      <xdr:row>0</xdr:row>
      <xdr:rowOff>999656</xdr:rowOff>
    </xdr:to>
    <xdr:pic>
      <xdr:nvPicPr>
        <xdr:cNvPr id="2" name="Рисунок 1" descr="Life-flo | Natural Self-Care Essentials – Life Flo">
          <a:extLst>
            <a:ext uri="{FF2B5EF4-FFF2-40B4-BE49-F238E27FC236}">
              <a16:creationId xmlns:a16="http://schemas.microsoft.com/office/drawing/2014/main" id="{06D7CF99-F0E8-4BAE-91E5-CBA7BADFB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7080" y="0"/>
          <a:ext cx="1404321" cy="999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412376</xdr:colOff>
      <xdr:row>0</xdr:row>
      <xdr:rowOff>179242</xdr:rowOff>
    </xdr:from>
    <xdr:to>
      <xdr:col>6</xdr:col>
      <xdr:colOff>176157</xdr:colOff>
      <xdr:row>0</xdr:row>
      <xdr:rowOff>830958</xdr:rowOff>
    </xdr:to>
    <xdr:pic>
      <xdr:nvPicPr>
        <xdr:cNvPr id="2" name="Рисунок 1" descr="Life-flo | Natural Self-Care Essentials – Life Flo">
          <a:extLst>
            <a:ext uri="{FF2B5EF4-FFF2-40B4-BE49-F238E27FC236}">
              <a16:creationId xmlns:a16="http://schemas.microsoft.com/office/drawing/2014/main" id="{72F70F8A-911E-4B80-9519-A803D72C3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5496" y="179242"/>
          <a:ext cx="1211581" cy="6517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125506</xdr:colOff>
      <xdr:row>0</xdr:row>
      <xdr:rowOff>82475</xdr:rowOff>
    </xdr:from>
    <xdr:to>
      <xdr:col>10</xdr:col>
      <xdr:colOff>626186</xdr:colOff>
      <xdr:row>0</xdr:row>
      <xdr:rowOff>716715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46446B3-0097-4923-A768-E04031656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3826" y="82475"/>
          <a:ext cx="1948480" cy="634240"/>
        </a:xfrm>
        <a:prstGeom prst="rect">
          <a:avLst/>
        </a:prstGeom>
      </xdr:spPr>
    </xdr:pic>
    <xdr:clientData/>
  </xdr:twoCellAnchor>
  <xdr:twoCellAnchor editAs="absolute">
    <xdr:from>
      <xdr:col>3</xdr:col>
      <xdr:colOff>2528496</xdr:colOff>
      <xdr:row>0</xdr:row>
      <xdr:rowOff>60063</xdr:rowOff>
    </xdr:from>
    <xdr:to>
      <xdr:col>4</xdr:col>
      <xdr:colOff>273807</xdr:colOff>
      <xdr:row>0</xdr:row>
      <xdr:rowOff>771175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3288410-3F9C-4616-9A43-50D86132C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7336" y="60063"/>
          <a:ext cx="1509591" cy="71111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0507-3EAF-4D76-94A3-FCEA062D88DE}">
  <dimension ref="A1:S30"/>
  <sheetViews>
    <sheetView tabSelected="1" topLeftCell="C1" workbookViewId="0">
      <pane ySplit="2" topLeftCell="A3" activePane="bottomLeft" state="frozen"/>
      <selection pane="bottomLeft" activeCell="L8" sqref="L8"/>
    </sheetView>
  </sheetViews>
  <sheetFormatPr defaultRowHeight="14.4" x14ac:dyDescent="0.3"/>
  <cols>
    <col min="2" max="2" width="8.109375" customWidth="1"/>
    <col min="3" max="3" width="13.5546875" bestFit="1" customWidth="1"/>
    <col min="4" max="4" width="42" customWidth="1"/>
    <col min="5" max="5" width="12.6640625" bestFit="1" customWidth="1"/>
    <col min="6" max="6" width="10.6640625" bestFit="1" customWidth="1"/>
    <col min="7" max="7" width="8.88671875" style="1"/>
    <col min="10" max="10" width="8.88671875" style="1"/>
    <col min="11" max="11" width="11" bestFit="1" customWidth="1"/>
    <col min="12" max="12" width="14.33203125" customWidth="1"/>
    <col min="15" max="15" width="15.109375" customWidth="1"/>
  </cols>
  <sheetData>
    <row r="1" spans="1:19" ht="83.4" customHeight="1" thickBot="1" x14ac:dyDescent="0.35">
      <c r="A1" s="89" t="s">
        <v>42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16">
        <v>46090</v>
      </c>
      <c r="N1" s="28" t="s">
        <v>48</v>
      </c>
      <c r="O1" s="91" t="s">
        <v>49</v>
      </c>
      <c r="P1" s="29" t="s">
        <v>50</v>
      </c>
      <c r="Q1" s="30" t="s">
        <v>51</v>
      </c>
      <c r="S1" s="31" t="str">
        <f>IFERROR(IF(SUM(S3:S22)=0, "-", L2+Q2), "-")</f>
        <v>-</v>
      </c>
    </row>
    <row r="2" spans="1:19" ht="29.4" thickBot="1" x14ac:dyDescent="0.35">
      <c r="A2" s="20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50</v>
      </c>
      <c r="G2" s="17" t="s">
        <v>5</v>
      </c>
      <c r="H2" s="11" t="s">
        <v>36</v>
      </c>
      <c r="I2" s="65" t="s">
        <v>1257</v>
      </c>
      <c r="J2" s="14" t="s">
        <v>37</v>
      </c>
      <c r="K2" s="15" t="s">
        <v>38</v>
      </c>
      <c r="L2" s="6">
        <f>SUM(K3:K22)</f>
        <v>0</v>
      </c>
      <c r="N2" s="33"/>
      <c r="O2" s="92"/>
      <c r="P2" s="34" t="str">
        <f>IF(SUM(P3:P22)=0, "-", SUM(P3:P22))</f>
        <v>-</v>
      </c>
      <c r="Q2" s="34" t="str">
        <f>IF(SUM(Q3:Q22)=0, "-", SUM(Q3:Q22))</f>
        <v>-</v>
      </c>
      <c r="R2" s="54"/>
      <c r="S2" s="36" t="s">
        <v>54</v>
      </c>
    </row>
    <row r="3" spans="1:19" x14ac:dyDescent="0.3">
      <c r="A3" s="7">
        <v>8855191</v>
      </c>
      <c r="B3" s="8">
        <v>91547</v>
      </c>
      <c r="C3" s="9">
        <v>645951915470</v>
      </c>
      <c r="D3" s="10" t="s">
        <v>1240</v>
      </c>
      <c r="E3" s="10" t="s">
        <v>13</v>
      </c>
      <c r="F3" s="51">
        <v>0.16989288359999999</v>
      </c>
      <c r="G3" s="12">
        <v>6</v>
      </c>
      <c r="H3" s="58">
        <v>5.3690000000000007</v>
      </c>
      <c r="I3" s="66" t="s">
        <v>1259</v>
      </c>
      <c r="J3" s="61"/>
      <c r="K3" s="18">
        <f t="shared" ref="K3:K22" si="0">H3*J3</f>
        <v>0</v>
      </c>
      <c r="N3" s="55" t="str">
        <f>IFERROR(IF($N$2*F3=0, "-", $N$2*F3), "-")</f>
        <v>-</v>
      </c>
      <c r="O3" s="55" t="str">
        <f>IFERROR(IF(N3&gt;0,H3+N3,"-"),"-")</f>
        <v>-</v>
      </c>
      <c r="P3" s="56" t="str">
        <f>IF(J3&gt;0,J3*F3, "-")</f>
        <v>-</v>
      </c>
      <c r="Q3" s="57" t="str">
        <f>IFERROR(IF($N$2&gt;0, $N$2*P3, "-"), "-")</f>
        <v>-</v>
      </c>
      <c r="S3" s="57" t="str">
        <f>IFERROR(IF(Q3+K3=0, "-", IF(Q3&gt;0, Q3+K3, "-")), "-")</f>
        <v>-</v>
      </c>
    </row>
    <row r="4" spans="1:19" x14ac:dyDescent="0.3">
      <c r="A4" s="5">
        <v>8751708</v>
      </c>
      <c r="B4" s="2">
        <v>40530</v>
      </c>
      <c r="C4" s="3">
        <v>645951405308</v>
      </c>
      <c r="D4" s="4" t="s">
        <v>1237</v>
      </c>
      <c r="E4" s="4" t="s">
        <v>7</v>
      </c>
      <c r="F4" s="52">
        <v>0.38612018999999992</v>
      </c>
      <c r="G4" s="13">
        <v>6</v>
      </c>
      <c r="H4" s="59">
        <v>7.2799999999999994</v>
      </c>
      <c r="I4" s="66" t="s">
        <v>1258</v>
      </c>
      <c r="J4" s="62"/>
      <c r="K4" s="19">
        <f t="shared" si="0"/>
        <v>0</v>
      </c>
      <c r="N4" s="55" t="str">
        <f t="shared" ref="N4:N22" si="1">IFERROR(IF($N$2*F4=0, "-", $N$2*F4), "-")</f>
        <v>-</v>
      </c>
      <c r="O4" s="55" t="str">
        <f t="shared" ref="O4:O22" si="2">IFERROR(IF(N4&gt;0,H4+N4,"-"),"-")</f>
        <v>-</v>
      </c>
      <c r="P4" s="56" t="str">
        <f t="shared" ref="P4:P22" si="3">IF(J4&gt;0,J4*F4, "-")</f>
        <v>-</v>
      </c>
      <c r="Q4" s="57" t="str">
        <f t="shared" ref="Q4:Q22" si="4">IFERROR(IF($N$2&gt;0, $N$2*P4, "-"), "-")</f>
        <v>-</v>
      </c>
      <c r="S4" s="57" t="str">
        <f t="shared" ref="S4:S22" si="5">IFERROR(IF(Q4+K4=0, "-", IF(Q4&gt;0, Q4+K4, "-")), "-")</f>
        <v>-</v>
      </c>
    </row>
    <row r="5" spans="1:19" x14ac:dyDescent="0.3">
      <c r="A5" s="5">
        <v>7813017</v>
      </c>
      <c r="B5" s="2">
        <v>29132</v>
      </c>
      <c r="C5" s="3">
        <v>645951291321</v>
      </c>
      <c r="D5" s="4" t="s">
        <v>1238</v>
      </c>
      <c r="E5" s="4" t="s">
        <v>20</v>
      </c>
      <c r="F5" s="52">
        <v>1.5856669135999999</v>
      </c>
      <c r="G5" s="13">
        <v>6</v>
      </c>
      <c r="H5" s="59">
        <v>13.695500000000001</v>
      </c>
      <c r="I5" s="66" t="s">
        <v>1258</v>
      </c>
      <c r="J5" s="62"/>
      <c r="K5" s="19">
        <f t="shared" si="0"/>
        <v>0</v>
      </c>
      <c r="N5" s="55" t="str">
        <f t="shared" si="1"/>
        <v>-</v>
      </c>
      <c r="O5" s="55" t="str">
        <f t="shared" si="2"/>
        <v>-</v>
      </c>
      <c r="P5" s="56" t="str">
        <f t="shared" si="3"/>
        <v>-</v>
      </c>
      <c r="Q5" s="57" t="str">
        <f t="shared" si="4"/>
        <v>-</v>
      </c>
      <c r="S5" s="57" t="str">
        <f t="shared" si="5"/>
        <v>-</v>
      </c>
    </row>
    <row r="6" spans="1:19" x14ac:dyDescent="0.3">
      <c r="A6" s="5">
        <v>7054184</v>
      </c>
      <c r="B6" s="2">
        <v>50618</v>
      </c>
      <c r="C6" s="3">
        <v>645951506180</v>
      </c>
      <c r="D6" s="4" t="s">
        <v>1239</v>
      </c>
      <c r="E6" s="4" t="s">
        <v>45</v>
      </c>
      <c r="F6" s="52">
        <v>0.84946441799999994</v>
      </c>
      <c r="G6" s="13">
        <v>6</v>
      </c>
      <c r="H6" s="59">
        <v>7.8715000000000002</v>
      </c>
      <c r="I6" s="66" t="s">
        <v>1258</v>
      </c>
      <c r="J6" s="62"/>
      <c r="K6" s="19">
        <f t="shared" si="0"/>
        <v>0</v>
      </c>
      <c r="N6" s="55" t="str">
        <f t="shared" si="1"/>
        <v>-</v>
      </c>
      <c r="O6" s="55" t="str">
        <f t="shared" si="2"/>
        <v>-</v>
      </c>
      <c r="P6" s="56" t="str">
        <f t="shared" si="3"/>
        <v>-</v>
      </c>
      <c r="Q6" s="57" t="str">
        <f t="shared" si="4"/>
        <v>-</v>
      </c>
      <c r="S6" s="57" t="str">
        <f t="shared" si="5"/>
        <v>-</v>
      </c>
    </row>
    <row r="7" spans="1:19" x14ac:dyDescent="0.3">
      <c r="A7" s="5">
        <v>8645616</v>
      </c>
      <c r="B7" s="2">
        <v>64764</v>
      </c>
      <c r="C7" s="3">
        <v>645951647647</v>
      </c>
      <c r="D7" s="4" t="s">
        <v>1241</v>
      </c>
      <c r="E7" s="4" t="s">
        <v>22</v>
      </c>
      <c r="F7" s="52">
        <v>0.18533769119999999</v>
      </c>
      <c r="G7" s="13">
        <v>6</v>
      </c>
      <c r="H7" s="59">
        <v>14.833</v>
      </c>
      <c r="I7" s="66" t="s">
        <v>1258</v>
      </c>
      <c r="J7" s="62"/>
      <c r="K7" s="19">
        <f t="shared" si="0"/>
        <v>0</v>
      </c>
      <c r="N7" s="55" t="str">
        <f t="shared" si="1"/>
        <v>-</v>
      </c>
      <c r="O7" s="55" t="str">
        <f t="shared" si="2"/>
        <v>-</v>
      </c>
      <c r="P7" s="56" t="str">
        <f t="shared" si="3"/>
        <v>-</v>
      </c>
      <c r="Q7" s="57" t="str">
        <f t="shared" si="4"/>
        <v>-</v>
      </c>
      <c r="S7" s="57" t="str">
        <f t="shared" si="5"/>
        <v>-</v>
      </c>
    </row>
    <row r="8" spans="1:19" x14ac:dyDescent="0.3">
      <c r="A8" s="5">
        <v>5249025</v>
      </c>
      <c r="B8" s="2">
        <v>73314</v>
      </c>
      <c r="C8" s="3">
        <v>645951733142</v>
      </c>
      <c r="D8" s="4" t="s">
        <v>1242</v>
      </c>
      <c r="E8" s="4" t="s">
        <v>16</v>
      </c>
      <c r="F8" s="52">
        <v>0.54056826599999996</v>
      </c>
      <c r="G8" s="13">
        <v>6</v>
      </c>
      <c r="H8" s="59">
        <v>9.6914999999999996</v>
      </c>
      <c r="I8" s="66" t="s">
        <v>1258</v>
      </c>
      <c r="J8" s="62"/>
      <c r="K8" s="19">
        <f t="shared" si="0"/>
        <v>0</v>
      </c>
      <c r="N8" s="55" t="str">
        <f t="shared" si="1"/>
        <v>-</v>
      </c>
      <c r="O8" s="55" t="str">
        <f t="shared" si="2"/>
        <v>-</v>
      </c>
      <c r="P8" s="56" t="str">
        <f t="shared" si="3"/>
        <v>-</v>
      </c>
      <c r="Q8" s="57" t="str">
        <f t="shared" si="4"/>
        <v>-</v>
      </c>
      <c r="S8" s="57" t="str">
        <f t="shared" si="5"/>
        <v>-</v>
      </c>
    </row>
    <row r="9" spans="1:19" x14ac:dyDescent="0.3">
      <c r="A9" s="5">
        <v>9120139</v>
      </c>
      <c r="B9" s="2">
        <v>36013</v>
      </c>
      <c r="C9" s="3">
        <v>645951360133</v>
      </c>
      <c r="D9" s="4" t="s">
        <v>1243</v>
      </c>
      <c r="E9" s="4" t="s">
        <v>7</v>
      </c>
      <c r="F9" s="52">
        <v>0.28315480600000004</v>
      </c>
      <c r="G9" s="13">
        <v>6</v>
      </c>
      <c r="H9" s="59">
        <v>9.8734999999999999</v>
      </c>
      <c r="I9" s="66" t="s">
        <v>1258</v>
      </c>
      <c r="J9" s="62"/>
      <c r="K9" s="19">
        <f t="shared" si="0"/>
        <v>0</v>
      </c>
      <c r="N9" s="55" t="str">
        <f t="shared" si="1"/>
        <v>-</v>
      </c>
      <c r="O9" s="55" t="str">
        <f t="shared" si="2"/>
        <v>-</v>
      </c>
      <c r="P9" s="56" t="str">
        <f t="shared" si="3"/>
        <v>-</v>
      </c>
      <c r="Q9" s="57" t="str">
        <f t="shared" si="4"/>
        <v>-</v>
      </c>
      <c r="S9" s="57" t="str">
        <f t="shared" si="5"/>
        <v>-</v>
      </c>
    </row>
    <row r="10" spans="1:19" x14ac:dyDescent="0.3">
      <c r="A10" s="5">
        <v>7459696</v>
      </c>
      <c r="B10" s="2">
        <v>92198</v>
      </c>
      <c r="C10" s="3">
        <v>645951921983</v>
      </c>
      <c r="D10" s="4" t="s">
        <v>1244</v>
      </c>
      <c r="E10" s="4" t="s">
        <v>24</v>
      </c>
      <c r="F10" s="52">
        <v>0.15444807599999999</v>
      </c>
      <c r="G10" s="13">
        <v>6</v>
      </c>
      <c r="H10" s="59">
        <v>6.4610000000000003</v>
      </c>
      <c r="I10" s="66" t="s">
        <v>1258</v>
      </c>
      <c r="J10" s="62"/>
      <c r="K10" s="19">
        <f t="shared" si="0"/>
        <v>0</v>
      </c>
      <c r="N10" s="55" t="str">
        <f t="shared" si="1"/>
        <v>-</v>
      </c>
      <c r="O10" s="55" t="str">
        <f t="shared" si="2"/>
        <v>-</v>
      </c>
      <c r="P10" s="56" t="str">
        <f t="shared" si="3"/>
        <v>-</v>
      </c>
      <c r="Q10" s="57" t="str">
        <f t="shared" si="4"/>
        <v>-</v>
      </c>
      <c r="S10" s="57" t="str">
        <f t="shared" si="5"/>
        <v>-</v>
      </c>
    </row>
    <row r="11" spans="1:19" x14ac:dyDescent="0.3">
      <c r="A11" s="5">
        <v>5323274</v>
      </c>
      <c r="B11" s="2">
        <v>42535</v>
      </c>
      <c r="C11" s="3">
        <v>645951425351</v>
      </c>
      <c r="D11" s="4" t="s">
        <v>1245</v>
      </c>
      <c r="E11" s="4" t="s">
        <v>10</v>
      </c>
      <c r="F11" s="52">
        <v>0.26770999839999998</v>
      </c>
      <c r="G11" s="13">
        <v>6</v>
      </c>
      <c r="H11" s="59">
        <v>20.474999999999998</v>
      </c>
      <c r="I11" s="66" t="s">
        <v>1258</v>
      </c>
      <c r="J11" s="62"/>
      <c r="K11" s="19">
        <f t="shared" si="0"/>
        <v>0</v>
      </c>
      <c r="N11" s="55" t="str">
        <f t="shared" si="1"/>
        <v>-</v>
      </c>
      <c r="O11" s="55" t="str">
        <f t="shared" si="2"/>
        <v>-</v>
      </c>
      <c r="P11" s="56" t="str">
        <f t="shared" si="3"/>
        <v>-</v>
      </c>
      <c r="Q11" s="57" t="str">
        <f t="shared" si="4"/>
        <v>-</v>
      </c>
      <c r="S11" s="57" t="str">
        <f t="shared" si="5"/>
        <v>-</v>
      </c>
    </row>
    <row r="12" spans="1:19" x14ac:dyDescent="0.3">
      <c r="A12" s="5">
        <v>1393588</v>
      </c>
      <c r="B12" s="2">
        <v>98586</v>
      </c>
      <c r="C12" s="3">
        <v>645951985862</v>
      </c>
      <c r="D12" s="4" t="s">
        <v>1246</v>
      </c>
      <c r="E12" s="4" t="s">
        <v>10</v>
      </c>
      <c r="F12" s="52">
        <v>0.17504115280000002</v>
      </c>
      <c r="G12" s="13">
        <v>6</v>
      </c>
      <c r="H12" s="59">
        <v>22.203999999999997</v>
      </c>
      <c r="I12" s="66" t="s">
        <v>1258</v>
      </c>
      <c r="J12" s="62"/>
      <c r="K12" s="19">
        <f t="shared" si="0"/>
        <v>0</v>
      </c>
      <c r="N12" s="55" t="str">
        <f t="shared" si="1"/>
        <v>-</v>
      </c>
      <c r="O12" s="55" t="str">
        <f t="shared" si="2"/>
        <v>-</v>
      </c>
      <c r="P12" s="56" t="str">
        <f t="shared" si="3"/>
        <v>-</v>
      </c>
      <c r="Q12" s="57" t="str">
        <f t="shared" si="4"/>
        <v>-</v>
      </c>
      <c r="S12" s="57" t="str">
        <f t="shared" si="5"/>
        <v>-</v>
      </c>
    </row>
    <row r="13" spans="1:19" x14ac:dyDescent="0.3">
      <c r="A13" s="5">
        <v>4826860</v>
      </c>
      <c r="B13" s="2">
        <v>78725</v>
      </c>
      <c r="C13" s="3">
        <v>645951787251</v>
      </c>
      <c r="D13" s="4" t="s">
        <v>1248</v>
      </c>
      <c r="E13" s="4" t="s">
        <v>18</v>
      </c>
      <c r="F13" s="52">
        <v>0.15444807599999999</v>
      </c>
      <c r="G13" s="13">
        <v>6</v>
      </c>
      <c r="H13" s="59">
        <v>9.2364999999999995</v>
      </c>
      <c r="I13" s="66" t="s">
        <v>1258</v>
      </c>
      <c r="J13" s="62"/>
      <c r="K13" s="19">
        <f t="shared" si="0"/>
        <v>0</v>
      </c>
      <c r="N13" s="55" t="str">
        <f t="shared" si="1"/>
        <v>-</v>
      </c>
      <c r="O13" s="55" t="str">
        <f t="shared" si="2"/>
        <v>-</v>
      </c>
      <c r="P13" s="56" t="str">
        <f t="shared" si="3"/>
        <v>-</v>
      </c>
      <c r="Q13" s="57" t="str">
        <f t="shared" si="4"/>
        <v>-</v>
      </c>
      <c r="S13" s="57" t="str">
        <f t="shared" si="5"/>
        <v>-</v>
      </c>
    </row>
    <row r="14" spans="1:19" x14ac:dyDescent="0.3">
      <c r="A14" s="5">
        <v>5852903</v>
      </c>
      <c r="B14" s="2">
        <v>70576</v>
      </c>
      <c r="C14" s="3">
        <v>645951705767</v>
      </c>
      <c r="D14" s="4" t="s">
        <v>1249</v>
      </c>
      <c r="E14" s="4" t="s">
        <v>16</v>
      </c>
      <c r="F14" s="52">
        <v>0.54571653519999996</v>
      </c>
      <c r="G14" s="13">
        <v>6</v>
      </c>
      <c r="H14" s="59">
        <v>11.284000000000001</v>
      </c>
      <c r="I14" s="66" t="s">
        <v>1258</v>
      </c>
      <c r="J14" s="62"/>
      <c r="K14" s="19">
        <f t="shared" si="0"/>
        <v>0</v>
      </c>
      <c r="N14" s="55" t="str">
        <f t="shared" si="1"/>
        <v>-</v>
      </c>
      <c r="O14" s="55" t="str">
        <f t="shared" si="2"/>
        <v>-</v>
      </c>
      <c r="P14" s="56" t="str">
        <f t="shared" si="3"/>
        <v>-</v>
      </c>
      <c r="Q14" s="57" t="str">
        <f t="shared" si="4"/>
        <v>-</v>
      </c>
      <c r="S14" s="57" t="str">
        <f t="shared" si="5"/>
        <v>-</v>
      </c>
    </row>
    <row r="15" spans="1:19" x14ac:dyDescent="0.3">
      <c r="A15" s="5">
        <v>3636693</v>
      </c>
      <c r="B15" s="2">
        <v>28221</v>
      </c>
      <c r="C15" s="3">
        <v>645951282213</v>
      </c>
      <c r="D15" s="4" t="s">
        <v>1250</v>
      </c>
      <c r="E15" s="4" t="s">
        <v>8</v>
      </c>
      <c r="F15" s="52">
        <v>0.16989288359999999</v>
      </c>
      <c r="G15" s="13">
        <v>6</v>
      </c>
      <c r="H15" s="59">
        <v>5.3234999999999992</v>
      </c>
      <c r="I15" s="66" t="s">
        <v>1258</v>
      </c>
      <c r="J15" s="62"/>
      <c r="K15" s="19">
        <f t="shared" si="0"/>
        <v>0</v>
      </c>
      <c r="N15" s="55" t="str">
        <f t="shared" si="1"/>
        <v>-</v>
      </c>
      <c r="O15" s="55" t="str">
        <f t="shared" si="2"/>
        <v>-</v>
      </c>
      <c r="P15" s="56" t="str">
        <f t="shared" si="3"/>
        <v>-</v>
      </c>
      <c r="Q15" s="57" t="str">
        <f t="shared" si="4"/>
        <v>-</v>
      </c>
      <c r="S15" s="57" t="str">
        <f t="shared" si="5"/>
        <v>-</v>
      </c>
    </row>
    <row r="16" spans="1:19" x14ac:dyDescent="0.3">
      <c r="A16" s="5">
        <v>5511013</v>
      </c>
      <c r="B16" s="2">
        <v>35891</v>
      </c>
      <c r="C16" s="3">
        <v>645951358918</v>
      </c>
      <c r="D16" s="4" t="s">
        <v>1252</v>
      </c>
      <c r="E16" s="4" t="s">
        <v>29</v>
      </c>
      <c r="F16" s="52">
        <v>5.6750000000000002E-2</v>
      </c>
      <c r="G16" s="13">
        <v>6</v>
      </c>
      <c r="H16" s="59">
        <v>6.2789999999999999</v>
      </c>
      <c r="I16" s="66" t="s">
        <v>1258</v>
      </c>
      <c r="J16" s="62"/>
      <c r="K16" s="19">
        <f t="shared" si="0"/>
        <v>0</v>
      </c>
      <c r="N16" s="55" t="str">
        <f t="shared" si="1"/>
        <v>-</v>
      </c>
      <c r="O16" s="55" t="str">
        <f t="shared" si="2"/>
        <v>-</v>
      </c>
      <c r="P16" s="56" t="str">
        <f t="shared" si="3"/>
        <v>-</v>
      </c>
      <c r="Q16" s="57" t="str">
        <f t="shared" si="4"/>
        <v>-</v>
      </c>
      <c r="S16" s="57" t="str">
        <f t="shared" si="5"/>
        <v>-</v>
      </c>
    </row>
    <row r="17" spans="1:19" x14ac:dyDescent="0.3">
      <c r="A17" s="5">
        <v>3792634</v>
      </c>
      <c r="B17" s="2">
        <v>81008</v>
      </c>
      <c r="C17" s="3">
        <v>645951810089</v>
      </c>
      <c r="D17" s="4" t="s">
        <v>1247</v>
      </c>
      <c r="E17" s="4" t="s">
        <v>10</v>
      </c>
      <c r="F17" s="52">
        <v>0.18533769119999999</v>
      </c>
      <c r="G17" s="13">
        <v>6</v>
      </c>
      <c r="H17" s="59">
        <v>23.023</v>
      </c>
      <c r="I17" s="66" t="s">
        <v>1258</v>
      </c>
      <c r="J17" s="62"/>
      <c r="K17" s="19">
        <f t="shared" si="0"/>
        <v>0</v>
      </c>
      <c r="N17" s="55" t="str">
        <f t="shared" si="1"/>
        <v>-</v>
      </c>
      <c r="O17" s="55" t="str">
        <f t="shared" si="2"/>
        <v>-</v>
      </c>
      <c r="P17" s="56" t="str">
        <f t="shared" si="3"/>
        <v>-</v>
      </c>
      <c r="Q17" s="57" t="str">
        <f t="shared" si="4"/>
        <v>-</v>
      </c>
      <c r="S17" s="57" t="str">
        <f t="shared" si="5"/>
        <v>-</v>
      </c>
    </row>
    <row r="18" spans="1:19" x14ac:dyDescent="0.3">
      <c r="A18" s="5">
        <v>8501027</v>
      </c>
      <c r="B18" s="2">
        <v>82130</v>
      </c>
      <c r="C18" s="3">
        <v>645951821306</v>
      </c>
      <c r="D18" s="4" t="s">
        <v>1251</v>
      </c>
      <c r="E18" s="4" t="s">
        <v>34</v>
      </c>
      <c r="F18" s="52">
        <v>8.2372307199999995E-2</v>
      </c>
      <c r="G18" s="13">
        <v>6</v>
      </c>
      <c r="H18" s="59">
        <v>21.612499999999997</v>
      </c>
      <c r="I18" s="66" t="s">
        <v>1258</v>
      </c>
      <c r="J18" s="62"/>
      <c r="K18" s="19">
        <f t="shared" si="0"/>
        <v>0</v>
      </c>
      <c r="N18" s="55" t="str">
        <f t="shared" si="1"/>
        <v>-</v>
      </c>
      <c r="O18" s="55" t="str">
        <f t="shared" si="2"/>
        <v>-</v>
      </c>
      <c r="P18" s="56" t="str">
        <f t="shared" si="3"/>
        <v>-</v>
      </c>
      <c r="Q18" s="57" t="str">
        <f t="shared" si="4"/>
        <v>-</v>
      </c>
      <c r="S18" s="57" t="str">
        <f t="shared" si="5"/>
        <v>-</v>
      </c>
    </row>
    <row r="19" spans="1:19" x14ac:dyDescent="0.3">
      <c r="A19" s="5">
        <v>9934268</v>
      </c>
      <c r="B19" s="2">
        <v>74422</v>
      </c>
      <c r="C19" s="3">
        <v>645951744223</v>
      </c>
      <c r="D19" s="4" t="s">
        <v>1253</v>
      </c>
      <c r="E19" s="4" t="s">
        <v>21</v>
      </c>
      <c r="F19" s="52">
        <v>0.10296538400000001</v>
      </c>
      <c r="G19" s="13">
        <v>6</v>
      </c>
      <c r="H19" s="59">
        <v>13.649999999999999</v>
      </c>
      <c r="I19" s="66" t="s">
        <v>1258</v>
      </c>
      <c r="J19" s="62"/>
      <c r="K19" s="19">
        <f t="shared" si="0"/>
        <v>0</v>
      </c>
      <c r="N19" s="55" t="str">
        <f t="shared" si="1"/>
        <v>-</v>
      </c>
      <c r="O19" s="55" t="str">
        <f t="shared" si="2"/>
        <v>-</v>
      </c>
      <c r="P19" s="56" t="str">
        <f t="shared" si="3"/>
        <v>-</v>
      </c>
      <c r="Q19" s="57" t="str">
        <f t="shared" si="4"/>
        <v>-</v>
      </c>
      <c r="S19" s="57" t="str">
        <f t="shared" si="5"/>
        <v>-</v>
      </c>
    </row>
    <row r="20" spans="1:19" x14ac:dyDescent="0.3">
      <c r="A20" s="5">
        <v>4911031</v>
      </c>
      <c r="B20" s="2">
        <v>99581</v>
      </c>
      <c r="C20" s="3">
        <v>645951995816</v>
      </c>
      <c r="D20" s="4" t="s">
        <v>1254</v>
      </c>
      <c r="E20" s="4" t="s">
        <v>13</v>
      </c>
      <c r="F20" s="52">
        <v>0.13385499919999999</v>
      </c>
      <c r="G20" s="13">
        <v>6</v>
      </c>
      <c r="H20" s="59">
        <v>13.8775</v>
      </c>
      <c r="I20" s="66" t="s">
        <v>1258</v>
      </c>
      <c r="J20" s="62"/>
      <c r="K20" s="19">
        <f t="shared" si="0"/>
        <v>0</v>
      </c>
      <c r="N20" s="55" t="str">
        <f t="shared" si="1"/>
        <v>-</v>
      </c>
      <c r="O20" s="55" t="str">
        <f t="shared" si="2"/>
        <v>-</v>
      </c>
      <c r="P20" s="56" t="str">
        <f t="shared" si="3"/>
        <v>-</v>
      </c>
      <c r="Q20" s="57" t="str">
        <f t="shared" si="4"/>
        <v>-</v>
      </c>
      <c r="S20" s="57" t="str">
        <f t="shared" si="5"/>
        <v>-</v>
      </c>
    </row>
    <row r="21" spans="1:19" x14ac:dyDescent="0.3">
      <c r="A21" s="5">
        <v>3826590</v>
      </c>
      <c r="B21" s="2">
        <v>55642</v>
      </c>
      <c r="C21" s="3">
        <v>645951556420</v>
      </c>
      <c r="D21" s="4" t="s">
        <v>1255</v>
      </c>
      <c r="E21" s="4" t="s">
        <v>13</v>
      </c>
      <c r="F21" s="52">
        <v>0.14415153760000002</v>
      </c>
      <c r="G21" s="13">
        <v>6</v>
      </c>
      <c r="H21" s="59">
        <v>11.7845</v>
      </c>
      <c r="I21" s="66" t="s">
        <v>1258</v>
      </c>
      <c r="J21" s="62"/>
      <c r="K21" s="19">
        <f t="shared" si="0"/>
        <v>0</v>
      </c>
      <c r="N21" s="55" t="str">
        <f t="shared" si="1"/>
        <v>-</v>
      </c>
      <c r="O21" s="55" t="str">
        <f t="shared" si="2"/>
        <v>-</v>
      </c>
      <c r="P21" s="56" t="str">
        <f t="shared" si="3"/>
        <v>-</v>
      </c>
      <c r="Q21" s="57" t="str">
        <f t="shared" si="4"/>
        <v>-</v>
      </c>
      <c r="S21" s="57" t="str">
        <f t="shared" si="5"/>
        <v>-</v>
      </c>
    </row>
    <row r="22" spans="1:19" ht="15" thickBot="1" x14ac:dyDescent="0.35">
      <c r="A22" s="21">
        <v>4728310</v>
      </c>
      <c r="B22" s="22">
        <v>71311</v>
      </c>
      <c r="C22" s="23">
        <v>645951713113</v>
      </c>
      <c r="D22" s="24" t="s">
        <v>1256</v>
      </c>
      <c r="E22" s="24" t="s">
        <v>32</v>
      </c>
      <c r="F22" s="53">
        <v>0.18018942199999999</v>
      </c>
      <c r="G22" s="25">
        <v>6</v>
      </c>
      <c r="H22" s="60">
        <v>8.7359999999999989</v>
      </c>
      <c r="I22" s="67" t="s">
        <v>1258</v>
      </c>
      <c r="J22" s="63"/>
      <c r="K22" s="26">
        <f t="shared" si="0"/>
        <v>0</v>
      </c>
      <c r="N22" s="55" t="str">
        <f t="shared" si="1"/>
        <v>-</v>
      </c>
      <c r="O22" s="55" t="str">
        <f t="shared" si="2"/>
        <v>-</v>
      </c>
      <c r="P22" s="56" t="str">
        <f t="shared" si="3"/>
        <v>-</v>
      </c>
      <c r="Q22" s="57" t="str">
        <f t="shared" si="4"/>
        <v>-</v>
      </c>
      <c r="S22" s="57" t="str">
        <f t="shared" si="5"/>
        <v>-</v>
      </c>
    </row>
    <row r="23" spans="1:19" x14ac:dyDescent="0.3">
      <c r="P23" s="56"/>
    </row>
    <row r="24" spans="1:19" ht="15" thickBot="1" x14ac:dyDescent="0.35"/>
    <row r="25" spans="1:19" ht="26.4" customHeight="1" thickBot="1" x14ac:dyDescent="0.35">
      <c r="C25" s="93" t="e" vm="1">
        <v>#VALUE!</v>
      </c>
      <c r="D25" s="94"/>
    </row>
    <row r="26" spans="1:19" x14ac:dyDescent="0.3">
      <c r="C26" s="95" t="s">
        <v>46</v>
      </c>
      <c r="D26" s="96"/>
    </row>
    <row r="27" spans="1:19" x14ac:dyDescent="0.3">
      <c r="C27" s="97" t="s">
        <v>47</v>
      </c>
      <c r="D27" s="98"/>
    </row>
    <row r="28" spans="1:19" ht="15" thickBot="1" x14ac:dyDescent="0.35">
      <c r="C28" s="99" t="s">
        <v>39</v>
      </c>
      <c r="D28" s="100"/>
    </row>
    <row r="29" spans="1:19" x14ac:dyDescent="0.3">
      <c r="C29" s="85" t="s">
        <v>40</v>
      </c>
      <c r="D29" s="86"/>
    </row>
    <row r="30" spans="1:19" ht="15" thickBot="1" x14ac:dyDescent="0.35">
      <c r="C30" s="87" t="s">
        <v>41</v>
      </c>
      <c r="D30" s="88"/>
    </row>
  </sheetData>
  <sheetProtection algorithmName="SHA-512" hashValue="JC6sBmZNwZl75PwQux7JC6s9POulAmJRL6Z0eGmGRbSkDTGzpur1D0n+PbOMu4SJr4sKSJ/osNClJgDGc+TrJQ==" saltValue="ntxh0aKSMOZkG2XoufRx7A==" spinCount="100000" sheet="1" formatCells="0" formatColumns="0" formatRows="0" insertColumns="0" insertRows="0" insertHyperlinks="0" deleteColumns="0" deleteRows="0" sort="0" autoFilter="0" pivotTables="0"/>
  <autoFilter ref="A2:L2" xr:uid="{58F20507-3EAF-4D76-94A3-FCEA062D88DE}">
    <sortState xmlns:xlrd2="http://schemas.microsoft.com/office/spreadsheetml/2017/richdata2" ref="A3:L22">
      <sortCondition ref="I2"/>
    </sortState>
  </autoFilter>
  <mergeCells count="8">
    <mergeCell ref="C29:D29"/>
    <mergeCell ref="C30:D30"/>
    <mergeCell ref="A1:K1"/>
    <mergeCell ref="O1:O2"/>
    <mergeCell ref="C25:D25"/>
    <mergeCell ref="C26:D26"/>
    <mergeCell ref="C27:D27"/>
    <mergeCell ref="C28:D28"/>
  </mergeCells>
  <conditionalFormatting sqref="I2">
    <cfRule type="containsText" dxfId="9" priority="17" operator="containsText" text="Please">
      <formula>NOT(ISERROR(SEARCH("Please",I2)))</formula>
    </cfRule>
  </conditionalFormatting>
  <conditionalFormatting sqref="I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22">
    <cfRule type="containsText" dxfId="8" priority="1" operator="containsText" text="В">
      <formula>NOT(ISERROR(SEARCH("В",I3)))</formula>
    </cfRule>
    <cfRule type="containsText" dxfId="7" priority="2" operator="containsText" text="А">
      <formula>NOT(ISERROR(SEARCH("А",I3)))</formula>
    </cfRule>
    <cfRule type="containsText" dxfId="6" priority="3" operator="containsText" text="С">
      <formula>NOT(ISERROR(SEARCH("С",I3)))</formula>
    </cfRule>
  </conditionalFormatting>
  <conditionalFormatting sqref="I4:I2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:I2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">
    <cfRule type="expression" dxfId="5" priority="18">
      <formula>"&gt;0"</formula>
    </cfRule>
  </conditionalFormatting>
  <dataValidations count="1">
    <dataValidation type="custom" allowBlank="1" showInputMessage="1" showErrorMessage="1" errorTitle="ERROR" error="Order quantity must be a multiple of Sales per Unit Case (See Column G)." prompt="Order quantity must be a multiple of Sales per Unit Case (See Column G)." sqref="J3:J22" xr:uid="{8199C2B2-E021-4218-9EF1-8D05AE0C8C0E}">
      <formula1>MOD(J3,G3)=0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DD75E-0ED7-4BCF-815B-140B1C39CE1D}">
  <dimension ref="A1:S1081"/>
  <sheetViews>
    <sheetView zoomScale="85" zoomScaleNormal="85" workbookViewId="0">
      <pane ySplit="2" topLeftCell="A3" activePane="bottomLeft" state="frozen"/>
      <selection pane="bottomLeft" activeCell="L6" sqref="L6"/>
    </sheetView>
  </sheetViews>
  <sheetFormatPr defaultRowHeight="14.4" x14ac:dyDescent="0.3"/>
  <cols>
    <col min="3" max="3" width="13.5546875" style="47" bestFit="1" customWidth="1"/>
    <col min="4" max="4" width="54.88671875" style="48" bestFit="1" customWidth="1"/>
    <col min="5" max="6" width="10.5546875" style="48" customWidth="1"/>
    <col min="7" max="7" width="15" style="48" bestFit="1" customWidth="1"/>
    <col min="8" max="8" width="15" style="48" customWidth="1"/>
    <col min="9" max="9" width="10.44140625" style="49" customWidth="1"/>
    <col min="10" max="10" width="10.6640625" style="50" customWidth="1"/>
    <col min="11" max="11" width="14.21875" style="48" bestFit="1" customWidth="1"/>
    <col min="12" max="12" width="17.6640625" style="48" bestFit="1" customWidth="1"/>
    <col min="15" max="15" width="12.21875" bestFit="1" customWidth="1"/>
    <col min="16" max="16" width="12.109375" bestFit="1" customWidth="1"/>
    <col min="17" max="17" width="14" bestFit="1" customWidth="1"/>
    <col min="19" max="19" width="12.88671875" bestFit="1" customWidth="1"/>
  </cols>
  <sheetData>
    <row r="1" spans="1:19" ht="75.599999999999994" customHeight="1" thickBot="1" x14ac:dyDescent="0.35">
      <c r="A1" s="107" t="s">
        <v>1260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27">
        <v>46142</v>
      </c>
      <c r="N1" s="28" t="s">
        <v>48</v>
      </c>
      <c r="O1" s="91" t="s">
        <v>49</v>
      </c>
      <c r="P1" s="29" t="s">
        <v>50</v>
      </c>
      <c r="Q1" s="30" t="s">
        <v>51</v>
      </c>
      <c r="S1" s="31" t="str">
        <f>IFERROR(IF(SUM(S3:S1072)=0, "-", L2+Q2), "-")</f>
        <v>-</v>
      </c>
    </row>
    <row r="2" spans="1:19" s="32" customFormat="1" ht="37.799999999999997" customHeight="1" thickBot="1" x14ac:dyDescent="0.35">
      <c r="A2" s="71" t="s">
        <v>0</v>
      </c>
      <c r="B2" s="68" t="s">
        <v>1</v>
      </c>
      <c r="C2" s="68" t="s">
        <v>2</v>
      </c>
      <c r="D2" s="68" t="s">
        <v>52</v>
      </c>
      <c r="E2" s="68" t="s">
        <v>50</v>
      </c>
      <c r="F2" s="68" t="s">
        <v>1261</v>
      </c>
      <c r="G2" s="68" t="s">
        <v>4</v>
      </c>
      <c r="H2" s="68" t="s">
        <v>1262</v>
      </c>
      <c r="I2" s="68" t="s">
        <v>53</v>
      </c>
      <c r="J2" s="68" t="s">
        <v>37</v>
      </c>
      <c r="K2" s="72" t="s">
        <v>38</v>
      </c>
      <c r="L2" s="73">
        <f>SUM(K3:K1072)</f>
        <v>0</v>
      </c>
      <c r="N2" s="33"/>
      <c r="O2" s="92"/>
      <c r="P2" s="34" t="str">
        <f>IF(SUM(P3:P1072)=0, "-", SUM(P3:P1072))</f>
        <v>-</v>
      </c>
      <c r="Q2" s="35" t="str">
        <f>IF(SUM(Q3:Q1072)=0, "-", SUM(Q3:Q1072))</f>
        <v>-</v>
      </c>
      <c r="S2" s="36" t="s">
        <v>54</v>
      </c>
    </row>
    <row r="3" spans="1:19" ht="15" x14ac:dyDescent="0.3">
      <c r="A3" s="74">
        <v>2121643</v>
      </c>
      <c r="B3" s="37">
        <v>39022</v>
      </c>
      <c r="C3" s="69">
        <v>21245390220</v>
      </c>
      <c r="D3" s="38" t="s">
        <v>55</v>
      </c>
      <c r="E3" s="64">
        <v>0.25741345999999998</v>
      </c>
      <c r="F3" s="70">
        <v>6</v>
      </c>
      <c r="G3" s="38" t="s">
        <v>56</v>
      </c>
      <c r="H3" s="66" t="s">
        <v>1259</v>
      </c>
      <c r="I3" s="39">
        <v>14.088750000000001</v>
      </c>
      <c r="J3" s="40"/>
      <c r="K3" s="75">
        <f t="shared" ref="K3:K66" si="0">J3*I3</f>
        <v>0</v>
      </c>
      <c r="L3" s="41"/>
      <c r="N3" s="42" t="str">
        <f t="shared" ref="N3:N66" si="1">IFERROR(IF($N$2*E3=0, "-", $N$2*E3), "-")</f>
        <v>-</v>
      </c>
      <c r="O3" s="42" t="str">
        <f>IFERROR(IF(N3&gt;0,I3+N3,"-"),"-")</f>
        <v>-</v>
      </c>
      <c r="P3" s="43" t="str">
        <f t="shared" ref="P3:P66" si="2">IF(J3&gt;0,J3*E3, "-")</f>
        <v>-</v>
      </c>
      <c r="Q3" s="44" t="str">
        <f t="shared" ref="Q3:Q66" si="3">IFERROR(IF($N$2&gt;0, $N$2*P3, "-"), "-")</f>
        <v>-</v>
      </c>
      <c r="S3" s="44" t="str">
        <f t="shared" ref="S3:S66" si="4">IFERROR(IF(Q3+K3=0, "-", IF(Q3&gt;0, Q3+K3, "-")), "-")</f>
        <v>-</v>
      </c>
    </row>
    <row r="4" spans="1:19" ht="15" x14ac:dyDescent="0.3">
      <c r="A4" s="74">
        <v>5888001</v>
      </c>
      <c r="B4" s="37">
        <v>36975</v>
      </c>
      <c r="C4" s="69">
        <v>21245369752</v>
      </c>
      <c r="D4" s="38" t="s">
        <v>57</v>
      </c>
      <c r="E4" s="64">
        <v>0.20593076800000001</v>
      </c>
      <c r="F4" s="70">
        <v>6</v>
      </c>
      <c r="G4" s="38" t="s">
        <v>58</v>
      </c>
      <c r="H4" s="66" t="s">
        <v>1259</v>
      </c>
      <c r="I4" s="39">
        <v>12.285</v>
      </c>
      <c r="J4" s="40"/>
      <c r="K4" s="75">
        <f t="shared" si="0"/>
        <v>0</v>
      </c>
      <c r="L4" s="41"/>
      <c r="N4" s="45" t="str">
        <f t="shared" si="1"/>
        <v>-</v>
      </c>
      <c r="O4" s="42" t="str">
        <f t="shared" ref="O4:O67" si="5">IFERROR(IF(N4&gt;0,I4+N4,"-"),"-")</f>
        <v>-</v>
      </c>
      <c r="P4" s="43" t="str">
        <f t="shared" si="2"/>
        <v>-</v>
      </c>
      <c r="Q4" s="46" t="str">
        <f t="shared" si="3"/>
        <v>-</v>
      </c>
      <c r="S4" s="46" t="str">
        <f t="shared" si="4"/>
        <v>-</v>
      </c>
    </row>
    <row r="5" spans="1:19" ht="15" x14ac:dyDescent="0.3">
      <c r="A5" s="74">
        <v>3124161</v>
      </c>
      <c r="B5" s="37">
        <v>61832</v>
      </c>
      <c r="C5" s="69">
        <v>21245618324</v>
      </c>
      <c r="D5" s="38" t="s">
        <v>59</v>
      </c>
      <c r="E5" s="64">
        <v>0.40156499760000003</v>
      </c>
      <c r="F5" s="70">
        <v>6</v>
      </c>
      <c r="G5" s="38" t="s">
        <v>60</v>
      </c>
      <c r="H5" s="66" t="s">
        <v>1259</v>
      </c>
      <c r="I5" s="39">
        <v>21.352499999999999</v>
      </c>
      <c r="J5" s="40"/>
      <c r="K5" s="75">
        <f t="shared" si="0"/>
        <v>0</v>
      </c>
      <c r="L5" s="41"/>
      <c r="N5" s="45" t="str">
        <f t="shared" si="1"/>
        <v>-</v>
      </c>
      <c r="O5" s="42" t="str">
        <f t="shared" si="5"/>
        <v>-</v>
      </c>
      <c r="P5" s="43" t="str">
        <f t="shared" si="2"/>
        <v>-</v>
      </c>
      <c r="Q5" s="46" t="str">
        <f t="shared" si="3"/>
        <v>-</v>
      </c>
      <c r="S5" s="46" t="str">
        <f t="shared" si="4"/>
        <v>-</v>
      </c>
    </row>
    <row r="6" spans="1:19" ht="15" x14ac:dyDescent="0.3">
      <c r="A6" s="74">
        <v>5361442</v>
      </c>
      <c r="B6" s="37">
        <v>81309</v>
      </c>
      <c r="C6" s="69">
        <v>21245813095</v>
      </c>
      <c r="D6" s="38" t="s">
        <v>61</v>
      </c>
      <c r="E6" s="64">
        <v>0.21107903719999999</v>
      </c>
      <c r="F6" s="70">
        <v>6</v>
      </c>
      <c r="G6" s="38" t="s">
        <v>58</v>
      </c>
      <c r="H6" s="66" t="s">
        <v>1259</v>
      </c>
      <c r="I6" s="39">
        <v>10.627500000000001</v>
      </c>
      <c r="J6" s="40"/>
      <c r="K6" s="75">
        <f t="shared" si="0"/>
        <v>0</v>
      </c>
      <c r="L6" s="41"/>
      <c r="N6" s="45" t="str">
        <f t="shared" si="1"/>
        <v>-</v>
      </c>
      <c r="O6" s="42" t="str">
        <f t="shared" si="5"/>
        <v>-</v>
      </c>
      <c r="P6" s="43" t="str">
        <f t="shared" si="2"/>
        <v>-</v>
      </c>
      <c r="Q6" s="46" t="str">
        <f t="shared" si="3"/>
        <v>-</v>
      </c>
      <c r="S6" s="46" t="str">
        <f t="shared" si="4"/>
        <v>-</v>
      </c>
    </row>
    <row r="7" spans="1:19" ht="15" x14ac:dyDescent="0.3">
      <c r="A7" s="74">
        <v>2004612</v>
      </c>
      <c r="B7" s="37">
        <v>86331</v>
      </c>
      <c r="C7" s="69">
        <v>21245863311</v>
      </c>
      <c r="D7" s="38" t="s">
        <v>67</v>
      </c>
      <c r="E7" s="64">
        <v>7.2075768800000009E-2</v>
      </c>
      <c r="F7" s="70">
        <v>12</v>
      </c>
      <c r="G7" s="38" t="s">
        <v>68</v>
      </c>
      <c r="H7" s="66" t="s">
        <v>1259</v>
      </c>
      <c r="I7" s="39">
        <v>8.0437499999999993</v>
      </c>
      <c r="J7" s="40"/>
      <c r="K7" s="75">
        <f t="shared" si="0"/>
        <v>0</v>
      </c>
      <c r="L7" s="41"/>
      <c r="N7" s="45" t="str">
        <f t="shared" si="1"/>
        <v>-</v>
      </c>
      <c r="O7" s="42" t="str">
        <f t="shared" si="5"/>
        <v>-</v>
      </c>
      <c r="P7" s="43" t="str">
        <f t="shared" si="2"/>
        <v>-</v>
      </c>
      <c r="Q7" s="46" t="str">
        <f t="shared" si="3"/>
        <v>-</v>
      </c>
      <c r="S7" s="46" t="str">
        <f t="shared" si="4"/>
        <v>-</v>
      </c>
    </row>
    <row r="8" spans="1:19" ht="15" x14ac:dyDescent="0.3">
      <c r="A8" s="74">
        <v>5045577</v>
      </c>
      <c r="B8" s="37">
        <v>38038</v>
      </c>
      <c r="C8" s="69">
        <v>21245380382</v>
      </c>
      <c r="D8" s="38" t="s">
        <v>67</v>
      </c>
      <c r="E8" s="64">
        <v>5.6750000000000002E-2</v>
      </c>
      <c r="F8" s="70">
        <v>12</v>
      </c>
      <c r="G8" s="38" t="s">
        <v>69</v>
      </c>
      <c r="H8" s="66" t="s">
        <v>1259</v>
      </c>
      <c r="I8" s="39">
        <v>5.0212500000000002</v>
      </c>
      <c r="J8" s="40"/>
      <c r="K8" s="75">
        <f t="shared" si="0"/>
        <v>0</v>
      </c>
      <c r="L8" s="41"/>
      <c r="N8" s="45" t="str">
        <f t="shared" si="1"/>
        <v>-</v>
      </c>
      <c r="O8" s="42" t="str">
        <f t="shared" si="5"/>
        <v>-</v>
      </c>
      <c r="P8" s="43" t="str">
        <f t="shared" si="2"/>
        <v>-</v>
      </c>
      <c r="Q8" s="46" t="str">
        <f t="shared" si="3"/>
        <v>-</v>
      </c>
      <c r="S8" s="46" t="str">
        <f t="shared" si="4"/>
        <v>-</v>
      </c>
    </row>
    <row r="9" spans="1:19" ht="15" x14ac:dyDescent="0.3">
      <c r="A9" s="74">
        <v>8606880</v>
      </c>
      <c r="B9" s="37">
        <v>57109</v>
      </c>
      <c r="C9" s="69">
        <v>21245571094</v>
      </c>
      <c r="D9" s="38" t="s">
        <v>72</v>
      </c>
      <c r="E9" s="64">
        <v>0.22137557559999999</v>
      </c>
      <c r="F9" s="70">
        <v>6</v>
      </c>
      <c r="G9" s="38" t="s">
        <v>74</v>
      </c>
      <c r="H9" s="66" t="s">
        <v>1259</v>
      </c>
      <c r="I9" s="39">
        <v>6.6787499999999991</v>
      </c>
      <c r="J9" s="40"/>
      <c r="K9" s="75">
        <f t="shared" si="0"/>
        <v>0</v>
      </c>
      <c r="L9" s="41"/>
      <c r="N9" s="45" t="str">
        <f t="shared" si="1"/>
        <v>-</v>
      </c>
      <c r="O9" s="42" t="str">
        <f t="shared" si="5"/>
        <v>-</v>
      </c>
      <c r="P9" s="43" t="str">
        <f t="shared" si="2"/>
        <v>-</v>
      </c>
      <c r="Q9" s="46" t="str">
        <f t="shared" si="3"/>
        <v>-</v>
      </c>
      <c r="S9" s="46" t="str">
        <f t="shared" si="4"/>
        <v>-</v>
      </c>
    </row>
    <row r="10" spans="1:19" ht="15" x14ac:dyDescent="0.3">
      <c r="A10" s="74">
        <v>7788583</v>
      </c>
      <c r="B10" s="37">
        <v>13455</v>
      </c>
      <c r="C10" s="69">
        <v>21245134558</v>
      </c>
      <c r="D10" s="38" t="s">
        <v>89</v>
      </c>
      <c r="E10" s="64">
        <v>0.13385499919999999</v>
      </c>
      <c r="F10" s="70">
        <v>12</v>
      </c>
      <c r="G10" s="38" t="s">
        <v>90</v>
      </c>
      <c r="H10" s="66" t="s">
        <v>1259</v>
      </c>
      <c r="I10" s="39">
        <v>5.5575000000000001</v>
      </c>
      <c r="J10" s="40"/>
      <c r="K10" s="75">
        <f t="shared" si="0"/>
        <v>0</v>
      </c>
      <c r="L10" s="41"/>
      <c r="N10" s="45" t="str">
        <f t="shared" si="1"/>
        <v>-</v>
      </c>
      <c r="O10" s="42" t="str">
        <f t="shared" si="5"/>
        <v>-</v>
      </c>
      <c r="P10" s="43" t="str">
        <f t="shared" si="2"/>
        <v>-</v>
      </c>
      <c r="Q10" s="46" t="str">
        <f t="shared" si="3"/>
        <v>-</v>
      </c>
      <c r="S10" s="46" t="str">
        <f t="shared" si="4"/>
        <v>-</v>
      </c>
    </row>
    <row r="11" spans="1:19" ht="15" x14ac:dyDescent="0.3">
      <c r="A11" s="74">
        <v>8469401</v>
      </c>
      <c r="B11" s="37">
        <v>30686</v>
      </c>
      <c r="C11" s="69">
        <v>21245306863</v>
      </c>
      <c r="D11" s="38" t="s">
        <v>132</v>
      </c>
      <c r="E11" s="64">
        <v>5.6750000000000002E-2</v>
      </c>
      <c r="F11" s="70">
        <v>12</v>
      </c>
      <c r="G11" s="38" t="s">
        <v>133</v>
      </c>
      <c r="H11" s="66" t="s">
        <v>1259</v>
      </c>
      <c r="I11" s="39">
        <v>7.1662499999999998</v>
      </c>
      <c r="J11" s="40"/>
      <c r="K11" s="75">
        <f t="shared" si="0"/>
        <v>0</v>
      </c>
      <c r="L11" s="41"/>
      <c r="N11" s="45" t="str">
        <f t="shared" si="1"/>
        <v>-</v>
      </c>
      <c r="O11" s="42" t="str">
        <f t="shared" si="5"/>
        <v>-</v>
      </c>
      <c r="P11" s="43" t="str">
        <f t="shared" si="2"/>
        <v>-</v>
      </c>
      <c r="Q11" s="46" t="str">
        <f t="shared" si="3"/>
        <v>-</v>
      </c>
      <c r="S11" s="46" t="str">
        <f t="shared" si="4"/>
        <v>-</v>
      </c>
    </row>
    <row r="12" spans="1:19" ht="15" x14ac:dyDescent="0.3">
      <c r="A12" s="74">
        <v>2235308</v>
      </c>
      <c r="B12" s="37">
        <v>74810</v>
      </c>
      <c r="C12" s="69">
        <v>21245748106</v>
      </c>
      <c r="D12" s="38" t="s">
        <v>138</v>
      </c>
      <c r="E12" s="64">
        <v>0.17504115280000002</v>
      </c>
      <c r="F12" s="70">
        <v>6</v>
      </c>
      <c r="G12" s="38" t="s">
        <v>34</v>
      </c>
      <c r="H12" s="66" t="s">
        <v>1259</v>
      </c>
      <c r="I12" s="39">
        <v>11.846250000000001</v>
      </c>
      <c r="J12" s="40"/>
      <c r="K12" s="75">
        <f t="shared" si="0"/>
        <v>0</v>
      </c>
      <c r="L12" s="41"/>
      <c r="N12" s="45" t="str">
        <f t="shared" si="1"/>
        <v>-</v>
      </c>
      <c r="O12" s="42" t="str">
        <f t="shared" si="5"/>
        <v>-</v>
      </c>
      <c r="P12" s="43" t="str">
        <f t="shared" si="2"/>
        <v>-</v>
      </c>
      <c r="Q12" s="46" t="str">
        <f t="shared" si="3"/>
        <v>-</v>
      </c>
      <c r="S12" s="46" t="str">
        <f t="shared" si="4"/>
        <v>-</v>
      </c>
    </row>
    <row r="13" spans="1:19" ht="15" x14ac:dyDescent="0.3">
      <c r="A13" s="74">
        <v>9027423</v>
      </c>
      <c r="B13" s="37">
        <v>61879</v>
      </c>
      <c r="C13" s="69">
        <v>21245618799</v>
      </c>
      <c r="D13" s="38" t="s">
        <v>62</v>
      </c>
      <c r="E13" s="64">
        <v>0.27285826759999998</v>
      </c>
      <c r="F13" s="70">
        <v>6</v>
      </c>
      <c r="G13" s="38" t="s">
        <v>63</v>
      </c>
      <c r="H13" s="66" t="s">
        <v>1263</v>
      </c>
      <c r="I13" s="39">
        <v>12.723749999999999</v>
      </c>
      <c r="J13" s="40"/>
      <c r="K13" s="75">
        <f t="shared" si="0"/>
        <v>0</v>
      </c>
      <c r="L13" s="41"/>
      <c r="N13" s="45" t="str">
        <f t="shared" si="1"/>
        <v>-</v>
      </c>
      <c r="O13" s="42" t="str">
        <f t="shared" si="5"/>
        <v>-</v>
      </c>
      <c r="P13" s="43" t="str">
        <f t="shared" si="2"/>
        <v>-</v>
      </c>
      <c r="Q13" s="46" t="str">
        <f t="shared" si="3"/>
        <v>-</v>
      </c>
      <c r="S13" s="46" t="str">
        <f t="shared" si="4"/>
        <v>-</v>
      </c>
    </row>
    <row r="14" spans="1:19" ht="15" x14ac:dyDescent="0.3">
      <c r="A14" s="74">
        <v>9248808</v>
      </c>
      <c r="B14" s="37">
        <v>27193</v>
      </c>
      <c r="C14" s="69">
        <v>21245271932</v>
      </c>
      <c r="D14" s="38" t="s">
        <v>65</v>
      </c>
      <c r="E14" s="64">
        <v>0.15444807599999999</v>
      </c>
      <c r="F14" s="70">
        <v>6</v>
      </c>
      <c r="G14" s="38" t="s">
        <v>66</v>
      </c>
      <c r="H14" s="66" t="s">
        <v>1263</v>
      </c>
      <c r="I14" s="39">
        <v>26.384999999999998</v>
      </c>
      <c r="J14" s="40"/>
      <c r="K14" s="75">
        <f t="shared" si="0"/>
        <v>0</v>
      </c>
      <c r="L14" s="41"/>
      <c r="N14" s="45" t="str">
        <f t="shared" si="1"/>
        <v>-</v>
      </c>
      <c r="O14" s="42" t="str">
        <f t="shared" si="5"/>
        <v>-</v>
      </c>
      <c r="P14" s="43" t="str">
        <f t="shared" si="2"/>
        <v>-</v>
      </c>
      <c r="Q14" s="46" t="str">
        <f t="shared" si="3"/>
        <v>-</v>
      </c>
      <c r="S14" s="46" t="str">
        <f t="shared" si="4"/>
        <v>-</v>
      </c>
    </row>
    <row r="15" spans="1:19" ht="15" x14ac:dyDescent="0.3">
      <c r="A15" s="74">
        <v>9398657</v>
      </c>
      <c r="B15" s="37">
        <v>41369</v>
      </c>
      <c r="C15" s="69">
        <v>21245413691</v>
      </c>
      <c r="D15" s="38" t="s">
        <v>70</v>
      </c>
      <c r="E15" s="64">
        <v>0.14415153760000002</v>
      </c>
      <c r="F15" s="70">
        <v>6</v>
      </c>
      <c r="G15" s="38" t="s">
        <v>71</v>
      </c>
      <c r="H15" s="66" t="s">
        <v>1263</v>
      </c>
      <c r="I15" s="39">
        <v>11.26125</v>
      </c>
      <c r="J15" s="40"/>
      <c r="K15" s="75">
        <f t="shared" si="0"/>
        <v>0</v>
      </c>
      <c r="L15" s="41"/>
      <c r="N15" s="45" t="str">
        <f t="shared" si="1"/>
        <v>-</v>
      </c>
      <c r="O15" s="42" t="str">
        <f t="shared" si="5"/>
        <v>-</v>
      </c>
      <c r="P15" s="43" t="str">
        <f t="shared" si="2"/>
        <v>-</v>
      </c>
      <c r="Q15" s="46" t="str">
        <f t="shared" si="3"/>
        <v>-</v>
      </c>
      <c r="S15" s="46" t="str">
        <f t="shared" si="4"/>
        <v>-</v>
      </c>
    </row>
    <row r="16" spans="1:19" ht="15" x14ac:dyDescent="0.3">
      <c r="A16" s="74">
        <v>4517065</v>
      </c>
      <c r="B16" s="37">
        <v>14126</v>
      </c>
      <c r="C16" s="69">
        <v>21245141266</v>
      </c>
      <c r="D16" s="38" t="s">
        <v>72</v>
      </c>
      <c r="E16" s="64">
        <v>0.43245461279999997</v>
      </c>
      <c r="F16" s="70">
        <v>6</v>
      </c>
      <c r="G16" s="38" t="s">
        <v>73</v>
      </c>
      <c r="H16" s="66" t="s">
        <v>1263</v>
      </c>
      <c r="I16" s="39">
        <v>11.26125</v>
      </c>
      <c r="J16" s="40"/>
      <c r="K16" s="75">
        <f t="shared" si="0"/>
        <v>0</v>
      </c>
      <c r="L16" s="41"/>
      <c r="N16" s="45" t="str">
        <f t="shared" si="1"/>
        <v>-</v>
      </c>
      <c r="O16" s="42" t="str">
        <f t="shared" si="5"/>
        <v>-</v>
      </c>
      <c r="P16" s="43" t="str">
        <f t="shared" si="2"/>
        <v>-</v>
      </c>
      <c r="Q16" s="46" t="str">
        <f t="shared" si="3"/>
        <v>-</v>
      </c>
      <c r="S16" s="46" t="str">
        <f t="shared" si="4"/>
        <v>-</v>
      </c>
    </row>
    <row r="17" spans="1:19" ht="15" x14ac:dyDescent="0.3">
      <c r="A17" s="74">
        <v>6410324</v>
      </c>
      <c r="B17" s="37">
        <v>58646</v>
      </c>
      <c r="C17" s="69">
        <v>21245586463</v>
      </c>
      <c r="D17" s="38" t="s">
        <v>77</v>
      </c>
      <c r="E17" s="64">
        <v>0.35523057480000003</v>
      </c>
      <c r="F17" s="70">
        <v>6</v>
      </c>
      <c r="G17" s="38" t="s">
        <v>64</v>
      </c>
      <c r="H17" s="66" t="s">
        <v>1263</v>
      </c>
      <c r="I17" s="39">
        <v>10.0425</v>
      </c>
      <c r="J17" s="40"/>
      <c r="K17" s="75">
        <f t="shared" si="0"/>
        <v>0</v>
      </c>
      <c r="L17" s="41"/>
      <c r="N17" s="45" t="str">
        <f t="shared" si="1"/>
        <v>-</v>
      </c>
      <c r="O17" s="42" t="str">
        <f t="shared" si="5"/>
        <v>-</v>
      </c>
      <c r="P17" s="43" t="str">
        <f t="shared" si="2"/>
        <v>-</v>
      </c>
      <c r="Q17" s="46" t="str">
        <f t="shared" si="3"/>
        <v>-</v>
      </c>
      <c r="S17" s="46" t="str">
        <f t="shared" si="4"/>
        <v>-</v>
      </c>
    </row>
    <row r="18" spans="1:19" ht="15" x14ac:dyDescent="0.3">
      <c r="A18" s="74">
        <v>4940357</v>
      </c>
      <c r="B18" s="37">
        <v>57320</v>
      </c>
      <c r="C18" s="69">
        <v>21245573203</v>
      </c>
      <c r="D18" s="38" t="s">
        <v>97</v>
      </c>
      <c r="E18" s="64">
        <v>0.18018942199999999</v>
      </c>
      <c r="F18" s="70">
        <v>6</v>
      </c>
      <c r="G18" s="38" t="s">
        <v>98</v>
      </c>
      <c r="H18" s="66" t="s">
        <v>1263</v>
      </c>
      <c r="I18" s="39">
        <v>6.4837500000000006</v>
      </c>
      <c r="J18" s="40"/>
      <c r="K18" s="75">
        <f t="shared" si="0"/>
        <v>0</v>
      </c>
      <c r="L18" s="41"/>
      <c r="N18" s="45" t="str">
        <f t="shared" si="1"/>
        <v>-</v>
      </c>
      <c r="O18" s="42" t="str">
        <f t="shared" si="5"/>
        <v>-</v>
      </c>
      <c r="P18" s="43" t="str">
        <f t="shared" si="2"/>
        <v>-</v>
      </c>
      <c r="Q18" s="46" t="str">
        <f t="shared" si="3"/>
        <v>-</v>
      </c>
      <c r="S18" s="46" t="str">
        <f t="shared" si="4"/>
        <v>-</v>
      </c>
    </row>
    <row r="19" spans="1:19" ht="15" x14ac:dyDescent="0.3">
      <c r="A19" s="74">
        <v>9411894</v>
      </c>
      <c r="B19" s="37">
        <v>65185</v>
      </c>
      <c r="C19" s="69">
        <v>21245651857</v>
      </c>
      <c r="D19" s="38" t="s">
        <v>100</v>
      </c>
      <c r="E19" s="64">
        <v>5.6750000000000002E-2</v>
      </c>
      <c r="F19" s="70">
        <v>12</v>
      </c>
      <c r="G19" s="38" t="s">
        <v>34</v>
      </c>
      <c r="H19" s="66" t="s">
        <v>1263</v>
      </c>
      <c r="I19" s="39">
        <v>7.6537500000000005</v>
      </c>
      <c r="J19" s="40"/>
      <c r="K19" s="75">
        <f t="shared" si="0"/>
        <v>0</v>
      </c>
      <c r="L19" s="41"/>
      <c r="N19" s="45" t="str">
        <f t="shared" si="1"/>
        <v>-</v>
      </c>
      <c r="O19" s="42" t="str">
        <f t="shared" si="5"/>
        <v>-</v>
      </c>
      <c r="P19" s="43" t="str">
        <f t="shared" si="2"/>
        <v>-</v>
      </c>
      <c r="Q19" s="46" t="str">
        <f t="shared" si="3"/>
        <v>-</v>
      </c>
      <c r="S19" s="46" t="str">
        <f t="shared" si="4"/>
        <v>-</v>
      </c>
    </row>
    <row r="20" spans="1:19" ht="15" x14ac:dyDescent="0.3">
      <c r="A20" s="74">
        <v>7647286</v>
      </c>
      <c r="B20" s="37">
        <v>98196</v>
      </c>
      <c r="C20" s="69">
        <v>21245981961</v>
      </c>
      <c r="D20" s="38" t="s">
        <v>103</v>
      </c>
      <c r="E20" s="64">
        <v>5.6750000000000002E-2</v>
      </c>
      <c r="F20" s="70">
        <v>12</v>
      </c>
      <c r="G20" s="38" t="s">
        <v>104</v>
      </c>
      <c r="H20" s="66" t="s">
        <v>1263</v>
      </c>
      <c r="I20" s="39">
        <v>9.5062500000000014</v>
      </c>
      <c r="J20" s="40"/>
      <c r="K20" s="75">
        <f t="shared" si="0"/>
        <v>0</v>
      </c>
      <c r="L20" s="41"/>
      <c r="N20" s="45" t="str">
        <f t="shared" si="1"/>
        <v>-</v>
      </c>
      <c r="O20" s="42" t="str">
        <f t="shared" si="5"/>
        <v>-</v>
      </c>
      <c r="P20" s="43" t="str">
        <f t="shared" si="2"/>
        <v>-</v>
      </c>
      <c r="Q20" s="46" t="str">
        <f t="shared" si="3"/>
        <v>-</v>
      </c>
      <c r="S20" s="46" t="str">
        <f t="shared" si="4"/>
        <v>-</v>
      </c>
    </row>
    <row r="21" spans="1:19" ht="15" x14ac:dyDescent="0.3">
      <c r="A21" s="74">
        <v>3616229</v>
      </c>
      <c r="B21" s="37">
        <v>55223</v>
      </c>
      <c r="C21" s="69">
        <v>21245552239</v>
      </c>
      <c r="D21" s="38" t="s">
        <v>112</v>
      </c>
      <c r="E21" s="64">
        <v>6.1779230399999996E-2</v>
      </c>
      <c r="F21" s="70">
        <v>12</v>
      </c>
      <c r="G21" s="38" t="s">
        <v>113</v>
      </c>
      <c r="H21" s="66" t="s">
        <v>1263</v>
      </c>
      <c r="I21" s="39">
        <v>6.3862500000000004</v>
      </c>
      <c r="J21" s="40"/>
      <c r="K21" s="75">
        <f t="shared" si="0"/>
        <v>0</v>
      </c>
      <c r="L21" s="41"/>
      <c r="N21" s="45" t="str">
        <f t="shared" si="1"/>
        <v>-</v>
      </c>
      <c r="O21" s="42" t="str">
        <f t="shared" si="5"/>
        <v>-</v>
      </c>
      <c r="P21" s="43" t="str">
        <f t="shared" si="2"/>
        <v>-</v>
      </c>
      <c r="Q21" s="46" t="str">
        <f t="shared" si="3"/>
        <v>-</v>
      </c>
      <c r="S21" s="46" t="str">
        <f t="shared" si="4"/>
        <v>-</v>
      </c>
    </row>
    <row r="22" spans="1:19" ht="15" x14ac:dyDescent="0.3">
      <c r="A22" s="74">
        <v>1424559</v>
      </c>
      <c r="B22" s="37">
        <v>89160</v>
      </c>
      <c r="C22" s="69">
        <v>21245891604</v>
      </c>
      <c r="D22" s="38" t="s">
        <v>121</v>
      </c>
      <c r="E22" s="64">
        <v>0.15444807599999999</v>
      </c>
      <c r="F22" s="70">
        <v>6</v>
      </c>
      <c r="G22" s="38" t="s">
        <v>34</v>
      </c>
      <c r="H22" s="66" t="s">
        <v>1263</v>
      </c>
      <c r="I22" s="39">
        <v>6.63</v>
      </c>
      <c r="J22" s="40"/>
      <c r="K22" s="75">
        <f t="shared" si="0"/>
        <v>0</v>
      </c>
      <c r="L22" s="41"/>
      <c r="N22" s="45" t="str">
        <f t="shared" si="1"/>
        <v>-</v>
      </c>
      <c r="O22" s="42" t="str">
        <f t="shared" si="5"/>
        <v>-</v>
      </c>
      <c r="P22" s="43" t="str">
        <f t="shared" si="2"/>
        <v>-</v>
      </c>
      <c r="Q22" s="46" t="str">
        <f t="shared" si="3"/>
        <v>-</v>
      </c>
      <c r="S22" s="46" t="str">
        <f t="shared" si="4"/>
        <v>-</v>
      </c>
    </row>
    <row r="23" spans="1:19" ht="15" x14ac:dyDescent="0.3">
      <c r="A23" s="74">
        <v>4624733</v>
      </c>
      <c r="B23" s="37">
        <v>13794</v>
      </c>
      <c r="C23" s="69">
        <v>21245137948</v>
      </c>
      <c r="D23" s="38" t="s">
        <v>142</v>
      </c>
      <c r="E23" s="64">
        <v>9.7817114799999993E-2</v>
      </c>
      <c r="F23" s="70">
        <v>12</v>
      </c>
      <c r="G23" s="38" t="s">
        <v>143</v>
      </c>
      <c r="H23" s="66" t="s">
        <v>1263</v>
      </c>
      <c r="I23" s="39">
        <v>4.2900000000000009</v>
      </c>
      <c r="J23" s="40"/>
      <c r="K23" s="75">
        <f t="shared" si="0"/>
        <v>0</v>
      </c>
      <c r="L23" s="41"/>
      <c r="N23" s="45" t="str">
        <f t="shared" si="1"/>
        <v>-</v>
      </c>
      <c r="O23" s="42" t="str">
        <f t="shared" si="5"/>
        <v>-</v>
      </c>
      <c r="P23" s="43" t="str">
        <f t="shared" si="2"/>
        <v>-</v>
      </c>
      <c r="Q23" s="46" t="str">
        <f t="shared" si="3"/>
        <v>-</v>
      </c>
      <c r="S23" s="46" t="str">
        <f t="shared" si="4"/>
        <v>-</v>
      </c>
    </row>
    <row r="24" spans="1:19" ht="15" x14ac:dyDescent="0.3">
      <c r="A24" s="74">
        <v>3680377</v>
      </c>
      <c r="B24" s="37">
        <v>52642</v>
      </c>
      <c r="C24" s="69">
        <v>21245526421</v>
      </c>
      <c r="D24" s="38" t="s">
        <v>148</v>
      </c>
      <c r="E24" s="64">
        <v>9.2668845599999994E-2</v>
      </c>
      <c r="F24" s="70">
        <v>12</v>
      </c>
      <c r="G24" s="38" t="s">
        <v>149</v>
      </c>
      <c r="H24" s="66" t="s">
        <v>1263</v>
      </c>
      <c r="I24" s="39">
        <v>4.4849999999999994</v>
      </c>
      <c r="J24" s="40"/>
      <c r="K24" s="75">
        <f t="shared" si="0"/>
        <v>0</v>
      </c>
      <c r="L24" s="41"/>
      <c r="N24" s="45" t="str">
        <f t="shared" si="1"/>
        <v>-</v>
      </c>
      <c r="O24" s="42" t="str">
        <f t="shared" si="5"/>
        <v>-</v>
      </c>
      <c r="P24" s="43" t="str">
        <f t="shared" si="2"/>
        <v>-</v>
      </c>
      <c r="Q24" s="46" t="str">
        <f t="shared" si="3"/>
        <v>-</v>
      </c>
      <c r="S24" s="46" t="str">
        <f t="shared" si="4"/>
        <v>-</v>
      </c>
    </row>
    <row r="25" spans="1:19" ht="15" x14ac:dyDescent="0.3">
      <c r="A25" s="74">
        <v>7828413</v>
      </c>
      <c r="B25" s="37">
        <v>27691</v>
      </c>
      <c r="C25" s="69">
        <v>21245276913</v>
      </c>
      <c r="D25" s="38" t="s">
        <v>153</v>
      </c>
      <c r="E25" s="64">
        <v>9.2668845599999994E-2</v>
      </c>
      <c r="F25" s="70">
        <v>12</v>
      </c>
      <c r="G25" s="38" t="s">
        <v>154</v>
      </c>
      <c r="H25" s="66" t="s">
        <v>1263</v>
      </c>
      <c r="I25" s="39">
        <v>8.0437499999999993</v>
      </c>
      <c r="J25" s="40"/>
      <c r="K25" s="75">
        <f t="shared" si="0"/>
        <v>0</v>
      </c>
      <c r="L25" s="41"/>
      <c r="N25" s="45" t="str">
        <f t="shared" si="1"/>
        <v>-</v>
      </c>
      <c r="O25" s="42" t="str">
        <f t="shared" si="5"/>
        <v>-</v>
      </c>
      <c r="P25" s="43" t="str">
        <f t="shared" si="2"/>
        <v>-</v>
      </c>
      <c r="Q25" s="46" t="str">
        <f t="shared" si="3"/>
        <v>-</v>
      </c>
      <c r="S25" s="46" t="str">
        <f t="shared" si="4"/>
        <v>-</v>
      </c>
    </row>
    <row r="26" spans="1:19" ht="15" x14ac:dyDescent="0.3">
      <c r="A26" s="74">
        <v>9131178</v>
      </c>
      <c r="B26" s="37">
        <v>57710</v>
      </c>
      <c r="C26" s="69">
        <v>21245577102</v>
      </c>
      <c r="D26" s="38" t="s">
        <v>155</v>
      </c>
      <c r="E26" s="64">
        <v>0.22137557559999999</v>
      </c>
      <c r="F26" s="70">
        <v>6</v>
      </c>
      <c r="G26" s="38" t="s">
        <v>154</v>
      </c>
      <c r="H26" s="66" t="s">
        <v>1263</v>
      </c>
      <c r="I26" s="39">
        <v>7.2150000000000007</v>
      </c>
      <c r="J26" s="40"/>
      <c r="K26" s="75">
        <f t="shared" si="0"/>
        <v>0</v>
      </c>
      <c r="L26" s="41"/>
      <c r="N26" s="45" t="str">
        <f t="shared" si="1"/>
        <v>-</v>
      </c>
      <c r="O26" s="42" t="str">
        <f t="shared" si="5"/>
        <v>-</v>
      </c>
      <c r="P26" s="43" t="str">
        <f t="shared" si="2"/>
        <v>-</v>
      </c>
      <c r="Q26" s="46" t="str">
        <f t="shared" si="3"/>
        <v>-</v>
      </c>
      <c r="S26" s="46" t="str">
        <f t="shared" si="4"/>
        <v>-</v>
      </c>
    </row>
    <row r="27" spans="1:19" ht="15" x14ac:dyDescent="0.3">
      <c r="A27" s="74">
        <v>9599819</v>
      </c>
      <c r="B27" s="37">
        <v>57725</v>
      </c>
      <c r="C27" s="69">
        <v>21245577256</v>
      </c>
      <c r="D27" s="38" t="s">
        <v>156</v>
      </c>
      <c r="E27" s="64">
        <v>0.48393730479999997</v>
      </c>
      <c r="F27" s="70">
        <v>6</v>
      </c>
      <c r="G27" s="38" t="s">
        <v>157</v>
      </c>
      <c r="H27" s="66" t="s">
        <v>1263</v>
      </c>
      <c r="I27" s="39">
        <v>12.04125</v>
      </c>
      <c r="J27" s="40"/>
      <c r="K27" s="75">
        <f t="shared" si="0"/>
        <v>0</v>
      </c>
      <c r="L27" s="41"/>
      <c r="N27" s="45" t="str">
        <f t="shared" si="1"/>
        <v>-</v>
      </c>
      <c r="O27" s="42" t="str">
        <f t="shared" si="5"/>
        <v>-</v>
      </c>
      <c r="P27" s="43" t="str">
        <f t="shared" si="2"/>
        <v>-</v>
      </c>
      <c r="Q27" s="46" t="str">
        <f t="shared" si="3"/>
        <v>-</v>
      </c>
      <c r="S27" s="46" t="str">
        <f t="shared" si="4"/>
        <v>-</v>
      </c>
    </row>
    <row r="28" spans="1:19" ht="15" x14ac:dyDescent="0.3">
      <c r="A28" s="74">
        <v>6115743</v>
      </c>
      <c r="B28" s="37">
        <v>96123</v>
      </c>
      <c r="C28" s="69">
        <v>21245961239</v>
      </c>
      <c r="D28" s="38" t="s">
        <v>169</v>
      </c>
      <c r="E28" s="64">
        <v>7.7224037999999995E-2</v>
      </c>
      <c r="F28" s="70">
        <v>12</v>
      </c>
      <c r="G28" s="38" t="s">
        <v>170</v>
      </c>
      <c r="H28" s="66" t="s">
        <v>1263</v>
      </c>
      <c r="I28" s="39">
        <v>3.8512500000000003</v>
      </c>
      <c r="J28" s="40"/>
      <c r="K28" s="75">
        <f t="shared" si="0"/>
        <v>0</v>
      </c>
      <c r="L28" s="41"/>
      <c r="N28" s="45" t="str">
        <f t="shared" si="1"/>
        <v>-</v>
      </c>
      <c r="O28" s="42" t="str">
        <f t="shared" si="5"/>
        <v>-</v>
      </c>
      <c r="P28" s="43" t="str">
        <f t="shared" si="2"/>
        <v>-</v>
      </c>
      <c r="Q28" s="46" t="str">
        <f t="shared" si="3"/>
        <v>-</v>
      </c>
      <c r="S28" s="46" t="str">
        <f t="shared" si="4"/>
        <v>-</v>
      </c>
    </row>
    <row r="29" spans="1:19" ht="15" x14ac:dyDescent="0.3">
      <c r="A29" s="74">
        <v>2617162</v>
      </c>
      <c r="B29" s="37">
        <v>66906</v>
      </c>
      <c r="C29" s="69">
        <v>21245669067</v>
      </c>
      <c r="D29" s="38" t="s">
        <v>176</v>
      </c>
      <c r="E29" s="64">
        <v>5.6750000000000002E-2</v>
      </c>
      <c r="F29" s="70">
        <v>12</v>
      </c>
      <c r="G29" s="38" t="s">
        <v>177</v>
      </c>
      <c r="H29" s="66" t="s">
        <v>1263</v>
      </c>
      <c r="I29" s="39">
        <v>5.07</v>
      </c>
      <c r="J29" s="40"/>
      <c r="K29" s="75">
        <f t="shared" si="0"/>
        <v>0</v>
      </c>
      <c r="L29" s="41"/>
      <c r="N29" s="45" t="str">
        <f t="shared" si="1"/>
        <v>-</v>
      </c>
      <c r="O29" s="42" t="str">
        <f t="shared" si="5"/>
        <v>-</v>
      </c>
      <c r="P29" s="43" t="str">
        <f t="shared" si="2"/>
        <v>-</v>
      </c>
      <c r="Q29" s="46" t="str">
        <f t="shared" si="3"/>
        <v>-</v>
      </c>
      <c r="S29" s="46" t="str">
        <f t="shared" si="4"/>
        <v>-</v>
      </c>
    </row>
    <row r="30" spans="1:19" ht="15" x14ac:dyDescent="0.3">
      <c r="A30" s="74">
        <v>7255207</v>
      </c>
      <c r="B30" s="37">
        <v>54206</v>
      </c>
      <c r="C30" s="69">
        <v>21245542063</v>
      </c>
      <c r="D30" s="38" t="s">
        <v>182</v>
      </c>
      <c r="E30" s="64">
        <v>6.6927499599999996E-2</v>
      </c>
      <c r="F30" s="70">
        <v>12</v>
      </c>
      <c r="G30" s="38" t="s">
        <v>183</v>
      </c>
      <c r="H30" s="66" t="s">
        <v>1263</v>
      </c>
      <c r="I30" s="39">
        <v>4.9725000000000001</v>
      </c>
      <c r="J30" s="40"/>
      <c r="K30" s="75">
        <f t="shared" si="0"/>
        <v>0</v>
      </c>
      <c r="L30" s="41"/>
      <c r="N30" s="45" t="str">
        <f t="shared" si="1"/>
        <v>-</v>
      </c>
      <c r="O30" s="42" t="str">
        <f t="shared" si="5"/>
        <v>-</v>
      </c>
      <c r="P30" s="43" t="str">
        <f t="shared" si="2"/>
        <v>-</v>
      </c>
      <c r="Q30" s="46" t="str">
        <f t="shared" si="3"/>
        <v>-</v>
      </c>
      <c r="S30" s="46" t="str">
        <f t="shared" si="4"/>
        <v>-</v>
      </c>
    </row>
    <row r="31" spans="1:19" ht="15" x14ac:dyDescent="0.3">
      <c r="A31" s="74">
        <v>2269324</v>
      </c>
      <c r="B31" s="37">
        <v>10634</v>
      </c>
      <c r="C31" s="69">
        <v>21245106340</v>
      </c>
      <c r="D31" s="38" t="s">
        <v>190</v>
      </c>
      <c r="E31" s="64">
        <v>8.2372307199999995E-2</v>
      </c>
      <c r="F31" s="70">
        <v>12</v>
      </c>
      <c r="G31" s="38" t="s">
        <v>191</v>
      </c>
      <c r="H31" s="66" t="s">
        <v>1263</v>
      </c>
      <c r="I31" s="39">
        <v>6.63</v>
      </c>
      <c r="J31" s="40"/>
      <c r="K31" s="75">
        <f t="shared" si="0"/>
        <v>0</v>
      </c>
      <c r="L31" s="41"/>
      <c r="N31" s="45" t="str">
        <f t="shared" si="1"/>
        <v>-</v>
      </c>
      <c r="O31" s="42" t="str">
        <f t="shared" si="5"/>
        <v>-</v>
      </c>
      <c r="P31" s="43" t="str">
        <f t="shared" si="2"/>
        <v>-</v>
      </c>
      <c r="Q31" s="46" t="str">
        <f t="shared" si="3"/>
        <v>-</v>
      </c>
      <c r="S31" s="46" t="str">
        <f t="shared" si="4"/>
        <v>-</v>
      </c>
    </row>
    <row r="32" spans="1:19" ht="15" x14ac:dyDescent="0.3">
      <c r="A32" s="74">
        <v>2316285</v>
      </c>
      <c r="B32" s="37">
        <v>10307</v>
      </c>
      <c r="C32" s="69">
        <v>21245103073</v>
      </c>
      <c r="D32" s="38" t="s">
        <v>190</v>
      </c>
      <c r="E32" s="64">
        <v>0.15444807599999999</v>
      </c>
      <c r="F32" s="70">
        <v>6</v>
      </c>
      <c r="G32" s="38" t="s">
        <v>152</v>
      </c>
      <c r="H32" s="66" t="s">
        <v>1263</v>
      </c>
      <c r="I32" s="39">
        <v>10.67625</v>
      </c>
      <c r="J32" s="40"/>
      <c r="K32" s="75">
        <f t="shared" si="0"/>
        <v>0</v>
      </c>
      <c r="L32" s="41"/>
      <c r="N32" s="45" t="str">
        <f t="shared" si="1"/>
        <v>-</v>
      </c>
      <c r="O32" s="42" t="str">
        <f t="shared" si="5"/>
        <v>-</v>
      </c>
      <c r="P32" s="43" t="str">
        <f t="shared" si="2"/>
        <v>-</v>
      </c>
      <c r="Q32" s="46" t="str">
        <f t="shared" si="3"/>
        <v>-</v>
      </c>
      <c r="S32" s="46" t="str">
        <f t="shared" si="4"/>
        <v>-</v>
      </c>
    </row>
    <row r="33" spans="1:19" ht="15" x14ac:dyDescent="0.3">
      <c r="A33" s="74">
        <v>9560333</v>
      </c>
      <c r="B33" s="37">
        <v>62827</v>
      </c>
      <c r="C33" s="69">
        <v>21245628279</v>
      </c>
      <c r="D33" s="38" t="s">
        <v>192</v>
      </c>
      <c r="E33" s="64">
        <v>0.23682038320000001</v>
      </c>
      <c r="F33" s="70">
        <v>6</v>
      </c>
      <c r="G33" s="38" t="s">
        <v>193</v>
      </c>
      <c r="H33" s="66" t="s">
        <v>1263</v>
      </c>
      <c r="I33" s="39">
        <v>7.8487500000000008</v>
      </c>
      <c r="J33" s="40"/>
      <c r="K33" s="75">
        <f t="shared" si="0"/>
        <v>0</v>
      </c>
      <c r="L33" s="41"/>
      <c r="N33" s="45" t="str">
        <f t="shared" si="1"/>
        <v>-</v>
      </c>
      <c r="O33" s="42" t="str">
        <f t="shared" si="5"/>
        <v>-</v>
      </c>
      <c r="P33" s="43" t="str">
        <f t="shared" si="2"/>
        <v>-</v>
      </c>
      <c r="Q33" s="46" t="str">
        <f t="shared" si="3"/>
        <v>-</v>
      </c>
      <c r="S33" s="46" t="str">
        <f t="shared" si="4"/>
        <v>-</v>
      </c>
    </row>
    <row r="34" spans="1:19" ht="15" x14ac:dyDescent="0.3">
      <c r="A34" s="74">
        <v>4091907</v>
      </c>
      <c r="B34" s="37">
        <v>95593</v>
      </c>
      <c r="C34" s="69">
        <v>21245955931</v>
      </c>
      <c r="D34" s="38" t="s">
        <v>132</v>
      </c>
      <c r="E34" s="64">
        <v>5.6750000000000002E-2</v>
      </c>
      <c r="F34" s="70">
        <v>12</v>
      </c>
      <c r="G34" s="38" t="s">
        <v>194</v>
      </c>
      <c r="H34" s="66" t="s">
        <v>1263</v>
      </c>
      <c r="I34" s="39">
        <v>9.36</v>
      </c>
      <c r="J34" s="40"/>
      <c r="K34" s="75">
        <f t="shared" si="0"/>
        <v>0</v>
      </c>
      <c r="L34" s="41"/>
      <c r="N34" s="45" t="str">
        <f t="shared" si="1"/>
        <v>-</v>
      </c>
      <c r="O34" s="42" t="str">
        <f t="shared" si="5"/>
        <v>-</v>
      </c>
      <c r="P34" s="43" t="str">
        <f t="shared" si="2"/>
        <v>-</v>
      </c>
      <c r="Q34" s="46" t="str">
        <f t="shared" si="3"/>
        <v>-</v>
      </c>
      <c r="S34" s="46" t="str">
        <f t="shared" si="4"/>
        <v>-</v>
      </c>
    </row>
    <row r="35" spans="1:19" ht="15" x14ac:dyDescent="0.3">
      <c r="A35" s="74">
        <v>5673311</v>
      </c>
      <c r="B35" s="37">
        <v>66706</v>
      </c>
      <c r="C35" s="69">
        <v>21245667063</v>
      </c>
      <c r="D35" s="38" t="s">
        <v>176</v>
      </c>
      <c r="E35" s="64">
        <v>5.6750000000000002E-2</v>
      </c>
      <c r="F35" s="70">
        <v>12</v>
      </c>
      <c r="G35" s="38" t="s">
        <v>198</v>
      </c>
      <c r="H35" s="66" t="s">
        <v>1263</v>
      </c>
      <c r="I35" s="39">
        <v>8.9699999999999989</v>
      </c>
      <c r="J35" s="40"/>
      <c r="K35" s="75">
        <f t="shared" si="0"/>
        <v>0</v>
      </c>
      <c r="L35" s="41"/>
      <c r="N35" s="45" t="str">
        <f t="shared" si="1"/>
        <v>-</v>
      </c>
      <c r="O35" s="42" t="str">
        <f t="shared" si="5"/>
        <v>-</v>
      </c>
      <c r="P35" s="43" t="str">
        <f t="shared" si="2"/>
        <v>-</v>
      </c>
      <c r="Q35" s="46" t="str">
        <f t="shared" si="3"/>
        <v>-</v>
      </c>
      <c r="S35" s="46" t="str">
        <f t="shared" si="4"/>
        <v>-</v>
      </c>
    </row>
    <row r="36" spans="1:19" ht="15" x14ac:dyDescent="0.3">
      <c r="A36" s="74">
        <v>2743984</v>
      </c>
      <c r="B36" s="37">
        <v>86499</v>
      </c>
      <c r="C36" s="69">
        <v>21245864998</v>
      </c>
      <c r="D36" s="38" t="s">
        <v>227</v>
      </c>
      <c r="E36" s="64">
        <v>0.19048596039999999</v>
      </c>
      <c r="F36" s="70">
        <v>6</v>
      </c>
      <c r="G36" s="38" t="s">
        <v>228</v>
      </c>
      <c r="H36" s="66" t="s">
        <v>1263</v>
      </c>
      <c r="I36" s="39">
        <v>7.2150000000000007</v>
      </c>
      <c r="J36" s="40"/>
      <c r="K36" s="75">
        <f t="shared" si="0"/>
        <v>0</v>
      </c>
      <c r="L36" s="41"/>
      <c r="N36" s="45" t="str">
        <f t="shared" si="1"/>
        <v>-</v>
      </c>
      <c r="O36" s="42" t="str">
        <f t="shared" si="5"/>
        <v>-</v>
      </c>
      <c r="P36" s="43" t="str">
        <f t="shared" si="2"/>
        <v>-</v>
      </c>
      <c r="Q36" s="46" t="str">
        <f t="shared" si="3"/>
        <v>-</v>
      </c>
      <c r="S36" s="46" t="str">
        <f t="shared" si="4"/>
        <v>-</v>
      </c>
    </row>
    <row r="37" spans="1:19" ht="15" x14ac:dyDescent="0.3">
      <c r="A37" s="74">
        <v>5451678</v>
      </c>
      <c r="B37" s="37">
        <v>40535</v>
      </c>
      <c r="C37" s="69">
        <v>21245405351</v>
      </c>
      <c r="D37" s="38" t="s">
        <v>229</v>
      </c>
      <c r="E37" s="64">
        <v>0.22137557559999999</v>
      </c>
      <c r="F37" s="70">
        <v>6</v>
      </c>
      <c r="G37" s="38" t="s">
        <v>74</v>
      </c>
      <c r="H37" s="66" t="s">
        <v>1263</v>
      </c>
      <c r="I37" s="39">
        <v>6.9225000000000003</v>
      </c>
      <c r="J37" s="40"/>
      <c r="K37" s="75">
        <f t="shared" si="0"/>
        <v>0</v>
      </c>
      <c r="L37" s="41"/>
      <c r="N37" s="45" t="str">
        <f t="shared" si="1"/>
        <v>-</v>
      </c>
      <c r="O37" s="42" t="str">
        <f t="shared" si="5"/>
        <v>-</v>
      </c>
      <c r="P37" s="43" t="str">
        <f t="shared" si="2"/>
        <v>-</v>
      </c>
      <c r="Q37" s="46" t="str">
        <f t="shared" si="3"/>
        <v>-</v>
      </c>
      <c r="S37" s="46" t="str">
        <f t="shared" si="4"/>
        <v>-</v>
      </c>
    </row>
    <row r="38" spans="1:19" ht="15" x14ac:dyDescent="0.3">
      <c r="A38" s="74">
        <v>1950531</v>
      </c>
      <c r="B38" s="37">
        <v>16283</v>
      </c>
      <c r="C38" s="69">
        <v>21245162834</v>
      </c>
      <c r="D38" s="38" t="s">
        <v>232</v>
      </c>
      <c r="E38" s="64">
        <v>5.6750000000000002E-2</v>
      </c>
      <c r="F38" s="70">
        <v>12</v>
      </c>
      <c r="G38" s="38" t="s">
        <v>233</v>
      </c>
      <c r="H38" s="66" t="s">
        <v>1263</v>
      </c>
      <c r="I38" s="39">
        <v>5.7037499999999994</v>
      </c>
      <c r="J38" s="40"/>
      <c r="K38" s="75">
        <f t="shared" si="0"/>
        <v>0</v>
      </c>
      <c r="L38" s="41"/>
      <c r="N38" s="45" t="str">
        <f t="shared" si="1"/>
        <v>-</v>
      </c>
      <c r="O38" s="42" t="str">
        <f t="shared" si="5"/>
        <v>-</v>
      </c>
      <c r="P38" s="43" t="str">
        <f t="shared" si="2"/>
        <v>-</v>
      </c>
      <c r="Q38" s="46" t="str">
        <f t="shared" si="3"/>
        <v>-</v>
      </c>
      <c r="S38" s="46" t="str">
        <f t="shared" si="4"/>
        <v>-</v>
      </c>
    </row>
    <row r="39" spans="1:19" ht="15" x14ac:dyDescent="0.3">
      <c r="A39" s="74">
        <v>6431879</v>
      </c>
      <c r="B39" s="37">
        <v>68555</v>
      </c>
      <c r="C39" s="69">
        <v>21245685555</v>
      </c>
      <c r="D39" s="38" t="s">
        <v>234</v>
      </c>
      <c r="E39" s="64">
        <v>0.16989288359999999</v>
      </c>
      <c r="F39" s="70">
        <v>6</v>
      </c>
      <c r="G39" s="38" t="s">
        <v>34</v>
      </c>
      <c r="H39" s="66" t="s">
        <v>1263</v>
      </c>
      <c r="I39" s="39">
        <v>5.7525000000000004</v>
      </c>
      <c r="J39" s="40"/>
      <c r="K39" s="75">
        <f t="shared" si="0"/>
        <v>0</v>
      </c>
      <c r="L39" s="41"/>
      <c r="N39" s="45" t="str">
        <f t="shared" si="1"/>
        <v>-</v>
      </c>
      <c r="O39" s="42" t="str">
        <f t="shared" si="5"/>
        <v>-</v>
      </c>
      <c r="P39" s="43" t="str">
        <f t="shared" si="2"/>
        <v>-</v>
      </c>
      <c r="Q39" s="46" t="str">
        <f t="shared" si="3"/>
        <v>-</v>
      </c>
      <c r="S39" s="46" t="str">
        <f t="shared" si="4"/>
        <v>-</v>
      </c>
    </row>
    <row r="40" spans="1:19" ht="15" x14ac:dyDescent="0.3">
      <c r="A40" s="74">
        <v>1707040</v>
      </c>
      <c r="B40" s="37">
        <v>10265</v>
      </c>
      <c r="C40" s="69">
        <v>21245102656</v>
      </c>
      <c r="D40" s="38" t="s">
        <v>241</v>
      </c>
      <c r="E40" s="64">
        <v>0.10811365319999999</v>
      </c>
      <c r="F40" s="70">
        <v>12</v>
      </c>
      <c r="G40" s="38" t="s">
        <v>240</v>
      </c>
      <c r="H40" s="66" t="s">
        <v>1263</v>
      </c>
      <c r="I40" s="39">
        <v>7.0687500000000005</v>
      </c>
      <c r="J40" s="40"/>
      <c r="K40" s="75">
        <f t="shared" si="0"/>
        <v>0</v>
      </c>
      <c r="L40" s="41"/>
      <c r="N40" s="45" t="str">
        <f t="shared" si="1"/>
        <v>-</v>
      </c>
      <c r="O40" s="42" t="str">
        <f t="shared" si="5"/>
        <v>-</v>
      </c>
      <c r="P40" s="43" t="str">
        <f t="shared" si="2"/>
        <v>-</v>
      </c>
      <c r="Q40" s="46" t="str">
        <f t="shared" si="3"/>
        <v>-</v>
      </c>
      <c r="S40" s="46" t="str">
        <f t="shared" si="4"/>
        <v>-</v>
      </c>
    </row>
    <row r="41" spans="1:19" ht="15" x14ac:dyDescent="0.3">
      <c r="A41" s="74">
        <v>1968421</v>
      </c>
      <c r="B41" s="37">
        <v>10023</v>
      </c>
      <c r="C41" s="69">
        <v>21245100232</v>
      </c>
      <c r="D41" s="38" t="s">
        <v>248</v>
      </c>
      <c r="E41" s="64">
        <v>0.12355846079999999</v>
      </c>
      <c r="F41" s="70">
        <v>6</v>
      </c>
      <c r="G41" s="38" t="s">
        <v>154</v>
      </c>
      <c r="H41" s="66" t="s">
        <v>1263</v>
      </c>
      <c r="I41" s="39">
        <v>7.6050000000000004</v>
      </c>
      <c r="J41" s="40"/>
      <c r="K41" s="75">
        <f t="shared" si="0"/>
        <v>0</v>
      </c>
      <c r="L41" s="41"/>
      <c r="N41" s="45" t="str">
        <f t="shared" si="1"/>
        <v>-</v>
      </c>
      <c r="O41" s="42" t="str">
        <f t="shared" si="5"/>
        <v>-</v>
      </c>
      <c r="P41" s="43" t="str">
        <f t="shared" si="2"/>
        <v>-</v>
      </c>
      <c r="Q41" s="46" t="str">
        <f t="shared" si="3"/>
        <v>-</v>
      </c>
      <c r="S41" s="46" t="str">
        <f t="shared" si="4"/>
        <v>-</v>
      </c>
    </row>
    <row r="42" spans="1:19" ht="15" x14ac:dyDescent="0.3">
      <c r="A42" s="74">
        <v>7343821</v>
      </c>
      <c r="B42" s="37">
        <v>75400</v>
      </c>
      <c r="C42" s="69">
        <v>21245754008</v>
      </c>
      <c r="D42" s="38" t="s">
        <v>259</v>
      </c>
      <c r="E42" s="64">
        <v>0.15959634519999999</v>
      </c>
      <c r="F42" s="70">
        <v>6</v>
      </c>
      <c r="G42" s="38" t="s">
        <v>260</v>
      </c>
      <c r="H42" s="66" t="s">
        <v>1263</v>
      </c>
      <c r="I42" s="39">
        <v>7.6050000000000004</v>
      </c>
      <c r="J42" s="40"/>
      <c r="K42" s="75">
        <f t="shared" si="0"/>
        <v>0</v>
      </c>
      <c r="L42" s="41"/>
      <c r="N42" s="45" t="str">
        <f t="shared" si="1"/>
        <v>-</v>
      </c>
      <c r="O42" s="42" t="str">
        <f t="shared" si="5"/>
        <v>-</v>
      </c>
      <c r="P42" s="43" t="str">
        <f t="shared" si="2"/>
        <v>-</v>
      </c>
      <c r="Q42" s="46" t="str">
        <f t="shared" si="3"/>
        <v>-</v>
      </c>
      <c r="S42" s="46" t="str">
        <f t="shared" si="4"/>
        <v>-</v>
      </c>
    </row>
    <row r="43" spans="1:19" ht="15" x14ac:dyDescent="0.3">
      <c r="A43" s="74">
        <v>5909848</v>
      </c>
      <c r="B43" s="37">
        <v>98882</v>
      </c>
      <c r="C43" s="69">
        <v>21245988823</v>
      </c>
      <c r="D43" s="38" t="s">
        <v>270</v>
      </c>
      <c r="E43" s="64">
        <v>5.6750000000000002E-2</v>
      </c>
      <c r="F43" s="70">
        <v>12</v>
      </c>
      <c r="G43" s="38" t="s">
        <v>161</v>
      </c>
      <c r="H43" s="66" t="s">
        <v>1263</v>
      </c>
      <c r="I43" s="39">
        <v>9.5062500000000014</v>
      </c>
      <c r="J43" s="40"/>
      <c r="K43" s="75">
        <f t="shared" si="0"/>
        <v>0</v>
      </c>
      <c r="L43" s="41"/>
      <c r="N43" s="45" t="str">
        <f t="shared" si="1"/>
        <v>-</v>
      </c>
      <c r="O43" s="42" t="str">
        <f t="shared" si="5"/>
        <v>-</v>
      </c>
      <c r="P43" s="43" t="str">
        <f t="shared" si="2"/>
        <v>-</v>
      </c>
      <c r="Q43" s="46" t="str">
        <f t="shared" si="3"/>
        <v>-</v>
      </c>
      <c r="S43" s="46" t="str">
        <f t="shared" si="4"/>
        <v>-</v>
      </c>
    </row>
    <row r="44" spans="1:19" ht="15" x14ac:dyDescent="0.3">
      <c r="A44" s="74">
        <v>6314238</v>
      </c>
      <c r="B44" s="37">
        <v>81123</v>
      </c>
      <c r="C44" s="69">
        <v>21245811237</v>
      </c>
      <c r="D44" s="38" t="s">
        <v>272</v>
      </c>
      <c r="E44" s="64">
        <v>0.13385499919999999</v>
      </c>
      <c r="F44" s="70">
        <v>12</v>
      </c>
      <c r="G44" s="38" t="s">
        <v>273</v>
      </c>
      <c r="H44" s="66" t="s">
        <v>1263</v>
      </c>
      <c r="I44" s="39">
        <v>5.4599999999999991</v>
      </c>
      <c r="J44" s="40"/>
      <c r="K44" s="75">
        <f t="shared" si="0"/>
        <v>0</v>
      </c>
      <c r="L44" s="41"/>
      <c r="N44" s="45" t="str">
        <f t="shared" si="1"/>
        <v>-</v>
      </c>
      <c r="O44" s="42" t="str">
        <f t="shared" si="5"/>
        <v>-</v>
      </c>
      <c r="P44" s="43" t="str">
        <f t="shared" si="2"/>
        <v>-</v>
      </c>
      <c r="Q44" s="46" t="str">
        <f t="shared" si="3"/>
        <v>-</v>
      </c>
      <c r="S44" s="46" t="str">
        <f t="shared" si="4"/>
        <v>-</v>
      </c>
    </row>
    <row r="45" spans="1:19" ht="15" x14ac:dyDescent="0.3">
      <c r="A45" s="74">
        <v>1284735</v>
      </c>
      <c r="B45" s="37">
        <v>53575</v>
      </c>
      <c r="C45" s="69">
        <v>21245535751</v>
      </c>
      <c r="D45" s="38" t="s">
        <v>128</v>
      </c>
      <c r="E45" s="64">
        <v>5.6750000000000002E-2</v>
      </c>
      <c r="F45" s="70">
        <v>12</v>
      </c>
      <c r="G45" s="38" t="s">
        <v>202</v>
      </c>
      <c r="H45" s="66" t="s">
        <v>1263</v>
      </c>
      <c r="I45" s="39">
        <v>7.7512500000000006</v>
      </c>
      <c r="J45" s="40"/>
      <c r="K45" s="75">
        <f t="shared" si="0"/>
        <v>0</v>
      </c>
      <c r="L45" s="41"/>
      <c r="N45" s="45" t="str">
        <f t="shared" si="1"/>
        <v>-</v>
      </c>
      <c r="O45" s="42" t="str">
        <f t="shared" si="5"/>
        <v>-</v>
      </c>
      <c r="P45" s="43" t="str">
        <f t="shared" si="2"/>
        <v>-</v>
      </c>
      <c r="Q45" s="46" t="str">
        <f t="shared" si="3"/>
        <v>-</v>
      </c>
      <c r="S45" s="46" t="str">
        <f t="shared" si="4"/>
        <v>-</v>
      </c>
    </row>
    <row r="46" spans="1:19" ht="15" x14ac:dyDescent="0.3">
      <c r="A46" s="74">
        <v>6384294</v>
      </c>
      <c r="B46" s="37">
        <v>76898</v>
      </c>
      <c r="C46" s="69">
        <v>21245768982</v>
      </c>
      <c r="D46" s="38" t="s">
        <v>303</v>
      </c>
      <c r="E46" s="64">
        <v>0.14415153760000002</v>
      </c>
      <c r="F46" s="70">
        <v>6</v>
      </c>
      <c r="G46" s="38" t="s">
        <v>304</v>
      </c>
      <c r="H46" s="66" t="s">
        <v>1263</v>
      </c>
      <c r="I46" s="39">
        <v>5.3625000000000007</v>
      </c>
      <c r="J46" s="40"/>
      <c r="K46" s="75">
        <f t="shared" si="0"/>
        <v>0</v>
      </c>
      <c r="L46" s="41"/>
      <c r="N46" s="45" t="str">
        <f t="shared" si="1"/>
        <v>-</v>
      </c>
      <c r="O46" s="42" t="str">
        <f t="shared" si="5"/>
        <v>-</v>
      </c>
      <c r="P46" s="43" t="str">
        <f t="shared" si="2"/>
        <v>-</v>
      </c>
      <c r="Q46" s="46" t="str">
        <f t="shared" si="3"/>
        <v>-</v>
      </c>
      <c r="S46" s="46" t="str">
        <f t="shared" si="4"/>
        <v>-</v>
      </c>
    </row>
    <row r="47" spans="1:19" ht="15" x14ac:dyDescent="0.3">
      <c r="A47" s="74">
        <v>8775279</v>
      </c>
      <c r="B47" s="37">
        <v>26932</v>
      </c>
      <c r="C47" s="69">
        <v>21245269328</v>
      </c>
      <c r="D47" s="38" t="s">
        <v>308</v>
      </c>
      <c r="E47" s="64">
        <v>0.17504115280000002</v>
      </c>
      <c r="F47" s="70">
        <v>6</v>
      </c>
      <c r="G47" s="38" t="s">
        <v>309</v>
      </c>
      <c r="H47" s="66" t="s">
        <v>1263</v>
      </c>
      <c r="I47" s="39">
        <v>9.2624999999999993</v>
      </c>
      <c r="J47" s="40"/>
      <c r="K47" s="75">
        <f t="shared" si="0"/>
        <v>0</v>
      </c>
      <c r="L47" s="41"/>
      <c r="N47" s="45" t="str">
        <f t="shared" si="1"/>
        <v>-</v>
      </c>
      <c r="O47" s="42" t="str">
        <f t="shared" si="5"/>
        <v>-</v>
      </c>
      <c r="P47" s="43" t="str">
        <f t="shared" si="2"/>
        <v>-</v>
      </c>
      <c r="Q47" s="46" t="str">
        <f t="shared" si="3"/>
        <v>-</v>
      </c>
      <c r="S47" s="46" t="str">
        <f t="shared" si="4"/>
        <v>-</v>
      </c>
    </row>
    <row r="48" spans="1:19" ht="15" x14ac:dyDescent="0.3">
      <c r="A48" s="74">
        <v>8395553</v>
      </c>
      <c r="B48" s="37">
        <v>80824</v>
      </c>
      <c r="C48" s="69">
        <v>21245808244</v>
      </c>
      <c r="D48" s="38" t="s">
        <v>362</v>
      </c>
      <c r="E48" s="64">
        <v>0.13900326840000002</v>
      </c>
      <c r="F48" s="70">
        <v>6</v>
      </c>
      <c r="G48" s="38" t="s">
        <v>34</v>
      </c>
      <c r="H48" s="66" t="s">
        <v>1263</v>
      </c>
      <c r="I48" s="39">
        <v>6.8249999999999993</v>
      </c>
      <c r="J48" s="40"/>
      <c r="K48" s="75">
        <f t="shared" si="0"/>
        <v>0</v>
      </c>
      <c r="L48" s="41"/>
      <c r="N48" s="45" t="str">
        <f t="shared" si="1"/>
        <v>-</v>
      </c>
      <c r="O48" s="42" t="str">
        <f t="shared" si="5"/>
        <v>-</v>
      </c>
      <c r="P48" s="43" t="str">
        <f t="shared" si="2"/>
        <v>-</v>
      </c>
      <c r="Q48" s="46" t="str">
        <f t="shared" si="3"/>
        <v>-</v>
      </c>
      <c r="S48" s="46" t="str">
        <f t="shared" si="4"/>
        <v>-</v>
      </c>
    </row>
    <row r="49" spans="1:19" ht="15" x14ac:dyDescent="0.3">
      <c r="A49" s="74">
        <v>7090107</v>
      </c>
      <c r="B49" s="37">
        <v>42892</v>
      </c>
      <c r="C49" s="69">
        <v>21245428923</v>
      </c>
      <c r="D49" s="38" t="s">
        <v>62</v>
      </c>
      <c r="E49" s="64">
        <v>0.55601307360000007</v>
      </c>
      <c r="F49" s="70">
        <v>6</v>
      </c>
      <c r="G49" s="38" t="s">
        <v>64</v>
      </c>
      <c r="H49" s="66" t="s">
        <v>1258</v>
      </c>
      <c r="I49" s="39">
        <v>22.035000000000004</v>
      </c>
      <c r="J49" s="40"/>
      <c r="K49" s="75">
        <f t="shared" si="0"/>
        <v>0</v>
      </c>
      <c r="L49" s="41"/>
      <c r="N49" s="45" t="str">
        <f t="shared" si="1"/>
        <v>-</v>
      </c>
      <c r="O49" s="42" t="str">
        <f t="shared" si="5"/>
        <v>-</v>
      </c>
      <c r="P49" s="43" t="str">
        <f t="shared" si="2"/>
        <v>-</v>
      </c>
      <c r="Q49" s="46" t="str">
        <f t="shared" si="3"/>
        <v>-</v>
      </c>
      <c r="S49" s="46" t="str">
        <f t="shared" si="4"/>
        <v>-</v>
      </c>
    </row>
    <row r="50" spans="1:19" ht="15" x14ac:dyDescent="0.3">
      <c r="A50" s="74">
        <v>1627657</v>
      </c>
      <c r="B50" s="37">
        <v>93433</v>
      </c>
      <c r="C50" s="69">
        <v>21245934332</v>
      </c>
      <c r="D50" s="38" t="s">
        <v>75</v>
      </c>
      <c r="E50" s="64">
        <v>5.6750000000000002E-2</v>
      </c>
      <c r="F50" s="70">
        <v>12</v>
      </c>
      <c r="G50" s="38" t="s">
        <v>76</v>
      </c>
      <c r="H50" s="66" t="s">
        <v>1258</v>
      </c>
      <c r="I50" s="39">
        <v>9.0675000000000008</v>
      </c>
      <c r="J50" s="40"/>
      <c r="K50" s="75">
        <f t="shared" si="0"/>
        <v>0</v>
      </c>
      <c r="L50" s="41"/>
      <c r="N50" s="45" t="str">
        <f t="shared" si="1"/>
        <v>-</v>
      </c>
      <c r="O50" s="42" t="str">
        <f t="shared" si="5"/>
        <v>-</v>
      </c>
      <c r="P50" s="43" t="str">
        <f t="shared" si="2"/>
        <v>-</v>
      </c>
      <c r="Q50" s="46" t="str">
        <f t="shared" si="3"/>
        <v>-</v>
      </c>
      <c r="S50" s="46" t="str">
        <f t="shared" si="4"/>
        <v>-</v>
      </c>
    </row>
    <row r="51" spans="1:19" ht="15" x14ac:dyDescent="0.3">
      <c r="A51" s="74">
        <v>7774843</v>
      </c>
      <c r="B51" s="37">
        <v>21068</v>
      </c>
      <c r="C51" s="69">
        <v>21245210689</v>
      </c>
      <c r="D51" s="38" t="s">
        <v>78</v>
      </c>
      <c r="E51" s="64">
        <v>0.70531288040000006</v>
      </c>
      <c r="F51" s="70">
        <v>6</v>
      </c>
      <c r="G51" s="38" t="s">
        <v>79</v>
      </c>
      <c r="H51" s="66" t="s">
        <v>1258</v>
      </c>
      <c r="I51" s="39">
        <v>17.355</v>
      </c>
      <c r="J51" s="40"/>
      <c r="K51" s="75">
        <f t="shared" si="0"/>
        <v>0</v>
      </c>
      <c r="L51" s="41"/>
      <c r="N51" s="45" t="str">
        <f t="shared" si="1"/>
        <v>-</v>
      </c>
      <c r="O51" s="42" t="str">
        <f t="shared" si="5"/>
        <v>-</v>
      </c>
      <c r="P51" s="43" t="str">
        <f t="shared" si="2"/>
        <v>-</v>
      </c>
      <c r="Q51" s="46" t="str">
        <f t="shared" si="3"/>
        <v>-</v>
      </c>
      <c r="S51" s="46" t="str">
        <f t="shared" si="4"/>
        <v>-</v>
      </c>
    </row>
    <row r="52" spans="1:19" ht="15" x14ac:dyDescent="0.3">
      <c r="A52" s="74">
        <v>7743911</v>
      </c>
      <c r="B52" s="37">
        <v>22107</v>
      </c>
      <c r="C52" s="69">
        <v>21245221074</v>
      </c>
      <c r="D52" s="38" t="s">
        <v>80</v>
      </c>
      <c r="E52" s="64">
        <v>0.10296538400000001</v>
      </c>
      <c r="F52" s="70">
        <v>6</v>
      </c>
      <c r="G52" s="38" t="s">
        <v>34</v>
      </c>
      <c r="H52" s="66" t="s">
        <v>1258</v>
      </c>
      <c r="I52" s="39">
        <v>11.943750000000001</v>
      </c>
      <c r="J52" s="40"/>
      <c r="K52" s="75">
        <f t="shared" si="0"/>
        <v>0</v>
      </c>
      <c r="L52" s="41"/>
      <c r="N52" s="45" t="str">
        <f t="shared" si="1"/>
        <v>-</v>
      </c>
      <c r="O52" s="42" t="str">
        <f t="shared" si="5"/>
        <v>-</v>
      </c>
      <c r="P52" s="43" t="str">
        <f t="shared" si="2"/>
        <v>-</v>
      </c>
      <c r="Q52" s="46" t="str">
        <f t="shared" si="3"/>
        <v>-</v>
      </c>
      <c r="S52" s="46" t="str">
        <f t="shared" si="4"/>
        <v>-</v>
      </c>
    </row>
    <row r="53" spans="1:19" ht="15" x14ac:dyDescent="0.3">
      <c r="A53" s="74">
        <v>6332273</v>
      </c>
      <c r="B53" s="37">
        <v>31937</v>
      </c>
      <c r="C53" s="69">
        <v>21245319375</v>
      </c>
      <c r="D53" s="38" t="s">
        <v>82</v>
      </c>
      <c r="E53" s="64">
        <v>5.6750000000000002E-2</v>
      </c>
      <c r="F53" s="70">
        <v>12</v>
      </c>
      <c r="G53" s="38" t="s">
        <v>83</v>
      </c>
      <c r="H53" s="66" t="s">
        <v>1258</v>
      </c>
      <c r="I53" s="39">
        <v>9.2624999999999993</v>
      </c>
      <c r="J53" s="40"/>
      <c r="K53" s="75">
        <f t="shared" si="0"/>
        <v>0</v>
      </c>
      <c r="L53" s="41"/>
      <c r="N53" s="45" t="str">
        <f t="shared" si="1"/>
        <v>-</v>
      </c>
      <c r="O53" s="42" t="str">
        <f t="shared" si="5"/>
        <v>-</v>
      </c>
      <c r="P53" s="43" t="str">
        <f t="shared" si="2"/>
        <v>-</v>
      </c>
      <c r="Q53" s="46" t="str">
        <f t="shared" si="3"/>
        <v>-</v>
      </c>
      <c r="S53" s="46" t="str">
        <f t="shared" si="4"/>
        <v>-</v>
      </c>
    </row>
    <row r="54" spans="1:19" ht="15" x14ac:dyDescent="0.3">
      <c r="A54" s="74">
        <v>4028483</v>
      </c>
      <c r="B54" s="37">
        <v>52260</v>
      </c>
      <c r="C54" s="69">
        <v>21245522607</v>
      </c>
      <c r="D54" s="38" t="s">
        <v>84</v>
      </c>
      <c r="E54" s="64">
        <v>5.6750000000000002E-2</v>
      </c>
      <c r="F54" s="70">
        <v>12</v>
      </c>
      <c r="G54" s="38" t="s">
        <v>85</v>
      </c>
      <c r="H54" s="66" t="s">
        <v>1258</v>
      </c>
      <c r="I54" s="39">
        <v>4.4849999999999994</v>
      </c>
      <c r="J54" s="40"/>
      <c r="K54" s="75">
        <f t="shared" si="0"/>
        <v>0</v>
      </c>
      <c r="L54" s="41"/>
      <c r="N54" s="45" t="str">
        <f t="shared" si="1"/>
        <v>-</v>
      </c>
      <c r="O54" s="42" t="str">
        <f t="shared" si="5"/>
        <v>-</v>
      </c>
      <c r="P54" s="43" t="str">
        <f t="shared" si="2"/>
        <v>-</v>
      </c>
      <c r="Q54" s="46" t="str">
        <f t="shared" si="3"/>
        <v>-</v>
      </c>
      <c r="S54" s="46" t="str">
        <f t="shared" si="4"/>
        <v>-</v>
      </c>
    </row>
    <row r="55" spans="1:19" ht="15" x14ac:dyDescent="0.3">
      <c r="A55" s="74">
        <v>9067773</v>
      </c>
      <c r="B55" s="37">
        <v>73221</v>
      </c>
      <c r="C55" s="69">
        <v>21245732211</v>
      </c>
      <c r="D55" s="38" t="s">
        <v>91</v>
      </c>
      <c r="E55" s="64">
        <v>0.10296538400000001</v>
      </c>
      <c r="F55" s="70">
        <v>12</v>
      </c>
      <c r="G55" s="38" t="s">
        <v>92</v>
      </c>
      <c r="H55" s="66" t="s">
        <v>1258</v>
      </c>
      <c r="I55" s="39">
        <v>8.7262500000000003</v>
      </c>
      <c r="J55" s="40"/>
      <c r="K55" s="75">
        <f t="shared" si="0"/>
        <v>0</v>
      </c>
      <c r="L55" s="41"/>
      <c r="N55" s="45" t="str">
        <f t="shared" si="1"/>
        <v>-</v>
      </c>
      <c r="O55" s="42" t="str">
        <f t="shared" si="5"/>
        <v>-</v>
      </c>
      <c r="P55" s="43" t="str">
        <f t="shared" si="2"/>
        <v>-</v>
      </c>
      <c r="Q55" s="46" t="str">
        <f t="shared" si="3"/>
        <v>-</v>
      </c>
      <c r="S55" s="46" t="str">
        <f t="shared" si="4"/>
        <v>-</v>
      </c>
    </row>
    <row r="56" spans="1:19" ht="15" x14ac:dyDescent="0.3">
      <c r="A56" s="74">
        <v>9448522</v>
      </c>
      <c r="B56" s="37">
        <v>73225</v>
      </c>
      <c r="C56" s="69">
        <v>21245732259</v>
      </c>
      <c r="D56" s="38" t="s">
        <v>91</v>
      </c>
      <c r="E56" s="64">
        <v>0.17504115280000002</v>
      </c>
      <c r="F56" s="70">
        <v>6</v>
      </c>
      <c r="G56" s="38" t="s">
        <v>94</v>
      </c>
      <c r="H56" s="66" t="s">
        <v>1258</v>
      </c>
      <c r="I56" s="39">
        <v>15.453749999999999</v>
      </c>
      <c r="J56" s="40"/>
      <c r="K56" s="75">
        <f t="shared" si="0"/>
        <v>0</v>
      </c>
      <c r="L56" s="41"/>
      <c r="N56" s="45" t="str">
        <f t="shared" si="1"/>
        <v>-</v>
      </c>
      <c r="O56" s="42" t="str">
        <f t="shared" si="5"/>
        <v>-</v>
      </c>
      <c r="P56" s="43" t="str">
        <f t="shared" si="2"/>
        <v>-</v>
      </c>
      <c r="Q56" s="46" t="str">
        <f t="shared" si="3"/>
        <v>-</v>
      </c>
      <c r="S56" s="46" t="str">
        <f t="shared" si="4"/>
        <v>-</v>
      </c>
    </row>
    <row r="57" spans="1:19" ht="15" x14ac:dyDescent="0.3">
      <c r="A57" s="74">
        <v>6820299</v>
      </c>
      <c r="B57" s="37">
        <v>29151</v>
      </c>
      <c r="C57" s="69">
        <v>21245291510</v>
      </c>
      <c r="D57" s="38" t="s">
        <v>95</v>
      </c>
      <c r="E57" s="64">
        <v>5.6750000000000002E-2</v>
      </c>
      <c r="F57" s="70">
        <v>12</v>
      </c>
      <c r="G57" s="38" t="s">
        <v>96</v>
      </c>
      <c r="H57" s="66" t="s">
        <v>1258</v>
      </c>
      <c r="I57" s="39">
        <v>10.334999999999999</v>
      </c>
      <c r="J57" s="40"/>
      <c r="K57" s="75">
        <f t="shared" si="0"/>
        <v>0</v>
      </c>
      <c r="L57" s="41"/>
      <c r="N57" s="45" t="str">
        <f t="shared" si="1"/>
        <v>-</v>
      </c>
      <c r="O57" s="42" t="str">
        <f t="shared" si="5"/>
        <v>-</v>
      </c>
      <c r="P57" s="43" t="str">
        <f t="shared" si="2"/>
        <v>-</v>
      </c>
      <c r="Q57" s="46" t="str">
        <f t="shared" si="3"/>
        <v>-</v>
      </c>
      <c r="S57" s="46" t="str">
        <f t="shared" si="4"/>
        <v>-</v>
      </c>
    </row>
    <row r="58" spans="1:19" ht="15" x14ac:dyDescent="0.3">
      <c r="A58" s="74">
        <v>9114517</v>
      </c>
      <c r="B58" s="37">
        <v>96309</v>
      </c>
      <c r="C58" s="69">
        <v>21245963097</v>
      </c>
      <c r="D58" s="38" t="s">
        <v>99</v>
      </c>
      <c r="E58" s="64">
        <v>0.14415153760000002</v>
      </c>
      <c r="F58" s="70">
        <v>6</v>
      </c>
      <c r="G58" s="38" t="s">
        <v>13</v>
      </c>
      <c r="H58" s="66" t="s">
        <v>1258</v>
      </c>
      <c r="I58" s="39">
        <v>13.50375</v>
      </c>
      <c r="J58" s="40"/>
      <c r="K58" s="75">
        <f t="shared" si="0"/>
        <v>0</v>
      </c>
      <c r="L58" s="41"/>
      <c r="N58" s="45" t="str">
        <f t="shared" si="1"/>
        <v>-</v>
      </c>
      <c r="O58" s="42" t="str">
        <f t="shared" si="5"/>
        <v>-</v>
      </c>
      <c r="P58" s="43" t="str">
        <f t="shared" si="2"/>
        <v>-</v>
      </c>
      <c r="Q58" s="46" t="str">
        <f t="shared" si="3"/>
        <v>-</v>
      </c>
      <c r="S58" s="46" t="str">
        <f t="shared" si="4"/>
        <v>-</v>
      </c>
    </row>
    <row r="59" spans="1:19" ht="15" x14ac:dyDescent="0.3">
      <c r="A59" s="74">
        <v>9517229</v>
      </c>
      <c r="B59" s="37">
        <v>74521</v>
      </c>
      <c r="C59" s="69">
        <v>21245745211</v>
      </c>
      <c r="D59" s="38" t="s">
        <v>101</v>
      </c>
      <c r="E59" s="64">
        <v>6.6927499599999996E-2</v>
      </c>
      <c r="F59" s="70">
        <v>12</v>
      </c>
      <c r="G59" s="38" t="s">
        <v>102</v>
      </c>
      <c r="H59" s="66" t="s">
        <v>1258</v>
      </c>
      <c r="I59" s="39">
        <v>3.5587499999999999</v>
      </c>
      <c r="J59" s="40"/>
      <c r="K59" s="75">
        <f t="shared" si="0"/>
        <v>0</v>
      </c>
      <c r="L59" s="41"/>
      <c r="N59" s="45" t="str">
        <f t="shared" si="1"/>
        <v>-</v>
      </c>
      <c r="O59" s="42" t="str">
        <f t="shared" si="5"/>
        <v>-</v>
      </c>
      <c r="P59" s="43" t="str">
        <f t="shared" si="2"/>
        <v>-</v>
      </c>
      <c r="Q59" s="46" t="str">
        <f t="shared" si="3"/>
        <v>-</v>
      </c>
      <c r="S59" s="46" t="str">
        <f t="shared" si="4"/>
        <v>-</v>
      </c>
    </row>
    <row r="60" spans="1:19" ht="15" x14ac:dyDescent="0.3">
      <c r="A60" s="74">
        <v>7585309</v>
      </c>
      <c r="B60" s="37">
        <v>50013</v>
      </c>
      <c r="C60" s="69">
        <v>21245500131</v>
      </c>
      <c r="D60" s="38" t="s">
        <v>108</v>
      </c>
      <c r="E60" s="64">
        <v>0.12870672999999999</v>
      </c>
      <c r="F60" s="70">
        <v>6</v>
      </c>
      <c r="G60" s="38" t="s">
        <v>109</v>
      </c>
      <c r="H60" s="66" t="s">
        <v>1258</v>
      </c>
      <c r="I60" s="39">
        <v>4.9237500000000001</v>
      </c>
      <c r="J60" s="40"/>
      <c r="K60" s="75">
        <f t="shared" si="0"/>
        <v>0</v>
      </c>
      <c r="L60" s="41"/>
      <c r="N60" s="45" t="str">
        <f t="shared" si="1"/>
        <v>-</v>
      </c>
      <c r="O60" s="42" t="str">
        <f t="shared" si="5"/>
        <v>-</v>
      </c>
      <c r="P60" s="43" t="str">
        <f t="shared" si="2"/>
        <v>-</v>
      </c>
      <c r="Q60" s="46" t="str">
        <f t="shared" si="3"/>
        <v>-</v>
      </c>
      <c r="S60" s="46" t="str">
        <f t="shared" si="4"/>
        <v>-</v>
      </c>
    </row>
    <row r="61" spans="1:19" ht="15" x14ac:dyDescent="0.3">
      <c r="A61" s="74">
        <v>8726405</v>
      </c>
      <c r="B61" s="37">
        <v>97035</v>
      </c>
      <c r="C61" s="69">
        <v>21245970354</v>
      </c>
      <c r="D61" s="38" t="s">
        <v>114</v>
      </c>
      <c r="E61" s="64">
        <v>0.15444807599999999</v>
      </c>
      <c r="F61" s="70">
        <v>6</v>
      </c>
      <c r="G61" s="38" t="s">
        <v>115</v>
      </c>
      <c r="H61" s="66" t="s">
        <v>1258</v>
      </c>
      <c r="I61" s="39">
        <v>8.53125</v>
      </c>
      <c r="J61" s="40"/>
      <c r="K61" s="75">
        <f t="shared" si="0"/>
        <v>0</v>
      </c>
      <c r="L61" s="41"/>
      <c r="N61" s="45" t="str">
        <f t="shared" si="1"/>
        <v>-</v>
      </c>
      <c r="O61" s="42" t="str">
        <f t="shared" si="5"/>
        <v>-</v>
      </c>
      <c r="P61" s="43" t="str">
        <f t="shared" si="2"/>
        <v>-</v>
      </c>
      <c r="Q61" s="46" t="str">
        <f t="shared" si="3"/>
        <v>-</v>
      </c>
      <c r="S61" s="46" t="str">
        <f t="shared" si="4"/>
        <v>-</v>
      </c>
    </row>
    <row r="62" spans="1:19" ht="15" x14ac:dyDescent="0.3">
      <c r="A62" s="74">
        <v>8329069</v>
      </c>
      <c r="B62" s="37">
        <v>56214</v>
      </c>
      <c r="C62" s="69">
        <v>21245562146</v>
      </c>
      <c r="D62" s="38" t="s">
        <v>116</v>
      </c>
      <c r="E62" s="64">
        <v>0.22137557559999999</v>
      </c>
      <c r="F62" s="70">
        <v>6</v>
      </c>
      <c r="G62" s="38" t="s">
        <v>117</v>
      </c>
      <c r="H62" s="66" t="s">
        <v>1258</v>
      </c>
      <c r="I62" s="39">
        <v>9.4087500000000013</v>
      </c>
      <c r="J62" s="40"/>
      <c r="K62" s="75">
        <f t="shared" si="0"/>
        <v>0</v>
      </c>
      <c r="L62" s="41"/>
      <c r="N62" s="45" t="str">
        <f t="shared" si="1"/>
        <v>-</v>
      </c>
      <c r="O62" s="42" t="str">
        <f t="shared" si="5"/>
        <v>-</v>
      </c>
      <c r="P62" s="43" t="str">
        <f t="shared" si="2"/>
        <v>-</v>
      </c>
      <c r="Q62" s="46" t="str">
        <f t="shared" si="3"/>
        <v>-</v>
      </c>
      <c r="S62" s="46" t="str">
        <f t="shared" si="4"/>
        <v>-</v>
      </c>
    </row>
    <row r="63" spans="1:19" ht="15" x14ac:dyDescent="0.3">
      <c r="A63" s="74">
        <v>3869803</v>
      </c>
      <c r="B63" s="37">
        <v>23262</v>
      </c>
      <c r="C63" s="69">
        <v>21245232629</v>
      </c>
      <c r="D63" s="38" t="s">
        <v>119</v>
      </c>
      <c r="E63" s="64">
        <v>0.15444807599999999</v>
      </c>
      <c r="F63" s="70">
        <v>6</v>
      </c>
      <c r="G63" s="38" t="s">
        <v>120</v>
      </c>
      <c r="H63" s="66" t="s">
        <v>1258</v>
      </c>
      <c r="I63" s="39">
        <v>7.6050000000000004</v>
      </c>
      <c r="J63" s="40"/>
      <c r="K63" s="75">
        <f t="shared" si="0"/>
        <v>0</v>
      </c>
      <c r="L63" s="41"/>
      <c r="N63" s="45" t="str">
        <f t="shared" si="1"/>
        <v>-</v>
      </c>
      <c r="O63" s="42" t="str">
        <f t="shared" si="5"/>
        <v>-</v>
      </c>
      <c r="P63" s="43" t="str">
        <f t="shared" si="2"/>
        <v>-</v>
      </c>
      <c r="Q63" s="46" t="str">
        <f t="shared" si="3"/>
        <v>-</v>
      </c>
      <c r="S63" s="46" t="str">
        <f t="shared" si="4"/>
        <v>-</v>
      </c>
    </row>
    <row r="64" spans="1:19" ht="15" x14ac:dyDescent="0.3">
      <c r="A64" s="74">
        <v>9800979</v>
      </c>
      <c r="B64" s="37">
        <v>85306</v>
      </c>
      <c r="C64" s="69">
        <v>21245853060</v>
      </c>
      <c r="D64" s="38" t="s">
        <v>84</v>
      </c>
      <c r="E64" s="64">
        <v>6.1779230399999996E-2</v>
      </c>
      <c r="F64" s="70">
        <v>12</v>
      </c>
      <c r="G64" s="38" t="s">
        <v>69</v>
      </c>
      <c r="H64" s="66" t="s">
        <v>1258</v>
      </c>
      <c r="I64" s="39">
        <v>6.8737500000000011</v>
      </c>
      <c r="J64" s="40"/>
      <c r="K64" s="75">
        <f t="shared" si="0"/>
        <v>0</v>
      </c>
      <c r="L64" s="41"/>
      <c r="N64" s="45" t="str">
        <f t="shared" si="1"/>
        <v>-</v>
      </c>
      <c r="O64" s="42" t="str">
        <f t="shared" si="5"/>
        <v>-</v>
      </c>
      <c r="P64" s="43" t="str">
        <f t="shared" si="2"/>
        <v>-</v>
      </c>
      <c r="Q64" s="46" t="str">
        <f t="shared" si="3"/>
        <v>-</v>
      </c>
      <c r="S64" s="46" t="str">
        <f t="shared" si="4"/>
        <v>-</v>
      </c>
    </row>
    <row r="65" spans="1:19" ht="15" x14ac:dyDescent="0.3">
      <c r="A65" s="74">
        <v>1072139</v>
      </c>
      <c r="B65" s="37">
        <v>85303</v>
      </c>
      <c r="C65" s="69">
        <v>21245853039</v>
      </c>
      <c r="D65" s="38" t="s">
        <v>84</v>
      </c>
      <c r="E65" s="64">
        <v>5.6750000000000002E-2</v>
      </c>
      <c r="F65" s="70">
        <v>12</v>
      </c>
      <c r="G65" s="38" t="s">
        <v>122</v>
      </c>
      <c r="H65" s="66" t="s">
        <v>1258</v>
      </c>
      <c r="I65" s="39">
        <v>3.9487499999999995</v>
      </c>
      <c r="J65" s="40"/>
      <c r="K65" s="75">
        <f t="shared" si="0"/>
        <v>0</v>
      </c>
      <c r="L65" s="41"/>
      <c r="N65" s="45" t="str">
        <f t="shared" si="1"/>
        <v>-</v>
      </c>
      <c r="O65" s="42" t="str">
        <f t="shared" si="5"/>
        <v>-</v>
      </c>
      <c r="P65" s="43" t="str">
        <f t="shared" si="2"/>
        <v>-</v>
      </c>
      <c r="Q65" s="46" t="str">
        <f t="shared" si="3"/>
        <v>-</v>
      </c>
      <c r="S65" s="46" t="str">
        <f t="shared" si="4"/>
        <v>-</v>
      </c>
    </row>
    <row r="66" spans="1:19" ht="15" x14ac:dyDescent="0.3">
      <c r="A66" s="74">
        <v>5635676</v>
      </c>
      <c r="B66" s="37">
        <v>17600</v>
      </c>
      <c r="C66" s="69">
        <v>21245176008</v>
      </c>
      <c r="D66" s="38" t="s">
        <v>123</v>
      </c>
      <c r="E66" s="64">
        <v>0.26770999839999998</v>
      </c>
      <c r="F66" s="70">
        <v>6</v>
      </c>
      <c r="G66" s="38" t="s">
        <v>124</v>
      </c>
      <c r="H66" s="66" t="s">
        <v>1258</v>
      </c>
      <c r="I66" s="39">
        <v>14.234999999999999</v>
      </c>
      <c r="J66" s="40"/>
      <c r="K66" s="75">
        <f t="shared" si="0"/>
        <v>0</v>
      </c>
      <c r="L66" s="41"/>
      <c r="N66" s="45" t="str">
        <f t="shared" si="1"/>
        <v>-</v>
      </c>
      <c r="O66" s="42" t="str">
        <f t="shared" si="5"/>
        <v>-</v>
      </c>
      <c r="P66" s="43" t="str">
        <f t="shared" si="2"/>
        <v>-</v>
      </c>
      <c r="Q66" s="46" t="str">
        <f t="shared" si="3"/>
        <v>-</v>
      </c>
      <c r="S66" s="46" t="str">
        <f t="shared" si="4"/>
        <v>-</v>
      </c>
    </row>
    <row r="67" spans="1:19" ht="15" x14ac:dyDescent="0.3">
      <c r="A67" s="74">
        <v>1866152</v>
      </c>
      <c r="B67" s="37">
        <v>10390</v>
      </c>
      <c r="C67" s="69">
        <v>21245103905</v>
      </c>
      <c r="D67" s="38" t="s">
        <v>125</v>
      </c>
      <c r="E67" s="64">
        <v>0.14415153760000002</v>
      </c>
      <c r="F67" s="70">
        <v>6</v>
      </c>
      <c r="G67" s="38" t="s">
        <v>126</v>
      </c>
      <c r="H67" s="66" t="s">
        <v>1258</v>
      </c>
      <c r="I67" s="39">
        <v>7.8974999999999991</v>
      </c>
      <c r="J67" s="40"/>
      <c r="K67" s="75">
        <f t="shared" ref="K67:K130" si="6">J67*I67</f>
        <v>0</v>
      </c>
      <c r="L67" s="41"/>
      <c r="N67" s="45" t="str">
        <f t="shared" ref="N67:N130" si="7">IFERROR(IF($N$2*E67=0, "-", $N$2*E67), "-")</f>
        <v>-</v>
      </c>
      <c r="O67" s="42" t="str">
        <f t="shared" si="5"/>
        <v>-</v>
      </c>
      <c r="P67" s="43" t="str">
        <f t="shared" ref="P67:P130" si="8">IF(J67&gt;0,J67*E67, "-")</f>
        <v>-</v>
      </c>
      <c r="Q67" s="46" t="str">
        <f t="shared" ref="Q67:Q130" si="9">IFERROR(IF($N$2&gt;0, $N$2*P67, "-"), "-")</f>
        <v>-</v>
      </c>
      <c r="S67" s="46" t="str">
        <f t="shared" ref="S67:S130" si="10">IFERROR(IF(Q67+K67=0, "-", IF(Q67&gt;0, Q67+K67, "-")), "-")</f>
        <v>-</v>
      </c>
    </row>
    <row r="68" spans="1:19" ht="15" x14ac:dyDescent="0.3">
      <c r="A68" s="74">
        <v>6652546</v>
      </c>
      <c r="B68" s="37">
        <v>72661</v>
      </c>
      <c r="C68" s="69">
        <v>21245726616</v>
      </c>
      <c r="D68" s="38" t="s">
        <v>127</v>
      </c>
      <c r="E68" s="64">
        <v>0.28315480600000004</v>
      </c>
      <c r="F68" s="70">
        <v>6</v>
      </c>
      <c r="G68" s="38" t="s">
        <v>63</v>
      </c>
      <c r="H68" s="66" t="s">
        <v>1258</v>
      </c>
      <c r="I68" s="39">
        <v>21.986250000000002</v>
      </c>
      <c r="J68" s="40"/>
      <c r="K68" s="75">
        <f t="shared" si="6"/>
        <v>0</v>
      </c>
      <c r="L68" s="41"/>
      <c r="N68" s="45" t="str">
        <f t="shared" si="7"/>
        <v>-</v>
      </c>
      <c r="O68" s="42" t="str">
        <f t="shared" ref="O68:O131" si="11">IFERROR(IF(N68&gt;0,I68+N68,"-"),"-")</f>
        <v>-</v>
      </c>
      <c r="P68" s="43" t="str">
        <f t="shared" si="8"/>
        <v>-</v>
      </c>
      <c r="Q68" s="46" t="str">
        <f t="shared" si="9"/>
        <v>-</v>
      </c>
      <c r="S68" s="46" t="str">
        <f t="shared" si="10"/>
        <v>-</v>
      </c>
    </row>
    <row r="69" spans="1:19" ht="15" x14ac:dyDescent="0.3">
      <c r="A69" s="74">
        <v>3367814</v>
      </c>
      <c r="B69" s="37">
        <v>72660</v>
      </c>
      <c r="C69" s="69">
        <v>21245726609</v>
      </c>
      <c r="D69" s="38" t="s">
        <v>127</v>
      </c>
      <c r="E69" s="64">
        <v>0.20593076800000001</v>
      </c>
      <c r="F69" s="70">
        <v>6</v>
      </c>
      <c r="G69" s="38" t="s">
        <v>34</v>
      </c>
      <c r="H69" s="66" t="s">
        <v>1258</v>
      </c>
      <c r="I69" s="39">
        <v>16.233750000000001</v>
      </c>
      <c r="J69" s="40"/>
      <c r="K69" s="75">
        <f t="shared" si="6"/>
        <v>0</v>
      </c>
      <c r="L69" s="41"/>
      <c r="N69" s="45" t="str">
        <f t="shared" si="7"/>
        <v>-</v>
      </c>
      <c r="O69" s="42" t="str">
        <f t="shared" si="11"/>
        <v>-</v>
      </c>
      <c r="P69" s="43" t="str">
        <f t="shared" si="8"/>
        <v>-</v>
      </c>
      <c r="Q69" s="46" t="str">
        <f t="shared" si="9"/>
        <v>-</v>
      </c>
      <c r="S69" s="46" t="str">
        <f t="shared" si="10"/>
        <v>-</v>
      </c>
    </row>
    <row r="70" spans="1:19" ht="15" x14ac:dyDescent="0.3">
      <c r="A70" s="74">
        <v>2476694</v>
      </c>
      <c r="B70" s="37">
        <v>61973</v>
      </c>
      <c r="C70" s="69">
        <v>21245619734</v>
      </c>
      <c r="D70" s="38" t="s">
        <v>128</v>
      </c>
      <c r="E70" s="64">
        <v>5.6750000000000002E-2</v>
      </c>
      <c r="F70" s="70">
        <v>6</v>
      </c>
      <c r="G70" s="38" t="s">
        <v>129</v>
      </c>
      <c r="H70" s="66" t="s">
        <v>1258</v>
      </c>
      <c r="I70" s="39">
        <v>15.794999999999998</v>
      </c>
      <c r="J70" s="40"/>
      <c r="K70" s="75">
        <f t="shared" si="6"/>
        <v>0</v>
      </c>
      <c r="L70" s="41"/>
      <c r="N70" s="45" t="str">
        <f t="shared" si="7"/>
        <v>-</v>
      </c>
      <c r="O70" s="42" t="str">
        <f t="shared" si="11"/>
        <v>-</v>
      </c>
      <c r="P70" s="43" t="str">
        <f t="shared" si="8"/>
        <v>-</v>
      </c>
      <c r="Q70" s="46" t="str">
        <f t="shared" si="9"/>
        <v>-</v>
      </c>
      <c r="S70" s="46" t="str">
        <f t="shared" si="10"/>
        <v>-</v>
      </c>
    </row>
    <row r="71" spans="1:19" ht="15" x14ac:dyDescent="0.3">
      <c r="A71" s="74">
        <v>7222502</v>
      </c>
      <c r="B71" s="37">
        <v>37446</v>
      </c>
      <c r="C71" s="69">
        <v>21245374466</v>
      </c>
      <c r="D71" s="38" t="s">
        <v>130</v>
      </c>
      <c r="E71" s="64">
        <v>0.35008230560000003</v>
      </c>
      <c r="F71" s="70">
        <v>6</v>
      </c>
      <c r="G71" s="38" t="s">
        <v>131</v>
      </c>
      <c r="H71" s="66" t="s">
        <v>1258</v>
      </c>
      <c r="I71" s="39">
        <v>16.380000000000003</v>
      </c>
      <c r="J71" s="40"/>
      <c r="K71" s="75">
        <f t="shared" si="6"/>
        <v>0</v>
      </c>
      <c r="L71" s="41"/>
      <c r="N71" s="45" t="str">
        <f t="shared" si="7"/>
        <v>-</v>
      </c>
      <c r="O71" s="42" t="str">
        <f t="shared" si="11"/>
        <v>-</v>
      </c>
      <c r="P71" s="43" t="str">
        <f t="shared" si="8"/>
        <v>-</v>
      </c>
      <c r="Q71" s="46" t="str">
        <f t="shared" si="9"/>
        <v>-</v>
      </c>
      <c r="S71" s="46" t="str">
        <f t="shared" si="10"/>
        <v>-</v>
      </c>
    </row>
    <row r="72" spans="1:19" ht="15" x14ac:dyDescent="0.3">
      <c r="A72" s="74">
        <v>6716768</v>
      </c>
      <c r="B72" s="37">
        <v>60221</v>
      </c>
      <c r="C72" s="69">
        <v>21245602217</v>
      </c>
      <c r="D72" s="38" t="s">
        <v>134</v>
      </c>
      <c r="E72" s="64">
        <v>7.7224037999999995E-2</v>
      </c>
      <c r="F72" s="70">
        <v>12</v>
      </c>
      <c r="G72" s="38" t="s">
        <v>135</v>
      </c>
      <c r="H72" s="66" t="s">
        <v>1258</v>
      </c>
      <c r="I72" s="39">
        <v>7.4099999999999993</v>
      </c>
      <c r="J72" s="40"/>
      <c r="K72" s="75">
        <f t="shared" si="6"/>
        <v>0</v>
      </c>
      <c r="L72" s="41"/>
      <c r="N72" s="45" t="str">
        <f t="shared" si="7"/>
        <v>-</v>
      </c>
      <c r="O72" s="42" t="str">
        <f t="shared" si="11"/>
        <v>-</v>
      </c>
      <c r="P72" s="43" t="str">
        <f t="shared" si="8"/>
        <v>-</v>
      </c>
      <c r="Q72" s="46" t="str">
        <f t="shared" si="9"/>
        <v>-</v>
      </c>
      <c r="S72" s="46" t="str">
        <f t="shared" si="10"/>
        <v>-</v>
      </c>
    </row>
    <row r="73" spans="1:19" ht="15" x14ac:dyDescent="0.3">
      <c r="A73" s="74">
        <v>3248040</v>
      </c>
      <c r="B73" s="37">
        <v>75211</v>
      </c>
      <c r="C73" s="69">
        <v>21245752110</v>
      </c>
      <c r="D73" s="38" t="s">
        <v>139</v>
      </c>
      <c r="E73" s="64">
        <v>6.1779230399999996E-2</v>
      </c>
      <c r="F73" s="70">
        <v>12</v>
      </c>
      <c r="G73" s="38" t="s">
        <v>113</v>
      </c>
      <c r="H73" s="66" t="s">
        <v>1258</v>
      </c>
      <c r="I73" s="39">
        <v>6.5812500000000007</v>
      </c>
      <c r="J73" s="40"/>
      <c r="K73" s="75">
        <f t="shared" si="6"/>
        <v>0</v>
      </c>
      <c r="L73" s="41"/>
      <c r="N73" s="45" t="str">
        <f t="shared" si="7"/>
        <v>-</v>
      </c>
      <c r="O73" s="42" t="str">
        <f t="shared" si="11"/>
        <v>-</v>
      </c>
      <c r="P73" s="43" t="str">
        <f t="shared" si="8"/>
        <v>-</v>
      </c>
      <c r="Q73" s="46" t="str">
        <f t="shared" si="9"/>
        <v>-</v>
      </c>
      <c r="S73" s="46" t="str">
        <f t="shared" si="10"/>
        <v>-</v>
      </c>
    </row>
    <row r="74" spans="1:19" ht="15" x14ac:dyDescent="0.3">
      <c r="A74" s="74">
        <v>1710115</v>
      </c>
      <c r="B74" s="37">
        <v>49827</v>
      </c>
      <c r="C74" s="69">
        <v>21245498278</v>
      </c>
      <c r="D74" s="38" t="s">
        <v>144</v>
      </c>
      <c r="E74" s="64">
        <v>0.35008230560000003</v>
      </c>
      <c r="F74" s="70">
        <v>6</v>
      </c>
      <c r="G74" s="38" t="s">
        <v>145</v>
      </c>
      <c r="H74" s="66" t="s">
        <v>1258</v>
      </c>
      <c r="I74" s="39">
        <v>17.55</v>
      </c>
      <c r="J74" s="40"/>
      <c r="K74" s="75">
        <f t="shared" si="6"/>
        <v>0</v>
      </c>
      <c r="L74" s="41"/>
      <c r="N74" s="45" t="str">
        <f t="shared" si="7"/>
        <v>-</v>
      </c>
      <c r="O74" s="42" t="str">
        <f t="shared" si="11"/>
        <v>-</v>
      </c>
      <c r="P74" s="43" t="str">
        <f t="shared" si="8"/>
        <v>-</v>
      </c>
      <c r="Q74" s="46" t="str">
        <f t="shared" si="9"/>
        <v>-</v>
      </c>
      <c r="S74" s="46" t="str">
        <f t="shared" si="10"/>
        <v>-</v>
      </c>
    </row>
    <row r="75" spans="1:19" ht="15" x14ac:dyDescent="0.3">
      <c r="A75" s="74">
        <v>8531308</v>
      </c>
      <c r="B75" s="37">
        <v>82435</v>
      </c>
      <c r="C75" s="69">
        <v>21245824350</v>
      </c>
      <c r="D75" s="38" t="s">
        <v>146</v>
      </c>
      <c r="E75" s="64">
        <v>0.11326192240000001</v>
      </c>
      <c r="F75" s="70">
        <v>12</v>
      </c>
      <c r="G75" s="38" t="s">
        <v>147</v>
      </c>
      <c r="H75" s="66" t="s">
        <v>1258</v>
      </c>
      <c r="I75" s="39">
        <v>5.07</v>
      </c>
      <c r="J75" s="40"/>
      <c r="K75" s="75">
        <f t="shared" si="6"/>
        <v>0</v>
      </c>
      <c r="L75" s="41"/>
      <c r="N75" s="45" t="str">
        <f t="shared" si="7"/>
        <v>-</v>
      </c>
      <c r="O75" s="42" t="str">
        <f t="shared" si="11"/>
        <v>-</v>
      </c>
      <c r="P75" s="43" t="str">
        <f t="shared" si="8"/>
        <v>-</v>
      </c>
      <c r="Q75" s="46" t="str">
        <f t="shared" si="9"/>
        <v>-</v>
      </c>
      <c r="S75" s="46" t="str">
        <f t="shared" si="10"/>
        <v>-</v>
      </c>
    </row>
    <row r="76" spans="1:19" ht="15" x14ac:dyDescent="0.3">
      <c r="A76" s="74">
        <v>9776701</v>
      </c>
      <c r="B76" s="37">
        <v>95509</v>
      </c>
      <c r="C76" s="69">
        <v>21245955092</v>
      </c>
      <c r="D76" s="38" t="s">
        <v>150</v>
      </c>
      <c r="E76" s="64">
        <v>5.6750000000000002E-2</v>
      </c>
      <c r="F76" s="70">
        <v>12</v>
      </c>
      <c r="G76" s="38" t="s">
        <v>151</v>
      </c>
      <c r="H76" s="66" t="s">
        <v>1258</v>
      </c>
      <c r="I76" s="39">
        <v>4.2900000000000009</v>
      </c>
      <c r="J76" s="40"/>
      <c r="K76" s="75">
        <f t="shared" si="6"/>
        <v>0</v>
      </c>
      <c r="L76" s="41"/>
      <c r="N76" s="45" t="str">
        <f t="shared" si="7"/>
        <v>-</v>
      </c>
      <c r="O76" s="42" t="str">
        <f t="shared" si="11"/>
        <v>-</v>
      </c>
      <c r="P76" s="43" t="str">
        <f t="shared" si="8"/>
        <v>-</v>
      </c>
      <c r="Q76" s="46" t="str">
        <f t="shared" si="9"/>
        <v>-</v>
      </c>
      <c r="S76" s="46" t="str">
        <f t="shared" si="10"/>
        <v>-</v>
      </c>
    </row>
    <row r="77" spans="1:19" ht="15" x14ac:dyDescent="0.3">
      <c r="A77" s="74">
        <v>9626565</v>
      </c>
      <c r="B77" s="37">
        <v>67204</v>
      </c>
      <c r="C77" s="69">
        <v>21245672043</v>
      </c>
      <c r="D77" s="38" t="s">
        <v>158</v>
      </c>
      <c r="E77" s="64">
        <v>0.11326192240000001</v>
      </c>
      <c r="F77" s="70">
        <v>6</v>
      </c>
      <c r="G77" s="38" t="s">
        <v>34</v>
      </c>
      <c r="H77" s="66" t="s">
        <v>1258</v>
      </c>
      <c r="I77" s="39">
        <v>13.30875</v>
      </c>
      <c r="J77" s="40"/>
      <c r="K77" s="75">
        <f t="shared" si="6"/>
        <v>0</v>
      </c>
      <c r="L77" s="41"/>
      <c r="N77" s="45" t="str">
        <f t="shared" si="7"/>
        <v>-</v>
      </c>
      <c r="O77" s="42" t="str">
        <f t="shared" si="11"/>
        <v>-</v>
      </c>
      <c r="P77" s="43" t="str">
        <f t="shared" si="8"/>
        <v>-</v>
      </c>
      <c r="Q77" s="46" t="str">
        <f t="shared" si="9"/>
        <v>-</v>
      </c>
      <c r="S77" s="46" t="str">
        <f t="shared" si="10"/>
        <v>-</v>
      </c>
    </row>
    <row r="78" spans="1:19" ht="15" x14ac:dyDescent="0.3">
      <c r="A78" s="74">
        <v>9912429</v>
      </c>
      <c r="B78" s="37">
        <v>63905</v>
      </c>
      <c r="C78" s="69">
        <v>21245639053</v>
      </c>
      <c r="D78" s="38" t="s">
        <v>159</v>
      </c>
      <c r="E78" s="64">
        <v>5.6750000000000002E-2</v>
      </c>
      <c r="F78" s="70">
        <v>12</v>
      </c>
      <c r="G78" s="38" t="s">
        <v>160</v>
      </c>
      <c r="H78" s="66" t="s">
        <v>1258</v>
      </c>
      <c r="I78" s="39">
        <v>12.723749999999999</v>
      </c>
      <c r="J78" s="40"/>
      <c r="K78" s="75">
        <f t="shared" si="6"/>
        <v>0</v>
      </c>
      <c r="L78" s="41"/>
      <c r="N78" s="45" t="str">
        <f t="shared" si="7"/>
        <v>-</v>
      </c>
      <c r="O78" s="42" t="str">
        <f t="shared" si="11"/>
        <v>-</v>
      </c>
      <c r="P78" s="43" t="str">
        <f t="shared" si="8"/>
        <v>-</v>
      </c>
      <c r="Q78" s="46" t="str">
        <f t="shared" si="9"/>
        <v>-</v>
      </c>
      <c r="S78" s="46" t="str">
        <f t="shared" si="10"/>
        <v>-</v>
      </c>
    </row>
    <row r="79" spans="1:19" ht="15" x14ac:dyDescent="0.3">
      <c r="A79" s="74">
        <v>4401321</v>
      </c>
      <c r="B79" s="37">
        <v>71346</v>
      </c>
      <c r="C79" s="69">
        <v>21245713463</v>
      </c>
      <c r="D79" s="38" t="s">
        <v>75</v>
      </c>
      <c r="E79" s="64">
        <v>5.6750000000000002E-2</v>
      </c>
      <c r="F79" s="70">
        <v>12</v>
      </c>
      <c r="G79" s="38" t="s">
        <v>161</v>
      </c>
      <c r="H79" s="66" t="s">
        <v>1258</v>
      </c>
      <c r="I79" s="39">
        <v>9.0675000000000008</v>
      </c>
      <c r="J79" s="40"/>
      <c r="K79" s="75">
        <f t="shared" si="6"/>
        <v>0</v>
      </c>
      <c r="L79" s="41"/>
      <c r="N79" s="45" t="str">
        <f t="shared" si="7"/>
        <v>-</v>
      </c>
      <c r="O79" s="42" t="str">
        <f t="shared" si="11"/>
        <v>-</v>
      </c>
      <c r="P79" s="43" t="str">
        <f t="shared" si="8"/>
        <v>-</v>
      </c>
      <c r="Q79" s="46" t="str">
        <f t="shared" si="9"/>
        <v>-</v>
      </c>
      <c r="S79" s="46" t="str">
        <f t="shared" si="10"/>
        <v>-</v>
      </c>
    </row>
    <row r="80" spans="1:19" ht="15" x14ac:dyDescent="0.3">
      <c r="A80" s="74">
        <v>2983136</v>
      </c>
      <c r="B80" s="37">
        <v>46938</v>
      </c>
      <c r="C80" s="69">
        <v>21245469384</v>
      </c>
      <c r="D80" s="38" t="s">
        <v>162</v>
      </c>
      <c r="E80" s="64">
        <v>5.6750000000000002E-2</v>
      </c>
      <c r="F80" s="70">
        <v>12</v>
      </c>
      <c r="G80" s="38" t="s">
        <v>163</v>
      </c>
      <c r="H80" s="66" t="s">
        <v>1258</v>
      </c>
      <c r="I80" s="39">
        <v>19.695</v>
      </c>
      <c r="J80" s="40"/>
      <c r="K80" s="75">
        <f t="shared" si="6"/>
        <v>0</v>
      </c>
      <c r="L80" s="41"/>
      <c r="N80" s="45" t="str">
        <f t="shared" si="7"/>
        <v>-</v>
      </c>
      <c r="O80" s="42" t="str">
        <f t="shared" si="11"/>
        <v>-</v>
      </c>
      <c r="P80" s="43" t="str">
        <f t="shared" si="8"/>
        <v>-</v>
      </c>
      <c r="Q80" s="46" t="str">
        <f t="shared" si="9"/>
        <v>-</v>
      </c>
      <c r="S80" s="46" t="str">
        <f t="shared" si="10"/>
        <v>-</v>
      </c>
    </row>
    <row r="81" spans="1:19" ht="15" x14ac:dyDescent="0.3">
      <c r="A81" s="74">
        <v>3900864</v>
      </c>
      <c r="B81" s="37">
        <v>80691</v>
      </c>
      <c r="C81" s="69">
        <v>21245806912</v>
      </c>
      <c r="D81" s="38" t="s">
        <v>164</v>
      </c>
      <c r="E81" s="64">
        <v>7.2075768800000009E-2</v>
      </c>
      <c r="F81" s="70">
        <v>12</v>
      </c>
      <c r="G81" s="38" t="s">
        <v>165</v>
      </c>
      <c r="H81" s="66" t="s">
        <v>1258</v>
      </c>
      <c r="I81" s="39">
        <v>5.3625000000000007</v>
      </c>
      <c r="J81" s="40"/>
      <c r="K81" s="75">
        <f t="shared" si="6"/>
        <v>0</v>
      </c>
      <c r="L81" s="41"/>
      <c r="N81" s="45" t="str">
        <f t="shared" si="7"/>
        <v>-</v>
      </c>
      <c r="O81" s="42" t="str">
        <f t="shared" si="11"/>
        <v>-</v>
      </c>
      <c r="P81" s="43" t="str">
        <f t="shared" si="8"/>
        <v>-</v>
      </c>
      <c r="Q81" s="46" t="str">
        <f t="shared" si="9"/>
        <v>-</v>
      </c>
      <c r="S81" s="46" t="str">
        <f t="shared" si="10"/>
        <v>-</v>
      </c>
    </row>
    <row r="82" spans="1:19" ht="15" x14ac:dyDescent="0.3">
      <c r="A82" s="74">
        <v>6611598</v>
      </c>
      <c r="B82" s="37">
        <v>70236</v>
      </c>
      <c r="C82" s="69">
        <v>21245702368</v>
      </c>
      <c r="D82" s="38" t="s">
        <v>166</v>
      </c>
      <c r="E82" s="64">
        <v>8.2372307199999995E-2</v>
      </c>
      <c r="F82" s="70">
        <v>12</v>
      </c>
      <c r="G82" s="38" t="s">
        <v>167</v>
      </c>
      <c r="H82" s="66" t="s">
        <v>1258</v>
      </c>
      <c r="I82" s="39">
        <v>5.8012500000000005</v>
      </c>
      <c r="J82" s="40"/>
      <c r="K82" s="75">
        <f t="shared" si="6"/>
        <v>0</v>
      </c>
      <c r="L82" s="41"/>
      <c r="N82" s="45" t="str">
        <f t="shared" si="7"/>
        <v>-</v>
      </c>
      <c r="O82" s="42" t="str">
        <f t="shared" si="11"/>
        <v>-</v>
      </c>
      <c r="P82" s="43" t="str">
        <f t="shared" si="8"/>
        <v>-</v>
      </c>
      <c r="Q82" s="46" t="str">
        <f t="shared" si="9"/>
        <v>-</v>
      </c>
      <c r="S82" s="46" t="str">
        <f t="shared" si="10"/>
        <v>-</v>
      </c>
    </row>
    <row r="83" spans="1:19" ht="15" x14ac:dyDescent="0.3">
      <c r="A83" s="74">
        <v>8816151</v>
      </c>
      <c r="B83" s="37">
        <v>70240</v>
      </c>
      <c r="C83" s="69">
        <v>21245702405</v>
      </c>
      <c r="D83" s="38" t="s">
        <v>166</v>
      </c>
      <c r="E83" s="64">
        <v>0.16989288359999999</v>
      </c>
      <c r="F83" s="70">
        <v>6</v>
      </c>
      <c r="G83" s="38" t="s">
        <v>168</v>
      </c>
      <c r="H83" s="66" t="s">
        <v>1258</v>
      </c>
      <c r="I83" s="39">
        <v>13.11375</v>
      </c>
      <c r="J83" s="40"/>
      <c r="K83" s="75">
        <f t="shared" si="6"/>
        <v>0</v>
      </c>
      <c r="L83" s="41"/>
      <c r="N83" s="45" t="str">
        <f t="shared" si="7"/>
        <v>-</v>
      </c>
      <c r="O83" s="42" t="str">
        <f t="shared" si="11"/>
        <v>-</v>
      </c>
      <c r="P83" s="43" t="str">
        <f t="shared" si="8"/>
        <v>-</v>
      </c>
      <c r="Q83" s="46" t="str">
        <f t="shared" si="9"/>
        <v>-</v>
      </c>
      <c r="S83" s="46" t="str">
        <f t="shared" si="10"/>
        <v>-</v>
      </c>
    </row>
    <row r="84" spans="1:19" ht="15" x14ac:dyDescent="0.3">
      <c r="A84" s="74">
        <v>4919728</v>
      </c>
      <c r="B84" s="37">
        <v>88759</v>
      </c>
      <c r="C84" s="69">
        <v>21245887591</v>
      </c>
      <c r="D84" s="38" t="s">
        <v>171</v>
      </c>
      <c r="E84" s="64">
        <v>0.12355846079999999</v>
      </c>
      <c r="F84" s="70">
        <v>6</v>
      </c>
      <c r="G84" s="38" t="s">
        <v>63</v>
      </c>
      <c r="H84" s="66" t="s">
        <v>1258</v>
      </c>
      <c r="I84" s="39">
        <v>10.0425</v>
      </c>
      <c r="J84" s="40"/>
      <c r="K84" s="75">
        <f t="shared" si="6"/>
        <v>0</v>
      </c>
      <c r="L84" s="41"/>
      <c r="N84" s="45" t="str">
        <f t="shared" si="7"/>
        <v>-</v>
      </c>
      <c r="O84" s="42" t="str">
        <f t="shared" si="11"/>
        <v>-</v>
      </c>
      <c r="P84" s="43" t="str">
        <f t="shared" si="8"/>
        <v>-</v>
      </c>
      <c r="Q84" s="46" t="str">
        <f t="shared" si="9"/>
        <v>-</v>
      </c>
      <c r="S84" s="46" t="str">
        <f t="shared" si="10"/>
        <v>-</v>
      </c>
    </row>
    <row r="85" spans="1:19" ht="15" x14ac:dyDescent="0.3">
      <c r="A85" s="74">
        <v>5159417</v>
      </c>
      <c r="B85" s="37">
        <v>17445</v>
      </c>
      <c r="C85" s="69">
        <v>21245174455</v>
      </c>
      <c r="D85" s="38" t="s">
        <v>172</v>
      </c>
      <c r="E85" s="64">
        <v>9.2668845599999994E-2</v>
      </c>
      <c r="F85" s="70">
        <v>6</v>
      </c>
      <c r="G85" s="38" t="s">
        <v>173</v>
      </c>
      <c r="H85" s="66" t="s">
        <v>1258</v>
      </c>
      <c r="I85" s="39">
        <v>6.1912499999999993</v>
      </c>
      <c r="J85" s="40"/>
      <c r="K85" s="75">
        <f t="shared" si="6"/>
        <v>0</v>
      </c>
      <c r="L85" s="41"/>
      <c r="N85" s="45" t="str">
        <f t="shared" si="7"/>
        <v>-</v>
      </c>
      <c r="O85" s="42" t="str">
        <f t="shared" si="11"/>
        <v>-</v>
      </c>
      <c r="P85" s="43" t="str">
        <f t="shared" si="8"/>
        <v>-</v>
      </c>
      <c r="Q85" s="46" t="str">
        <f t="shared" si="9"/>
        <v>-</v>
      </c>
      <c r="S85" s="46" t="str">
        <f t="shared" si="10"/>
        <v>-</v>
      </c>
    </row>
    <row r="86" spans="1:19" ht="15" x14ac:dyDescent="0.3">
      <c r="A86" s="74">
        <v>2471648</v>
      </c>
      <c r="B86" s="37">
        <v>84670</v>
      </c>
      <c r="C86" s="69">
        <v>21245846703</v>
      </c>
      <c r="D86" s="38" t="s">
        <v>178</v>
      </c>
      <c r="E86" s="64">
        <v>0.10811365319999999</v>
      </c>
      <c r="F86" s="70">
        <v>12</v>
      </c>
      <c r="G86" s="38" t="s">
        <v>143</v>
      </c>
      <c r="H86" s="66" t="s">
        <v>1258</v>
      </c>
      <c r="I86" s="39">
        <v>3.6075000000000004</v>
      </c>
      <c r="J86" s="40"/>
      <c r="K86" s="75">
        <f t="shared" si="6"/>
        <v>0</v>
      </c>
      <c r="L86" s="41"/>
      <c r="N86" s="45" t="str">
        <f t="shared" si="7"/>
        <v>-</v>
      </c>
      <c r="O86" s="42" t="str">
        <f t="shared" si="11"/>
        <v>-</v>
      </c>
      <c r="P86" s="43" t="str">
        <f t="shared" si="8"/>
        <v>-</v>
      </c>
      <c r="Q86" s="46" t="str">
        <f t="shared" si="9"/>
        <v>-</v>
      </c>
      <c r="S86" s="46" t="str">
        <f t="shared" si="10"/>
        <v>-</v>
      </c>
    </row>
    <row r="87" spans="1:19" ht="15" x14ac:dyDescent="0.3">
      <c r="A87" s="74">
        <v>2325160</v>
      </c>
      <c r="B87" s="37">
        <v>71060</v>
      </c>
      <c r="C87" s="69">
        <v>21245710608</v>
      </c>
      <c r="D87" s="38" t="s">
        <v>179</v>
      </c>
      <c r="E87" s="64">
        <v>0.13385499919999999</v>
      </c>
      <c r="F87" s="70">
        <v>6</v>
      </c>
      <c r="G87" s="38" t="s">
        <v>180</v>
      </c>
      <c r="H87" s="66" t="s">
        <v>1258</v>
      </c>
      <c r="I87" s="39">
        <v>9.4574999999999996</v>
      </c>
      <c r="J87" s="40"/>
      <c r="K87" s="75">
        <f t="shared" si="6"/>
        <v>0</v>
      </c>
      <c r="L87" s="41"/>
      <c r="N87" s="45" t="str">
        <f t="shared" si="7"/>
        <v>-</v>
      </c>
      <c r="O87" s="42" t="str">
        <f t="shared" si="11"/>
        <v>-</v>
      </c>
      <c r="P87" s="43" t="str">
        <f t="shared" si="8"/>
        <v>-</v>
      </c>
      <c r="Q87" s="46" t="str">
        <f t="shared" si="9"/>
        <v>-</v>
      </c>
      <c r="S87" s="46" t="str">
        <f t="shared" si="10"/>
        <v>-</v>
      </c>
    </row>
    <row r="88" spans="1:19" ht="15" x14ac:dyDescent="0.3">
      <c r="A88" s="74">
        <v>2609911</v>
      </c>
      <c r="B88" s="37">
        <v>80206</v>
      </c>
      <c r="C88" s="69">
        <v>21245802068</v>
      </c>
      <c r="D88" s="38" t="s">
        <v>184</v>
      </c>
      <c r="E88" s="64">
        <v>6.1779230399999996E-2</v>
      </c>
      <c r="F88" s="70">
        <v>12</v>
      </c>
      <c r="G88" s="38" t="s">
        <v>185</v>
      </c>
      <c r="H88" s="66" t="s">
        <v>1258</v>
      </c>
      <c r="I88" s="39">
        <v>7.1174999999999997</v>
      </c>
      <c r="J88" s="40"/>
      <c r="K88" s="75">
        <f t="shared" si="6"/>
        <v>0</v>
      </c>
      <c r="L88" s="41"/>
      <c r="N88" s="45" t="str">
        <f t="shared" si="7"/>
        <v>-</v>
      </c>
      <c r="O88" s="42" t="str">
        <f t="shared" si="11"/>
        <v>-</v>
      </c>
      <c r="P88" s="43" t="str">
        <f t="shared" si="8"/>
        <v>-</v>
      </c>
      <c r="Q88" s="46" t="str">
        <f t="shared" si="9"/>
        <v>-</v>
      </c>
      <c r="S88" s="46" t="str">
        <f t="shared" si="10"/>
        <v>-</v>
      </c>
    </row>
    <row r="89" spans="1:19" ht="15" x14ac:dyDescent="0.3">
      <c r="A89" s="74">
        <v>9154483</v>
      </c>
      <c r="B89" s="37">
        <v>38284</v>
      </c>
      <c r="C89" s="69">
        <v>21245382843</v>
      </c>
      <c r="D89" s="38" t="s">
        <v>188</v>
      </c>
      <c r="E89" s="64">
        <v>0.41186153600000003</v>
      </c>
      <c r="F89" s="70">
        <v>3</v>
      </c>
      <c r="G89" s="38" t="s">
        <v>189</v>
      </c>
      <c r="H89" s="66" t="s">
        <v>1258</v>
      </c>
      <c r="I89" s="39">
        <v>14.3325</v>
      </c>
      <c r="J89" s="40"/>
      <c r="K89" s="75">
        <f t="shared" si="6"/>
        <v>0</v>
      </c>
      <c r="L89" s="41"/>
      <c r="N89" s="45" t="str">
        <f t="shared" si="7"/>
        <v>-</v>
      </c>
      <c r="O89" s="42" t="str">
        <f t="shared" si="11"/>
        <v>-</v>
      </c>
      <c r="P89" s="43" t="str">
        <f t="shared" si="8"/>
        <v>-</v>
      </c>
      <c r="Q89" s="46" t="str">
        <f t="shared" si="9"/>
        <v>-</v>
      </c>
      <c r="S89" s="46" t="str">
        <f t="shared" si="10"/>
        <v>-</v>
      </c>
    </row>
    <row r="90" spans="1:19" ht="15" x14ac:dyDescent="0.3">
      <c r="A90" s="74">
        <v>9580019</v>
      </c>
      <c r="B90" s="37">
        <v>31315</v>
      </c>
      <c r="C90" s="69">
        <v>21245313151</v>
      </c>
      <c r="D90" s="38" t="s">
        <v>195</v>
      </c>
      <c r="E90" s="64">
        <v>0.35008230560000003</v>
      </c>
      <c r="F90" s="70">
        <v>6</v>
      </c>
      <c r="G90" s="38" t="s">
        <v>131</v>
      </c>
      <c r="H90" s="66" t="s">
        <v>1258</v>
      </c>
      <c r="I90" s="39">
        <v>16.380000000000003</v>
      </c>
      <c r="J90" s="40"/>
      <c r="K90" s="75">
        <f t="shared" si="6"/>
        <v>0</v>
      </c>
      <c r="L90" s="41"/>
      <c r="N90" s="45" t="str">
        <f t="shared" si="7"/>
        <v>-</v>
      </c>
      <c r="O90" s="42" t="str">
        <f t="shared" si="11"/>
        <v>-</v>
      </c>
      <c r="P90" s="43" t="str">
        <f t="shared" si="8"/>
        <v>-</v>
      </c>
      <c r="Q90" s="46" t="str">
        <f t="shared" si="9"/>
        <v>-</v>
      </c>
      <c r="S90" s="46" t="str">
        <f t="shared" si="10"/>
        <v>-</v>
      </c>
    </row>
    <row r="91" spans="1:19" ht="15" x14ac:dyDescent="0.3">
      <c r="A91" s="74">
        <v>9411082</v>
      </c>
      <c r="B91" s="37">
        <v>9011</v>
      </c>
      <c r="C91" s="69">
        <v>21245090113</v>
      </c>
      <c r="D91" s="38" t="s">
        <v>199</v>
      </c>
      <c r="E91" s="64">
        <v>8.7520576400000008E-2</v>
      </c>
      <c r="F91" s="70">
        <v>12</v>
      </c>
      <c r="G91" s="38" t="s">
        <v>200</v>
      </c>
      <c r="H91" s="66" t="s">
        <v>1258</v>
      </c>
      <c r="I91" s="39">
        <v>4.5825000000000005</v>
      </c>
      <c r="J91" s="40"/>
      <c r="K91" s="75">
        <f t="shared" si="6"/>
        <v>0</v>
      </c>
      <c r="L91" s="41"/>
      <c r="N91" s="45" t="str">
        <f t="shared" si="7"/>
        <v>-</v>
      </c>
      <c r="O91" s="42" t="str">
        <f t="shared" si="11"/>
        <v>-</v>
      </c>
      <c r="P91" s="43" t="str">
        <f t="shared" si="8"/>
        <v>-</v>
      </c>
      <c r="Q91" s="46" t="str">
        <f t="shared" si="9"/>
        <v>-</v>
      </c>
      <c r="S91" s="46" t="str">
        <f t="shared" si="10"/>
        <v>-</v>
      </c>
    </row>
    <row r="92" spans="1:19" ht="15" x14ac:dyDescent="0.3">
      <c r="A92" s="74">
        <v>7093186</v>
      </c>
      <c r="B92" s="37">
        <v>33266</v>
      </c>
      <c r="C92" s="69">
        <v>21245332664</v>
      </c>
      <c r="D92" s="38" t="s">
        <v>201</v>
      </c>
      <c r="E92" s="64">
        <v>5.6750000000000002E-2</v>
      </c>
      <c r="F92" s="70">
        <v>12</v>
      </c>
      <c r="G92" s="38" t="s">
        <v>202</v>
      </c>
      <c r="H92" s="66" t="s">
        <v>1258</v>
      </c>
      <c r="I92" s="39">
        <v>10.432500000000001</v>
      </c>
      <c r="J92" s="40"/>
      <c r="K92" s="75">
        <f t="shared" si="6"/>
        <v>0</v>
      </c>
      <c r="L92" s="41"/>
      <c r="N92" s="45" t="str">
        <f t="shared" si="7"/>
        <v>-</v>
      </c>
      <c r="O92" s="42" t="str">
        <f t="shared" si="11"/>
        <v>-</v>
      </c>
      <c r="P92" s="43" t="str">
        <f t="shared" si="8"/>
        <v>-</v>
      </c>
      <c r="Q92" s="46" t="str">
        <f t="shared" si="9"/>
        <v>-</v>
      </c>
      <c r="S92" s="46" t="str">
        <f t="shared" si="10"/>
        <v>-</v>
      </c>
    </row>
    <row r="93" spans="1:19" ht="15" x14ac:dyDescent="0.3">
      <c r="A93" s="74">
        <v>6592124</v>
      </c>
      <c r="B93" s="37">
        <v>55807</v>
      </c>
      <c r="C93" s="69">
        <v>21245558071</v>
      </c>
      <c r="D93" s="38" t="s">
        <v>205</v>
      </c>
      <c r="E93" s="64">
        <v>0.15444807599999999</v>
      </c>
      <c r="F93" s="70">
        <v>6</v>
      </c>
      <c r="G93" s="38" t="s">
        <v>74</v>
      </c>
      <c r="H93" s="66" t="s">
        <v>1258</v>
      </c>
      <c r="I93" s="39">
        <v>13.016249999999999</v>
      </c>
      <c r="J93" s="40"/>
      <c r="K93" s="75">
        <f t="shared" si="6"/>
        <v>0</v>
      </c>
      <c r="L93" s="41"/>
      <c r="N93" s="45" t="str">
        <f t="shared" si="7"/>
        <v>-</v>
      </c>
      <c r="O93" s="42" t="str">
        <f t="shared" si="11"/>
        <v>-</v>
      </c>
      <c r="P93" s="43" t="str">
        <f t="shared" si="8"/>
        <v>-</v>
      </c>
      <c r="Q93" s="46" t="str">
        <f t="shared" si="9"/>
        <v>-</v>
      </c>
      <c r="S93" s="46" t="str">
        <f t="shared" si="10"/>
        <v>-</v>
      </c>
    </row>
    <row r="94" spans="1:19" ht="15" customHeight="1" x14ac:dyDescent="0.3">
      <c r="A94" s="74">
        <v>3757349</v>
      </c>
      <c r="B94" s="37">
        <v>56156</v>
      </c>
      <c r="C94" s="69">
        <v>21245561569</v>
      </c>
      <c r="D94" s="38" t="s">
        <v>206</v>
      </c>
      <c r="E94" s="64">
        <v>0.11326192240000001</v>
      </c>
      <c r="F94" s="70">
        <v>12</v>
      </c>
      <c r="G94" s="38" t="s">
        <v>207</v>
      </c>
      <c r="H94" s="66" t="s">
        <v>1258</v>
      </c>
      <c r="I94" s="39">
        <v>5.6062500000000002</v>
      </c>
      <c r="J94" s="40"/>
      <c r="K94" s="75">
        <f t="shared" si="6"/>
        <v>0</v>
      </c>
      <c r="L94" s="41"/>
      <c r="N94" s="45" t="str">
        <f t="shared" si="7"/>
        <v>-</v>
      </c>
      <c r="O94" s="42" t="str">
        <f t="shared" si="11"/>
        <v>-</v>
      </c>
      <c r="P94" s="43" t="str">
        <f t="shared" si="8"/>
        <v>-</v>
      </c>
      <c r="Q94" s="46" t="str">
        <f t="shared" si="9"/>
        <v>-</v>
      </c>
      <c r="S94" s="46" t="str">
        <f t="shared" si="10"/>
        <v>-</v>
      </c>
    </row>
    <row r="95" spans="1:19" ht="15" x14ac:dyDescent="0.3">
      <c r="A95" s="74">
        <v>9416017</v>
      </c>
      <c r="B95" s="37">
        <v>30852</v>
      </c>
      <c r="C95" s="69">
        <v>21245308522</v>
      </c>
      <c r="D95" s="38" t="s">
        <v>208</v>
      </c>
      <c r="E95" s="64">
        <v>0.32948922879999998</v>
      </c>
      <c r="F95" s="70">
        <v>3</v>
      </c>
      <c r="G95" s="38" t="s">
        <v>209</v>
      </c>
      <c r="H95" s="66" t="s">
        <v>1258</v>
      </c>
      <c r="I95" s="39">
        <v>17.54025</v>
      </c>
      <c r="J95" s="40"/>
      <c r="K95" s="75">
        <f t="shared" si="6"/>
        <v>0</v>
      </c>
      <c r="L95" s="41"/>
      <c r="N95" s="45" t="str">
        <f t="shared" si="7"/>
        <v>-</v>
      </c>
      <c r="O95" s="42" t="str">
        <f t="shared" si="11"/>
        <v>-</v>
      </c>
      <c r="P95" s="43" t="str">
        <f t="shared" si="8"/>
        <v>-</v>
      </c>
      <c r="Q95" s="46" t="str">
        <f t="shared" si="9"/>
        <v>-</v>
      </c>
      <c r="S95" s="46" t="str">
        <f t="shared" si="10"/>
        <v>-</v>
      </c>
    </row>
    <row r="96" spans="1:19" ht="15" x14ac:dyDescent="0.3">
      <c r="A96" s="74">
        <v>5818133</v>
      </c>
      <c r="B96" s="37">
        <v>64684</v>
      </c>
      <c r="C96" s="69">
        <v>21245646846</v>
      </c>
      <c r="D96" s="38" t="s">
        <v>210</v>
      </c>
      <c r="E96" s="64">
        <v>5.6750000000000002E-2</v>
      </c>
      <c r="F96" s="70">
        <v>12</v>
      </c>
      <c r="G96" s="38" t="s">
        <v>211</v>
      </c>
      <c r="H96" s="66" t="s">
        <v>1258</v>
      </c>
      <c r="I96" s="39">
        <v>10.67625</v>
      </c>
      <c r="J96" s="40"/>
      <c r="K96" s="75">
        <f t="shared" si="6"/>
        <v>0</v>
      </c>
      <c r="L96" s="41"/>
      <c r="N96" s="45" t="str">
        <f t="shared" si="7"/>
        <v>-</v>
      </c>
      <c r="O96" s="42" t="str">
        <f t="shared" si="11"/>
        <v>-</v>
      </c>
      <c r="P96" s="43" t="str">
        <f t="shared" si="8"/>
        <v>-</v>
      </c>
      <c r="Q96" s="46" t="str">
        <f t="shared" si="9"/>
        <v>-</v>
      </c>
      <c r="S96" s="46" t="str">
        <f t="shared" si="10"/>
        <v>-</v>
      </c>
    </row>
    <row r="97" spans="1:19" ht="15" x14ac:dyDescent="0.3">
      <c r="A97" s="74">
        <v>5409806</v>
      </c>
      <c r="B97" s="37">
        <v>75006</v>
      </c>
      <c r="C97" s="69">
        <v>21245750062</v>
      </c>
      <c r="D97" s="38" t="s">
        <v>84</v>
      </c>
      <c r="E97" s="64">
        <v>6.1779230399999996E-2</v>
      </c>
      <c r="F97" s="70">
        <v>12</v>
      </c>
      <c r="G97" s="38" t="s">
        <v>212</v>
      </c>
      <c r="H97" s="66" t="s">
        <v>1258</v>
      </c>
      <c r="I97" s="39">
        <v>5.1187500000000004</v>
      </c>
      <c r="J97" s="40"/>
      <c r="K97" s="75">
        <f t="shared" si="6"/>
        <v>0</v>
      </c>
      <c r="L97" s="41"/>
      <c r="N97" s="45" t="str">
        <f t="shared" si="7"/>
        <v>-</v>
      </c>
      <c r="O97" s="42" t="str">
        <f t="shared" si="11"/>
        <v>-</v>
      </c>
      <c r="P97" s="43" t="str">
        <f t="shared" si="8"/>
        <v>-</v>
      </c>
      <c r="Q97" s="46" t="str">
        <f t="shared" si="9"/>
        <v>-</v>
      </c>
      <c r="S97" s="46" t="str">
        <f t="shared" si="10"/>
        <v>-</v>
      </c>
    </row>
    <row r="98" spans="1:19" ht="15" x14ac:dyDescent="0.3">
      <c r="A98" s="74">
        <v>9362424</v>
      </c>
      <c r="B98" s="37">
        <v>75012</v>
      </c>
      <c r="C98" s="69">
        <v>21245750123</v>
      </c>
      <c r="D98" s="38" t="s">
        <v>84</v>
      </c>
      <c r="E98" s="64">
        <v>7.2075768800000009E-2</v>
      </c>
      <c r="F98" s="70">
        <v>6</v>
      </c>
      <c r="G98" s="38" t="s">
        <v>213</v>
      </c>
      <c r="H98" s="66" t="s">
        <v>1258</v>
      </c>
      <c r="I98" s="39">
        <v>9.2624999999999993</v>
      </c>
      <c r="J98" s="40"/>
      <c r="K98" s="75">
        <f t="shared" si="6"/>
        <v>0</v>
      </c>
      <c r="L98" s="41"/>
      <c r="N98" s="45" t="str">
        <f t="shared" si="7"/>
        <v>-</v>
      </c>
      <c r="O98" s="42" t="str">
        <f t="shared" si="11"/>
        <v>-</v>
      </c>
      <c r="P98" s="43" t="str">
        <f t="shared" si="8"/>
        <v>-</v>
      </c>
      <c r="Q98" s="46" t="str">
        <f t="shared" si="9"/>
        <v>-</v>
      </c>
      <c r="S98" s="46" t="str">
        <f t="shared" si="10"/>
        <v>-</v>
      </c>
    </row>
    <row r="99" spans="1:19" ht="15" customHeight="1" x14ac:dyDescent="0.3">
      <c r="A99" s="74">
        <v>7523307</v>
      </c>
      <c r="B99" s="37">
        <v>83225</v>
      </c>
      <c r="C99" s="69">
        <v>21245832256</v>
      </c>
      <c r="D99" s="38" t="s">
        <v>216</v>
      </c>
      <c r="E99" s="64">
        <v>8.7520576400000008E-2</v>
      </c>
      <c r="F99" s="70">
        <v>12</v>
      </c>
      <c r="G99" s="38" t="s">
        <v>217</v>
      </c>
      <c r="H99" s="66" t="s">
        <v>1258</v>
      </c>
      <c r="I99" s="39">
        <v>11.2125</v>
      </c>
      <c r="J99" s="40"/>
      <c r="K99" s="75">
        <f t="shared" si="6"/>
        <v>0</v>
      </c>
      <c r="L99" s="41"/>
      <c r="N99" s="45" t="str">
        <f t="shared" si="7"/>
        <v>-</v>
      </c>
      <c r="O99" s="42" t="str">
        <f t="shared" si="11"/>
        <v>-</v>
      </c>
      <c r="P99" s="43" t="str">
        <f t="shared" si="8"/>
        <v>-</v>
      </c>
      <c r="Q99" s="46" t="str">
        <f t="shared" si="9"/>
        <v>-</v>
      </c>
      <c r="S99" s="46" t="str">
        <f t="shared" si="10"/>
        <v>-</v>
      </c>
    </row>
    <row r="100" spans="1:19" ht="15" x14ac:dyDescent="0.3">
      <c r="A100" s="74">
        <v>1740262</v>
      </c>
      <c r="B100" s="37">
        <v>29261</v>
      </c>
      <c r="C100" s="69">
        <v>21245292616</v>
      </c>
      <c r="D100" s="38" t="s">
        <v>219</v>
      </c>
      <c r="E100" s="64">
        <v>6.6927499599999996E-2</v>
      </c>
      <c r="F100" s="70">
        <v>12</v>
      </c>
      <c r="G100" s="38" t="s">
        <v>220</v>
      </c>
      <c r="H100" s="66" t="s">
        <v>1258</v>
      </c>
      <c r="I100" s="39">
        <v>9.36</v>
      </c>
      <c r="J100" s="40"/>
      <c r="K100" s="75">
        <f t="shared" si="6"/>
        <v>0</v>
      </c>
      <c r="L100" s="41"/>
      <c r="N100" s="45" t="str">
        <f t="shared" si="7"/>
        <v>-</v>
      </c>
      <c r="O100" s="42" t="str">
        <f t="shared" si="11"/>
        <v>-</v>
      </c>
      <c r="P100" s="43" t="str">
        <f t="shared" si="8"/>
        <v>-</v>
      </c>
      <c r="Q100" s="46" t="str">
        <f t="shared" si="9"/>
        <v>-</v>
      </c>
      <c r="S100" s="46" t="str">
        <f t="shared" si="10"/>
        <v>-</v>
      </c>
    </row>
    <row r="101" spans="1:19" ht="15" x14ac:dyDescent="0.3">
      <c r="A101" s="74">
        <v>3048656</v>
      </c>
      <c r="B101" s="37">
        <v>89308</v>
      </c>
      <c r="C101" s="69">
        <v>21245893080</v>
      </c>
      <c r="D101" s="38" t="s">
        <v>224</v>
      </c>
      <c r="E101" s="64">
        <v>0.11326192240000001</v>
      </c>
      <c r="F101" s="70">
        <v>6</v>
      </c>
      <c r="G101" s="38" t="s">
        <v>34</v>
      </c>
      <c r="H101" s="66" t="s">
        <v>1258</v>
      </c>
      <c r="I101" s="39">
        <v>15.99</v>
      </c>
      <c r="J101" s="40"/>
      <c r="K101" s="75">
        <f t="shared" si="6"/>
        <v>0</v>
      </c>
      <c r="L101" s="41"/>
      <c r="N101" s="45" t="str">
        <f t="shared" si="7"/>
        <v>-</v>
      </c>
      <c r="O101" s="42" t="str">
        <f t="shared" si="11"/>
        <v>-</v>
      </c>
      <c r="P101" s="43" t="str">
        <f t="shared" si="8"/>
        <v>-</v>
      </c>
      <c r="Q101" s="46" t="str">
        <f t="shared" si="9"/>
        <v>-</v>
      </c>
      <c r="S101" s="46" t="str">
        <f t="shared" si="10"/>
        <v>-</v>
      </c>
    </row>
    <row r="102" spans="1:19" ht="15" x14ac:dyDescent="0.3">
      <c r="A102" s="74">
        <v>5277495</v>
      </c>
      <c r="B102" s="37">
        <v>40757</v>
      </c>
      <c r="C102" s="69">
        <v>21245407577</v>
      </c>
      <c r="D102" s="38" t="s">
        <v>225</v>
      </c>
      <c r="E102" s="64">
        <v>7.2075768800000009E-2</v>
      </c>
      <c r="F102" s="70">
        <v>12</v>
      </c>
      <c r="G102" s="38" t="s">
        <v>226</v>
      </c>
      <c r="H102" s="66" t="s">
        <v>1258</v>
      </c>
      <c r="I102" s="39">
        <v>6.24</v>
      </c>
      <c r="J102" s="40"/>
      <c r="K102" s="75">
        <f t="shared" si="6"/>
        <v>0</v>
      </c>
      <c r="L102" s="41"/>
      <c r="N102" s="45" t="str">
        <f t="shared" si="7"/>
        <v>-</v>
      </c>
      <c r="O102" s="42" t="str">
        <f t="shared" si="11"/>
        <v>-</v>
      </c>
      <c r="P102" s="43" t="str">
        <f t="shared" si="8"/>
        <v>-</v>
      </c>
      <c r="Q102" s="46" t="str">
        <f t="shared" si="9"/>
        <v>-</v>
      </c>
      <c r="S102" s="46" t="str">
        <f t="shared" si="10"/>
        <v>-</v>
      </c>
    </row>
    <row r="103" spans="1:19" ht="15" x14ac:dyDescent="0.3">
      <c r="A103" s="74">
        <v>8017024</v>
      </c>
      <c r="B103" s="37">
        <v>53463</v>
      </c>
      <c r="C103" s="69">
        <v>21245534631</v>
      </c>
      <c r="D103" s="38" t="s">
        <v>230</v>
      </c>
      <c r="E103" s="64">
        <v>6.6927499599999996E-2</v>
      </c>
      <c r="F103" s="70">
        <v>12</v>
      </c>
      <c r="G103" s="38" t="s">
        <v>231</v>
      </c>
      <c r="H103" s="66" t="s">
        <v>1258</v>
      </c>
      <c r="I103" s="39">
        <v>6.3862500000000004</v>
      </c>
      <c r="J103" s="40"/>
      <c r="K103" s="75">
        <f t="shared" si="6"/>
        <v>0</v>
      </c>
      <c r="L103" s="41"/>
      <c r="N103" s="45" t="str">
        <f t="shared" si="7"/>
        <v>-</v>
      </c>
      <c r="O103" s="42" t="str">
        <f t="shared" si="11"/>
        <v>-</v>
      </c>
      <c r="P103" s="43" t="str">
        <f t="shared" si="8"/>
        <v>-</v>
      </c>
      <c r="Q103" s="46" t="str">
        <f t="shared" si="9"/>
        <v>-</v>
      </c>
      <c r="S103" s="46" t="str">
        <f t="shared" si="10"/>
        <v>-</v>
      </c>
    </row>
    <row r="104" spans="1:19" ht="15" x14ac:dyDescent="0.3">
      <c r="A104" s="74">
        <v>4785947</v>
      </c>
      <c r="B104" s="37">
        <v>57210</v>
      </c>
      <c r="C104" s="69">
        <v>21245572107</v>
      </c>
      <c r="D104" s="38" t="s">
        <v>237</v>
      </c>
      <c r="E104" s="64">
        <v>0.36037884399999998</v>
      </c>
      <c r="F104" s="70">
        <v>6</v>
      </c>
      <c r="G104" s="38" t="s">
        <v>117</v>
      </c>
      <c r="H104" s="66" t="s">
        <v>1258</v>
      </c>
      <c r="I104" s="39">
        <v>9.0675000000000008</v>
      </c>
      <c r="J104" s="40"/>
      <c r="K104" s="75">
        <f t="shared" si="6"/>
        <v>0</v>
      </c>
      <c r="L104" s="41"/>
      <c r="N104" s="45" t="str">
        <f t="shared" si="7"/>
        <v>-</v>
      </c>
      <c r="O104" s="42" t="str">
        <f t="shared" si="11"/>
        <v>-</v>
      </c>
      <c r="P104" s="43" t="str">
        <f t="shared" si="8"/>
        <v>-</v>
      </c>
      <c r="Q104" s="46" t="str">
        <f t="shared" si="9"/>
        <v>-</v>
      </c>
      <c r="S104" s="46" t="str">
        <f t="shared" si="10"/>
        <v>-</v>
      </c>
    </row>
    <row r="105" spans="1:19" ht="15" x14ac:dyDescent="0.3">
      <c r="A105" s="74">
        <v>2830592</v>
      </c>
      <c r="B105" s="37">
        <v>32204</v>
      </c>
      <c r="C105" s="69">
        <v>21245322047</v>
      </c>
      <c r="D105" s="38" t="s">
        <v>239</v>
      </c>
      <c r="E105" s="64">
        <v>0.10296538400000001</v>
      </c>
      <c r="F105" s="70">
        <v>12</v>
      </c>
      <c r="G105" s="38" t="s">
        <v>240</v>
      </c>
      <c r="H105" s="66" t="s">
        <v>1258</v>
      </c>
      <c r="I105" s="39">
        <v>4.4849999999999994</v>
      </c>
      <c r="J105" s="40"/>
      <c r="K105" s="75">
        <f t="shared" si="6"/>
        <v>0</v>
      </c>
      <c r="L105" s="41"/>
      <c r="N105" s="45" t="str">
        <f t="shared" si="7"/>
        <v>-</v>
      </c>
      <c r="O105" s="42" t="str">
        <f t="shared" si="11"/>
        <v>-</v>
      </c>
      <c r="P105" s="43" t="str">
        <f t="shared" si="8"/>
        <v>-</v>
      </c>
      <c r="Q105" s="46" t="str">
        <f t="shared" si="9"/>
        <v>-</v>
      </c>
      <c r="S105" s="46" t="str">
        <f t="shared" si="10"/>
        <v>-</v>
      </c>
    </row>
    <row r="106" spans="1:19" ht="15" x14ac:dyDescent="0.3">
      <c r="A106" s="74">
        <v>4072694</v>
      </c>
      <c r="B106" s="37">
        <v>26193</v>
      </c>
      <c r="C106" s="69">
        <v>21245261933</v>
      </c>
      <c r="D106" s="38" t="s">
        <v>255</v>
      </c>
      <c r="E106" s="64">
        <v>5.6750000000000002E-2</v>
      </c>
      <c r="F106" s="70">
        <v>12</v>
      </c>
      <c r="G106" s="38" t="s">
        <v>256</v>
      </c>
      <c r="H106" s="66" t="s">
        <v>1258</v>
      </c>
      <c r="I106" s="39">
        <v>13.30875</v>
      </c>
      <c r="J106" s="40"/>
      <c r="K106" s="75">
        <f t="shared" si="6"/>
        <v>0</v>
      </c>
      <c r="L106" s="41"/>
      <c r="N106" s="45" t="str">
        <f t="shared" si="7"/>
        <v>-</v>
      </c>
      <c r="O106" s="42" t="str">
        <f t="shared" si="11"/>
        <v>-</v>
      </c>
      <c r="P106" s="43" t="str">
        <f t="shared" si="8"/>
        <v>-</v>
      </c>
      <c r="Q106" s="46" t="str">
        <f t="shared" si="9"/>
        <v>-</v>
      </c>
      <c r="S106" s="46" t="str">
        <f t="shared" si="10"/>
        <v>-</v>
      </c>
    </row>
    <row r="107" spans="1:19" ht="15" x14ac:dyDescent="0.3">
      <c r="A107" s="74">
        <v>5246803</v>
      </c>
      <c r="B107" s="37">
        <v>28796</v>
      </c>
      <c r="C107" s="69">
        <v>21245287964</v>
      </c>
      <c r="D107" s="38" t="s">
        <v>257</v>
      </c>
      <c r="E107" s="64">
        <v>0.37582365159999997</v>
      </c>
      <c r="F107" s="70">
        <v>6</v>
      </c>
      <c r="G107" s="38" t="s">
        <v>258</v>
      </c>
      <c r="H107" s="66" t="s">
        <v>1258</v>
      </c>
      <c r="I107" s="39">
        <v>16.370249999999999</v>
      </c>
      <c r="J107" s="40"/>
      <c r="K107" s="75">
        <f t="shared" si="6"/>
        <v>0</v>
      </c>
      <c r="L107" s="41"/>
      <c r="N107" s="45" t="str">
        <f t="shared" si="7"/>
        <v>-</v>
      </c>
      <c r="O107" s="42" t="str">
        <f t="shared" si="11"/>
        <v>-</v>
      </c>
      <c r="P107" s="43" t="str">
        <f t="shared" si="8"/>
        <v>-</v>
      </c>
      <c r="Q107" s="46" t="str">
        <f t="shared" si="9"/>
        <v>-</v>
      </c>
      <c r="S107" s="46" t="str">
        <f t="shared" si="10"/>
        <v>-</v>
      </c>
    </row>
    <row r="108" spans="1:19" ht="15" x14ac:dyDescent="0.3">
      <c r="A108" s="74">
        <v>5667963</v>
      </c>
      <c r="B108" s="37">
        <v>13764</v>
      </c>
      <c r="C108" s="69">
        <v>21245137641</v>
      </c>
      <c r="D108" s="38" t="s">
        <v>262</v>
      </c>
      <c r="E108" s="64">
        <v>0.31919269039999998</v>
      </c>
      <c r="F108" s="70">
        <v>6</v>
      </c>
      <c r="G108" s="38" t="s">
        <v>263</v>
      </c>
      <c r="H108" s="66" t="s">
        <v>1258</v>
      </c>
      <c r="I108" s="39">
        <v>13.162500000000001</v>
      </c>
      <c r="J108" s="40"/>
      <c r="K108" s="75">
        <f t="shared" si="6"/>
        <v>0</v>
      </c>
      <c r="L108" s="41"/>
      <c r="N108" s="45" t="str">
        <f t="shared" si="7"/>
        <v>-</v>
      </c>
      <c r="O108" s="42" t="str">
        <f t="shared" si="11"/>
        <v>-</v>
      </c>
      <c r="P108" s="43" t="str">
        <f t="shared" si="8"/>
        <v>-</v>
      </c>
      <c r="Q108" s="46" t="str">
        <f t="shared" si="9"/>
        <v>-</v>
      </c>
      <c r="S108" s="46" t="str">
        <f t="shared" si="10"/>
        <v>-</v>
      </c>
    </row>
    <row r="109" spans="1:19" ht="15" x14ac:dyDescent="0.3">
      <c r="A109" s="74">
        <v>9408466</v>
      </c>
      <c r="B109" s="37">
        <v>57803</v>
      </c>
      <c r="C109" s="69">
        <v>21245578031</v>
      </c>
      <c r="D109" s="38" t="s">
        <v>264</v>
      </c>
      <c r="E109" s="64">
        <v>5.6750000000000002E-2</v>
      </c>
      <c r="F109" s="70">
        <v>12</v>
      </c>
      <c r="G109" s="38" t="s">
        <v>135</v>
      </c>
      <c r="H109" s="66" t="s">
        <v>1258</v>
      </c>
      <c r="I109" s="39">
        <v>5.3625000000000007</v>
      </c>
      <c r="J109" s="40"/>
      <c r="K109" s="75">
        <f t="shared" si="6"/>
        <v>0</v>
      </c>
      <c r="L109" s="41"/>
      <c r="N109" s="45" t="str">
        <f t="shared" si="7"/>
        <v>-</v>
      </c>
      <c r="O109" s="42" t="str">
        <f t="shared" si="11"/>
        <v>-</v>
      </c>
      <c r="P109" s="43" t="str">
        <f t="shared" si="8"/>
        <v>-</v>
      </c>
      <c r="Q109" s="46" t="str">
        <f t="shared" si="9"/>
        <v>-</v>
      </c>
      <c r="S109" s="46" t="str">
        <f t="shared" si="10"/>
        <v>-</v>
      </c>
    </row>
    <row r="110" spans="1:19" ht="15" x14ac:dyDescent="0.3">
      <c r="A110" s="74">
        <v>9946997</v>
      </c>
      <c r="B110" s="37">
        <v>56410</v>
      </c>
      <c r="C110" s="69">
        <v>21245564102</v>
      </c>
      <c r="D110" s="38" t="s">
        <v>265</v>
      </c>
      <c r="E110" s="64">
        <v>0.20078249880000001</v>
      </c>
      <c r="F110" s="70">
        <v>6</v>
      </c>
      <c r="G110" s="38" t="s">
        <v>200</v>
      </c>
      <c r="H110" s="66" t="s">
        <v>1258</v>
      </c>
      <c r="I110" s="39">
        <v>6.63</v>
      </c>
      <c r="J110" s="40"/>
      <c r="K110" s="75">
        <f t="shared" si="6"/>
        <v>0</v>
      </c>
      <c r="L110" s="41"/>
      <c r="N110" s="45" t="str">
        <f t="shared" si="7"/>
        <v>-</v>
      </c>
      <c r="O110" s="42" t="str">
        <f t="shared" si="11"/>
        <v>-</v>
      </c>
      <c r="P110" s="43" t="str">
        <f t="shared" si="8"/>
        <v>-</v>
      </c>
      <c r="Q110" s="46" t="str">
        <f t="shared" si="9"/>
        <v>-</v>
      </c>
      <c r="S110" s="46" t="str">
        <f t="shared" si="10"/>
        <v>-</v>
      </c>
    </row>
    <row r="111" spans="1:19" ht="15" x14ac:dyDescent="0.3">
      <c r="A111" s="74">
        <v>8326693</v>
      </c>
      <c r="B111" s="37">
        <v>60212</v>
      </c>
      <c r="C111" s="69">
        <v>21245602125</v>
      </c>
      <c r="D111" s="38" t="s">
        <v>266</v>
      </c>
      <c r="E111" s="64">
        <v>0.25741345999999998</v>
      </c>
      <c r="F111" s="70">
        <v>6</v>
      </c>
      <c r="G111" s="38" t="s">
        <v>63</v>
      </c>
      <c r="H111" s="66" t="s">
        <v>1258</v>
      </c>
      <c r="I111" s="39">
        <v>9.6037499999999998</v>
      </c>
      <c r="J111" s="40"/>
      <c r="K111" s="75">
        <f t="shared" si="6"/>
        <v>0</v>
      </c>
      <c r="L111" s="41"/>
      <c r="N111" s="45" t="str">
        <f t="shared" si="7"/>
        <v>-</v>
      </c>
      <c r="O111" s="42" t="str">
        <f t="shared" si="11"/>
        <v>-</v>
      </c>
      <c r="P111" s="43" t="str">
        <f t="shared" si="8"/>
        <v>-</v>
      </c>
      <c r="Q111" s="46" t="str">
        <f t="shared" si="9"/>
        <v>-</v>
      </c>
      <c r="S111" s="46" t="str">
        <f t="shared" si="10"/>
        <v>-</v>
      </c>
    </row>
    <row r="112" spans="1:19" ht="15" x14ac:dyDescent="0.3">
      <c r="A112" s="74">
        <v>8136918</v>
      </c>
      <c r="B112" s="37">
        <v>60206</v>
      </c>
      <c r="C112" s="69">
        <v>21245602064</v>
      </c>
      <c r="D112" s="38" t="s">
        <v>266</v>
      </c>
      <c r="E112" s="64">
        <v>0.17504115280000002</v>
      </c>
      <c r="F112" s="70">
        <v>6</v>
      </c>
      <c r="G112" s="38" t="s">
        <v>34</v>
      </c>
      <c r="H112" s="66" t="s">
        <v>1258</v>
      </c>
      <c r="I112" s="39">
        <v>7.7025000000000006</v>
      </c>
      <c r="J112" s="40"/>
      <c r="K112" s="75">
        <f t="shared" si="6"/>
        <v>0</v>
      </c>
      <c r="L112" s="41"/>
      <c r="N112" s="45" t="str">
        <f t="shared" si="7"/>
        <v>-</v>
      </c>
      <c r="O112" s="42" t="str">
        <f t="shared" si="11"/>
        <v>-</v>
      </c>
      <c r="P112" s="43" t="str">
        <f t="shared" si="8"/>
        <v>-</v>
      </c>
      <c r="Q112" s="46" t="str">
        <f t="shared" si="9"/>
        <v>-</v>
      </c>
      <c r="S112" s="46" t="str">
        <f t="shared" si="10"/>
        <v>-</v>
      </c>
    </row>
    <row r="113" spans="1:19" ht="15" x14ac:dyDescent="0.3">
      <c r="A113" s="74">
        <v>6345908</v>
      </c>
      <c r="B113" s="37">
        <v>61160</v>
      </c>
      <c r="C113" s="69">
        <v>21245611608</v>
      </c>
      <c r="D113" s="38" t="s">
        <v>269</v>
      </c>
      <c r="E113" s="64">
        <v>8.2372307199999995E-2</v>
      </c>
      <c r="F113" s="70">
        <v>6</v>
      </c>
      <c r="G113" s="38" t="s">
        <v>177</v>
      </c>
      <c r="H113" s="66" t="s">
        <v>1258</v>
      </c>
      <c r="I113" s="39">
        <v>23.594999999999999</v>
      </c>
      <c r="J113" s="40"/>
      <c r="K113" s="75">
        <f t="shared" si="6"/>
        <v>0</v>
      </c>
      <c r="L113" s="41"/>
      <c r="N113" s="45" t="str">
        <f t="shared" si="7"/>
        <v>-</v>
      </c>
      <c r="O113" s="42" t="str">
        <f t="shared" si="11"/>
        <v>-</v>
      </c>
      <c r="P113" s="43" t="str">
        <f t="shared" si="8"/>
        <v>-</v>
      </c>
      <c r="Q113" s="46" t="str">
        <f t="shared" si="9"/>
        <v>-</v>
      </c>
      <c r="S113" s="46" t="str">
        <f t="shared" si="10"/>
        <v>-</v>
      </c>
    </row>
    <row r="114" spans="1:19" ht="15" x14ac:dyDescent="0.3">
      <c r="A114" s="74">
        <v>6242317</v>
      </c>
      <c r="B114" s="37">
        <v>45402</v>
      </c>
      <c r="C114" s="69">
        <v>21245454021</v>
      </c>
      <c r="D114" s="38" t="s">
        <v>271</v>
      </c>
      <c r="E114" s="64">
        <v>0.19048596039999999</v>
      </c>
      <c r="F114" s="70">
        <v>6</v>
      </c>
      <c r="G114" s="38" t="s">
        <v>63</v>
      </c>
      <c r="H114" s="66" t="s">
        <v>1258</v>
      </c>
      <c r="I114" s="39">
        <v>11.700000000000001</v>
      </c>
      <c r="J114" s="40"/>
      <c r="K114" s="75">
        <f t="shared" si="6"/>
        <v>0</v>
      </c>
      <c r="L114" s="41"/>
      <c r="N114" s="45" t="str">
        <f t="shared" si="7"/>
        <v>-</v>
      </c>
      <c r="O114" s="42" t="str">
        <f t="shared" si="11"/>
        <v>-</v>
      </c>
      <c r="P114" s="43" t="str">
        <f t="shared" si="8"/>
        <v>-</v>
      </c>
      <c r="Q114" s="46" t="str">
        <f t="shared" si="9"/>
        <v>-</v>
      </c>
      <c r="S114" s="46" t="str">
        <f t="shared" si="10"/>
        <v>-</v>
      </c>
    </row>
    <row r="115" spans="1:19" ht="15" x14ac:dyDescent="0.3">
      <c r="A115" s="74">
        <v>1179234</v>
      </c>
      <c r="B115" s="37">
        <v>17313</v>
      </c>
      <c r="C115" s="69">
        <v>21245173137</v>
      </c>
      <c r="D115" s="38" t="s">
        <v>274</v>
      </c>
      <c r="E115" s="64">
        <v>5.6750000000000002E-2</v>
      </c>
      <c r="F115" s="70">
        <v>12</v>
      </c>
      <c r="G115" s="38" t="s">
        <v>276</v>
      </c>
      <c r="H115" s="66" t="s">
        <v>1258</v>
      </c>
      <c r="I115" s="39">
        <v>5.8987499999999997</v>
      </c>
      <c r="J115" s="40"/>
      <c r="K115" s="75">
        <f t="shared" si="6"/>
        <v>0</v>
      </c>
      <c r="L115" s="41"/>
      <c r="N115" s="45" t="str">
        <f t="shared" si="7"/>
        <v>-</v>
      </c>
      <c r="O115" s="42" t="str">
        <f t="shared" si="11"/>
        <v>-</v>
      </c>
      <c r="P115" s="43" t="str">
        <f t="shared" si="8"/>
        <v>-</v>
      </c>
      <c r="Q115" s="46" t="str">
        <f t="shared" si="9"/>
        <v>-</v>
      </c>
      <c r="S115" s="46" t="str">
        <f t="shared" si="10"/>
        <v>-</v>
      </c>
    </row>
    <row r="116" spans="1:19" ht="15" x14ac:dyDescent="0.3">
      <c r="A116" s="74">
        <v>3762930</v>
      </c>
      <c r="B116" s="37">
        <v>42990</v>
      </c>
      <c r="C116" s="69">
        <v>21245429906</v>
      </c>
      <c r="D116" s="38" t="s">
        <v>277</v>
      </c>
      <c r="E116" s="64">
        <v>5.6750000000000002E-2</v>
      </c>
      <c r="F116" s="70">
        <v>6</v>
      </c>
      <c r="G116" s="38" t="s">
        <v>278</v>
      </c>
      <c r="H116" s="66" t="s">
        <v>1258</v>
      </c>
      <c r="I116" s="39">
        <v>8.7750000000000004</v>
      </c>
      <c r="J116" s="40"/>
      <c r="K116" s="75">
        <f t="shared" si="6"/>
        <v>0</v>
      </c>
      <c r="L116" s="41"/>
      <c r="N116" s="45" t="str">
        <f t="shared" si="7"/>
        <v>-</v>
      </c>
      <c r="O116" s="42" t="str">
        <f t="shared" si="11"/>
        <v>-</v>
      </c>
      <c r="P116" s="43" t="str">
        <f t="shared" si="8"/>
        <v>-</v>
      </c>
      <c r="Q116" s="46" t="str">
        <f t="shared" si="9"/>
        <v>-</v>
      </c>
      <c r="S116" s="46" t="str">
        <f t="shared" si="10"/>
        <v>-</v>
      </c>
    </row>
    <row r="117" spans="1:19" ht="15" x14ac:dyDescent="0.3">
      <c r="A117" s="74">
        <v>5834969</v>
      </c>
      <c r="B117" s="37">
        <v>50200</v>
      </c>
      <c r="C117" s="69">
        <v>21245502005</v>
      </c>
      <c r="D117" s="38" t="s">
        <v>279</v>
      </c>
      <c r="E117" s="64">
        <v>0.13900326840000002</v>
      </c>
      <c r="F117" s="70">
        <v>6</v>
      </c>
      <c r="G117" s="38" t="s">
        <v>280</v>
      </c>
      <c r="H117" s="66" t="s">
        <v>1258</v>
      </c>
      <c r="I117" s="39">
        <v>9.4574999999999996</v>
      </c>
      <c r="J117" s="40"/>
      <c r="K117" s="75">
        <f t="shared" si="6"/>
        <v>0</v>
      </c>
      <c r="L117" s="41"/>
      <c r="N117" s="45" t="str">
        <f t="shared" si="7"/>
        <v>-</v>
      </c>
      <c r="O117" s="42" t="str">
        <f t="shared" si="11"/>
        <v>-</v>
      </c>
      <c r="P117" s="43" t="str">
        <f t="shared" si="8"/>
        <v>-</v>
      </c>
      <c r="Q117" s="46" t="str">
        <f t="shared" si="9"/>
        <v>-</v>
      </c>
      <c r="S117" s="46" t="str">
        <f t="shared" si="10"/>
        <v>-</v>
      </c>
    </row>
    <row r="118" spans="1:19" ht="15" x14ac:dyDescent="0.3">
      <c r="A118" s="74">
        <v>6883016</v>
      </c>
      <c r="B118" s="37">
        <v>51865</v>
      </c>
      <c r="C118" s="69">
        <v>21245518655</v>
      </c>
      <c r="D118" s="38" t="s">
        <v>140</v>
      </c>
      <c r="E118" s="64">
        <v>0.26770999839999998</v>
      </c>
      <c r="F118" s="70">
        <v>6</v>
      </c>
      <c r="G118" s="38" t="s">
        <v>98</v>
      </c>
      <c r="H118" s="66" t="s">
        <v>1258</v>
      </c>
      <c r="I118" s="39">
        <v>7.9950000000000001</v>
      </c>
      <c r="J118" s="40"/>
      <c r="K118" s="75">
        <f t="shared" si="6"/>
        <v>0</v>
      </c>
      <c r="L118" s="41"/>
      <c r="N118" s="45" t="str">
        <f t="shared" si="7"/>
        <v>-</v>
      </c>
      <c r="O118" s="42" t="str">
        <f t="shared" si="11"/>
        <v>-</v>
      </c>
      <c r="P118" s="43" t="str">
        <f t="shared" si="8"/>
        <v>-</v>
      </c>
      <c r="Q118" s="46" t="str">
        <f t="shared" si="9"/>
        <v>-</v>
      </c>
      <c r="S118" s="46" t="str">
        <f t="shared" si="10"/>
        <v>-</v>
      </c>
    </row>
    <row r="119" spans="1:19" ht="15" x14ac:dyDescent="0.3">
      <c r="A119" s="74">
        <v>1820345</v>
      </c>
      <c r="B119" s="37">
        <v>85030</v>
      </c>
      <c r="C119" s="69">
        <v>21245850304</v>
      </c>
      <c r="D119" s="38" t="s">
        <v>283</v>
      </c>
      <c r="E119" s="64">
        <v>5.6750000000000002E-2</v>
      </c>
      <c r="F119" s="70">
        <v>6</v>
      </c>
      <c r="G119" s="38" t="s">
        <v>284</v>
      </c>
      <c r="H119" s="66" t="s">
        <v>1258</v>
      </c>
      <c r="I119" s="39">
        <v>21.7425</v>
      </c>
      <c r="J119" s="40"/>
      <c r="K119" s="75">
        <f t="shared" si="6"/>
        <v>0</v>
      </c>
      <c r="L119" s="41"/>
      <c r="N119" s="45" t="str">
        <f t="shared" si="7"/>
        <v>-</v>
      </c>
      <c r="O119" s="42" t="str">
        <f t="shared" si="11"/>
        <v>-</v>
      </c>
      <c r="P119" s="43" t="str">
        <f t="shared" si="8"/>
        <v>-</v>
      </c>
      <c r="Q119" s="46" t="str">
        <f t="shared" si="9"/>
        <v>-</v>
      </c>
      <c r="S119" s="46" t="str">
        <f t="shared" si="10"/>
        <v>-</v>
      </c>
    </row>
    <row r="120" spans="1:19" ht="15" x14ac:dyDescent="0.3">
      <c r="A120" s="74">
        <v>3631250</v>
      </c>
      <c r="B120" s="37">
        <v>48138</v>
      </c>
      <c r="C120" s="69">
        <v>21245481386</v>
      </c>
      <c r="D120" s="38" t="s">
        <v>286</v>
      </c>
      <c r="E120" s="64">
        <v>0.10811365319999999</v>
      </c>
      <c r="F120" s="70">
        <v>6</v>
      </c>
      <c r="G120" s="38" t="s">
        <v>287</v>
      </c>
      <c r="H120" s="66" t="s">
        <v>1258</v>
      </c>
      <c r="I120" s="39">
        <v>14.625</v>
      </c>
      <c r="J120" s="40"/>
      <c r="K120" s="75">
        <f t="shared" si="6"/>
        <v>0</v>
      </c>
      <c r="L120" s="41"/>
      <c r="N120" s="45" t="str">
        <f t="shared" si="7"/>
        <v>-</v>
      </c>
      <c r="O120" s="42" t="str">
        <f t="shared" si="11"/>
        <v>-</v>
      </c>
      <c r="P120" s="43" t="str">
        <f t="shared" si="8"/>
        <v>-</v>
      </c>
      <c r="Q120" s="46" t="str">
        <f t="shared" si="9"/>
        <v>-</v>
      </c>
      <c r="S120" s="46" t="str">
        <f t="shared" si="10"/>
        <v>-</v>
      </c>
    </row>
    <row r="121" spans="1:19" ht="15" x14ac:dyDescent="0.3">
      <c r="A121" s="74">
        <v>3133886</v>
      </c>
      <c r="B121" s="37">
        <v>79886</v>
      </c>
      <c r="C121" s="69">
        <v>21245798866</v>
      </c>
      <c r="D121" s="38" t="s">
        <v>288</v>
      </c>
      <c r="E121" s="64">
        <v>0.13385499919999999</v>
      </c>
      <c r="F121" s="70">
        <v>6</v>
      </c>
      <c r="G121" s="38" t="s">
        <v>34</v>
      </c>
      <c r="H121" s="66" t="s">
        <v>1258</v>
      </c>
      <c r="I121" s="39">
        <v>11.700000000000001</v>
      </c>
      <c r="J121" s="40"/>
      <c r="K121" s="75">
        <f t="shared" si="6"/>
        <v>0</v>
      </c>
      <c r="L121" s="41"/>
      <c r="N121" s="45" t="str">
        <f t="shared" si="7"/>
        <v>-</v>
      </c>
      <c r="O121" s="42" t="str">
        <f t="shared" si="11"/>
        <v>-</v>
      </c>
      <c r="P121" s="43" t="str">
        <f t="shared" si="8"/>
        <v>-</v>
      </c>
      <c r="Q121" s="46" t="str">
        <f t="shared" si="9"/>
        <v>-</v>
      </c>
      <c r="S121" s="46" t="str">
        <f t="shared" si="10"/>
        <v>-</v>
      </c>
    </row>
    <row r="122" spans="1:19" ht="15" x14ac:dyDescent="0.3">
      <c r="A122" s="74">
        <v>2765198</v>
      </c>
      <c r="B122" s="37">
        <v>57107</v>
      </c>
      <c r="C122" s="69">
        <v>21245571070</v>
      </c>
      <c r="D122" s="38" t="s">
        <v>289</v>
      </c>
      <c r="E122" s="64">
        <v>0.30374788280000004</v>
      </c>
      <c r="F122" s="70">
        <v>6</v>
      </c>
      <c r="G122" s="38" t="s">
        <v>290</v>
      </c>
      <c r="H122" s="66" t="s">
        <v>1258</v>
      </c>
      <c r="I122" s="39">
        <v>8.53125</v>
      </c>
      <c r="J122" s="40"/>
      <c r="K122" s="75">
        <f t="shared" si="6"/>
        <v>0</v>
      </c>
      <c r="L122" s="41"/>
      <c r="N122" s="45" t="str">
        <f t="shared" si="7"/>
        <v>-</v>
      </c>
      <c r="O122" s="42" t="str">
        <f t="shared" si="11"/>
        <v>-</v>
      </c>
      <c r="P122" s="43" t="str">
        <f t="shared" si="8"/>
        <v>-</v>
      </c>
      <c r="Q122" s="46" t="str">
        <f t="shared" si="9"/>
        <v>-</v>
      </c>
      <c r="S122" s="46" t="str">
        <f t="shared" si="10"/>
        <v>-</v>
      </c>
    </row>
    <row r="123" spans="1:19" ht="15" x14ac:dyDescent="0.3">
      <c r="A123" s="74">
        <v>2592030</v>
      </c>
      <c r="B123" s="37">
        <v>79459</v>
      </c>
      <c r="C123" s="69">
        <v>21245794592</v>
      </c>
      <c r="D123" s="38" t="s">
        <v>292</v>
      </c>
      <c r="E123" s="64">
        <v>0.11326192240000001</v>
      </c>
      <c r="F123" s="70">
        <v>12</v>
      </c>
      <c r="G123" s="38" t="s">
        <v>98</v>
      </c>
      <c r="H123" s="66" t="s">
        <v>1258</v>
      </c>
      <c r="I123" s="39">
        <v>5.07</v>
      </c>
      <c r="J123" s="40"/>
      <c r="K123" s="75">
        <f t="shared" si="6"/>
        <v>0</v>
      </c>
      <c r="L123" s="41"/>
      <c r="N123" s="45" t="str">
        <f t="shared" si="7"/>
        <v>-</v>
      </c>
      <c r="O123" s="42" t="str">
        <f t="shared" si="11"/>
        <v>-</v>
      </c>
      <c r="P123" s="43" t="str">
        <f t="shared" si="8"/>
        <v>-</v>
      </c>
      <c r="Q123" s="46" t="str">
        <f t="shared" si="9"/>
        <v>-</v>
      </c>
      <c r="S123" s="46" t="str">
        <f t="shared" si="10"/>
        <v>-</v>
      </c>
    </row>
    <row r="124" spans="1:19" ht="15" x14ac:dyDescent="0.3">
      <c r="A124" s="74">
        <v>8320624</v>
      </c>
      <c r="B124" s="37">
        <v>89152</v>
      </c>
      <c r="C124" s="69">
        <v>21245891529</v>
      </c>
      <c r="D124" s="38" t="s">
        <v>293</v>
      </c>
      <c r="E124" s="64">
        <v>0.13385499919999999</v>
      </c>
      <c r="F124" s="70">
        <v>6</v>
      </c>
      <c r="G124" s="38" t="s">
        <v>294</v>
      </c>
      <c r="H124" s="66" t="s">
        <v>1258</v>
      </c>
      <c r="I124" s="39">
        <v>14.381250000000001</v>
      </c>
      <c r="J124" s="40"/>
      <c r="K124" s="75">
        <f t="shared" si="6"/>
        <v>0</v>
      </c>
      <c r="L124" s="41"/>
      <c r="N124" s="45" t="str">
        <f t="shared" si="7"/>
        <v>-</v>
      </c>
      <c r="O124" s="42" t="str">
        <f t="shared" si="11"/>
        <v>-</v>
      </c>
      <c r="P124" s="43" t="str">
        <f t="shared" si="8"/>
        <v>-</v>
      </c>
      <c r="Q124" s="46" t="str">
        <f t="shared" si="9"/>
        <v>-</v>
      </c>
      <c r="S124" s="46" t="str">
        <f t="shared" si="10"/>
        <v>-</v>
      </c>
    </row>
    <row r="125" spans="1:19" ht="15" x14ac:dyDescent="0.3">
      <c r="A125" s="74">
        <v>6430812</v>
      </c>
      <c r="B125" s="37">
        <v>38885</v>
      </c>
      <c r="C125" s="69">
        <v>21245388852</v>
      </c>
      <c r="D125" s="38" t="s">
        <v>296</v>
      </c>
      <c r="E125" s="64">
        <v>0.17504115280000002</v>
      </c>
      <c r="F125" s="70">
        <v>6</v>
      </c>
      <c r="G125" s="38" t="s">
        <v>34</v>
      </c>
      <c r="H125" s="66" t="s">
        <v>1258</v>
      </c>
      <c r="I125" s="39">
        <v>14.77125</v>
      </c>
      <c r="J125" s="40"/>
      <c r="K125" s="75">
        <f t="shared" si="6"/>
        <v>0</v>
      </c>
      <c r="L125" s="41"/>
      <c r="N125" s="45" t="str">
        <f t="shared" si="7"/>
        <v>-</v>
      </c>
      <c r="O125" s="42" t="str">
        <f t="shared" si="11"/>
        <v>-</v>
      </c>
      <c r="P125" s="43" t="str">
        <f t="shared" si="8"/>
        <v>-</v>
      </c>
      <c r="Q125" s="46" t="str">
        <f t="shared" si="9"/>
        <v>-</v>
      </c>
      <c r="S125" s="46" t="str">
        <f t="shared" si="10"/>
        <v>-</v>
      </c>
    </row>
    <row r="126" spans="1:19" ht="15" x14ac:dyDescent="0.3">
      <c r="A126" s="74">
        <v>3545568</v>
      </c>
      <c r="B126" s="37">
        <v>49315</v>
      </c>
      <c r="C126" s="69">
        <v>21245493150</v>
      </c>
      <c r="D126" s="38" t="s">
        <v>297</v>
      </c>
      <c r="E126" s="64">
        <v>5.6750000000000002E-2</v>
      </c>
      <c r="F126" s="70">
        <v>12</v>
      </c>
      <c r="G126" s="38" t="s">
        <v>223</v>
      </c>
      <c r="H126" s="66" t="s">
        <v>1258</v>
      </c>
      <c r="I126" s="39">
        <v>4.8262499999999999</v>
      </c>
      <c r="J126" s="40"/>
      <c r="K126" s="75">
        <f t="shared" si="6"/>
        <v>0</v>
      </c>
      <c r="L126" s="41"/>
      <c r="N126" s="45" t="str">
        <f t="shared" si="7"/>
        <v>-</v>
      </c>
      <c r="O126" s="42" t="str">
        <f t="shared" si="11"/>
        <v>-</v>
      </c>
      <c r="P126" s="43" t="str">
        <f t="shared" si="8"/>
        <v>-</v>
      </c>
      <c r="Q126" s="46" t="str">
        <f t="shared" si="9"/>
        <v>-</v>
      </c>
      <c r="S126" s="46" t="str">
        <f t="shared" si="10"/>
        <v>-</v>
      </c>
    </row>
    <row r="127" spans="1:19" ht="15" x14ac:dyDescent="0.3">
      <c r="A127" s="74">
        <v>5063637</v>
      </c>
      <c r="B127" s="37">
        <v>56509</v>
      </c>
      <c r="C127" s="69">
        <v>21245565093</v>
      </c>
      <c r="D127" s="38" t="s">
        <v>299</v>
      </c>
      <c r="E127" s="64">
        <v>5.6750000000000002E-2</v>
      </c>
      <c r="F127" s="70">
        <v>12</v>
      </c>
      <c r="G127" s="38" t="s">
        <v>300</v>
      </c>
      <c r="H127" s="66" t="s">
        <v>1258</v>
      </c>
      <c r="I127" s="39">
        <v>15.015000000000001</v>
      </c>
      <c r="J127" s="40"/>
      <c r="K127" s="75">
        <f t="shared" si="6"/>
        <v>0</v>
      </c>
      <c r="L127" s="41"/>
      <c r="N127" s="45" t="str">
        <f t="shared" si="7"/>
        <v>-</v>
      </c>
      <c r="O127" s="42" t="str">
        <f t="shared" si="11"/>
        <v>-</v>
      </c>
      <c r="P127" s="43" t="str">
        <f t="shared" si="8"/>
        <v>-</v>
      </c>
      <c r="Q127" s="46" t="str">
        <f t="shared" si="9"/>
        <v>-</v>
      </c>
      <c r="S127" s="46" t="str">
        <f t="shared" si="10"/>
        <v>-</v>
      </c>
    </row>
    <row r="128" spans="1:19" ht="15" x14ac:dyDescent="0.3">
      <c r="A128" s="74">
        <v>7822930</v>
      </c>
      <c r="B128" s="37">
        <v>58874</v>
      </c>
      <c r="C128" s="69">
        <v>21245588740</v>
      </c>
      <c r="D128" s="38" t="s">
        <v>301</v>
      </c>
      <c r="E128" s="64">
        <v>0.12870672999999999</v>
      </c>
      <c r="F128" s="70">
        <v>12</v>
      </c>
      <c r="G128" s="38" t="s">
        <v>240</v>
      </c>
      <c r="H128" s="66" t="s">
        <v>1258</v>
      </c>
      <c r="I128" s="39">
        <v>5.4112499999999999</v>
      </c>
      <c r="J128" s="40"/>
      <c r="K128" s="75">
        <f t="shared" si="6"/>
        <v>0</v>
      </c>
      <c r="L128" s="41"/>
      <c r="N128" s="45" t="str">
        <f t="shared" si="7"/>
        <v>-</v>
      </c>
      <c r="O128" s="42" t="str">
        <f t="shared" si="11"/>
        <v>-</v>
      </c>
      <c r="P128" s="43" t="str">
        <f t="shared" si="8"/>
        <v>-</v>
      </c>
      <c r="Q128" s="46" t="str">
        <f t="shared" si="9"/>
        <v>-</v>
      </c>
      <c r="S128" s="46" t="str">
        <f t="shared" si="10"/>
        <v>-</v>
      </c>
    </row>
    <row r="129" spans="1:19" ht="15" customHeight="1" x14ac:dyDescent="0.3">
      <c r="A129" s="74">
        <v>4810702</v>
      </c>
      <c r="B129" s="37">
        <v>79059</v>
      </c>
      <c r="C129" s="69">
        <v>21245790594</v>
      </c>
      <c r="D129" s="38" t="s">
        <v>302</v>
      </c>
      <c r="E129" s="64">
        <v>8.7520576400000008E-2</v>
      </c>
      <c r="F129" s="70">
        <v>6</v>
      </c>
      <c r="G129" s="38" t="s">
        <v>34</v>
      </c>
      <c r="H129" s="66" t="s">
        <v>1258</v>
      </c>
      <c r="I129" s="39">
        <v>10.286250000000001</v>
      </c>
      <c r="J129" s="40"/>
      <c r="K129" s="75">
        <f t="shared" si="6"/>
        <v>0</v>
      </c>
      <c r="L129" s="41"/>
      <c r="N129" s="45" t="str">
        <f t="shared" si="7"/>
        <v>-</v>
      </c>
      <c r="O129" s="42" t="str">
        <f t="shared" si="11"/>
        <v>-</v>
      </c>
      <c r="P129" s="43" t="str">
        <f t="shared" si="8"/>
        <v>-</v>
      </c>
      <c r="Q129" s="46" t="str">
        <f t="shared" si="9"/>
        <v>-</v>
      </c>
      <c r="S129" s="46" t="str">
        <f t="shared" si="10"/>
        <v>-</v>
      </c>
    </row>
    <row r="130" spans="1:19" ht="15" x14ac:dyDescent="0.3">
      <c r="A130" s="74">
        <v>3582526</v>
      </c>
      <c r="B130" s="37">
        <v>23425</v>
      </c>
      <c r="C130" s="69">
        <v>21245234258</v>
      </c>
      <c r="D130" s="38" t="s">
        <v>305</v>
      </c>
      <c r="E130" s="64">
        <v>5.6750000000000002E-2</v>
      </c>
      <c r="F130" s="70">
        <v>12</v>
      </c>
      <c r="G130" s="38" t="s">
        <v>306</v>
      </c>
      <c r="H130" s="66" t="s">
        <v>1258</v>
      </c>
      <c r="I130" s="39">
        <v>10.96875</v>
      </c>
      <c r="J130" s="40"/>
      <c r="K130" s="75">
        <f t="shared" si="6"/>
        <v>0</v>
      </c>
      <c r="L130" s="41"/>
      <c r="N130" s="45" t="str">
        <f t="shared" si="7"/>
        <v>-</v>
      </c>
      <c r="O130" s="42" t="str">
        <f t="shared" si="11"/>
        <v>-</v>
      </c>
      <c r="P130" s="43" t="str">
        <f t="shared" si="8"/>
        <v>-</v>
      </c>
      <c r="Q130" s="46" t="str">
        <f t="shared" si="9"/>
        <v>-</v>
      </c>
      <c r="S130" s="46" t="str">
        <f t="shared" si="10"/>
        <v>-</v>
      </c>
    </row>
    <row r="131" spans="1:19" ht="15" x14ac:dyDescent="0.3">
      <c r="A131" s="74">
        <v>7090320</v>
      </c>
      <c r="B131" s="37">
        <v>55904</v>
      </c>
      <c r="C131" s="69">
        <v>21245559047</v>
      </c>
      <c r="D131" s="38" t="s">
        <v>311</v>
      </c>
      <c r="E131" s="64">
        <v>0.10296538400000001</v>
      </c>
      <c r="F131" s="70">
        <v>6</v>
      </c>
      <c r="G131" s="38" t="s">
        <v>34</v>
      </c>
      <c r="H131" s="66" t="s">
        <v>1258</v>
      </c>
      <c r="I131" s="39">
        <v>37.245000000000005</v>
      </c>
      <c r="J131" s="40"/>
      <c r="K131" s="75">
        <f t="shared" ref="K131:K194" si="12">J131*I131</f>
        <v>0</v>
      </c>
      <c r="L131" s="41"/>
      <c r="N131" s="45" t="str">
        <f t="shared" ref="N131:N194" si="13">IFERROR(IF($N$2*E131=0, "-", $N$2*E131), "-")</f>
        <v>-</v>
      </c>
      <c r="O131" s="42" t="str">
        <f t="shared" si="11"/>
        <v>-</v>
      </c>
      <c r="P131" s="43" t="str">
        <f t="shared" ref="P131:P194" si="14">IF(J131&gt;0,J131*E131, "-")</f>
        <v>-</v>
      </c>
      <c r="Q131" s="46" t="str">
        <f t="shared" ref="Q131:Q194" si="15">IFERROR(IF($N$2&gt;0, $N$2*P131, "-"), "-")</f>
        <v>-</v>
      </c>
      <c r="S131" s="46" t="str">
        <f t="shared" ref="S131:S194" si="16">IFERROR(IF(Q131+K131=0, "-", IF(Q131&gt;0, Q131+K131, "-")), "-")</f>
        <v>-</v>
      </c>
    </row>
    <row r="132" spans="1:19" ht="15" x14ac:dyDescent="0.3">
      <c r="A132" s="74">
        <v>1648646</v>
      </c>
      <c r="B132" s="37">
        <v>31807</v>
      </c>
      <c r="C132" s="69">
        <v>21245318071</v>
      </c>
      <c r="D132" s="38" t="s">
        <v>312</v>
      </c>
      <c r="E132" s="64">
        <v>0.17504115280000002</v>
      </c>
      <c r="F132" s="70">
        <v>6</v>
      </c>
      <c r="G132" s="38" t="s">
        <v>313</v>
      </c>
      <c r="H132" s="66" t="s">
        <v>1258</v>
      </c>
      <c r="I132" s="39">
        <v>17.55</v>
      </c>
      <c r="J132" s="40"/>
      <c r="K132" s="75">
        <f t="shared" si="12"/>
        <v>0</v>
      </c>
      <c r="L132" s="41"/>
      <c r="N132" s="45" t="str">
        <f t="shared" si="13"/>
        <v>-</v>
      </c>
      <c r="O132" s="42" t="str">
        <f t="shared" ref="O132:O195" si="17">IFERROR(IF(N132&gt;0,I132+N132,"-"),"-")</f>
        <v>-</v>
      </c>
      <c r="P132" s="43" t="str">
        <f t="shared" si="14"/>
        <v>-</v>
      </c>
      <c r="Q132" s="46" t="str">
        <f t="shared" si="15"/>
        <v>-</v>
      </c>
      <c r="S132" s="46" t="str">
        <f t="shared" si="16"/>
        <v>-</v>
      </c>
    </row>
    <row r="133" spans="1:19" ht="15" customHeight="1" x14ac:dyDescent="0.3">
      <c r="A133" s="74">
        <v>6117941</v>
      </c>
      <c r="B133" s="37">
        <v>52609</v>
      </c>
      <c r="C133" s="69">
        <v>21245526094</v>
      </c>
      <c r="D133" s="38" t="s">
        <v>314</v>
      </c>
      <c r="E133" s="64">
        <v>7.2075768800000009E-2</v>
      </c>
      <c r="F133" s="70">
        <v>12</v>
      </c>
      <c r="G133" s="38" t="s">
        <v>183</v>
      </c>
      <c r="H133" s="66" t="s">
        <v>1258</v>
      </c>
      <c r="I133" s="39">
        <v>6.9225000000000003</v>
      </c>
      <c r="J133" s="40"/>
      <c r="K133" s="75">
        <f t="shared" si="12"/>
        <v>0</v>
      </c>
      <c r="L133" s="41"/>
      <c r="N133" s="45" t="str">
        <f t="shared" si="13"/>
        <v>-</v>
      </c>
      <c r="O133" s="42" t="str">
        <f t="shared" si="17"/>
        <v>-</v>
      </c>
      <c r="P133" s="43" t="str">
        <f t="shared" si="14"/>
        <v>-</v>
      </c>
      <c r="Q133" s="46" t="str">
        <f t="shared" si="15"/>
        <v>-</v>
      </c>
      <c r="S133" s="46" t="str">
        <f t="shared" si="16"/>
        <v>-</v>
      </c>
    </row>
    <row r="134" spans="1:19" ht="15" x14ac:dyDescent="0.3">
      <c r="A134" s="74">
        <v>5054299</v>
      </c>
      <c r="B134" s="37">
        <v>46393</v>
      </c>
      <c r="C134" s="69">
        <v>21245463931</v>
      </c>
      <c r="D134" s="38" t="s">
        <v>316</v>
      </c>
      <c r="E134" s="64">
        <v>0.35523057480000003</v>
      </c>
      <c r="F134" s="70">
        <v>6</v>
      </c>
      <c r="G134" s="38" t="s">
        <v>317</v>
      </c>
      <c r="H134" s="66" t="s">
        <v>1258</v>
      </c>
      <c r="I134" s="39">
        <v>16.380000000000003</v>
      </c>
      <c r="J134" s="40"/>
      <c r="K134" s="75">
        <f t="shared" si="12"/>
        <v>0</v>
      </c>
      <c r="L134" s="41"/>
      <c r="N134" s="45" t="str">
        <f t="shared" si="13"/>
        <v>-</v>
      </c>
      <c r="O134" s="42" t="str">
        <f t="shared" si="17"/>
        <v>-</v>
      </c>
      <c r="P134" s="43" t="str">
        <f t="shared" si="14"/>
        <v>-</v>
      </c>
      <c r="Q134" s="46" t="str">
        <f t="shared" si="15"/>
        <v>-</v>
      </c>
      <c r="S134" s="46" t="str">
        <f t="shared" si="16"/>
        <v>-</v>
      </c>
    </row>
    <row r="135" spans="1:19" ht="15" x14ac:dyDescent="0.3">
      <c r="A135" s="74">
        <v>7075815</v>
      </c>
      <c r="B135" s="37">
        <v>49615</v>
      </c>
      <c r="C135" s="69">
        <v>21245496151</v>
      </c>
      <c r="D135" s="38" t="s">
        <v>321</v>
      </c>
      <c r="E135" s="64">
        <v>5.6750000000000002E-2</v>
      </c>
      <c r="F135" s="70">
        <v>12</v>
      </c>
      <c r="G135" s="38" t="s">
        <v>322</v>
      </c>
      <c r="H135" s="66" t="s">
        <v>1258</v>
      </c>
      <c r="I135" s="39">
        <v>4.5337500000000004</v>
      </c>
      <c r="J135" s="40"/>
      <c r="K135" s="75">
        <f t="shared" si="12"/>
        <v>0</v>
      </c>
      <c r="L135" s="41"/>
      <c r="N135" s="45" t="str">
        <f t="shared" si="13"/>
        <v>-</v>
      </c>
      <c r="O135" s="42" t="str">
        <f t="shared" si="17"/>
        <v>-</v>
      </c>
      <c r="P135" s="43" t="str">
        <f t="shared" si="14"/>
        <v>-</v>
      </c>
      <c r="Q135" s="46" t="str">
        <f t="shared" si="15"/>
        <v>-</v>
      </c>
      <c r="S135" s="46" t="str">
        <f t="shared" si="16"/>
        <v>-</v>
      </c>
    </row>
    <row r="136" spans="1:19" ht="15" x14ac:dyDescent="0.3">
      <c r="A136" s="74">
        <v>2993007</v>
      </c>
      <c r="B136" s="37">
        <v>27867</v>
      </c>
      <c r="C136" s="69">
        <v>21245278672</v>
      </c>
      <c r="D136" s="38" t="s">
        <v>323</v>
      </c>
      <c r="E136" s="64">
        <v>0.29859961359999998</v>
      </c>
      <c r="F136" s="70">
        <v>6</v>
      </c>
      <c r="G136" s="38" t="s">
        <v>290</v>
      </c>
      <c r="H136" s="66" t="s">
        <v>1258</v>
      </c>
      <c r="I136" s="39">
        <v>18.427500000000002</v>
      </c>
      <c r="J136" s="40"/>
      <c r="K136" s="75">
        <f t="shared" si="12"/>
        <v>0</v>
      </c>
      <c r="L136" s="41"/>
      <c r="N136" s="45" t="str">
        <f t="shared" si="13"/>
        <v>-</v>
      </c>
      <c r="O136" s="42" t="str">
        <f t="shared" si="17"/>
        <v>-</v>
      </c>
      <c r="P136" s="43" t="str">
        <f t="shared" si="14"/>
        <v>-</v>
      </c>
      <c r="Q136" s="46" t="str">
        <f t="shared" si="15"/>
        <v>-</v>
      </c>
      <c r="S136" s="46" t="str">
        <f t="shared" si="16"/>
        <v>-</v>
      </c>
    </row>
    <row r="137" spans="1:19" ht="15" customHeight="1" x14ac:dyDescent="0.3">
      <c r="A137" s="74">
        <v>6090952</v>
      </c>
      <c r="B137" s="37">
        <v>68709</v>
      </c>
      <c r="C137" s="69">
        <v>21245687092</v>
      </c>
      <c r="D137" s="38" t="s">
        <v>325</v>
      </c>
      <c r="E137" s="64">
        <v>7.7224037999999995E-2</v>
      </c>
      <c r="F137" s="70">
        <v>12</v>
      </c>
      <c r="G137" s="38" t="s">
        <v>326</v>
      </c>
      <c r="H137" s="66" t="s">
        <v>1258</v>
      </c>
      <c r="I137" s="39">
        <v>9.0675000000000008</v>
      </c>
      <c r="J137" s="40"/>
      <c r="K137" s="75">
        <f t="shared" si="12"/>
        <v>0</v>
      </c>
      <c r="L137" s="41"/>
      <c r="N137" s="45" t="str">
        <f t="shared" si="13"/>
        <v>-</v>
      </c>
      <c r="O137" s="42" t="str">
        <f t="shared" si="17"/>
        <v>-</v>
      </c>
      <c r="P137" s="43" t="str">
        <f t="shared" si="14"/>
        <v>-</v>
      </c>
      <c r="Q137" s="46" t="str">
        <f t="shared" si="15"/>
        <v>-</v>
      </c>
      <c r="S137" s="46" t="str">
        <f t="shared" si="16"/>
        <v>-</v>
      </c>
    </row>
    <row r="138" spans="1:19" ht="15" customHeight="1" x14ac:dyDescent="0.3">
      <c r="A138" s="74">
        <v>2189361</v>
      </c>
      <c r="B138" s="37">
        <v>52406</v>
      </c>
      <c r="C138" s="69">
        <v>21245524069</v>
      </c>
      <c r="D138" s="38" t="s">
        <v>331</v>
      </c>
      <c r="E138" s="64">
        <v>5.6750000000000002E-2</v>
      </c>
      <c r="F138" s="70">
        <v>12</v>
      </c>
      <c r="G138" s="38" t="s">
        <v>332</v>
      </c>
      <c r="H138" s="66" t="s">
        <v>1258</v>
      </c>
      <c r="I138" s="39">
        <v>4.4362500000000002</v>
      </c>
      <c r="J138" s="40"/>
      <c r="K138" s="75">
        <f t="shared" si="12"/>
        <v>0</v>
      </c>
      <c r="L138" s="41"/>
      <c r="N138" s="45" t="str">
        <f t="shared" si="13"/>
        <v>-</v>
      </c>
      <c r="O138" s="42" t="str">
        <f t="shared" si="17"/>
        <v>-</v>
      </c>
      <c r="P138" s="43" t="str">
        <f t="shared" si="14"/>
        <v>-</v>
      </c>
      <c r="Q138" s="46" t="str">
        <f t="shared" si="15"/>
        <v>-</v>
      </c>
      <c r="S138" s="46" t="str">
        <f t="shared" si="16"/>
        <v>-</v>
      </c>
    </row>
    <row r="139" spans="1:19" ht="15" customHeight="1" x14ac:dyDescent="0.3">
      <c r="A139" s="74">
        <v>9716669</v>
      </c>
      <c r="B139" s="37">
        <v>12223</v>
      </c>
      <c r="C139" s="69">
        <v>21245122234</v>
      </c>
      <c r="D139" s="38" t="s">
        <v>333</v>
      </c>
      <c r="E139" s="64">
        <v>0.17504115280000002</v>
      </c>
      <c r="F139" s="70">
        <v>6</v>
      </c>
      <c r="G139" s="38" t="s">
        <v>34</v>
      </c>
      <c r="H139" s="66" t="s">
        <v>1258</v>
      </c>
      <c r="I139" s="39">
        <v>6.2887500000000003</v>
      </c>
      <c r="J139" s="40"/>
      <c r="K139" s="75">
        <f t="shared" si="12"/>
        <v>0</v>
      </c>
      <c r="L139" s="41"/>
      <c r="N139" s="45" t="str">
        <f t="shared" si="13"/>
        <v>-</v>
      </c>
      <c r="O139" s="42" t="str">
        <f t="shared" si="17"/>
        <v>-</v>
      </c>
      <c r="P139" s="43" t="str">
        <f t="shared" si="14"/>
        <v>-</v>
      </c>
      <c r="Q139" s="46" t="str">
        <f t="shared" si="15"/>
        <v>-</v>
      </c>
      <c r="S139" s="46" t="str">
        <f t="shared" si="16"/>
        <v>-</v>
      </c>
    </row>
    <row r="140" spans="1:19" ht="15" x14ac:dyDescent="0.3">
      <c r="A140" s="74">
        <v>4189924</v>
      </c>
      <c r="B140" s="37">
        <v>29272</v>
      </c>
      <c r="C140" s="69">
        <v>21245292722</v>
      </c>
      <c r="D140" s="38" t="s">
        <v>337</v>
      </c>
      <c r="E140" s="64">
        <v>5.6750000000000002E-2</v>
      </c>
      <c r="F140" s="70">
        <v>6</v>
      </c>
      <c r="G140" s="38" t="s">
        <v>338</v>
      </c>
      <c r="H140" s="66" t="s">
        <v>1258</v>
      </c>
      <c r="I140" s="39">
        <v>12.285</v>
      </c>
      <c r="J140" s="40"/>
      <c r="K140" s="75">
        <f t="shared" si="12"/>
        <v>0</v>
      </c>
      <c r="L140" s="41"/>
      <c r="N140" s="45" t="str">
        <f t="shared" si="13"/>
        <v>-</v>
      </c>
      <c r="O140" s="42" t="str">
        <f t="shared" si="17"/>
        <v>-</v>
      </c>
      <c r="P140" s="43" t="str">
        <f t="shared" si="14"/>
        <v>-</v>
      </c>
      <c r="Q140" s="46" t="str">
        <f t="shared" si="15"/>
        <v>-</v>
      </c>
      <c r="S140" s="46" t="str">
        <f t="shared" si="16"/>
        <v>-</v>
      </c>
    </row>
    <row r="141" spans="1:19" ht="15" x14ac:dyDescent="0.3">
      <c r="A141" s="74">
        <v>6630876</v>
      </c>
      <c r="B141" s="37">
        <v>86482</v>
      </c>
      <c r="C141" s="69">
        <v>21245864820</v>
      </c>
      <c r="D141" s="38" t="s">
        <v>342</v>
      </c>
      <c r="E141" s="64">
        <v>0.19048596039999999</v>
      </c>
      <c r="F141" s="70">
        <v>6</v>
      </c>
      <c r="G141" s="38" t="s">
        <v>343</v>
      </c>
      <c r="H141" s="66" t="s">
        <v>1258</v>
      </c>
      <c r="I141" s="39">
        <v>13.601249999999999</v>
      </c>
      <c r="J141" s="40"/>
      <c r="K141" s="75">
        <f t="shared" si="12"/>
        <v>0</v>
      </c>
      <c r="L141" s="41"/>
      <c r="N141" s="45" t="str">
        <f t="shared" si="13"/>
        <v>-</v>
      </c>
      <c r="O141" s="42" t="str">
        <f t="shared" si="17"/>
        <v>-</v>
      </c>
      <c r="P141" s="43" t="str">
        <f t="shared" si="14"/>
        <v>-</v>
      </c>
      <c r="Q141" s="46" t="str">
        <f t="shared" si="15"/>
        <v>-</v>
      </c>
      <c r="S141" s="46" t="str">
        <f t="shared" si="16"/>
        <v>-</v>
      </c>
    </row>
    <row r="142" spans="1:19" ht="15" x14ac:dyDescent="0.3">
      <c r="A142" s="74">
        <v>7252254</v>
      </c>
      <c r="B142" s="37">
        <v>78316</v>
      </c>
      <c r="C142" s="69">
        <v>21245783169</v>
      </c>
      <c r="D142" s="38" t="s">
        <v>345</v>
      </c>
      <c r="E142" s="64">
        <v>0.15444807599999999</v>
      </c>
      <c r="F142" s="70">
        <v>6</v>
      </c>
      <c r="G142" s="38" t="s">
        <v>346</v>
      </c>
      <c r="H142" s="66" t="s">
        <v>1258</v>
      </c>
      <c r="I142" s="39">
        <v>10.67625</v>
      </c>
      <c r="J142" s="40"/>
      <c r="K142" s="75">
        <f t="shared" si="12"/>
        <v>0</v>
      </c>
      <c r="L142" s="41"/>
      <c r="N142" s="45" t="str">
        <f t="shared" si="13"/>
        <v>-</v>
      </c>
      <c r="O142" s="42" t="str">
        <f t="shared" si="17"/>
        <v>-</v>
      </c>
      <c r="P142" s="43" t="str">
        <f t="shared" si="14"/>
        <v>-</v>
      </c>
      <c r="Q142" s="46" t="str">
        <f t="shared" si="15"/>
        <v>-</v>
      </c>
      <c r="S142" s="46" t="str">
        <f t="shared" si="16"/>
        <v>-</v>
      </c>
    </row>
    <row r="143" spans="1:19" ht="15" x14ac:dyDescent="0.3">
      <c r="A143" s="74">
        <v>3560923</v>
      </c>
      <c r="B143" s="37">
        <v>97813</v>
      </c>
      <c r="C143" s="69">
        <v>21245978138</v>
      </c>
      <c r="D143" s="38" t="s">
        <v>351</v>
      </c>
      <c r="E143" s="64">
        <v>5.6750000000000002E-2</v>
      </c>
      <c r="F143" s="70">
        <v>12</v>
      </c>
      <c r="G143" s="38" t="s">
        <v>352</v>
      </c>
      <c r="H143" s="66" t="s">
        <v>1258</v>
      </c>
      <c r="I143" s="39">
        <v>8.0925000000000011</v>
      </c>
      <c r="J143" s="40"/>
      <c r="K143" s="75">
        <f t="shared" si="12"/>
        <v>0</v>
      </c>
      <c r="L143" s="41"/>
      <c r="N143" s="45" t="str">
        <f t="shared" si="13"/>
        <v>-</v>
      </c>
      <c r="O143" s="42" t="str">
        <f t="shared" si="17"/>
        <v>-</v>
      </c>
      <c r="P143" s="43" t="str">
        <f t="shared" si="14"/>
        <v>-</v>
      </c>
      <c r="Q143" s="46" t="str">
        <f t="shared" si="15"/>
        <v>-</v>
      </c>
      <c r="S143" s="46" t="str">
        <f t="shared" si="16"/>
        <v>-</v>
      </c>
    </row>
    <row r="144" spans="1:19" ht="15" x14ac:dyDescent="0.3">
      <c r="A144" s="74">
        <v>8493244</v>
      </c>
      <c r="B144" s="37">
        <v>94508</v>
      </c>
      <c r="C144" s="69">
        <v>21245945086</v>
      </c>
      <c r="D144" s="38" t="s">
        <v>353</v>
      </c>
      <c r="E144" s="64">
        <v>0.14929980679999999</v>
      </c>
      <c r="F144" s="70">
        <v>6</v>
      </c>
      <c r="G144" s="38" t="s">
        <v>34</v>
      </c>
      <c r="H144" s="66" t="s">
        <v>1258</v>
      </c>
      <c r="I144" s="39">
        <v>13.747500000000002</v>
      </c>
      <c r="J144" s="40"/>
      <c r="K144" s="75">
        <f t="shared" si="12"/>
        <v>0</v>
      </c>
      <c r="L144" s="41"/>
      <c r="N144" s="45" t="str">
        <f t="shared" si="13"/>
        <v>-</v>
      </c>
      <c r="O144" s="42" t="str">
        <f t="shared" si="17"/>
        <v>-</v>
      </c>
      <c r="P144" s="43" t="str">
        <f t="shared" si="14"/>
        <v>-</v>
      </c>
      <c r="Q144" s="46" t="str">
        <f t="shared" si="15"/>
        <v>-</v>
      </c>
      <c r="S144" s="46" t="str">
        <f t="shared" si="16"/>
        <v>-</v>
      </c>
    </row>
    <row r="145" spans="1:19" ht="15" x14ac:dyDescent="0.3">
      <c r="A145" s="74">
        <v>5935567</v>
      </c>
      <c r="B145" s="37">
        <v>96458</v>
      </c>
      <c r="C145" s="69">
        <v>21245964582</v>
      </c>
      <c r="D145" s="38" t="s">
        <v>354</v>
      </c>
      <c r="E145" s="64">
        <v>5.6750000000000002E-2</v>
      </c>
      <c r="F145" s="70">
        <v>12</v>
      </c>
      <c r="G145" s="38" t="s">
        <v>355</v>
      </c>
      <c r="H145" s="66" t="s">
        <v>1258</v>
      </c>
      <c r="I145" s="39">
        <v>9.9937500000000004</v>
      </c>
      <c r="J145" s="40"/>
      <c r="K145" s="75">
        <f t="shared" si="12"/>
        <v>0</v>
      </c>
      <c r="L145" s="41"/>
      <c r="N145" s="45" t="str">
        <f t="shared" si="13"/>
        <v>-</v>
      </c>
      <c r="O145" s="42" t="str">
        <f t="shared" si="17"/>
        <v>-</v>
      </c>
      <c r="P145" s="43" t="str">
        <f t="shared" si="14"/>
        <v>-</v>
      </c>
      <c r="Q145" s="46" t="str">
        <f t="shared" si="15"/>
        <v>-</v>
      </c>
      <c r="S145" s="46" t="str">
        <f t="shared" si="16"/>
        <v>-</v>
      </c>
    </row>
    <row r="146" spans="1:19" ht="15" x14ac:dyDescent="0.3">
      <c r="A146" s="74">
        <v>4281467</v>
      </c>
      <c r="B146" s="37">
        <v>48845</v>
      </c>
      <c r="C146" s="69">
        <v>21245488453</v>
      </c>
      <c r="D146" s="38" t="s">
        <v>356</v>
      </c>
      <c r="E146" s="64">
        <v>5.6750000000000002E-2</v>
      </c>
      <c r="F146" s="70">
        <v>12</v>
      </c>
      <c r="G146" s="38" t="s">
        <v>245</v>
      </c>
      <c r="H146" s="66" t="s">
        <v>1258</v>
      </c>
      <c r="I146" s="39">
        <v>6.7762500000000001</v>
      </c>
      <c r="J146" s="40"/>
      <c r="K146" s="75">
        <f t="shared" si="12"/>
        <v>0</v>
      </c>
      <c r="L146" s="41"/>
      <c r="N146" s="45" t="str">
        <f t="shared" si="13"/>
        <v>-</v>
      </c>
      <c r="O146" s="42" t="str">
        <f t="shared" si="17"/>
        <v>-</v>
      </c>
      <c r="P146" s="43" t="str">
        <f t="shared" si="14"/>
        <v>-</v>
      </c>
      <c r="Q146" s="46" t="str">
        <f t="shared" si="15"/>
        <v>-</v>
      </c>
      <c r="S146" s="46" t="str">
        <f t="shared" si="16"/>
        <v>-</v>
      </c>
    </row>
    <row r="147" spans="1:19" ht="15" x14ac:dyDescent="0.3">
      <c r="A147" s="74">
        <v>7133644</v>
      </c>
      <c r="B147" s="37">
        <v>40696</v>
      </c>
      <c r="C147" s="69">
        <v>21245406969</v>
      </c>
      <c r="D147" s="38" t="s">
        <v>361</v>
      </c>
      <c r="E147" s="64">
        <v>8.2372307199999995E-2</v>
      </c>
      <c r="F147" s="70">
        <v>6</v>
      </c>
      <c r="G147" s="38" t="s">
        <v>152</v>
      </c>
      <c r="H147" s="66" t="s">
        <v>1258</v>
      </c>
      <c r="I147" s="39">
        <v>11.407499999999999</v>
      </c>
      <c r="J147" s="40"/>
      <c r="K147" s="75">
        <f t="shared" si="12"/>
        <v>0</v>
      </c>
      <c r="L147" s="41"/>
      <c r="N147" s="45" t="str">
        <f t="shared" si="13"/>
        <v>-</v>
      </c>
      <c r="O147" s="42" t="str">
        <f t="shared" si="17"/>
        <v>-</v>
      </c>
      <c r="P147" s="43" t="str">
        <f t="shared" si="14"/>
        <v>-</v>
      </c>
      <c r="Q147" s="46" t="str">
        <f t="shared" si="15"/>
        <v>-</v>
      </c>
      <c r="S147" s="46" t="str">
        <f t="shared" si="16"/>
        <v>-</v>
      </c>
    </row>
    <row r="148" spans="1:19" ht="15" x14ac:dyDescent="0.3">
      <c r="A148" s="74">
        <v>2096145</v>
      </c>
      <c r="B148" s="37">
        <v>74590</v>
      </c>
      <c r="C148" s="69">
        <v>21245745907</v>
      </c>
      <c r="D148" s="38" t="s">
        <v>363</v>
      </c>
      <c r="E148" s="64">
        <v>0.29345134440000004</v>
      </c>
      <c r="F148" s="70">
        <v>6</v>
      </c>
      <c r="G148" s="38" t="s">
        <v>364</v>
      </c>
      <c r="H148" s="66" t="s">
        <v>1258</v>
      </c>
      <c r="I148" s="39">
        <v>8.9212500000000006</v>
      </c>
      <c r="J148" s="40"/>
      <c r="K148" s="75">
        <f t="shared" si="12"/>
        <v>0</v>
      </c>
      <c r="L148" s="41"/>
      <c r="N148" s="45" t="str">
        <f t="shared" si="13"/>
        <v>-</v>
      </c>
      <c r="O148" s="42" t="str">
        <f t="shared" si="17"/>
        <v>-</v>
      </c>
      <c r="P148" s="43" t="str">
        <f t="shared" si="14"/>
        <v>-</v>
      </c>
      <c r="Q148" s="46" t="str">
        <f t="shared" si="15"/>
        <v>-</v>
      </c>
      <c r="S148" s="46" t="str">
        <f t="shared" si="16"/>
        <v>-</v>
      </c>
    </row>
    <row r="149" spans="1:19" ht="15" x14ac:dyDescent="0.3">
      <c r="A149" s="74">
        <v>1202635</v>
      </c>
      <c r="B149" s="37">
        <v>30001</v>
      </c>
      <c r="C149" s="69">
        <v>21245300014</v>
      </c>
      <c r="D149" s="38" t="s">
        <v>146</v>
      </c>
      <c r="E149" s="64">
        <v>8.7520576400000008E-2</v>
      </c>
      <c r="F149" s="70">
        <v>12</v>
      </c>
      <c r="G149" s="38" t="s">
        <v>240</v>
      </c>
      <c r="H149" s="66" t="s">
        <v>1258</v>
      </c>
      <c r="I149" s="39">
        <v>5.7525000000000004</v>
      </c>
      <c r="J149" s="40"/>
      <c r="K149" s="75">
        <f t="shared" si="12"/>
        <v>0</v>
      </c>
      <c r="L149" s="41"/>
      <c r="N149" s="45" t="str">
        <f t="shared" si="13"/>
        <v>-</v>
      </c>
      <c r="O149" s="42" t="str">
        <f t="shared" si="17"/>
        <v>-</v>
      </c>
      <c r="P149" s="43" t="str">
        <f t="shared" si="14"/>
        <v>-</v>
      </c>
      <c r="Q149" s="46" t="str">
        <f t="shared" si="15"/>
        <v>-</v>
      </c>
      <c r="S149" s="46" t="str">
        <f t="shared" si="16"/>
        <v>-</v>
      </c>
    </row>
    <row r="150" spans="1:19" ht="15" x14ac:dyDescent="0.3">
      <c r="A150" s="74">
        <v>3572409</v>
      </c>
      <c r="B150" s="37">
        <v>52312</v>
      </c>
      <c r="C150" s="69">
        <v>21245523123</v>
      </c>
      <c r="D150" s="38" t="s">
        <v>372</v>
      </c>
      <c r="E150" s="64">
        <v>0.27285826759999998</v>
      </c>
      <c r="F150" s="70">
        <v>6</v>
      </c>
      <c r="G150" s="38" t="s">
        <v>373</v>
      </c>
      <c r="H150" s="66" t="s">
        <v>1258</v>
      </c>
      <c r="I150" s="39">
        <v>15.84375</v>
      </c>
      <c r="J150" s="40"/>
      <c r="K150" s="75">
        <f t="shared" si="12"/>
        <v>0</v>
      </c>
      <c r="L150" s="41"/>
      <c r="N150" s="45" t="str">
        <f t="shared" si="13"/>
        <v>-</v>
      </c>
      <c r="O150" s="42" t="str">
        <f t="shared" si="17"/>
        <v>-</v>
      </c>
      <c r="P150" s="43" t="str">
        <f t="shared" si="14"/>
        <v>-</v>
      </c>
      <c r="Q150" s="46" t="str">
        <f t="shared" si="15"/>
        <v>-</v>
      </c>
      <c r="S150" s="46" t="str">
        <f t="shared" si="16"/>
        <v>-</v>
      </c>
    </row>
    <row r="151" spans="1:19" ht="15" x14ac:dyDescent="0.3">
      <c r="A151" s="74">
        <v>2826199</v>
      </c>
      <c r="B151" s="37">
        <v>61506</v>
      </c>
      <c r="C151" s="69">
        <v>21245615064</v>
      </c>
      <c r="D151" s="38" t="s">
        <v>376</v>
      </c>
      <c r="E151" s="64">
        <v>0.17504115280000002</v>
      </c>
      <c r="F151" s="70">
        <v>6</v>
      </c>
      <c r="G151" s="38" t="s">
        <v>90</v>
      </c>
      <c r="H151" s="66" t="s">
        <v>1258</v>
      </c>
      <c r="I151" s="39">
        <v>6.3862500000000004</v>
      </c>
      <c r="J151" s="40"/>
      <c r="K151" s="75">
        <f t="shared" si="12"/>
        <v>0</v>
      </c>
      <c r="L151" s="41"/>
      <c r="N151" s="45" t="str">
        <f t="shared" si="13"/>
        <v>-</v>
      </c>
      <c r="O151" s="42" t="str">
        <f t="shared" si="17"/>
        <v>-</v>
      </c>
      <c r="P151" s="43" t="str">
        <f t="shared" si="14"/>
        <v>-</v>
      </c>
      <c r="Q151" s="46" t="str">
        <f t="shared" si="15"/>
        <v>-</v>
      </c>
      <c r="S151" s="46" t="str">
        <f t="shared" si="16"/>
        <v>-</v>
      </c>
    </row>
    <row r="152" spans="1:19" ht="15" x14ac:dyDescent="0.3">
      <c r="A152" s="74">
        <v>4307473</v>
      </c>
      <c r="B152" s="37">
        <v>45936</v>
      </c>
      <c r="C152" s="69">
        <v>21245459361</v>
      </c>
      <c r="D152" s="38" t="s">
        <v>377</v>
      </c>
      <c r="E152" s="64">
        <v>7.2075768800000009E-2</v>
      </c>
      <c r="F152" s="70">
        <v>12</v>
      </c>
      <c r="G152" s="38" t="s">
        <v>378</v>
      </c>
      <c r="H152" s="66" t="s">
        <v>1258</v>
      </c>
      <c r="I152" s="39">
        <v>8.3849999999999998</v>
      </c>
      <c r="J152" s="40"/>
      <c r="K152" s="75">
        <f t="shared" si="12"/>
        <v>0</v>
      </c>
      <c r="L152" s="41"/>
      <c r="N152" s="45" t="str">
        <f t="shared" si="13"/>
        <v>-</v>
      </c>
      <c r="O152" s="42" t="str">
        <f t="shared" si="17"/>
        <v>-</v>
      </c>
      <c r="P152" s="43" t="str">
        <f t="shared" si="14"/>
        <v>-</v>
      </c>
      <c r="Q152" s="46" t="str">
        <f t="shared" si="15"/>
        <v>-</v>
      </c>
      <c r="S152" s="46" t="str">
        <f t="shared" si="16"/>
        <v>-</v>
      </c>
    </row>
    <row r="153" spans="1:19" ht="15" x14ac:dyDescent="0.3">
      <c r="A153" s="74">
        <v>9201833</v>
      </c>
      <c r="B153" s="37">
        <v>64485</v>
      </c>
      <c r="C153" s="69">
        <v>21245644859</v>
      </c>
      <c r="D153" s="38" t="s">
        <v>232</v>
      </c>
      <c r="E153" s="64">
        <v>5.6750000000000002E-2</v>
      </c>
      <c r="F153" s="70">
        <v>12</v>
      </c>
      <c r="G153" s="38" t="s">
        <v>233</v>
      </c>
      <c r="H153" s="66" t="s">
        <v>1258</v>
      </c>
      <c r="I153" s="39">
        <v>5.8987499999999997</v>
      </c>
      <c r="J153" s="40"/>
      <c r="K153" s="75">
        <f t="shared" si="12"/>
        <v>0</v>
      </c>
      <c r="L153" s="41"/>
      <c r="N153" s="45" t="str">
        <f t="shared" si="13"/>
        <v>-</v>
      </c>
      <c r="O153" s="42" t="str">
        <f t="shared" si="17"/>
        <v>-</v>
      </c>
      <c r="P153" s="43" t="str">
        <f t="shared" si="14"/>
        <v>-</v>
      </c>
      <c r="Q153" s="46" t="str">
        <f t="shared" si="15"/>
        <v>-</v>
      </c>
      <c r="S153" s="46" t="str">
        <f t="shared" si="16"/>
        <v>-</v>
      </c>
    </row>
    <row r="154" spans="1:19" ht="15" x14ac:dyDescent="0.3">
      <c r="A154" s="74">
        <v>9166742</v>
      </c>
      <c r="B154" s="37">
        <v>13463</v>
      </c>
      <c r="C154" s="69">
        <v>21245134633</v>
      </c>
      <c r="D154" s="38" t="s">
        <v>266</v>
      </c>
      <c r="E154" s="64">
        <v>0.44789942040000003</v>
      </c>
      <c r="F154" s="70">
        <v>6</v>
      </c>
      <c r="G154" s="38" t="s">
        <v>64</v>
      </c>
      <c r="H154" s="66" t="s">
        <v>1258</v>
      </c>
      <c r="I154" s="39">
        <v>15.99</v>
      </c>
      <c r="J154" s="40"/>
      <c r="K154" s="75">
        <f t="shared" si="12"/>
        <v>0</v>
      </c>
      <c r="L154" s="41"/>
      <c r="N154" s="45" t="str">
        <f t="shared" si="13"/>
        <v>-</v>
      </c>
      <c r="O154" s="42" t="str">
        <f t="shared" si="17"/>
        <v>-</v>
      </c>
      <c r="P154" s="43" t="str">
        <f t="shared" si="14"/>
        <v>-</v>
      </c>
      <c r="Q154" s="46" t="str">
        <f t="shared" si="15"/>
        <v>-</v>
      </c>
      <c r="S154" s="46" t="str">
        <f t="shared" si="16"/>
        <v>-</v>
      </c>
    </row>
    <row r="155" spans="1:19" ht="15" x14ac:dyDescent="0.3">
      <c r="A155" s="74">
        <v>5269268</v>
      </c>
      <c r="B155" s="37">
        <v>79061</v>
      </c>
      <c r="C155" s="69">
        <v>21245790617</v>
      </c>
      <c r="D155" s="38" t="s">
        <v>383</v>
      </c>
      <c r="E155" s="64">
        <v>0.16474461439999999</v>
      </c>
      <c r="F155" s="70">
        <v>6</v>
      </c>
      <c r="G155" s="38" t="s">
        <v>63</v>
      </c>
      <c r="H155" s="66" t="s">
        <v>1258</v>
      </c>
      <c r="I155" s="39">
        <v>9.9450000000000003</v>
      </c>
      <c r="J155" s="40"/>
      <c r="K155" s="75">
        <f t="shared" si="12"/>
        <v>0</v>
      </c>
      <c r="L155" s="41"/>
      <c r="N155" s="45" t="str">
        <f t="shared" si="13"/>
        <v>-</v>
      </c>
      <c r="O155" s="42" t="str">
        <f t="shared" si="17"/>
        <v>-</v>
      </c>
      <c r="P155" s="43" t="str">
        <f t="shared" si="14"/>
        <v>-</v>
      </c>
      <c r="Q155" s="46" t="str">
        <f t="shared" si="15"/>
        <v>-</v>
      </c>
      <c r="S155" s="46" t="str">
        <f t="shared" si="16"/>
        <v>-</v>
      </c>
    </row>
    <row r="156" spans="1:19" ht="15" x14ac:dyDescent="0.3">
      <c r="A156" s="74">
        <v>8052863</v>
      </c>
      <c r="B156" s="37">
        <v>78287</v>
      </c>
      <c r="C156" s="69">
        <v>21245782872</v>
      </c>
      <c r="D156" s="38" t="s">
        <v>384</v>
      </c>
      <c r="E156" s="64">
        <v>6.1779230399999996E-2</v>
      </c>
      <c r="F156" s="70">
        <v>12</v>
      </c>
      <c r="G156" s="38" t="s">
        <v>220</v>
      </c>
      <c r="H156" s="66" t="s">
        <v>1258</v>
      </c>
      <c r="I156" s="39">
        <v>9.7012499999999982</v>
      </c>
      <c r="J156" s="40"/>
      <c r="K156" s="75">
        <f t="shared" si="12"/>
        <v>0</v>
      </c>
      <c r="L156" s="41"/>
      <c r="N156" s="45" t="str">
        <f t="shared" si="13"/>
        <v>-</v>
      </c>
      <c r="O156" s="42" t="str">
        <f t="shared" si="17"/>
        <v>-</v>
      </c>
      <c r="P156" s="43" t="str">
        <f t="shared" si="14"/>
        <v>-</v>
      </c>
      <c r="Q156" s="46" t="str">
        <f t="shared" si="15"/>
        <v>-</v>
      </c>
      <c r="S156" s="46" t="str">
        <f t="shared" si="16"/>
        <v>-</v>
      </c>
    </row>
    <row r="157" spans="1:19" ht="15" x14ac:dyDescent="0.3">
      <c r="A157" s="74">
        <v>2751121</v>
      </c>
      <c r="B157" s="37">
        <v>87768</v>
      </c>
      <c r="C157" s="69">
        <v>21245877684</v>
      </c>
      <c r="D157" s="38" t="s">
        <v>385</v>
      </c>
      <c r="E157" s="64">
        <v>7.2075768800000009E-2</v>
      </c>
      <c r="F157" s="70">
        <v>12</v>
      </c>
      <c r="G157" s="38" t="s">
        <v>386</v>
      </c>
      <c r="H157" s="66" t="s">
        <v>1258</v>
      </c>
      <c r="I157" s="39">
        <v>6.3375000000000004</v>
      </c>
      <c r="J157" s="40"/>
      <c r="K157" s="75">
        <f t="shared" si="12"/>
        <v>0</v>
      </c>
      <c r="L157" s="41"/>
      <c r="N157" s="45" t="str">
        <f t="shared" si="13"/>
        <v>-</v>
      </c>
      <c r="O157" s="42" t="str">
        <f t="shared" si="17"/>
        <v>-</v>
      </c>
      <c r="P157" s="43" t="str">
        <f t="shared" si="14"/>
        <v>-</v>
      </c>
      <c r="Q157" s="46" t="str">
        <f t="shared" si="15"/>
        <v>-</v>
      </c>
      <c r="S157" s="46" t="str">
        <f t="shared" si="16"/>
        <v>-</v>
      </c>
    </row>
    <row r="158" spans="1:19" ht="15" x14ac:dyDescent="0.3">
      <c r="A158" s="74">
        <v>7905801</v>
      </c>
      <c r="B158" s="37">
        <v>46202</v>
      </c>
      <c r="C158" s="69">
        <v>21245462026</v>
      </c>
      <c r="D158" s="38" t="s">
        <v>390</v>
      </c>
      <c r="E158" s="64">
        <v>5.6750000000000002E-2</v>
      </c>
      <c r="F158" s="70">
        <v>12</v>
      </c>
      <c r="G158" s="38" t="s">
        <v>391</v>
      </c>
      <c r="H158" s="66" t="s">
        <v>1258</v>
      </c>
      <c r="I158" s="39">
        <v>4.3875000000000002</v>
      </c>
      <c r="J158" s="40"/>
      <c r="K158" s="75">
        <f t="shared" si="12"/>
        <v>0</v>
      </c>
      <c r="L158" s="41"/>
      <c r="N158" s="45" t="str">
        <f t="shared" si="13"/>
        <v>-</v>
      </c>
      <c r="O158" s="42" t="str">
        <f t="shared" si="17"/>
        <v>-</v>
      </c>
      <c r="P158" s="43" t="str">
        <f t="shared" si="14"/>
        <v>-</v>
      </c>
      <c r="Q158" s="46" t="str">
        <f t="shared" si="15"/>
        <v>-</v>
      </c>
      <c r="S158" s="46" t="str">
        <f t="shared" si="16"/>
        <v>-</v>
      </c>
    </row>
    <row r="159" spans="1:19" ht="15" x14ac:dyDescent="0.3">
      <c r="A159" s="74">
        <v>6661318</v>
      </c>
      <c r="B159" s="37">
        <v>50212</v>
      </c>
      <c r="C159" s="69">
        <v>21245502128</v>
      </c>
      <c r="D159" s="38" t="s">
        <v>394</v>
      </c>
      <c r="E159" s="64">
        <v>5.6750000000000002E-2</v>
      </c>
      <c r="F159" s="70">
        <v>12</v>
      </c>
      <c r="G159" s="38" t="s">
        <v>332</v>
      </c>
      <c r="H159" s="66" t="s">
        <v>1258</v>
      </c>
      <c r="I159" s="39">
        <v>17.98875</v>
      </c>
      <c r="J159" s="40"/>
      <c r="K159" s="75">
        <f t="shared" si="12"/>
        <v>0</v>
      </c>
      <c r="L159" s="41"/>
      <c r="N159" s="45" t="str">
        <f t="shared" si="13"/>
        <v>-</v>
      </c>
      <c r="O159" s="42" t="str">
        <f t="shared" si="17"/>
        <v>-</v>
      </c>
      <c r="P159" s="43" t="str">
        <f t="shared" si="14"/>
        <v>-</v>
      </c>
      <c r="Q159" s="46" t="str">
        <f t="shared" si="15"/>
        <v>-</v>
      </c>
      <c r="S159" s="46" t="str">
        <f t="shared" si="16"/>
        <v>-</v>
      </c>
    </row>
    <row r="160" spans="1:19" ht="15" x14ac:dyDescent="0.3">
      <c r="A160" s="74">
        <v>9344117</v>
      </c>
      <c r="B160" s="37">
        <v>46471</v>
      </c>
      <c r="C160" s="69">
        <v>21245464716</v>
      </c>
      <c r="D160" s="38" t="s">
        <v>395</v>
      </c>
      <c r="E160" s="64">
        <v>0.28315480600000004</v>
      </c>
      <c r="F160" s="70">
        <v>6</v>
      </c>
      <c r="G160" s="38" t="s">
        <v>364</v>
      </c>
      <c r="H160" s="66" t="s">
        <v>1258</v>
      </c>
      <c r="I160" s="39">
        <v>9.75</v>
      </c>
      <c r="J160" s="40"/>
      <c r="K160" s="75">
        <f t="shared" si="12"/>
        <v>0</v>
      </c>
      <c r="L160" s="41"/>
      <c r="N160" s="45" t="str">
        <f t="shared" si="13"/>
        <v>-</v>
      </c>
      <c r="O160" s="42" t="str">
        <f t="shared" si="17"/>
        <v>-</v>
      </c>
      <c r="P160" s="43" t="str">
        <f t="shared" si="14"/>
        <v>-</v>
      </c>
      <c r="Q160" s="46" t="str">
        <f t="shared" si="15"/>
        <v>-</v>
      </c>
      <c r="S160" s="46" t="str">
        <f t="shared" si="16"/>
        <v>-</v>
      </c>
    </row>
    <row r="161" spans="1:19" ht="15" x14ac:dyDescent="0.3">
      <c r="A161" s="74">
        <v>7196627</v>
      </c>
      <c r="B161" s="37">
        <v>67708</v>
      </c>
      <c r="C161" s="69">
        <v>21245677086</v>
      </c>
      <c r="D161" s="38" t="s">
        <v>399</v>
      </c>
      <c r="E161" s="64">
        <v>9.7817114799999993E-2</v>
      </c>
      <c r="F161" s="70">
        <v>6</v>
      </c>
      <c r="G161" s="38" t="s">
        <v>34</v>
      </c>
      <c r="H161" s="66" t="s">
        <v>1258</v>
      </c>
      <c r="I161" s="39">
        <v>13.162500000000001</v>
      </c>
      <c r="J161" s="40"/>
      <c r="K161" s="75">
        <f t="shared" si="12"/>
        <v>0</v>
      </c>
      <c r="L161" s="41"/>
      <c r="N161" s="45" t="str">
        <f t="shared" si="13"/>
        <v>-</v>
      </c>
      <c r="O161" s="42" t="str">
        <f t="shared" si="17"/>
        <v>-</v>
      </c>
      <c r="P161" s="43" t="str">
        <f t="shared" si="14"/>
        <v>-</v>
      </c>
      <c r="Q161" s="46" t="str">
        <f t="shared" si="15"/>
        <v>-</v>
      </c>
      <c r="S161" s="46" t="str">
        <f t="shared" si="16"/>
        <v>-</v>
      </c>
    </row>
    <row r="162" spans="1:19" ht="15" x14ac:dyDescent="0.3">
      <c r="A162" s="74">
        <v>2382223</v>
      </c>
      <c r="B162" s="37">
        <v>85312</v>
      </c>
      <c r="C162" s="69">
        <v>21245853121</v>
      </c>
      <c r="D162" s="38" t="s">
        <v>403</v>
      </c>
      <c r="E162" s="64">
        <v>5.6750000000000002E-2</v>
      </c>
      <c r="F162" s="70">
        <v>12</v>
      </c>
      <c r="G162" s="38" t="s">
        <v>300</v>
      </c>
      <c r="H162" s="66" t="s">
        <v>1258</v>
      </c>
      <c r="I162" s="39">
        <v>9.1650000000000009</v>
      </c>
      <c r="J162" s="40"/>
      <c r="K162" s="75">
        <f t="shared" si="12"/>
        <v>0</v>
      </c>
      <c r="L162" s="41"/>
      <c r="N162" s="45" t="str">
        <f t="shared" si="13"/>
        <v>-</v>
      </c>
      <c r="O162" s="42" t="str">
        <f t="shared" si="17"/>
        <v>-</v>
      </c>
      <c r="P162" s="43" t="str">
        <f t="shared" si="14"/>
        <v>-</v>
      </c>
      <c r="Q162" s="46" t="str">
        <f t="shared" si="15"/>
        <v>-</v>
      </c>
      <c r="S162" s="46" t="str">
        <f t="shared" si="16"/>
        <v>-</v>
      </c>
    </row>
    <row r="163" spans="1:19" ht="15" x14ac:dyDescent="0.3">
      <c r="A163" s="74">
        <v>8650979</v>
      </c>
      <c r="B163" s="37">
        <v>51539</v>
      </c>
      <c r="C163" s="69">
        <v>21245515395</v>
      </c>
      <c r="D163" s="38" t="s">
        <v>404</v>
      </c>
      <c r="E163" s="64">
        <v>0.12355846079999999</v>
      </c>
      <c r="F163" s="70">
        <v>6</v>
      </c>
      <c r="G163" s="38" t="s">
        <v>405</v>
      </c>
      <c r="H163" s="66" t="s">
        <v>1258</v>
      </c>
      <c r="I163" s="39">
        <v>7.8487500000000008</v>
      </c>
      <c r="J163" s="40"/>
      <c r="K163" s="75">
        <f t="shared" si="12"/>
        <v>0</v>
      </c>
      <c r="L163" s="41"/>
      <c r="N163" s="45" t="str">
        <f t="shared" si="13"/>
        <v>-</v>
      </c>
      <c r="O163" s="42" t="str">
        <f t="shared" si="17"/>
        <v>-</v>
      </c>
      <c r="P163" s="43" t="str">
        <f t="shared" si="14"/>
        <v>-</v>
      </c>
      <c r="Q163" s="46" t="str">
        <f t="shared" si="15"/>
        <v>-</v>
      </c>
      <c r="S163" s="46" t="str">
        <f t="shared" si="16"/>
        <v>-</v>
      </c>
    </row>
    <row r="164" spans="1:19" ht="15" x14ac:dyDescent="0.3">
      <c r="A164" s="74">
        <v>4761505</v>
      </c>
      <c r="B164" s="37">
        <v>74490</v>
      </c>
      <c r="C164" s="69">
        <v>21245744900</v>
      </c>
      <c r="D164" s="38" t="s">
        <v>406</v>
      </c>
      <c r="E164" s="64">
        <v>5.6750000000000002E-2</v>
      </c>
      <c r="F164" s="70">
        <v>12</v>
      </c>
      <c r="G164" s="38" t="s">
        <v>407</v>
      </c>
      <c r="H164" s="66" t="s">
        <v>1258</v>
      </c>
      <c r="I164" s="39">
        <v>6.7275000000000009</v>
      </c>
      <c r="J164" s="40"/>
      <c r="K164" s="75">
        <f t="shared" si="12"/>
        <v>0</v>
      </c>
      <c r="L164" s="41"/>
      <c r="N164" s="45" t="str">
        <f t="shared" si="13"/>
        <v>-</v>
      </c>
      <c r="O164" s="42" t="str">
        <f t="shared" si="17"/>
        <v>-</v>
      </c>
      <c r="P164" s="43" t="str">
        <f t="shared" si="14"/>
        <v>-</v>
      </c>
      <c r="Q164" s="46" t="str">
        <f t="shared" si="15"/>
        <v>-</v>
      </c>
      <c r="S164" s="46" t="str">
        <f t="shared" si="16"/>
        <v>-</v>
      </c>
    </row>
    <row r="165" spans="1:19" ht="15" x14ac:dyDescent="0.3">
      <c r="A165" s="74">
        <v>1920114</v>
      </c>
      <c r="B165" s="37">
        <v>10578</v>
      </c>
      <c r="C165" s="69">
        <v>21245105787</v>
      </c>
      <c r="D165" s="38" t="s">
        <v>410</v>
      </c>
      <c r="E165" s="64">
        <v>7.2075768800000009E-2</v>
      </c>
      <c r="F165" s="70">
        <v>12</v>
      </c>
      <c r="G165" s="38" t="s">
        <v>338</v>
      </c>
      <c r="H165" s="66" t="s">
        <v>1258</v>
      </c>
      <c r="I165" s="39">
        <v>15.502500000000001</v>
      </c>
      <c r="J165" s="40"/>
      <c r="K165" s="75">
        <f t="shared" si="12"/>
        <v>0</v>
      </c>
      <c r="L165" s="41"/>
      <c r="N165" s="45" t="str">
        <f t="shared" si="13"/>
        <v>-</v>
      </c>
      <c r="O165" s="42" t="str">
        <f t="shared" si="17"/>
        <v>-</v>
      </c>
      <c r="P165" s="43" t="str">
        <f t="shared" si="14"/>
        <v>-</v>
      </c>
      <c r="Q165" s="46" t="str">
        <f t="shared" si="15"/>
        <v>-</v>
      </c>
      <c r="S165" s="46" t="str">
        <f t="shared" si="16"/>
        <v>-</v>
      </c>
    </row>
    <row r="166" spans="1:19" ht="15" x14ac:dyDescent="0.3">
      <c r="A166" s="74">
        <v>5276976</v>
      </c>
      <c r="B166" s="37">
        <v>12108</v>
      </c>
      <c r="C166" s="69">
        <v>21245121084</v>
      </c>
      <c r="D166" s="38" t="s">
        <v>413</v>
      </c>
      <c r="E166" s="64">
        <v>0.15959634519999999</v>
      </c>
      <c r="F166" s="70">
        <v>6</v>
      </c>
      <c r="G166" s="38" t="s">
        <v>414</v>
      </c>
      <c r="H166" s="66" t="s">
        <v>1258</v>
      </c>
      <c r="I166" s="39">
        <v>13.162500000000001</v>
      </c>
      <c r="J166" s="40"/>
      <c r="K166" s="75">
        <f t="shared" si="12"/>
        <v>0</v>
      </c>
      <c r="L166" s="41"/>
      <c r="N166" s="45" t="str">
        <f t="shared" si="13"/>
        <v>-</v>
      </c>
      <c r="O166" s="42" t="str">
        <f t="shared" si="17"/>
        <v>-</v>
      </c>
      <c r="P166" s="43" t="str">
        <f t="shared" si="14"/>
        <v>-</v>
      </c>
      <c r="Q166" s="46" t="str">
        <f t="shared" si="15"/>
        <v>-</v>
      </c>
      <c r="S166" s="46" t="str">
        <f t="shared" si="16"/>
        <v>-</v>
      </c>
    </row>
    <row r="167" spans="1:19" ht="15" x14ac:dyDescent="0.3">
      <c r="A167" s="74">
        <v>6986128</v>
      </c>
      <c r="B167" s="37">
        <v>56530</v>
      </c>
      <c r="C167" s="69">
        <v>21245565307</v>
      </c>
      <c r="D167" s="38" t="s">
        <v>415</v>
      </c>
      <c r="E167" s="64">
        <v>0.13900326840000002</v>
      </c>
      <c r="F167" s="70">
        <v>6</v>
      </c>
      <c r="G167" s="38" t="s">
        <v>330</v>
      </c>
      <c r="H167" s="66" t="s">
        <v>1258</v>
      </c>
      <c r="I167" s="39">
        <v>26.568750000000001</v>
      </c>
      <c r="J167" s="40"/>
      <c r="K167" s="75">
        <f t="shared" si="12"/>
        <v>0</v>
      </c>
      <c r="L167" s="41"/>
      <c r="N167" s="45" t="str">
        <f t="shared" si="13"/>
        <v>-</v>
      </c>
      <c r="O167" s="42" t="str">
        <f t="shared" si="17"/>
        <v>-</v>
      </c>
      <c r="P167" s="43" t="str">
        <f t="shared" si="14"/>
        <v>-</v>
      </c>
      <c r="Q167" s="46" t="str">
        <f t="shared" si="15"/>
        <v>-</v>
      </c>
      <c r="S167" s="46" t="str">
        <f t="shared" si="16"/>
        <v>-</v>
      </c>
    </row>
    <row r="168" spans="1:19" ht="15" x14ac:dyDescent="0.3">
      <c r="A168" s="74">
        <v>2032418</v>
      </c>
      <c r="B168" s="37">
        <v>57332</v>
      </c>
      <c r="C168" s="69">
        <v>21245573326</v>
      </c>
      <c r="D168" s="38" t="s">
        <v>418</v>
      </c>
      <c r="E168" s="64">
        <v>5.6750000000000002E-2</v>
      </c>
      <c r="F168" s="70">
        <v>12</v>
      </c>
      <c r="G168" s="38" t="s">
        <v>284</v>
      </c>
      <c r="H168" s="66" t="s">
        <v>1258</v>
      </c>
      <c r="I168" s="39">
        <v>13.747500000000002</v>
      </c>
      <c r="J168" s="40"/>
      <c r="K168" s="75">
        <f t="shared" si="12"/>
        <v>0</v>
      </c>
      <c r="L168" s="41"/>
      <c r="N168" s="45" t="str">
        <f t="shared" si="13"/>
        <v>-</v>
      </c>
      <c r="O168" s="42" t="str">
        <f t="shared" si="17"/>
        <v>-</v>
      </c>
      <c r="P168" s="43" t="str">
        <f t="shared" si="14"/>
        <v>-</v>
      </c>
      <c r="Q168" s="46" t="str">
        <f t="shared" si="15"/>
        <v>-</v>
      </c>
      <c r="S168" s="46" t="str">
        <f t="shared" si="16"/>
        <v>-</v>
      </c>
    </row>
    <row r="169" spans="1:19" ht="15" x14ac:dyDescent="0.3">
      <c r="A169" s="74">
        <v>8074644</v>
      </c>
      <c r="B169" s="37">
        <v>51610</v>
      </c>
      <c r="C169" s="69">
        <v>21245516101</v>
      </c>
      <c r="D169" s="38" t="s">
        <v>422</v>
      </c>
      <c r="E169" s="64">
        <v>0.23682038320000001</v>
      </c>
      <c r="F169" s="70">
        <v>6</v>
      </c>
      <c r="G169" s="38" t="s">
        <v>117</v>
      </c>
      <c r="H169" s="66" t="s">
        <v>1258</v>
      </c>
      <c r="I169" s="39">
        <v>16.477499999999999</v>
      </c>
      <c r="J169" s="40"/>
      <c r="K169" s="75">
        <f t="shared" si="12"/>
        <v>0</v>
      </c>
      <c r="L169" s="41"/>
      <c r="N169" s="45" t="str">
        <f t="shared" si="13"/>
        <v>-</v>
      </c>
      <c r="O169" s="42" t="str">
        <f t="shared" si="17"/>
        <v>-</v>
      </c>
      <c r="P169" s="43" t="str">
        <f t="shared" si="14"/>
        <v>-</v>
      </c>
      <c r="Q169" s="46" t="str">
        <f t="shared" si="15"/>
        <v>-</v>
      </c>
      <c r="S169" s="46" t="str">
        <f t="shared" si="16"/>
        <v>-</v>
      </c>
    </row>
    <row r="170" spans="1:19" ht="15" x14ac:dyDescent="0.3">
      <c r="A170" s="74">
        <v>3506832</v>
      </c>
      <c r="B170" s="37">
        <v>10446</v>
      </c>
      <c r="C170" s="69">
        <v>21245104469</v>
      </c>
      <c r="D170" s="38" t="s">
        <v>424</v>
      </c>
      <c r="E170" s="64">
        <v>0.13385499919999999</v>
      </c>
      <c r="F170" s="70">
        <v>6</v>
      </c>
      <c r="G170" s="38" t="s">
        <v>34</v>
      </c>
      <c r="H170" s="66" t="s">
        <v>1258</v>
      </c>
      <c r="I170" s="39">
        <v>11.31</v>
      </c>
      <c r="J170" s="40"/>
      <c r="K170" s="75">
        <f t="shared" si="12"/>
        <v>0</v>
      </c>
      <c r="L170" s="41"/>
      <c r="N170" s="45" t="str">
        <f t="shared" si="13"/>
        <v>-</v>
      </c>
      <c r="O170" s="42" t="str">
        <f t="shared" si="17"/>
        <v>-</v>
      </c>
      <c r="P170" s="43" t="str">
        <f t="shared" si="14"/>
        <v>-</v>
      </c>
      <c r="Q170" s="46" t="str">
        <f t="shared" si="15"/>
        <v>-</v>
      </c>
      <c r="S170" s="46" t="str">
        <f t="shared" si="16"/>
        <v>-</v>
      </c>
    </row>
    <row r="171" spans="1:19" ht="15" x14ac:dyDescent="0.3">
      <c r="A171" s="74">
        <v>5430437</v>
      </c>
      <c r="B171" s="37">
        <v>70311</v>
      </c>
      <c r="C171" s="69">
        <v>21245703112</v>
      </c>
      <c r="D171" s="38" t="s">
        <v>432</v>
      </c>
      <c r="E171" s="64">
        <v>0.12355846079999999</v>
      </c>
      <c r="F171" s="70">
        <v>6</v>
      </c>
      <c r="G171" s="38" t="s">
        <v>433</v>
      </c>
      <c r="H171" s="66" t="s">
        <v>1258</v>
      </c>
      <c r="I171" s="39">
        <v>7.5075000000000003</v>
      </c>
      <c r="J171" s="40"/>
      <c r="K171" s="75">
        <f t="shared" si="12"/>
        <v>0</v>
      </c>
      <c r="L171" s="41"/>
      <c r="N171" s="45" t="str">
        <f t="shared" si="13"/>
        <v>-</v>
      </c>
      <c r="O171" s="42" t="str">
        <f t="shared" si="17"/>
        <v>-</v>
      </c>
      <c r="P171" s="43" t="str">
        <f t="shared" si="14"/>
        <v>-</v>
      </c>
      <c r="Q171" s="46" t="str">
        <f t="shared" si="15"/>
        <v>-</v>
      </c>
      <c r="S171" s="46" t="str">
        <f t="shared" si="16"/>
        <v>-</v>
      </c>
    </row>
    <row r="172" spans="1:19" ht="15" x14ac:dyDescent="0.3">
      <c r="A172" s="74">
        <v>8492234</v>
      </c>
      <c r="B172" s="37">
        <v>55090</v>
      </c>
      <c r="C172" s="69">
        <v>21245550907</v>
      </c>
      <c r="D172" s="38" t="s">
        <v>434</v>
      </c>
      <c r="E172" s="64">
        <v>0.23682038320000001</v>
      </c>
      <c r="F172" s="70">
        <v>6</v>
      </c>
      <c r="G172" s="38" t="s">
        <v>34</v>
      </c>
      <c r="H172" s="66" t="s">
        <v>1258</v>
      </c>
      <c r="I172" s="39">
        <v>11.017500000000002</v>
      </c>
      <c r="J172" s="40"/>
      <c r="K172" s="75">
        <f t="shared" si="12"/>
        <v>0</v>
      </c>
      <c r="L172" s="41"/>
      <c r="N172" s="45" t="str">
        <f t="shared" si="13"/>
        <v>-</v>
      </c>
      <c r="O172" s="42" t="str">
        <f t="shared" si="17"/>
        <v>-</v>
      </c>
      <c r="P172" s="43" t="str">
        <f t="shared" si="14"/>
        <v>-</v>
      </c>
      <c r="Q172" s="46" t="str">
        <f t="shared" si="15"/>
        <v>-</v>
      </c>
      <c r="S172" s="46" t="str">
        <f t="shared" si="16"/>
        <v>-</v>
      </c>
    </row>
    <row r="173" spans="1:19" ht="15" x14ac:dyDescent="0.3">
      <c r="A173" s="74">
        <v>7345849</v>
      </c>
      <c r="B173" s="37">
        <v>10685</v>
      </c>
      <c r="C173" s="69">
        <v>21245106852</v>
      </c>
      <c r="D173" s="38" t="s">
        <v>435</v>
      </c>
      <c r="E173" s="64">
        <v>6.6927499599999996E-2</v>
      </c>
      <c r="F173" s="70">
        <v>12</v>
      </c>
      <c r="G173" s="38" t="s">
        <v>200</v>
      </c>
      <c r="H173" s="66" t="s">
        <v>1258</v>
      </c>
      <c r="I173" s="39">
        <v>7.9950000000000001</v>
      </c>
      <c r="J173" s="40"/>
      <c r="K173" s="75">
        <f t="shared" si="12"/>
        <v>0</v>
      </c>
      <c r="L173" s="41"/>
      <c r="N173" s="45" t="str">
        <f t="shared" si="13"/>
        <v>-</v>
      </c>
      <c r="O173" s="42" t="str">
        <f t="shared" si="17"/>
        <v>-</v>
      </c>
      <c r="P173" s="43" t="str">
        <f t="shared" si="14"/>
        <v>-</v>
      </c>
      <c r="Q173" s="46" t="str">
        <f t="shared" si="15"/>
        <v>-</v>
      </c>
      <c r="S173" s="46" t="str">
        <f t="shared" si="16"/>
        <v>-</v>
      </c>
    </row>
    <row r="174" spans="1:19" ht="15" x14ac:dyDescent="0.3">
      <c r="A174" s="74">
        <v>5057243</v>
      </c>
      <c r="B174" s="37">
        <v>71512</v>
      </c>
      <c r="C174" s="69">
        <v>21245715122</v>
      </c>
      <c r="D174" s="38" t="s">
        <v>436</v>
      </c>
      <c r="E174" s="64">
        <v>0.21107903719999999</v>
      </c>
      <c r="F174" s="70">
        <v>6</v>
      </c>
      <c r="G174" s="38" t="s">
        <v>437</v>
      </c>
      <c r="H174" s="66" t="s">
        <v>1258</v>
      </c>
      <c r="I174" s="39">
        <v>9.6037499999999998</v>
      </c>
      <c r="J174" s="40"/>
      <c r="K174" s="75">
        <f t="shared" si="12"/>
        <v>0</v>
      </c>
      <c r="L174" s="41"/>
      <c r="N174" s="45" t="str">
        <f t="shared" si="13"/>
        <v>-</v>
      </c>
      <c r="O174" s="42" t="str">
        <f t="shared" si="17"/>
        <v>-</v>
      </c>
      <c r="P174" s="43" t="str">
        <f t="shared" si="14"/>
        <v>-</v>
      </c>
      <c r="Q174" s="46" t="str">
        <f t="shared" si="15"/>
        <v>-</v>
      </c>
      <c r="S174" s="46" t="str">
        <f t="shared" si="16"/>
        <v>-</v>
      </c>
    </row>
    <row r="175" spans="1:19" ht="15" x14ac:dyDescent="0.3">
      <c r="A175" s="74">
        <v>8219585</v>
      </c>
      <c r="B175" s="37">
        <v>64295</v>
      </c>
      <c r="C175" s="69">
        <v>21245642954</v>
      </c>
      <c r="D175" s="38" t="s">
        <v>81</v>
      </c>
      <c r="E175" s="64">
        <v>0.14929980679999999</v>
      </c>
      <c r="F175" s="70">
        <v>6</v>
      </c>
      <c r="G175" s="38" t="s">
        <v>439</v>
      </c>
      <c r="H175" s="66" t="s">
        <v>1258</v>
      </c>
      <c r="I175" s="39">
        <v>8.4824999999999982</v>
      </c>
      <c r="J175" s="40"/>
      <c r="K175" s="75">
        <f t="shared" si="12"/>
        <v>0</v>
      </c>
      <c r="L175" s="41"/>
      <c r="N175" s="45" t="str">
        <f t="shared" si="13"/>
        <v>-</v>
      </c>
      <c r="O175" s="42" t="str">
        <f t="shared" si="17"/>
        <v>-</v>
      </c>
      <c r="P175" s="43" t="str">
        <f t="shared" si="14"/>
        <v>-</v>
      </c>
      <c r="Q175" s="46" t="str">
        <f t="shared" si="15"/>
        <v>-</v>
      </c>
      <c r="S175" s="46" t="str">
        <f t="shared" si="16"/>
        <v>-</v>
      </c>
    </row>
    <row r="176" spans="1:19" ht="15" x14ac:dyDescent="0.3">
      <c r="A176" s="74">
        <v>4016332</v>
      </c>
      <c r="B176" s="37">
        <v>74628</v>
      </c>
      <c r="C176" s="69">
        <v>21245746287</v>
      </c>
      <c r="D176" s="38" t="s">
        <v>440</v>
      </c>
      <c r="E176" s="64">
        <v>0.63838538079999996</v>
      </c>
      <c r="F176" s="70">
        <v>6</v>
      </c>
      <c r="G176" s="38" t="s">
        <v>157</v>
      </c>
      <c r="H176" s="66" t="s">
        <v>1258</v>
      </c>
      <c r="I176" s="39">
        <v>15.99</v>
      </c>
      <c r="J176" s="40"/>
      <c r="K176" s="75">
        <f t="shared" si="12"/>
        <v>0</v>
      </c>
      <c r="L176" s="41"/>
      <c r="N176" s="45" t="str">
        <f t="shared" si="13"/>
        <v>-</v>
      </c>
      <c r="O176" s="42" t="str">
        <f t="shared" si="17"/>
        <v>-</v>
      </c>
      <c r="P176" s="43" t="str">
        <f t="shared" si="14"/>
        <v>-</v>
      </c>
      <c r="Q176" s="46" t="str">
        <f t="shared" si="15"/>
        <v>-</v>
      </c>
      <c r="S176" s="46" t="str">
        <f t="shared" si="16"/>
        <v>-</v>
      </c>
    </row>
    <row r="177" spans="1:19" ht="15" x14ac:dyDescent="0.3">
      <c r="A177" s="74">
        <v>2784930</v>
      </c>
      <c r="B177" s="37">
        <v>60458</v>
      </c>
      <c r="C177" s="69">
        <v>21245604587</v>
      </c>
      <c r="D177" s="38" t="s">
        <v>442</v>
      </c>
      <c r="E177" s="64">
        <v>9.7817114799999993E-2</v>
      </c>
      <c r="F177" s="70">
        <v>6</v>
      </c>
      <c r="G177" s="38" t="s">
        <v>443</v>
      </c>
      <c r="H177" s="66" t="s">
        <v>1258</v>
      </c>
      <c r="I177" s="39">
        <v>11.407499999999999</v>
      </c>
      <c r="J177" s="40"/>
      <c r="K177" s="75">
        <f t="shared" si="12"/>
        <v>0</v>
      </c>
      <c r="L177" s="41"/>
      <c r="N177" s="45" t="str">
        <f t="shared" si="13"/>
        <v>-</v>
      </c>
      <c r="O177" s="42" t="str">
        <f t="shared" si="17"/>
        <v>-</v>
      </c>
      <c r="P177" s="43" t="str">
        <f t="shared" si="14"/>
        <v>-</v>
      </c>
      <c r="Q177" s="46" t="str">
        <f t="shared" si="15"/>
        <v>-</v>
      </c>
      <c r="S177" s="46" t="str">
        <f t="shared" si="16"/>
        <v>-</v>
      </c>
    </row>
    <row r="178" spans="1:19" ht="15" x14ac:dyDescent="0.3">
      <c r="A178" s="74">
        <v>6550543</v>
      </c>
      <c r="B178" s="37">
        <v>83910</v>
      </c>
      <c r="C178" s="69">
        <v>21245839101</v>
      </c>
      <c r="D178" s="38" t="s">
        <v>445</v>
      </c>
      <c r="E178" s="64">
        <v>0.22652384480000001</v>
      </c>
      <c r="F178" s="70">
        <v>6</v>
      </c>
      <c r="G178" s="38" t="s">
        <v>117</v>
      </c>
      <c r="H178" s="66" t="s">
        <v>1258</v>
      </c>
      <c r="I178" s="39">
        <v>18.135000000000002</v>
      </c>
      <c r="J178" s="40"/>
      <c r="K178" s="75">
        <f t="shared" si="12"/>
        <v>0</v>
      </c>
      <c r="L178" s="41"/>
      <c r="N178" s="45" t="str">
        <f t="shared" si="13"/>
        <v>-</v>
      </c>
      <c r="O178" s="42" t="str">
        <f t="shared" si="17"/>
        <v>-</v>
      </c>
      <c r="P178" s="43" t="str">
        <f t="shared" si="14"/>
        <v>-</v>
      </c>
      <c r="Q178" s="46" t="str">
        <f t="shared" si="15"/>
        <v>-</v>
      </c>
      <c r="S178" s="46" t="str">
        <f t="shared" si="16"/>
        <v>-</v>
      </c>
    </row>
    <row r="179" spans="1:19" ht="15" customHeight="1" x14ac:dyDescent="0.3">
      <c r="A179" s="74">
        <v>5124100</v>
      </c>
      <c r="B179" s="37">
        <v>83904</v>
      </c>
      <c r="C179" s="69">
        <v>21245839040</v>
      </c>
      <c r="D179" s="38" t="s">
        <v>445</v>
      </c>
      <c r="E179" s="64">
        <v>0.11841019160000001</v>
      </c>
      <c r="F179" s="70">
        <v>12</v>
      </c>
      <c r="G179" s="38" t="s">
        <v>446</v>
      </c>
      <c r="H179" s="66" t="s">
        <v>1258</v>
      </c>
      <c r="I179" s="39">
        <v>9.9450000000000003</v>
      </c>
      <c r="J179" s="40"/>
      <c r="K179" s="75">
        <f t="shared" si="12"/>
        <v>0</v>
      </c>
      <c r="L179" s="41"/>
      <c r="N179" s="45" t="str">
        <f t="shared" si="13"/>
        <v>-</v>
      </c>
      <c r="O179" s="42" t="str">
        <f t="shared" si="17"/>
        <v>-</v>
      </c>
      <c r="P179" s="43" t="str">
        <f t="shared" si="14"/>
        <v>-</v>
      </c>
      <c r="Q179" s="46" t="str">
        <f t="shared" si="15"/>
        <v>-</v>
      </c>
      <c r="S179" s="46" t="str">
        <f t="shared" si="16"/>
        <v>-</v>
      </c>
    </row>
    <row r="180" spans="1:19" ht="15" x14ac:dyDescent="0.3">
      <c r="A180" s="74">
        <v>6730547</v>
      </c>
      <c r="B180" s="37">
        <v>83310</v>
      </c>
      <c r="C180" s="69">
        <v>21245833109</v>
      </c>
      <c r="D180" s="38" t="s">
        <v>458</v>
      </c>
      <c r="E180" s="64">
        <v>0.42215807439999997</v>
      </c>
      <c r="F180" s="70">
        <v>6</v>
      </c>
      <c r="G180" s="38" t="s">
        <v>459</v>
      </c>
      <c r="H180" s="66" t="s">
        <v>1258</v>
      </c>
      <c r="I180" s="39">
        <v>23.01</v>
      </c>
      <c r="J180" s="40"/>
      <c r="K180" s="75">
        <f t="shared" si="12"/>
        <v>0</v>
      </c>
      <c r="L180" s="41"/>
      <c r="N180" s="45" t="str">
        <f t="shared" si="13"/>
        <v>-</v>
      </c>
      <c r="O180" s="42" t="str">
        <f t="shared" si="17"/>
        <v>-</v>
      </c>
      <c r="P180" s="43" t="str">
        <f t="shared" si="14"/>
        <v>-</v>
      </c>
      <c r="Q180" s="46" t="str">
        <f t="shared" si="15"/>
        <v>-</v>
      </c>
      <c r="S180" s="46" t="str">
        <f t="shared" si="16"/>
        <v>-</v>
      </c>
    </row>
    <row r="181" spans="1:19" ht="15" x14ac:dyDescent="0.3">
      <c r="A181" s="74">
        <v>6346267</v>
      </c>
      <c r="B181" s="37">
        <v>10946</v>
      </c>
      <c r="C181" s="69">
        <v>21245109464</v>
      </c>
      <c r="D181" s="38" t="s">
        <v>460</v>
      </c>
      <c r="E181" s="64">
        <v>5.6750000000000002E-2</v>
      </c>
      <c r="F181" s="70">
        <v>6</v>
      </c>
      <c r="G181" s="38" t="s">
        <v>461</v>
      </c>
      <c r="H181" s="66" t="s">
        <v>1258</v>
      </c>
      <c r="I181" s="39">
        <v>24.813749999999999</v>
      </c>
      <c r="J181" s="40"/>
      <c r="K181" s="75">
        <f t="shared" si="12"/>
        <v>0</v>
      </c>
      <c r="L181" s="41"/>
      <c r="N181" s="45" t="str">
        <f t="shared" si="13"/>
        <v>-</v>
      </c>
      <c r="O181" s="42" t="str">
        <f t="shared" si="17"/>
        <v>-</v>
      </c>
      <c r="P181" s="43" t="str">
        <f t="shared" si="14"/>
        <v>-</v>
      </c>
      <c r="Q181" s="46" t="str">
        <f t="shared" si="15"/>
        <v>-</v>
      </c>
      <c r="S181" s="46" t="str">
        <f t="shared" si="16"/>
        <v>-</v>
      </c>
    </row>
    <row r="182" spans="1:19" ht="15" customHeight="1" x14ac:dyDescent="0.3">
      <c r="A182" s="74">
        <v>1959032</v>
      </c>
      <c r="B182" s="37">
        <v>48547</v>
      </c>
      <c r="C182" s="69">
        <v>21245485476</v>
      </c>
      <c r="D182" s="38" t="s">
        <v>462</v>
      </c>
      <c r="E182" s="64">
        <v>0.10811365319999999</v>
      </c>
      <c r="F182" s="70">
        <v>6</v>
      </c>
      <c r="G182" s="38" t="s">
        <v>135</v>
      </c>
      <c r="H182" s="66" t="s">
        <v>1258</v>
      </c>
      <c r="I182" s="39">
        <v>15.99</v>
      </c>
      <c r="J182" s="40"/>
      <c r="K182" s="75">
        <f t="shared" si="12"/>
        <v>0</v>
      </c>
      <c r="L182" s="41"/>
      <c r="N182" s="45" t="str">
        <f t="shared" si="13"/>
        <v>-</v>
      </c>
      <c r="O182" s="42" t="str">
        <f t="shared" si="17"/>
        <v>-</v>
      </c>
      <c r="P182" s="43" t="str">
        <f t="shared" si="14"/>
        <v>-</v>
      </c>
      <c r="Q182" s="46" t="str">
        <f t="shared" si="15"/>
        <v>-</v>
      </c>
      <c r="S182" s="46" t="str">
        <f t="shared" si="16"/>
        <v>-</v>
      </c>
    </row>
    <row r="183" spans="1:19" ht="15" x14ac:dyDescent="0.3">
      <c r="A183" s="74">
        <v>6136740</v>
      </c>
      <c r="B183" s="37">
        <v>80412</v>
      </c>
      <c r="C183" s="69">
        <v>21245804123</v>
      </c>
      <c r="D183" s="38" t="s">
        <v>467</v>
      </c>
      <c r="E183" s="64">
        <v>0.18533769119999999</v>
      </c>
      <c r="F183" s="70">
        <v>6</v>
      </c>
      <c r="G183" s="38" t="s">
        <v>468</v>
      </c>
      <c r="H183" s="66" t="s">
        <v>1258</v>
      </c>
      <c r="I183" s="39">
        <v>18.330000000000002</v>
      </c>
      <c r="J183" s="40"/>
      <c r="K183" s="75">
        <f t="shared" si="12"/>
        <v>0</v>
      </c>
      <c r="L183" s="41"/>
      <c r="N183" s="45" t="str">
        <f t="shared" si="13"/>
        <v>-</v>
      </c>
      <c r="O183" s="42" t="str">
        <f t="shared" si="17"/>
        <v>-</v>
      </c>
      <c r="P183" s="43" t="str">
        <f t="shared" si="14"/>
        <v>-</v>
      </c>
      <c r="Q183" s="46" t="str">
        <f t="shared" si="15"/>
        <v>-</v>
      </c>
      <c r="S183" s="46" t="str">
        <f t="shared" si="16"/>
        <v>-</v>
      </c>
    </row>
    <row r="184" spans="1:19" ht="15" customHeight="1" x14ac:dyDescent="0.3">
      <c r="A184" s="74">
        <v>6745223</v>
      </c>
      <c r="B184" s="37">
        <v>45845</v>
      </c>
      <c r="C184" s="69">
        <v>21245458456</v>
      </c>
      <c r="D184" s="38" t="s">
        <v>471</v>
      </c>
      <c r="E184" s="64">
        <v>0.45304768960000003</v>
      </c>
      <c r="F184" s="70">
        <v>6</v>
      </c>
      <c r="G184" s="38" t="s">
        <v>472</v>
      </c>
      <c r="H184" s="66" t="s">
        <v>1258</v>
      </c>
      <c r="I184" s="39">
        <v>11.846250000000001</v>
      </c>
      <c r="J184" s="40"/>
      <c r="K184" s="75">
        <f t="shared" si="12"/>
        <v>0</v>
      </c>
      <c r="L184" s="41"/>
      <c r="N184" s="45" t="str">
        <f t="shared" si="13"/>
        <v>-</v>
      </c>
      <c r="O184" s="42" t="str">
        <f t="shared" si="17"/>
        <v>-</v>
      </c>
      <c r="P184" s="43" t="str">
        <f t="shared" si="14"/>
        <v>-</v>
      </c>
      <c r="Q184" s="46" t="str">
        <f t="shared" si="15"/>
        <v>-</v>
      </c>
      <c r="S184" s="46" t="str">
        <f t="shared" si="16"/>
        <v>-</v>
      </c>
    </row>
    <row r="185" spans="1:19" ht="15" x14ac:dyDescent="0.3">
      <c r="A185" s="74">
        <v>6737575</v>
      </c>
      <c r="B185" s="37">
        <v>68909</v>
      </c>
      <c r="C185" s="69">
        <v>21245689096</v>
      </c>
      <c r="D185" s="38" t="s">
        <v>473</v>
      </c>
      <c r="E185" s="64">
        <v>9.7817114799999993E-2</v>
      </c>
      <c r="F185" s="70">
        <v>12</v>
      </c>
      <c r="G185" s="38" t="s">
        <v>474</v>
      </c>
      <c r="H185" s="66" t="s">
        <v>1258</v>
      </c>
      <c r="I185" s="39">
        <v>12.33375</v>
      </c>
      <c r="J185" s="40"/>
      <c r="K185" s="75">
        <f t="shared" si="12"/>
        <v>0</v>
      </c>
      <c r="L185" s="41"/>
      <c r="N185" s="45" t="str">
        <f t="shared" si="13"/>
        <v>-</v>
      </c>
      <c r="O185" s="42" t="str">
        <f t="shared" si="17"/>
        <v>-</v>
      </c>
      <c r="P185" s="43" t="str">
        <f t="shared" si="14"/>
        <v>-</v>
      </c>
      <c r="Q185" s="46" t="str">
        <f t="shared" si="15"/>
        <v>-</v>
      </c>
      <c r="S185" s="46" t="str">
        <f t="shared" si="16"/>
        <v>-</v>
      </c>
    </row>
    <row r="186" spans="1:19" ht="15" x14ac:dyDescent="0.3">
      <c r="A186" s="74">
        <v>1484469</v>
      </c>
      <c r="B186" s="37">
        <v>50302</v>
      </c>
      <c r="C186" s="69">
        <v>21245503026</v>
      </c>
      <c r="D186" s="38" t="s">
        <v>482</v>
      </c>
      <c r="E186" s="64">
        <v>0.11326192240000001</v>
      </c>
      <c r="F186" s="70">
        <v>6</v>
      </c>
      <c r="G186" s="38" t="s">
        <v>135</v>
      </c>
      <c r="H186" s="66" t="s">
        <v>1258</v>
      </c>
      <c r="I186" s="39">
        <v>10.334999999999999</v>
      </c>
      <c r="J186" s="40"/>
      <c r="K186" s="75">
        <f t="shared" si="12"/>
        <v>0</v>
      </c>
      <c r="L186" s="41"/>
      <c r="N186" s="45" t="str">
        <f t="shared" si="13"/>
        <v>-</v>
      </c>
      <c r="O186" s="42" t="str">
        <f t="shared" si="17"/>
        <v>-</v>
      </c>
      <c r="P186" s="43" t="str">
        <f t="shared" si="14"/>
        <v>-</v>
      </c>
      <c r="Q186" s="46" t="str">
        <f t="shared" si="15"/>
        <v>-</v>
      </c>
      <c r="S186" s="46" t="str">
        <f t="shared" si="16"/>
        <v>-</v>
      </c>
    </row>
    <row r="187" spans="1:19" ht="15" x14ac:dyDescent="0.3">
      <c r="A187" s="74">
        <v>7051504</v>
      </c>
      <c r="B187" s="37">
        <v>10743</v>
      </c>
      <c r="C187" s="69">
        <v>21245107439</v>
      </c>
      <c r="D187" s="38" t="s">
        <v>81</v>
      </c>
      <c r="E187" s="64">
        <v>0.27800653680000004</v>
      </c>
      <c r="F187" s="70">
        <v>6</v>
      </c>
      <c r="G187" s="38" t="s">
        <v>10</v>
      </c>
      <c r="H187" s="66" t="s">
        <v>1258</v>
      </c>
      <c r="I187" s="39">
        <v>14.430000000000001</v>
      </c>
      <c r="J187" s="40"/>
      <c r="K187" s="75">
        <f t="shared" si="12"/>
        <v>0</v>
      </c>
      <c r="L187" s="41"/>
      <c r="N187" s="45" t="str">
        <f t="shared" si="13"/>
        <v>-</v>
      </c>
      <c r="O187" s="42" t="str">
        <f t="shared" si="17"/>
        <v>-</v>
      </c>
      <c r="P187" s="43" t="str">
        <f t="shared" si="14"/>
        <v>-</v>
      </c>
      <c r="Q187" s="46" t="str">
        <f t="shared" si="15"/>
        <v>-</v>
      </c>
      <c r="S187" s="46" t="str">
        <f t="shared" si="16"/>
        <v>-</v>
      </c>
    </row>
    <row r="188" spans="1:19" ht="15" x14ac:dyDescent="0.3">
      <c r="A188" s="74">
        <v>3980606</v>
      </c>
      <c r="B188" s="37">
        <v>37497</v>
      </c>
      <c r="C188" s="69">
        <v>21245374978</v>
      </c>
      <c r="D188" s="38" t="s">
        <v>81</v>
      </c>
      <c r="E188" s="64">
        <v>0.53541999679999996</v>
      </c>
      <c r="F188" s="70">
        <v>6</v>
      </c>
      <c r="G188" s="38" t="s">
        <v>7</v>
      </c>
      <c r="H188" s="66" t="s">
        <v>1258</v>
      </c>
      <c r="I188" s="39">
        <v>25.88625</v>
      </c>
      <c r="J188" s="40"/>
      <c r="K188" s="75">
        <f t="shared" si="12"/>
        <v>0</v>
      </c>
      <c r="L188" s="41"/>
      <c r="N188" s="45" t="str">
        <f t="shared" si="13"/>
        <v>-</v>
      </c>
      <c r="O188" s="42" t="str">
        <f t="shared" si="17"/>
        <v>-</v>
      </c>
      <c r="P188" s="43" t="str">
        <f t="shared" si="14"/>
        <v>-</v>
      </c>
      <c r="Q188" s="46" t="str">
        <f t="shared" si="15"/>
        <v>-</v>
      </c>
      <c r="S188" s="46" t="str">
        <f t="shared" si="16"/>
        <v>-</v>
      </c>
    </row>
    <row r="189" spans="1:19" ht="15" x14ac:dyDescent="0.3">
      <c r="A189" s="74">
        <v>1352878</v>
      </c>
      <c r="B189" s="37">
        <v>39105</v>
      </c>
      <c r="C189" s="69">
        <v>21245391050</v>
      </c>
      <c r="D189" s="38" t="s">
        <v>81</v>
      </c>
      <c r="E189" s="64">
        <v>0.16474461439999999</v>
      </c>
      <c r="F189" s="70">
        <v>6</v>
      </c>
      <c r="G189" s="38" t="s">
        <v>8</v>
      </c>
      <c r="H189" s="66" t="s">
        <v>1258</v>
      </c>
      <c r="I189" s="39">
        <v>8.4824999999999982</v>
      </c>
      <c r="J189" s="40"/>
      <c r="K189" s="75">
        <f t="shared" si="12"/>
        <v>0</v>
      </c>
      <c r="L189" s="41"/>
      <c r="N189" s="45" t="str">
        <f t="shared" si="13"/>
        <v>-</v>
      </c>
      <c r="O189" s="42" t="str">
        <f t="shared" si="17"/>
        <v>-</v>
      </c>
      <c r="P189" s="43" t="str">
        <f t="shared" si="14"/>
        <v>-</v>
      </c>
      <c r="Q189" s="46" t="str">
        <f t="shared" si="15"/>
        <v>-</v>
      </c>
      <c r="S189" s="46" t="str">
        <f t="shared" si="16"/>
        <v>-</v>
      </c>
    </row>
    <row r="190" spans="1:19" ht="15" x14ac:dyDescent="0.3">
      <c r="A190" s="74">
        <v>6606934</v>
      </c>
      <c r="B190" s="37">
        <v>10412</v>
      </c>
      <c r="C190" s="69">
        <v>21245104124</v>
      </c>
      <c r="D190" s="38" t="s">
        <v>86</v>
      </c>
      <c r="E190" s="64">
        <v>0.15959634519999999</v>
      </c>
      <c r="F190" s="70">
        <v>6</v>
      </c>
      <c r="G190" s="38" t="s">
        <v>87</v>
      </c>
      <c r="H190" s="66" t="s">
        <v>1258</v>
      </c>
      <c r="I190" s="39">
        <v>24.18</v>
      </c>
      <c r="J190" s="40"/>
      <c r="K190" s="75">
        <f t="shared" si="12"/>
        <v>0</v>
      </c>
      <c r="L190" s="41"/>
      <c r="N190" s="45" t="str">
        <f t="shared" si="13"/>
        <v>-</v>
      </c>
      <c r="O190" s="42" t="str">
        <f t="shared" si="17"/>
        <v>-</v>
      </c>
      <c r="P190" s="43" t="str">
        <f t="shared" si="14"/>
        <v>-</v>
      </c>
      <c r="Q190" s="46" t="str">
        <f t="shared" si="15"/>
        <v>-</v>
      </c>
      <c r="S190" s="46" t="str">
        <f t="shared" si="16"/>
        <v>-</v>
      </c>
    </row>
    <row r="191" spans="1:19" ht="15" x14ac:dyDescent="0.3">
      <c r="A191" s="74">
        <v>9997761</v>
      </c>
      <c r="B191" s="37">
        <v>39100</v>
      </c>
      <c r="C191" s="69">
        <v>21245391005</v>
      </c>
      <c r="D191" s="38" t="s">
        <v>86</v>
      </c>
      <c r="E191" s="64">
        <v>7.2075768800000009E-2</v>
      </c>
      <c r="F191" s="70">
        <v>6</v>
      </c>
      <c r="G191" s="38" t="s">
        <v>88</v>
      </c>
      <c r="H191" s="66" t="s">
        <v>1258</v>
      </c>
      <c r="I191" s="39">
        <v>11.2125</v>
      </c>
      <c r="J191" s="40"/>
      <c r="K191" s="75">
        <f t="shared" si="12"/>
        <v>0</v>
      </c>
      <c r="L191" s="41"/>
      <c r="N191" s="45" t="str">
        <f t="shared" si="13"/>
        <v>-</v>
      </c>
      <c r="O191" s="42" t="str">
        <f t="shared" si="17"/>
        <v>-</v>
      </c>
      <c r="P191" s="43" t="str">
        <f t="shared" si="14"/>
        <v>-</v>
      </c>
      <c r="Q191" s="46" t="str">
        <f t="shared" si="15"/>
        <v>-</v>
      </c>
      <c r="S191" s="46" t="str">
        <f t="shared" si="16"/>
        <v>-</v>
      </c>
    </row>
    <row r="192" spans="1:19" ht="15" x14ac:dyDescent="0.3">
      <c r="A192" s="74">
        <v>6371587</v>
      </c>
      <c r="B192" s="37">
        <v>73220</v>
      </c>
      <c r="C192" s="69">
        <v>21245732204</v>
      </c>
      <c r="D192" s="38" t="s">
        <v>91</v>
      </c>
      <c r="E192" s="64">
        <v>0.30889615199999998</v>
      </c>
      <c r="F192" s="70">
        <v>6</v>
      </c>
      <c r="G192" s="38" t="s">
        <v>93</v>
      </c>
      <c r="H192" s="66" t="s">
        <v>1258</v>
      </c>
      <c r="I192" s="39">
        <v>28.177500000000002</v>
      </c>
      <c r="J192" s="40"/>
      <c r="K192" s="75">
        <f t="shared" si="12"/>
        <v>0</v>
      </c>
      <c r="L192" s="41"/>
      <c r="N192" s="45" t="str">
        <f t="shared" si="13"/>
        <v>-</v>
      </c>
      <c r="O192" s="42" t="str">
        <f t="shared" si="17"/>
        <v>-</v>
      </c>
      <c r="P192" s="43" t="str">
        <f t="shared" si="14"/>
        <v>-</v>
      </c>
      <c r="Q192" s="46" t="str">
        <f t="shared" si="15"/>
        <v>-</v>
      </c>
      <c r="S192" s="46" t="str">
        <f t="shared" si="16"/>
        <v>-</v>
      </c>
    </row>
    <row r="193" spans="1:19" ht="15" customHeight="1" x14ac:dyDescent="0.3">
      <c r="A193" s="74">
        <v>5648248</v>
      </c>
      <c r="B193" s="37">
        <v>58605</v>
      </c>
      <c r="C193" s="69">
        <v>21245586050</v>
      </c>
      <c r="D193" s="38" t="s">
        <v>105</v>
      </c>
      <c r="E193" s="64">
        <v>5.6750000000000002E-2</v>
      </c>
      <c r="F193" s="70">
        <v>12</v>
      </c>
      <c r="G193" s="38" t="s">
        <v>106</v>
      </c>
      <c r="H193" s="66" t="s">
        <v>1258</v>
      </c>
      <c r="I193" s="39">
        <v>4.3875000000000002</v>
      </c>
      <c r="J193" s="40"/>
      <c r="K193" s="75">
        <f t="shared" si="12"/>
        <v>0</v>
      </c>
      <c r="L193" s="41"/>
      <c r="N193" s="45" t="str">
        <f t="shared" si="13"/>
        <v>-</v>
      </c>
      <c r="O193" s="42" t="str">
        <f t="shared" si="17"/>
        <v>-</v>
      </c>
      <c r="P193" s="43" t="str">
        <f t="shared" si="14"/>
        <v>-</v>
      </c>
      <c r="Q193" s="46" t="str">
        <f t="shared" si="15"/>
        <v>-</v>
      </c>
      <c r="S193" s="46" t="str">
        <f t="shared" si="16"/>
        <v>-</v>
      </c>
    </row>
    <row r="194" spans="1:19" ht="15" x14ac:dyDescent="0.3">
      <c r="A194" s="74">
        <v>8628912</v>
      </c>
      <c r="B194" s="37">
        <v>58610</v>
      </c>
      <c r="C194" s="69">
        <v>21245586104</v>
      </c>
      <c r="D194" s="38" t="s">
        <v>105</v>
      </c>
      <c r="E194" s="64">
        <v>9.2668845599999994E-2</v>
      </c>
      <c r="F194" s="70">
        <v>6</v>
      </c>
      <c r="G194" s="38" t="s">
        <v>107</v>
      </c>
      <c r="H194" s="66" t="s">
        <v>1258</v>
      </c>
      <c r="I194" s="39">
        <v>7.4587500000000002</v>
      </c>
      <c r="J194" s="40"/>
      <c r="K194" s="75">
        <f t="shared" si="12"/>
        <v>0</v>
      </c>
      <c r="L194" s="41"/>
      <c r="N194" s="45" t="str">
        <f t="shared" si="13"/>
        <v>-</v>
      </c>
      <c r="O194" s="42" t="str">
        <f t="shared" si="17"/>
        <v>-</v>
      </c>
      <c r="P194" s="43" t="str">
        <f t="shared" si="14"/>
        <v>-</v>
      </c>
      <c r="Q194" s="46" t="str">
        <f t="shared" si="15"/>
        <v>-</v>
      </c>
      <c r="S194" s="46" t="str">
        <f t="shared" si="16"/>
        <v>-</v>
      </c>
    </row>
    <row r="195" spans="1:19" ht="15" x14ac:dyDescent="0.3">
      <c r="A195" s="74">
        <v>7611067</v>
      </c>
      <c r="B195" s="37">
        <v>50018</v>
      </c>
      <c r="C195" s="69">
        <v>21245500186</v>
      </c>
      <c r="D195" s="38" t="s">
        <v>108</v>
      </c>
      <c r="E195" s="64">
        <v>0.25226519079999998</v>
      </c>
      <c r="F195" s="70">
        <v>6</v>
      </c>
      <c r="G195" s="38" t="s">
        <v>110</v>
      </c>
      <c r="H195" s="66" t="s">
        <v>1258</v>
      </c>
      <c r="I195" s="39">
        <v>10.578749999999999</v>
      </c>
      <c r="J195" s="40"/>
      <c r="K195" s="75">
        <f t="shared" ref="K195:K258" si="18">J195*I195</f>
        <v>0</v>
      </c>
      <c r="L195" s="41"/>
      <c r="N195" s="45" t="str">
        <f t="shared" ref="N195:N258" si="19">IFERROR(IF($N$2*E195=0, "-", $N$2*E195), "-")</f>
        <v>-</v>
      </c>
      <c r="O195" s="42" t="str">
        <f t="shared" si="17"/>
        <v>-</v>
      </c>
      <c r="P195" s="43" t="str">
        <f t="shared" ref="P195:P258" si="20">IF(J195&gt;0,J195*E195, "-")</f>
        <v>-</v>
      </c>
      <c r="Q195" s="46" t="str">
        <f t="shared" ref="Q195:Q258" si="21">IFERROR(IF($N$2&gt;0, $N$2*P195, "-"), "-")</f>
        <v>-</v>
      </c>
      <c r="S195" s="46" t="str">
        <f t="shared" ref="S195:S258" si="22">IFERROR(IF(Q195+K195=0, "-", IF(Q195&gt;0, Q195+K195, "-")), "-")</f>
        <v>-</v>
      </c>
    </row>
    <row r="196" spans="1:19" ht="15" x14ac:dyDescent="0.3">
      <c r="A196" s="74">
        <v>1692862</v>
      </c>
      <c r="B196" s="37">
        <v>56223</v>
      </c>
      <c r="C196" s="69">
        <v>21245562238</v>
      </c>
      <c r="D196" s="38" t="s">
        <v>116</v>
      </c>
      <c r="E196" s="64">
        <v>0.49423384319999997</v>
      </c>
      <c r="F196" s="70">
        <v>6</v>
      </c>
      <c r="G196" s="38" t="s">
        <v>118</v>
      </c>
      <c r="H196" s="66" t="s">
        <v>1258</v>
      </c>
      <c r="I196" s="39">
        <v>19.061250000000001</v>
      </c>
      <c r="J196" s="40"/>
      <c r="K196" s="75">
        <f t="shared" si="18"/>
        <v>0</v>
      </c>
      <c r="L196" s="41"/>
      <c r="N196" s="45" t="str">
        <f t="shared" si="19"/>
        <v>-</v>
      </c>
      <c r="O196" s="42" t="str">
        <f t="shared" ref="O196:O259" si="23">IFERROR(IF(N196&gt;0,I196+N196,"-"),"-")</f>
        <v>-</v>
      </c>
      <c r="P196" s="43" t="str">
        <f t="shared" si="20"/>
        <v>-</v>
      </c>
      <c r="Q196" s="46" t="str">
        <f t="shared" si="21"/>
        <v>-</v>
      </c>
      <c r="S196" s="46" t="str">
        <f t="shared" si="22"/>
        <v>-</v>
      </c>
    </row>
    <row r="197" spans="1:19" ht="15" x14ac:dyDescent="0.3">
      <c r="A197" s="74">
        <v>8980537</v>
      </c>
      <c r="B197" s="37">
        <v>38010</v>
      </c>
      <c r="C197" s="69">
        <v>21245380108</v>
      </c>
      <c r="D197" s="38" t="s">
        <v>136</v>
      </c>
      <c r="E197" s="64">
        <v>0.87520576399999994</v>
      </c>
      <c r="F197" s="70">
        <v>2</v>
      </c>
      <c r="G197" s="38" t="s">
        <v>137</v>
      </c>
      <c r="H197" s="66" t="s">
        <v>1258</v>
      </c>
      <c r="I197" s="39">
        <v>23.253750000000004</v>
      </c>
      <c r="J197" s="40"/>
      <c r="K197" s="75">
        <f t="shared" si="18"/>
        <v>0</v>
      </c>
      <c r="L197" s="41"/>
      <c r="N197" s="45" t="str">
        <f t="shared" si="19"/>
        <v>-</v>
      </c>
      <c r="O197" s="42" t="str">
        <f t="shared" si="23"/>
        <v>-</v>
      </c>
      <c r="P197" s="43" t="str">
        <f t="shared" si="20"/>
        <v>-</v>
      </c>
      <c r="Q197" s="46" t="str">
        <f t="shared" si="21"/>
        <v>-</v>
      </c>
      <c r="S197" s="46" t="str">
        <f t="shared" si="22"/>
        <v>-</v>
      </c>
    </row>
    <row r="198" spans="1:19" ht="15" x14ac:dyDescent="0.3">
      <c r="A198" s="74">
        <v>6203219</v>
      </c>
      <c r="B198" s="37">
        <v>51860</v>
      </c>
      <c r="C198" s="69">
        <v>21245518600</v>
      </c>
      <c r="D198" s="38" t="s">
        <v>140</v>
      </c>
      <c r="E198" s="64">
        <v>0.12870672999999999</v>
      </c>
      <c r="F198" s="70">
        <v>12</v>
      </c>
      <c r="G198" s="38" t="s">
        <v>141</v>
      </c>
      <c r="H198" s="66" t="s">
        <v>1258</v>
      </c>
      <c r="I198" s="39">
        <v>6.9712499999999995</v>
      </c>
      <c r="J198" s="40"/>
      <c r="K198" s="75">
        <f t="shared" si="18"/>
        <v>0</v>
      </c>
      <c r="L198" s="41"/>
      <c r="N198" s="45" t="str">
        <f t="shared" si="19"/>
        <v>-</v>
      </c>
      <c r="O198" s="42" t="str">
        <f t="shared" si="23"/>
        <v>-</v>
      </c>
      <c r="P198" s="43" t="str">
        <f t="shared" si="20"/>
        <v>-</v>
      </c>
      <c r="Q198" s="46" t="str">
        <f t="shared" si="21"/>
        <v>-</v>
      </c>
      <c r="S198" s="46" t="str">
        <f t="shared" si="22"/>
        <v>-</v>
      </c>
    </row>
    <row r="199" spans="1:19" ht="15" x14ac:dyDescent="0.3">
      <c r="A199" s="74">
        <v>3539344</v>
      </c>
      <c r="B199" s="37">
        <v>20263</v>
      </c>
      <c r="C199" s="69">
        <v>21245202639</v>
      </c>
      <c r="D199" s="38" t="s">
        <v>174</v>
      </c>
      <c r="E199" s="64">
        <v>0.35008230560000003</v>
      </c>
      <c r="F199" s="70">
        <v>6</v>
      </c>
      <c r="G199" s="38" t="s">
        <v>175</v>
      </c>
      <c r="H199" s="66" t="s">
        <v>1258</v>
      </c>
      <c r="I199" s="39">
        <v>16.380000000000003</v>
      </c>
      <c r="J199" s="40"/>
      <c r="K199" s="75">
        <f t="shared" si="18"/>
        <v>0</v>
      </c>
      <c r="L199" s="41"/>
      <c r="N199" s="45" t="str">
        <f t="shared" si="19"/>
        <v>-</v>
      </c>
      <c r="O199" s="42" t="str">
        <f t="shared" si="23"/>
        <v>-</v>
      </c>
      <c r="P199" s="43" t="str">
        <f t="shared" si="20"/>
        <v>-</v>
      </c>
      <c r="Q199" s="46" t="str">
        <f t="shared" si="21"/>
        <v>-</v>
      </c>
      <c r="S199" s="46" t="str">
        <f t="shared" si="22"/>
        <v>-</v>
      </c>
    </row>
    <row r="200" spans="1:19" ht="15" x14ac:dyDescent="0.3">
      <c r="A200" s="74">
        <v>8552385</v>
      </c>
      <c r="B200" s="37">
        <v>38000</v>
      </c>
      <c r="C200" s="69">
        <v>21245380009</v>
      </c>
      <c r="D200" s="38" t="s">
        <v>136</v>
      </c>
      <c r="E200" s="64">
        <v>0.61779230399999996</v>
      </c>
      <c r="F200" s="70">
        <v>3</v>
      </c>
      <c r="G200" s="38" t="s">
        <v>181</v>
      </c>
      <c r="H200" s="66" t="s">
        <v>1258</v>
      </c>
      <c r="I200" s="39">
        <v>17.208750000000002</v>
      </c>
      <c r="J200" s="40"/>
      <c r="K200" s="75">
        <f t="shared" si="18"/>
        <v>0</v>
      </c>
      <c r="L200" s="41"/>
      <c r="N200" s="45" t="str">
        <f t="shared" si="19"/>
        <v>-</v>
      </c>
      <c r="O200" s="42" t="str">
        <f t="shared" si="23"/>
        <v>-</v>
      </c>
      <c r="P200" s="43" t="str">
        <f t="shared" si="20"/>
        <v>-</v>
      </c>
      <c r="Q200" s="46" t="str">
        <f t="shared" si="21"/>
        <v>-</v>
      </c>
      <c r="S200" s="46" t="str">
        <f t="shared" si="22"/>
        <v>-</v>
      </c>
    </row>
    <row r="201" spans="1:19" ht="15" x14ac:dyDescent="0.3">
      <c r="A201" s="74">
        <v>2429136</v>
      </c>
      <c r="B201" s="37">
        <v>35661</v>
      </c>
      <c r="C201" s="69">
        <v>21245356615</v>
      </c>
      <c r="D201" s="38" t="s">
        <v>186</v>
      </c>
      <c r="E201" s="64">
        <v>5.6750000000000002E-2</v>
      </c>
      <c r="F201" s="70">
        <v>12</v>
      </c>
      <c r="G201" s="38" t="s">
        <v>187</v>
      </c>
      <c r="H201" s="66" t="s">
        <v>1258</v>
      </c>
      <c r="I201" s="39">
        <v>9.1650000000000009</v>
      </c>
      <c r="J201" s="40"/>
      <c r="K201" s="75">
        <f t="shared" si="18"/>
        <v>0</v>
      </c>
      <c r="L201" s="41"/>
      <c r="N201" s="45" t="str">
        <f t="shared" si="19"/>
        <v>-</v>
      </c>
      <c r="O201" s="42" t="str">
        <f t="shared" si="23"/>
        <v>-</v>
      </c>
      <c r="P201" s="43" t="str">
        <f t="shared" si="20"/>
        <v>-</v>
      </c>
      <c r="Q201" s="46" t="str">
        <f t="shared" si="21"/>
        <v>-</v>
      </c>
      <c r="S201" s="46" t="str">
        <f t="shared" si="22"/>
        <v>-</v>
      </c>
    </row>
    <row r="202" spans="1:19" ht="15" x14ac:dyDescent="0.3">
      <c r="A202" s="74">
        <v>3151606</v>
      </c>
      <c r="B202" s="37">
        <v>71875</v>
      </c>
      <c r="C202" s="69">
        <v>21245718758</v>
      </c>
      <c r="D202" s="38" t="s">
        <v>196</v>
      </c>
      <c r="E202" s="64">
        <v>5.6750000000000002E-2</v>
      </c>
      <c r="F202" s="70">
        <v>12</v>
      </c>
      <c r="G202" s="38" t="s">
        <v>69</v>
      </c>
      <c r="H202" s="66" t="s">
        <v>1258</v>
      </c>
      <c r="I202" s="39">
        <v>4.2900000000000009</v>
      </c>
      <c r="J202" s="40"/>
      <c r="K202" s="75">
        <f t="shared" si="18"/>
        <v>0</v>
      </c>
      <c r="L202" s="41"/>
      <c r="N202" s="45" t="str">
        <f t="shared" si="19"/>
        <v>-</v>
      </c>
      <c r="O202" s="42" t="str">
        <f t="shared" si="23"/>
        <v>-</v>
      </c>
      <c r="P202" s="43" t="str">
        <f t="shared" si="20"/>
        <v>-</v>
      </c>
      <c r="Q202" s="46" t="str">
        <f t="shared" si="21"/>
        <v>-</v>
      </c>
      <c r="S202" s="46" t="str">
        <f t="shared" si="22"/>
        <v>-</v>
      </c>
    </row>
    <row r="203" spans="1:19" ht="15" x14ac:dyDescent="0.3">
      <c r="A203" s="74">
        <v>4791949</v>
      </c>
      <c r="B203" s="37">
        <v>93210</v>
      </c>
      <c r="C203" s="69">
        <v>21245932109</v>
      </c>
      <c r="D203" s="38" t="s">
        <v>197</v>
      </c>
      <c r="E203" s="64">
        <v>9.2668845599999994E-2</v>
      </c>
      <c r="F203" s="70">
        <v>12</v>
      </c>
      <c r="G203" s="38" t="s">
        <v>102</v>
      </c>
      <c r="H203" s="66" t="s">
        <v>1258</v>
      </c>
      <c r="I203" s="39">
        <v>5.2162500000000005</v>
      </c>
      <c r="J203" s="40"/>
      <c r="K203" s="75">
        <f t="shared" si="18"/>
        <v>0</v>
      </c>
      <c r="L203" s="41"/>
      <c r="N203" s="45" t="str">
        <f t="shared" si="19"/>
        <v>-</v>
      </c>
      <c r="O203" s="42" t="str">
        <f t="shared" si="23"/>
        <v>-</v>
      </c>
      <c r="P203" s="43" t="str">
        <f t="shared" si="20"/>
        <v>-</v>
      </c>
      <c r="Q203" s="46" t="str">
        <f t="shared" si="21"/>
        <v>-</v>
      </c>
      <c r="S203" s="46" t="str">
        <f t="shared" si="22"/>
        <v>-</v>
      </c>
    </row>
    <row r="204" spans="1:19" ht="15" x14ac:dyDescent="0.3">
      <c r="A204" s="74">
        <v>3525930</v>
      </c>
      <c r="B204" s="37">
        <v>66806</v>
      </c>
      <c r="C204" s="69">
        <v>21245668060</v>
      </c>
      <c r="D204" s="38" t="s">
        <v>176</v>
      </c>
      <c r="E204" s="64">
        <v>5.6750000000000002E-2</v>
      </c>
      <c r="F204" s="70">
        <v>12</v>
      </c>
      <c r="G204" s="38" t="s">
        <v>69</v>
      </c>
      <c r="H204" s="66" t="s">
        <v>1258</v>
      </c>
      <c r="I204" s="39">
        <v>4.1924999999999999</v>
      </c>
      <c r="J204" s="40"/>
      <c r="K204" s="75">
        <f t="shared" si="18"/>
        <v>0</v>
      </c>
      <c r="L204" s="41"/>
      <c r="N204" s="45" t="str">
        <f t="shared" si="19"/>
        <v>-</v>
      </c>
      <c r="O204" s="42" t="str">
        <f t="shared" si="23"/>
        <v>-</v>
      </c>
      <c r="P204" s="43" t="str">
        <f t="shared" si="20"/>
        <v>-</v>
      </c>
      <c r="Q204" s="46" t="str">
        <f t="shared" si="21"/>
        <v>-</v>
      </c>
      <c r="S204" s="46" t="str">
        <f t="shared" si="22"/>
        <v>-</v>
      </c>
    </row>
    <row r="205" spans="1:19" ht="15" customHeight="1" x14ac:dyDescent="0.3">
      <c r="A205" s="74">
        <v>2048147</v>
      </c>
      <c r="B205" s="37">
        <v>50853</v>
      </c>
      <c r="C205" s="69">
        <v>21245508533</v>
      </c>
      <c r="D205" s="38" t="s">
        <v>136</v>
      </c>
      <c r="E205" s="64">
        <v>0.15444807599999999</v>
      </c>
      <c r="F205" s="70">
        <v>6</v>
      </c>
      <c r="G205" s="38" t="s">
        <v>203</v>
      </c>
      <c r="H205" s="66" t="s">
        <v>1258</v>
      </c>
      <c r="I205" s="39">
        <v>7.6050000000000004</v>
      </c>
      <c r="J205" s="40"/>
      <c r="K205" s="75">
        <f t="shared" si="18"/>
        <v>0</v>
      </c>
      <c r="L205" s="41"/>
      <c r="N205" s="45" t="str">
        <f t="shared" si="19"/>
        <v>-</v>
      </c>
      <c r="O205" s="42" t="str">
        <f t="shared" si="23"/>
        <v>-</v>
      </c>
      <c r="P205" s="43" t="str">
        <f t="shared" si="20"/>
        <v>-</v>
      </c>
      <c r="Q205" s="46" t="str">
        <f t="shared" si="21"/>
        <v>-</v>
      </c>
      <c r="S205" s="46" t="str">
        <f t="shared" si="22"/>
        <v>-</v>
      </c>
    </row>
    <row r="206" spans="1:19" ht="15" customHeight="1" x14ac:dyDescent="0.3">
      <c r="A206" s="74">
        <v>5009694</v>
      </c>
      <c r="B206" s="37">
        <v>55806</v>
      </c>
      <c r="C206" s="69">
        <v>21245558064</v>
      </c>
      <c r="D206" s="38" t="s">
        <v>204</v>
      </c>
      <c r="E206" s="64">
        <v>9.7817114799999993E-2</v>
      </c>
      <c r="F206" s="70">
        <v>12</v>
      </c>
      <c r="G206" s="38" t="s">
        <v>98</v>
      </c>
      <c r="H206" s="66" t="s">
        <v>1258</v>
      </c>
      <c r="I206" s="39">
        <v>9.36</v>
      </c>
      <c r="J206" s="40"/>
      <c r="K206" s="75">
        <f t="shared" si="18"/>
        <v>0</v>
      </c>
      <c r="L206" s="41"/>
      <c r="N206" s="45" t="str">
        <f t="shared" si="19"/>
        <v>-</v>
      </c>
      <c r="O206" s="42" t="str">
        <f t="shared" si="23"/>
        <v>-</v>
      </c>
      <c r="P206" s="43" t="str">
        <f t="shared" si="20"/>
        <v>-</v>
      </c>
      <c r="Q206" s="46" t="str">
        <f t="shared" si="21"/>
        <v>-</v>
      </c>
      <c r="S206" s="46" t="str">
        <f t="shared" si="22"/>
        <v>-</v>
      </c>
    </row>
    <row r="207" spans="1:19" ht="15" customHeight="1" x14ac:dyDescent="0.3">
      <c r="A207" s="74">
        <v>9340664</v>
      </c>
      <c r="B207" s="37">
        <v>10577</v>
      </c>
      <c r="C207" s="69">
        <v>21245105770</v>
      </c>
      <c r="D207" s="38" t="s">
        <v>214</v>
      </c>
      <c r="E207" s="64">
        <v>0.15959634519999999</v>
      </c>
      <c r="F207" s="70">
        <v>6</v>
      </c>
      <c r="G207" s="38" t="s">
        <v>215</v>
      </c>
      <c r="H207" s="66" t="s">
        <v>1258</v>
      </c>
      <c r="I207" s="39">
        <v>20.231250000000003</v>
      </c>
      <c r="J207" s="40"/>
      <c r="K207" s="75">
        <f t="shared" si="18"/>
        <v>0</v>
      </c>
      <c r="L207" s="41"/>
      <c r="N207" s="45" t="str">
        <f t="shared" si="19"/>
        <v>-</v>
      </c>
      <c r="O207" s="42" t="str">
        <f t="shared" si="23"/>
        <v>-</v>
      </c>
      <c r="P207" s="43" t="str">
        <f t="shared" si="20"/>
        <v>-</v>
      </c>
      <c r="Q207" s="46" t="str">
        <f t="shared" si="21"/>
        <v>-</v>
      </c>
      <c r="S207" s="46" t="str">
        <f t="shared" si="22"/>
        <v>-</v>
      </c>
    </row>
    <row r="208" spans="1:19" ht="15" x14ac:dyDescent="0.3">
      <c r="A208" s="74">
        <v>8355057</v>
      </c>
      <c r="B208" s="37">
        <v>54796</v>
      </c>
      <c r="C208" s="69">
        <v>21245547969</v>
      </c>
      <c r="D208" s="38" t="s">
        <v>218</v>
      </c>
      <c r="E208" s="64">
        <v>0.18018942199999999</v>
      </c>
      <c r="F208" s="70">
        <v>6</v>
      </c>
      <c r="G208" s="38" t="s">
        <v>34</v>
      </c>
      <c r="H208" s="66" t="s">
        <v>1258</v>
      </c>
      <c r="I208" s="39">
        <v>22.571249999999999</v>
      </c>
      <c r="J208" s="40"/>
      <c r="K208" s="75">
        <f t="shared" si="18"/>
        <v>0</v>
      </c>
      <c r="L208" s="41"/>
      <c r="N208" s="45" t="str">
        <f t="shared" si="19"/>
        <v>-</v>
      </c>
      <c r="O208" s="42" t="str">
        <f t="shared" si="23"/>
        <v>-</v>
      </c>
      <c r="P208" s="43" t="str">
        <f t="shared" si="20"/>
        <v>-</v>
      </c>
      <c r="Q208" s="46" t="str">
        <f t="shared" si="21"/>
        <v>-</v>
      </c>
      <c r="S208" s="46" t="str">
        <f t="shared" si="22"/>
        <v>-</v>
      </c>
    </row>
    <row r="209" spans="1:19" ht="15" x14ac:dyDescent="0.3">
      <c r="A209" s="74">
        <v>7330382</v>
      </c>
      <c r="B209" s="37">
        <v>42858</v>
      </c>
      <c r="C209" s="69">
        <v>21245428589</v>
      </c>
      <c r="D209" s="38" t="s">
        <v>221</v>
      </c>
      <c r="E209" s="64">
        <v>0.11326192240000001</v>
      </c>
      <c r="F209" s="70">
        <v>12</v>
      </c>
      <c r="G209" s="38" t="s">
        <v>222</v>
      </c>
      <c r="H209" s="66" t="s">
        <v>1258</v>
      </c>
      <c r="I209" s="39">
        <v>8.8237500000000004</v>
      </c>
      <c r="J209" s="40"/>
      <c r="K209" s="75">
        <f t="shared" si="18"/>
        <v>0</v>
      </c>
      <c r="L209" s="41"/>
      <c r="N209" s="45" t="str">
        <f t="shared" si="19"/>
        <v>-</v>
      </c>
      <c r="O209" s="42" t="str">
        <f t="shared" si="23"/>
        <v>-</v>
      </c>
      <c r="P209" s="43" t="str">
        <f t="shared" si="20"/>
        <v>-</v>
      </c>
      <c r="Q209" s="46" t="str">
        <f t="shared" si="21"/>
        <v>-</v>
      </c>
      <c r="S209" s="46" t="str">
        <f t="shared" si="22"/>
        <v>-</v>
      </c>
    </row>
    <row r="210" spans="1:19" ht="15" x14ac:dyDescent="0.3">
      <c r="A210" s="74">
        <v>7140337</v>
      </c>
      <c r="B210" s="37">
        <v>60010</v>
      </c>
      <c r="C210" s="69">
        <v>21245600107</v>
      </c>
      <c r="D210" s="38" t="s">
        <v>221</v>
      </c>
      <c r="E210" s="64">
        <v>7.2075768800000009E-2</v>
      </c>
      <c r="F210" s="70">
        <v>12</v>
      </c>
      <c r="G210" s="38" t="s">
        <v>223</v>
      </c>
      <c r="H210" s="66" t="s">
        <v>1258</v>
      </c>
      <c r="I210" s="39">
        <v>4.9237500000000001</v>
      </c>
      <c r="J210" s="40"/>
      <c r="K210" s="75">
        <f t="shared" si="18"/>
        <v>0</v>
      </c>
      <c r="L210" s="41"/>
      <c r="N210" s="45" t="str">
        <f t="shared" si="19"/>
        <v>-</v>
      </c>
      <c r="O210" s="42" t="str">
        <f t="shared" si="23"/>
        <v>-</v>
      </c>
      <c r="P210" s="43" t="str">
        <f t="shared" si="20"/>
        <v>-</v>
      </c>
      <c r="Q210" s="46" t="str">
        <f t="shared" si="21"/>
        <v>-</v>
      </c>
      <c r="S210" s="46" t="str">
        <f t="shared" si="22"/>
        <v>-</v>
      </c>
    </row>
    <row r="211" spans="1:19" ht="15" x14ac:dyDescent="0.3">
      <c r="A211" s="74">
        <v>6790531</v>
      </c>
      <c r="B211" s="37">
        <v>74764</v>
      </c>
      <c r="C211" s="69">
        <v>21245747642</v>
      </c>
      <c r="D211" s="38" t="s">
        <v>229</v>
      </c>
      <c r="E211" s="64">
        <v>0.42215807439999997</v>
      </c>
      <c r="F211" s="70">
        <v>6</v>
      </c>
      <c r="G211" s="38" t="s">
        <v>73</v>
      </c>
      <c r="H211" s="66" t="s">
        <v>1258</v>
      </c>
      <c r="I211" s="39">
        <v>12.04125</v>
      </c>
      <c r="J211" s="40"/>
      <c r="K211" s="75">
        <f t="shared" si="18"/>
        <v>0</v>
      </c>
      <c r="L211" s="41"/>
      <c r="N211" s="45" t="str">
        <f t="shared" si="19"/>
        <v>-</v>
      </c>
      <c r="O211" s="42" t="str">
        <f t="shared" si="23"/>
        <v>-</v>
      </c>
      <c r="P211" s="43" t="str">
        <f t="shared" si="20"/>
        <v>-</v>
      </c>
      <c r="Q211" s="46" t="str">
        <f t="shared" si="21"/>
        <v>-</v>
      </c>
      <c r="S211" s="46" t="str">
        <f t="shared" si="22"/>
        <v>-</v>
      </c>
    </row>
    <row r="212" spans="1:19" ht="15" x14ac:dyDescent="0.3">
      <c r="A212" s="74">
        <v>8019152</v>
      </c>
      <c r="B212" s="37">
        <v>60201</v>
      </c>
      <c r="C212" s="69">
        <v>21245602019</v>
      </c>
      <c r="D212" s="38" t="s">
        <v>235</v>
      </c>
      <c r="E212" s="64">
        <v>0.35008230560000003</v>
      </c>
      <c r="F212" s="70">
        <v>3</v>
      </c>
      <c r="G212" s="38" t="s">
        <v>236</v>
      </c>
      <c r="H212" s="66" t="s">
        <v>1258</v>
      </c>
      <c r="I212" s="39">
        <v>17.54025</v>
      </c>
      <c r="J212" s="40"/>
      <c r="K212" s="75">
        <f t="shared" si="18"/>
        <v>0</v>
      </c>
      <c r="L212" s="41"/>
      <c r="N212" s="45" t="str">
        <f t="shared" si="19"/>
        <v>-</v>
      </c>
      <c r="O212" s="42" t="str">
        <f t="shared" si="23"/>
        <v>-</v>
      </c>
      <c r="P212" s="43" t="str">
        <f t="shared" si="20"/>
        <v>-</v>
      </c>
      <c r="Q212" s="46" t="str">
        <f t="shared" si="21"/>
        <v>-</v>
      </c>
      <c r="S212" s="46" t="str">
        <f t="shared" si="22"/>
        <v>-</v>
      </c>
    </row>
    <row r="213" spans="1:19" ht="15" x14ac:dyDescent="0.3">
      <c r="A213" s="74">
        <v>6791946</v>
      </c>
      <c r="B213" s="37">
        <v>57220</v>
      </c>
      <c r="C213" s="69">
        <v>21245572206</v>
      </c>
      <c r="D213" s="38" t="s">
        <v>237</v>
      </c>
      <c r="E213" s="64">
        <v>0.64353364999999996</v>
      </c>
      <c r="F213" s="70">
        <v>6</v>
      </c>
      <c r="G213" s="38" t="s">
        <v>238</v>
      </c>
      <c r="H213" s="66" t="s">
        <v>1258</v>
      </c>
      <c r="I213" s="39">
        <v>15.648750000000001</v>
      </c>
      <c r="J213" s="40"/>
      <c r="K213" s="75">
        <f t="shared" si="18"/>
        <v>0</v>
      </c>
      <c r="L213" s="41"/>
      <c r="N213" s="45" t="str">
        <f t="shared" si="19"/>
        <v>-</v>
      </c>
      <c r="O213" s="42" t="str">
        <f t="shared" si="23"/>
        <v>-</v>
      </c>
      <c r="P213" s="43" t="str">
        <f t="shared" si="20"/>
        <v>-</v>
      </c>
      <c r="Q213" s="46" t="str">
        <f t="shared" si="21"/>
        <v>-</v>
      </c>
      <c r="S213" s="46" t="str">
        <f t="shared" si="22"/>
        <v>-</v>
      </c>
    </row>
    <row r="214" spans="1:19" ht="15" customHeight="1" x14ac:dyDescent="0.3">
      <c r="A214" s="74">
        <v>4268359</v>
      </c>
      <c r="B214" s="37">
        <v>10326</v>
      </c>
      <c r="C214" s="69">
        <v>21245103264</v>
      </c>
      <c r="D214" s="38" t="s">
        <v>242</v>
      </c>
      <c r="E214" s="64">
        <v>0.22137557559999999</v>
      </c>
      <c r="F214" s="70">
        <v>12</v>
      </c>
      <c r="G214" s="38" t="s">
        <v>243</v>
      </c>
      <c r="H214" s="66" t="s">
        <v>1258</v>
      </c>
      <c r="I214" s="39">
        <v>18.72</v>
      </c>
      <c r="J214" s="40"/>
      <c r="K214" s="75">
        <f t="shared" si="18"/>
        <v>0</v>
      </c>
      <c r="L214" s="41"/>
      <c r="N214" s="45" t="str">
        <f t="shared" si="19"/>
        <v>-</v>
      </c>
      <c r="O214" s="42" t="str">
        <f t="shared" si="23"/>
        <v>-</v>
      </c>
      <c r="P214" s="43" t="str">
        <f t="shared" si="20"/>
        <v>-</v>
      </c>
      <c r="Q214" s="46" t="str">
        <f t="shared" si="21"/>
        <v>-</v>
      </c>
      <c r="S214" s="46" t="str">
        <f t="shared" si="22"/>
        <v>-</v>
      </c>
    </row>
    <row r="215" spans="1:19" ht="15" x14ac:dyDescent="0.3">
      <c r="A215" s="74">
        <v>9514624</v>
      </c>
      <c r="B215" s="37">
        <v>50092</v>
      </c>
      <c r="C215" s="69">
        <v>21245500926</v>
      </c>
      <c r="D215" s="38" t="s">
        <v>244</v>
      </c>
      <c r="E215" s="64">
        <v>6.1779230399999996E-2</v>
      </c>
      <c r="F215" s="70">
        <v>12</v>
      </c>
      <c r="G215" s="38" t="s">
        <v>245</v>
      </c>
      <c r="H215" s="66" t="s">
        <v>1258</v>
      </c>
      <c r="I215" s="39">
        <v>8.8237500000000004</v>
      </c>
      <c r="J215" s="40"/>
      <c r="K215" s="75">
        <f t="shared" si="18"/>
        <v>0</v>
      </c>
      <c r="L215" s="41"/>
      <c r="N215" s="45" t="str">
        <f t="shared" si="19"/>
        <v>-</v>
      </c>
      <c r="O215" s="42" t="str">
        <f t="shared" si="23"/>
        <v>-</v>
      </c>
      <c r="P215" s="43" t="str">
        <f t="shared" si="20"/>
        <v>-</v>
      </c>
      <c r="Q215" s="46" t="str">
        <f t="shared" si="21"/>
        <v>-</v>
      </c>
      <c r="S215" s="46" t="str">
        <f t="shared" si="22"/>
        <v>-</v>
      </c>
    </row>
    <row r="216" spans="1:19" ht="15" x14ac:dyDescent="0.3">
      <c r="A216" s="74">
        <v>7338921</v>
      </c>
      <c r="B216" s="37">
        <v>16718</v>
      </c>
      <c r="C216" s="69">
        <v>21245167181</v>
      </c>
      <c r="D216" s="38" t="s">
        <v>246</v>
      </c>
      <c r="E216" s="64">
        <v>0.11326192240000001</v>
      </c>
      <c r="F216" s="70">
        <v>6</v>
      </c>
      <c r="G216" s="38" t="s">
        <v>247</v>
      </c>
      <c r="H216" s="66" t="s">
        <v>1258</v>
      </c>
      <c r="I216" s="39">
        <v>19.158749999999998</v>
      </c>
      <c r="J216" s="40"/>
      <c r="K216" s="75">
        <f t="shared" si="18"/>
        <v>0</v>
      </c>
      <c r="L216" s="41"/>
      <c r="N216" s="45" t="str">
        <f t="shared" si="19"/>
        <v>-</v>
      </c>
      <c r="O216" s="42" t="str">
        <f t="shared" si="23"/>
        <v>-</v>
      </c>
      <c r="P216" s="43" t="str">
        <f t="shared" si="20"/>
        <v>-</v>
      </c>
      <c r="Q216" s="46" t="str">
        <f t="shared" si="21"/>
        <v>-</v>
      </c>
      <c r="S216" s="46" t="str">
        <f t="shared" si="22"/>
        <v>-</v>
      </c>
    </row>
    <row r="217" spans="1:19" ht="15" x14ac:dyDescent="0.3">
      <c r="A217" s="74">
        <v>7001934</v>
      </c>
      <c r="B217" s="37">
        <v>92733</v>
      </c>
      <c r="C217" s="69">
        <v>21245927334</v>
      </c>
      <c r="D217" s="38" t="s">
        <v>249</v>
      </c>
      <c r="E217" s="64">
        <v>0.38097192079999997</v>
      </c>
      <c r="F217" s="70">
        <v>6</v>
      </c>
      <c r="G217" s="38" t="s">
        <v>250</v>
      </c>
      <c r="H217" s="66" t="s">
        <v>1258</v>
      </c>
      <c r="I217" s="39">
        <v>17.54025</v>
      </c>
      <c r="J217" s="40"/>
      <c r="K217" s="75">
        <f t="shared" si="18"/>
        <v>0</v>
      </c>
      <c r="L217" s="41"/>
      <c r="N217" s="45" t="str">
        <f t="shared" si="19"/>
        <v>-</v>
      </c>
      <c r="O217" s="42" t="str">
        <f t="shared" si="23"/>
        <v>-</v>
      </c>
      <c r="P217" s="43" t="str">
        <f t="shared" si="20"/>
        <v>-</v>
      </c>
      <c r="Q217" s="46" t="str">
        <f t="shared" si="21"/>
        <v>-</v>
      </c>
      <c r="S217" s="46" t="str">
        <f t="shared" si="22"/>
        <v>-</v>
      </c>
    </row>
    <row r="218" spans="1:19" ht="15" x14ac:dyDescent="0.3">
      <c r="A218" s="74">
        <v>5017823</v>
      </c>
      <c r="B218" s="37">
        <v>74659</v>
      </c>
      <c r="C218" s="69">
        <v>21245746591</v>
      </c>
      <c r="D218" s="38" t="s">
        <v>251</v>
      </c>
      <c r="E218" s="64">
        <v>5.6750000000000002E-2</v>
      </c>
      <c r="F218" s="70">
        <v>6</v>
      </c>
      <c r="G218" s="38" t="s">
        <v>252</v>
      </c>
      <c r="H218" s="66" t="s">
        <v>1258</v>
      </c>
      <c r="I218" s="39">
        <v>9.36</v>
      </c>
      <c r="J218" s="40"/>
      <c r="K218" s="75">
        <f t="shared" si="18"/>
        <v>0</v>
      </c>
      <c r="L218" s="41"/>
      <c r="N218" s="45" t="str">
        <f t="shared" si="19"/>
        <v>-</v>
      </c>
      <c r="O218" s="42" t="str">
        <f t="shared" si="23"/>
        <v>-</v>
      </c>
      <c r="P218" s="43" t="str">
        <f t="shared" si="20"/>
        <v>-</v>
      </c>
      <c r="Q218" s="46" t="str">
        <f t="shared" si="21"/>
        <v>-</v>
      </c>
      <c r="S218" s="46" t="str">
        <f t="shared" si="22"/>
        <v>-</v>
      </c>
    </row>
    <row r="219" spans="1:19" ht="15" customHeight="1" x14ac:dyDescent="0.3">
      <c r="A219" s="74">
        <v>1383793</v>
      </c>
      <c r="B219" s="37">
        <v>40781</v>
      </c>
      <c r="C219" s="69">
        <v>21245407812</v>
      </c>
      <c r="D219" s="38" t="s">
        <v>253</v>
      </c>
      <c r="E219" s="64">
        <v>0.25226519079999998</v>
      </c>
      <c r="F219" s="70">
        <v>1</v>
      </c>
      <c r="G219" s="38" t="s">
        <v>254</v>
      </c>
      <c r="H219" s="66" t="s">
        <v>1258</v>
      </c>
      <c r="I219" s="39">
        <v>37.342500000000001</v>
      </c>
      <c r="J219" s="40"/>
      <c r="K219" s="75">
        <f t="shared" si="18"/>
        <v>0</v>
      </c>
      <c r="L219" s="41"/>
      <c r="N219" s="45" t="str">
        <f t="shared" si="19"/>
        <v>-</v>
      </c>
      <c r="O219" s="42" t="str">
        <f t="shared" si="23"/>
        <v>-</v>
      </c>
      <c r="P219" s="43" t="str">
        <f t="shared" si="20"/>
        <v>-</v>
      </c>
      <c r="Q219" s="46" t="str">
        <f t="shared" si="21"/>
        <v>-</v>
      </c>
      <c r="S219" s="46" t="str">
        <f t="shared" si="22"/>
        <v>-</v>
      </c>
    </row>
    <row r="220" spans="1:19" ht="15" customHeight="1" x14ac:dyDescent="0.3">
      <c r="A220" s="74">
        <v>3709169</v>
      </c>
      <c r="B220" s="37">
        <v>83400</v>
      </c>
      <c r="C220" s="69">
        <v>21245834007</v>
      </c>
      <c r="D220" s="38" t="s">
        <v>261</v>
      </c>
      <c r="E220" s="64">
        <v>5.6750000000000002E-2</v>
      </c>
      <c r="F220" s="70">
        <v>6</v>
      </c>
      <c r="G220" s="38" t="s">
        <v>122</v>
      </c>
      <c r="H220" s="66" t="s">
        <v>1258</v>
      </c>
      <c r="I220" s="39">
        <v>16.331250000000001</v>
      </c>
      <c r="J220" s="40"/>
      <c r="K220" s="75">
        <f t="shared" si="18"/>
        <v>0</v>
      </c>
      <c r="L220" s="41"/>
      <c r="N220" s="45" t="str">
        <f t="shared" si="19"/>
        <v>-</v>
      </c>
      <c r="O220" s="42" t="str">
        <f t="shared" si="23"/>
        <v>-</v>
      </c>
      <c r="P220" s="43" t="str">
        <f t="shared" si="20"/>
        <v>-</v>
      </c>
      <c r="Q220" s="46" t="str">
        <f t="shared" si="21"/>
        <v>-</v>
      </c>
      <c r="S220" s="46" t="str">
        <f t="shared" si="22"/>
        <v>-</v>
      </c>
    </row>
    <row r="221" spans="1:19" ht="15" x14ac:dyDescent="0.3">
      <c r="A221" s="74">
        <v>7567914</v>
      </c>
      <c r="B221" s="37">
        <v>83405</v>
      </c>
      <c r="C221" s="69">
        <v>21245834052</v>
      </c>
      <c r="D221" s="38" t="s">
        <v>261</v>
      </c>
      <c r="E221" s="64">
        <v>5.6750000000000002E-2</v>
      </c>
      <c r="F221" s="70">
        <v>6</v>
      </c>
      <c r="G221" s="38" t="s">
        <v>69</v>
      </c>
      <c r="H221" s="66" t="s">
        <v>1258</v>
      </c>
      <c r="I221" s="39">
        <v>28.762500000000003</v>
      </c>
      <c r="J221" s="40"/>
      <c r="K221" s="75">
        <f t="shared" si="18"/>
        <v>0</v>
      </c>
      <c r="L221" s="41"/>
      <c r="N221" s="45" t="str">
        <f t="shared" si="19"/>
        <v>-</v>
      </c>
      <c r="O221" s="42" t="str">
        <f t="shared" si="23"/>
        <v>-</v>
      </c>
      <c r="P221" s="43" t="str">
        <f t="shared" si="20"/>
        <v>-</v>
      </c>
      <c r="Q221" s="46" t="str">
        <f t="shared" si="21"/>
        <v>-</v>
      </c>
      <c r="S221" s="46" t="str">
        <f t="shared" si="22"/>
        <v>-</v>
      </c>
    </row>
    <row r="222" spans="1:19" ht="15" x14ac:dyDescent="0.3">
      <c r="A222" s="74">
        <v>7026411</v>
      </c>
      <c r="B222" s="37">
        <v>90322</v>
      </c>
      <c r="C222" s="69">
        <v>21245903222</v>
      </c>
      <c r="D222" s="38" t="s">
        <v>267</v>
      </c>
      <c r="E222" s="64">
        <v>5.6750000000000002E-2</v>
      </c>
      <c r="F222" s="70">
        <v>6</v>
      </c>
      <c r="G222" s="38" t="s">
        <v>268</v>
      </c>
      <c r="H222" s="66" t="s">
        <v>1258</v>
      </c>
      <c r="I222" s="39">
        <v>9.36</v>
      </c>
      <c r="J222" s="40"/>
      <c r="K222" s="75">
        <f t="shared" si="18"/>
        <v>0</v>
      </c>
      <c r="L222" s="41"/>
      <c r="N222" s="45" t="str">
        <f t="shared" si="19"/>
        <v>-</v>
      </c>
      <c r="O222" s="42" t="str">
        <f t="shared" si="23"/>
        <v>-</v>
      </c>
      <c r="P222" s="43" t="str">
        <f t="shared" si="20"/>
        <v>-</v>
      </c>
      <c r="Q222" s="46" t="str">
        <f t="shared" si="21"/>
        <v>-</v>
      </c>
      <c r="S222" s="46" t="str">
        <f t="shared" si="22"/>
        <v>-</v>
      </c>
    </row>
    <row r="223" spans="1:19" ht="15" x14ac:dyDescent="0.3">
      <c r="A223" s="74">
        <v>2624694</v>
      </c>
      <c r="B223" s="37">
        <v>49864</v>
      </c>
      <c r="C223" s="69">
        <v>21245498643</v>
      </c>
      <c r="D223" s="38" t="s">
        <v>274</v>
      </c>
      <c r="E223" s="64">
        <v>5.6750000000000002E-2</v>
      </c>
      <c r="F223" s="70">
        <v>12</v>
      </c>
      <c r="G223" s="38" t="s">
        <v>275</v>
      </c>
      <c r="H223" s="66" t="s">
        <v>1258</v>
      </c>
      <c r="I223" s="39">
        <v>10.383750000000001</v>
      </c>
      <c r="J223" s="40"/>
      <c r="K223" s="75">
        <f t="shared" si="18"/>
        <v>0</v>
      </c>
      <c r="L223" s="41"/>
      <c r="N223" s="45" t="str">
        <f t="shared" si="19"/>
        <v>-</v>
      </c>
      <c r="O223" s="42" t="str">
        <f t="shared" si="23"/>
        <v>-</v>
      </c>
      <c r="P223" s="43" t="str">
        <f t="shared" si="20"/>
        <v>-</v>
      </c>
      <c r="Q223" s="46" t="str">
        <f t="shared" si="21"/>
        <v>-</v>
      </c>
      <c r="S223" s="46" t="str">
        <f t="shared" si="22"/>
        <v>-</v>
      </c>
    </row>
    <row r="224" spans="1:19" ht="15" x14ac:dyDescent="0.3">
      <c r="A224" s="74">
        <v>9828444</v>
      </c>
      <c r="B224" s="37">
        <v>83210</v>
      </c>
      <c r="C224" s="69">
        <v>21245832102</v>
      </c>
      <c r="D224" s="38" t="s">
        <v>281</v>
      </c>
      <c r="E224" s="64">
        <v>0.27800653680000004</v>
      </c>
      <c r="F224" s="70">
        <v>6</v>
      </c>
      <c r="G224" s="38" t="s">
        <v>282</v>
      </c>
      <c r="H224" s="66" t="s">
        <v>1258</v>
      </c>
      <c r="I224" s="39">
        <v>7.1174999999999997</v>
      </c>
      <c r="J224" s="40"/>
      <c r="K224" s="75">
        <f t="shared" si="18"/>
        <v>0</v>
      </c>
      <c r="L224" s="41"/>
      <c r="N224" s="45" t="str">
        <f t="shared" si="19"/>
        <v>-</v>
      </c>
      <c r="O224" s="42" t="str">
        <f t="shared" si="23"/>
        <v>-</v>
      </c>
      <c r="P224" s="43" t="str">
        <f t="shared" si="20"/>
        <v>-</v>
      </c>
      <c r="Q224" s="46" t="str">
        <f t="shared" si="21"/>
        <v>-</v>
      </c>
      <c r="S224" s="46" t="str">
        <f t="shared" si="22"/>
        <v>-</v>
      </c>
    </row>
    <row r="225" spans="1:19" ht="15" x14ac:dyDescent="0.3">
      <c r="A225" s="74">
        <v>8506566</v>
      </c>
      <c r="B225" s="37">
        <v>85060</v>
      </c>
      <c r="C225" s="69">
        <v>21245850601</v>
      </c>
      <c r="D225" s="38" t="s">
        <v>283</v>
      </c>
      <c r="E225" s="64">
        <v>5.6750000000000002E-2</v>
      </c>
      <c r="F225" s="70">
        <v>6</v>
      </c>
      <c r="G225" s="38" t="s">
        <v>285</v>
      </c>
      <c r="H225" s="66" t="s">
        <v>1258</v>
      </c>
      <c r="I225" s="39">
        <v>37.245000000000005</v>
      </c>
      <c r="J225" s="40"/>
      <c r="K225" s="75">
        <f t="shared" si="18"/>
        <v>0</v>
      </c>
      <c r="L225" s="41"/>
      <c r="N225" s="45" t="str">
        <f t="shared" si="19"/>
        <v>-</v>
      </c>
      <c r="O225" s="42" t="str">
        <f t="shared" si="23"/>
        <v>-</v>
      </c>
      <c r="P225" s="43" t="str">
        <f t="shared" si="20"/>
        <v>-</v>
      </c>
      <c r="Q225" s="46" t="str">
        <f t="shared" si="21"/>
        <v>-</v>
      </c>
      <c r="S225" s="46" t="str">
        <f t="shared" si="22"/>
        <v>-</v>
      </c>
    </row>
    <row r="226" spans="1:19" ht="15" x14ac:dyDescent="0.3">
      <c r="A226" s="74">
        <v>6789462</v>
      </c>
      <c r="B226" s="37">
        <v>57108</v>
      </c>
      <c r="C226" s="69">
        <v>21245571087</v>
      </c>
      <c r="D226" s="38" t="s">
        <v>289</v>
      </c>
      <c r="E226" s="64">
        <v>0.53541999679999996</v>
      </c>
      <c r="F226" s="70">
        <v>6</v>
      </c>
      <c r="G226" s="38" t="s">
        <v>291</v>
      </c>
      <c r="H226" s="66" t="s">
        <v>1258</v>
      </c>
      <c r="I226" s="39">
        <v>14.9175</v>
      </c>
      <c r="J226" s="40"/>
      <c r="K226" s="75">
        <f t="shared" si="18"/>
        <v>0</v>
      </c>
      <c r="L226" s="41"/>
      <c r="N226" s="45" t="str">
        <f t="shared" si="19"/>
        <v>-</v>
      </c>
      <c r="O226" s="42" t="str">
        <f t="shared" si="23"/>
        <v>-</v>
      </c>
      <c r="P226" s="43" t="str">
        <f t="shared" si="20"/>
        <v>-</v>
      </c>
      <c r="Q226" s="46" t="str">
        <f t="shared" si="21"/>
        <v>-</v>
      </c>
      <c r="S226" s="46" t="str">
        <f t="shared" si="22"/>
        <v>-</v>
      </c>
    </row>
    <row r="227" spans="1:19" ht="15" x14ac:dyDescent="0.3">
      <c r="A227" s="74">
        <v>4516111</v>
      </c>
      <c r="B227" s="37">
        <v>85992</v>
      </c>
      <c r="C227" s="69">
        <v>21245859925</v>
      </c>
      <c r="D227" s="38" t="s">
        <v>295</v>
      </c>
      <c r="E227" s="64">
        <v>7.2075768800000009E-2</v>
      </c>
      <c r="F227" s="70">
        <v>6</v>
      </c>
      <c r="G227" s="38" t="s">
        <v>88</v>
      </c>
      <c r="H227" s="66" t="s">
        <v>1258</v>
      </c>
      <c r="I227" s="39">
        <v>12.967500000000001</v>
      </c>
      <c r="J227" s="40"/>
      <c r="K227" s="75">
        <f t="shared" si="18"/>
        <v>0</v>
      </c>
      <c r="L227" s="41"/>
      <c r="N227" s="45" t="str">
        <f t="shared" si="19"/>
        <v>-</v>
      </c>
      <c r="O227" s="42" t="str">
        <f t="shared" si="23"/>
        <v>-</v>
      </c>
      <c r="P227" s="43" t="str">
        <f t="shared" si="20"/>
        <v>-</v>
      </c>
      <c r="Q227" s="46" t="str">
        <f t="shared" si="21"/>
        <v>-</v>
      </c>
      <c r="S227" s="46" t="str">
        <f t="shared" si="22"/>
        <v>-</v>
      </c>
    </row>
    <row r="228" spans="1:19" ht="15" x14ac:dyDescent="0.3">
      <c r="A228" s="74">
        <v>2186173</v>
      </c>
      <c r="B228" s="37">
        <v>12959</v>
      </c>
      <c r="C228" s="69">
        <v>21245129592</v>
      </c>
      <c r="D228" s="38" t="s">
        <v>298</v>
      </c>
      <c r="E228" s="64">
        <v>0.13900326840000002</v>
      </c>
      <c r="F228" s="70">
        <v>6</v>
      </c>
      <c r="G228" s="38" t="s">
        <v>34</v>
      </c>
      <c r="H228" s="66" t="s">
        <v>1258</v>
      </c>
      <c r="I228" s="39">
        <v>7.9950000000000001</v>
      </c>
      <c r="J228" s="40"/>
      <c r="K228" s="75">
        <f t="shared" si="18"/>
        <v>0</v>
      </c>
      <c r="L228" s="41"/>
      <c r="N228" s="45" t="str">
        <f t="shared" si="19"/>
        <v>-</v>
      </c>
      <c r="O228" s="42" t="str">
        <f t="shared" si="23"/>
        <v>-</v>
      </c>
      <c r="P228" s="43" t="str">
        <f t="shared" si="20"/>
        <v>-</v>
      </c>
      <c r="Q228" s="46" t="str">
        <f t="shared" si="21"/>
        <v>-</v>
      </c>
      <c r="S228" s="46" t="str">
        <f t="shared" si="22"/>
        <v>-</v>
      </c>
    </row>
    <row r="229" spans="1:19" ht="15" x14ac:dyDescent="0.3">
      <c r="A229" s="74">
        <v>2017525</v>
      </c>
      <c r="B229" s="37">
        <v>75303</v>
      </c>
      <c r="C229" s="69">
        <v>21245753032</v>
      </c>
      <c r="D229" s="38" t="s">
        <v>84</v>
      </c>
      <c r="E229" s="64">
        <v>5.6750000000000002E-2</v>
      </c>
      <c r="F229" s="70">
        <v>12</v>
      </c>
      <c r="G229" s="38" t="s">
        <v>212</v>
      </c>
      <c r="H229" s="66" t="s">
        <v>1258</v>
      </c>
      <c r="I229" s="39">
        <v>5.1187500000000004</v>
      </c>
      <c r="J229" s="40"/>
      <c r="K229" s="75">
        <f t="shared" si="18"/>
        <v>0</v>
      </c>
      <c r="L229" s="41"/>
      <c r="N229" s="45" t="str">
        <f t="shared" si="19"/>
        <v>-</v>
      </c>
      <c r="O229" s="42" t="str">
        <f t="shared" si="23"/>
        <v>-</v>
      </c>
      <c r="P229" s="43" t="str">
        <f t="shared" si="20"/>
        <v>-</v>
      </c>
      <c r="Q229" s="46" t="str">
        <f t="shared" si="21"/>
        <v>-</v>
      </c>
      <c r="S229" s="46" t="str">
        <f t="shared" si="22"/>
        <v>-</v>
      </c>
    </row>
    <row r="230" spans="1:19" ht="15" x14ac:dyDescent="0.3">
      <c r="A230" s="74">
        <v>9318182</v>
      </c>
      <c r="B230" s="37">
        <v>75312</v>
      </c>
      <c r="C230" s="69">
        <v>21245753124</v>
      </c>
      <c r="D230" s="38" t="s">
        <v>84</v>
      </c>
      <c r="E230" s="64">
        <v>9.7817114799999993E-2</v>
      </c>
      <c r="F230" s="70">
        <v>6</v>
      </c>
      <c r="G230" s="38" t="s">
        <v>213</v>
      </c>
      <c r="H230" s="66" t="s">
        <v>1258</v>
      </c>
      <c r="I230" s="39">
        <v>9.2624999999999993</v>
      </c>
      <c r="J230" s="40"/>
      <c r="K230" s="75">
        <f t="shared" si="18"/>
        <v>0</v>
      </c>
      <c r="L230" s="41"/>
      <c r="N230" s="45" t="str">
        <f t="shared" si="19"/>
        <v>-</v>
      </c>
      <c r="O230" s="42" t="str">
        <f t="shared" si="23"/>
        <v>-</v>
      </c>
      <c r="P230" s="43" t="str">
        <f t="shared" si="20"/>
        <v>-</v>
      </c>
      <c r="Q230" s="46" t="str">
        <f t="shared" si="21"/>
        <v>-</v>
      </c>
      <c r="S230" s="46" t="str">
        <f t="shared" si="22"/>
        <v>-</v>
      </c>
    </row>
    <row r="231" spans="1:19" ht="15" x14ac:dyDescent="0.3">
      <c r="A231" s="74">
        <v>5385312</v>
      </c>
      <c r="B231" s="37">
        <v>51581</v>
      </c>
      <c r="C231" s="69">
        <v>21245515814</v>
      </c>
      <c r="D231" s="38" t="s">
        <v>307</v>
      </c>
      <c r="E231" s="64">
        <v>0.15444807599999999</v>
      </c>
      <c r="F231" s="70">
        <v>6</v>
      </c>
      <c r="G231" s="38" t="s">
        <v>34</v>
      </c>
      <c r="H231" s="66" t="s">
        <v>1258</v>
      </c>
      <c r="I231" s="39">
        <v>9.4087500000000013</v>
      </c>
      <c r="J231" s="40"/>
      <c r="K231" s="75">
        <f t="shared" si="18"/>
        <v>0</v>
      </c>
      <c r="L231" s="41"/>
      <c r="N231" s="45" t="str">
        <f t="shared" si="19"/>
        <v>-</v>
      </c>
      <c r="O231" s="42" t="str">
        <f t="shared" si="23"/>
        <v>-</v>
      </c>
      <c r="P231" s="43" t="str">
        <f t="shared" si="20"/>
        <v>-</v>
      </c>
      <c r="Q231" s="46" t="str">
        <f t="shared" si="21"/>
        <v>-</v>
      </c>
      <c r="S231" s="46" t="str">
        <f t="shared" si="22"/>
        <v>-</v>
      </c>
    </row>
    <row r="232" spans="1:19" ht="15" x14ac:dyDescent="0.3">
      <c r="A232" s="74">
        <v>4436326</v>
      </c>
      <c r="B232" s="37">
        <v>33974</v>
      </c>
      <c r="C232" s="69">
        <v>21245339748</v>
      </c>
      <c r="D232" s="38" t="s">
        <v>310</v>
      </c>
      <c r="E232" s="64">
        <v>0.20593076800000001</v>
      </c>
      <c r="F232" s="70">
        <v>6</v>
      </c>
      <c r="G232" s="38" t="s">
        <v>63</v>
      </c>
      <c r="H232" s="66" t="s">
        <v>1258</v>
      </c>
      <c r="I232" s="39">
        <v>23.400000000000002</v>
      </c>
      <c r="J232" s="40"/>
      <c r="K232" s="75">
        <f t="shared" si="18"/>
        <v>0</v>
      </c>
      <c r="L232" s="41"/>
      <c r="N232" s="45" t="str">
        <f t="shared" si="19"/>
        <v>-</v>
      </c>
      <c r="O232" s="42" t="str">
        <f t="shared" si="23"/>
        <v>-</v>
      </c>
      <c r="P232" s="43" t="str">
        <f t="shared" si="20"/>
        <v>-</v>
      </c>
      <c r="Q232" s="46" t="str">
        <f t="shared" si="21"/>
        <v>-</v>
      </c>
      <c r="S232" s="46" t="str">
        <f t="shared" si="22"/>
        <v>-</v>
      </c>
    </row>
    <row r="233" spans="1:19" ht="15" x14ac:dyDescent="0.3">
      <c r="A233" s="74">
        <v>1991980</v>
      </c>
      <c r="B233" s="37">
        <v>49375</v>
      </c>
      <c r="C233" s="69">
        <v>21245493754</v>
      </c>
      <c r="D233" s="38" t="s">
        <v>315</v>
      </c>
      <c r="E233" s="64">
        <v>0.13385499919999999</v>
      </c>
      <c r="F233" s="70">
        <v>6</v>
      </c>
      <c r="G233" s="38" t="s">
        <v>34</v>
      </c>
      <c r="H233" s="66" t="s">
        <v>1258</v>
      </c>
      <c r="I233" s="39">
        <v>21.7425</v>
      </c>
      <c r="J233" s="40"/>
      <c r="K233" s="75">
        <f t="shared" si="18"/>
        <v>0</v>
      </c>
      <c r="L233" s="41"/>
      <c r="N233" s="45" t="str">
        <f t="shared" si="19"/>
        <v>-</v>
      </c>
      <c r="O233" s="42" t="str">
        <f t="shared" si="23"/>
        <v>-</v>
      </c>
      <c r="P233" s="43" t="str">
        <f t="shared" si="20"/>
        <v>-</v>
      </c>
      <c r="Q233" s="46" t="str">
        <f t="shared" si="21"/>
        <v>-</v>
      </c>
      <c r="S233" s="46" t="str">
        <f t="shared" si="22"/>
        <v>-</v>
      </c>
    </row>
    <row r="234" spans="1:19" ht="15" x14ac:dyDescent="0.3">
      <c r="A234" s="74">
        <v>7721009</v>
      </c>
      <c r="B234" s="37">
        <v>20390</v>
      </c>
      <c r="C234" s="69">
        <v>21245203902</v>
      </c>
      <c r="D234" s="38" t="s">
        <v>318</v>
      </c>
      <c r="E234" s="64">
        <v>5.6750000000000002E-2</v>
      </c>
      <c r="F234" s="70">
        <v>6</v>
      </c>
      <c r="G234" s="38" t="s">
        <v>319</v>
      </c>
      <c r="H234" s="66" t="s">
        <v>1258</v>
      </c>
      <c r="I234" s="39">
        <v>8.7750000000000004</v>
      </c>
      <c r="J234" s="40"/>
      <c r="K234" s="75">
        <f t="shared" si="18"/>
        <v>0</v>
      </c>
      <c r="L234" s="41"/>
      <c r="N234" s="45" t="str">
        <f t="shared" si="19"/>
        <v>-</v>
      </c>
      <c r="O234" s="42" t="str">
        <f t="shared" si="23"/>
        <v>-</v>
      </c>
      <c r="P234" s="43" t="str">
        <f t="shared" si="20"/>
        <v>-</v>
      </c>
      <c r="Q234" s="46" t="str">
        <f t="shared" si="21"/>
        <v>-</v>
      </c>
      <c r="S234" s="46" t="str">
        <f t="shared" si="22"/>
        <v>-</v>
      </c>
    </row>
    <row r="235" spans="1:19" ht="15" x14ac:dyDescent="0.3">
      <c r="A235" s="74">
        <v>4111417</v>
      </c>
      <c r="B235" s="37">
        <v>67107</v>
      </c>
      <c r="C235" s="69">
        <v>21245671077</v>
      </c>
      <c r="D235" s="38" t="s">
        <v>320</v>
      </c>
      <c r="E235" s="64">
        <v>9.7817114799999993E-2</v>
      </c>
      <c r="F235" s="70">
        <v>6</v>
      </c>
      <c r="G235" s="38" t="s">
        <v>34</v>
      </c>
      <c r="H235" s="66" t="s">
        <v>1258</v>
      </c>
      <c r="I235" s="39">
        <v>11.992500000000001</v>
      </c>
      <c r="J235" s="40"/>
      <c r="K235" s="75">
        <f t="shared" si="18"/>
        <v>0</v>
      </c>
      <c r="L235" s="41"/>
      <c r="N235" s="45" t="str">
        <f t="shared" si="19"/>
        <v>-</v>
      </c>
      <c r="O235" s="42" t="str">
        <f t="shared" si="23"/>
        <v>-</v>
      </c>
      <c r="P235" s="43" t="str">
        <f t="shared" si="20"/>
        <v>-</v>
      </c>
      <c r="Q235" s="46" t="str">
        <f t="shared" si="21"/>
        <v>-</v>
      </c>
      <c r="S235" s="46" t="str">
        <f t="shared" si="22"/>
        <v>-</v>
      </c>
    </row>
    <row r="236" spans="1:19" ht="15" x14ac:dyDescent="0.3">
      <c r="A236" s="74">
        <v>2506702</v>
      </c>
      <c r="B236" s="37">
        <v>15062</v>
      </c>
      <c r="C236" s="69">
        <v>21245150626</v>
      </c>
      <c r="D236" s="38" t="s">
        <v>324</v>
      </c>
      <c r="E236" s="64">
        <v>0.15444807599999999</v>
      </c>
      <c r="F236" s="70">
        <v>6</v>
      </c>
      <c r="G236" s="38" t="s">
        <v>34</v>
      </c>
      <c r="H236" s="66" t="s">
        <v>1258</v>
      </c>
      <c r="I236" s="39">
        <v>13.30875</v>
      </c>
      <c r="J236" s="40"/>
      <c r="K236" s="75">
        <f t="shared" si="18"/>
        <v>0</v>
      </c>
      <c r="L236" s="41"/>
      <c r="N236" s="45" t="str">
        <f t="shared" si="19"/>
        <v>-</v>
      </c>
      <c r="O236" s="42" t="str">
        <f t="shared" si="23"/>
        <v>-</v>
      </c>
      <c r="P236" s="43" t="str">
        <f t="shared" si="20"/>
        <v>-</v>
      </c>
      <c r="Q236" s="46" t="str">
        <f t="shared" si="21"/>
        <v>-</v>
      </c>
      <c r="S236" s="46" t="str">
        <f t="shared" si="22"/>
        <v>-</v>
      </c>
    </row>
    <row r="237" spans="1:19" ht="15" x14ac:dyDescent="0.3">
      <c r="A237" s="74">
        <v>9702890</v>
      </c>
      <c r="B237" s="37">
        <v>98127</v>
      </c>
      <c r="C237" s="69">
        <v>21245981275</v>
      </c>
      <c r="D237" s="38" t="s">
        <v>327</v>
      </c>
      <c r="E237" s="64">
        <v>0.16989288359999999</v>
      </c>
      <c r="F237" s="70">
        <v>6</v>
      </c>
      <c r="G237" s="38" t="s">
        <v>34</v>
      </c>
      <c r="H237" s="66" t="s">
        <v>1258</v>
      </c>
      <c r="I237" s="39">
        <v>16.77</v>
      </c>
      <c r="J237" s="40"/>
      <c r="K237" s="75">
        <f t="shared" si="18"/>
        <v>0</v>
      </c>
      <c r="L237" s="41"/>
      <c r="N237" s="45" t="str">
        <f t="shared" si="19"/>
        <v>-</v>
      </c>
      <c r="O237" s="42" t="str">
        <f t="shared" si="23"/>
        <v>-</v>
      </c>
      <c r="P237" s="43" t="str">
        <f t="shared" si="20"/>
        <v>-</v>
      </c>
      <c r="Q237" s="46" t="str">
        <f t="shared" si="21"/>
        <v>-</v>
      </c>
      <c r="S237" s="46" t="str">
        <f t="shared" si="22"/>
        <v>-</v>
      </c>
    </row>
    <row r="238" spans="1:19" ht="15" x14ac:dyDescent="0.3">
      <c r="A238" s="74">
        <v>6754938</v>
      </c>
      <c r="B238" s="37">
        <v>57200</v>
      </c>
      <c r="C238" s="69">
        <v>21245572008</v>
      </c>
      <c r="D238" s="38" t="s">
        <v>328</v>
      </c>
      <c r="E238" s="64">
        <v>0.32948922879999998</v>
      </c>
      <c r="F238" s="70">
        <v>6</v>
      </c>
      <c r="G238" s="38" t="s">
        <v>98</v>
      </c>
      <c r="H238" s="66" t="s">
        <v>1258</v>
      </c>
      <c r="I238" s="39">
        <v>7.8974999999999991</v>
      </c>
      <c r="J238" s="40"/>
      <c r="K238" s="75">
        <f t="shared" si="18"/>
        <v>0</v>
      </c>
      <c r="L238" s="41"/>
      <c r="N238" s="45" t="str">
        <f t="shared" si="19"/>
        <v>-</v>
      </c>
      <c r="O238" s="42" t="str">
        <f t="shared" si="23"/>
        <v>-</v>
      </c>
      <c r="P238" s="43" t="str">
        <f t="shared" si="20"/>
        <v>-</v>
      </c>
      <c r="Q238" s="46" t="str">
        <f t="shared" si="21"/>
        <v>-</v>
      </c>
      <c r="S238" s="46" t="str">
        <f t="shared" si="22"/>
        <v>-</v>
      </c>
    </row>
    <row r="239" spans="1:19" ht="15" x14ac:dyDescent="0.3">
      <c r="A239" s="74">
        <v>1330453</v>
      </c>
      <c r="B239" s="37">
        <v>74880</v>
      </c>
      <c r="C239" s="69">
        <v>21245748809</v>
      </c>
      <c r="D239" s="38" t="s">
        <v>329</v>
      </c>
      <c r="E239" s="64">
        <v>0.19048596039999999</v>
      </c>
      <c r="F239" s="70">
        <v>6</v>
      </c>
      <c r="G239" s="38" t="s">
        <v>330</v>
      </c>
      <c r="H239" s="66" t="s">
        <v>1258</v>
      </c>
      <c r="I239" s="39">
        <v>9.6037499999999998</v>
      </c>
      <c r="J239" s="40"/>
      <c r="K239" s="75">
        <f t="shared" si="18"/>
        <v>0</v>
      </c>
      <c r="L239" s="41"/>
      <c r="N239" s="45" t="str">
        <f t="shared" si="19"/>
        <v>-</v>
      </c>
      <c r="O239" s="42" t="str">
        <f t="shared" si="23"/>
        <v>-</v>
      </c>
      <c r="P239" s="43" t="str">
        <f t="shared" si="20"/>
        <v>-</v>
      </c>
      <c r="Q239" s="46" t="str">
        <f t="shared" si="21"/>
        <v>-</v>
      </c>
      <c r="S239" s="46" t="str">
        <f t="shared" si="22"/>
        <v>-</v>
      </c>
    </row>
    <row r="240" spans="1:19" ht="15" x14ac:dyDescent="0.3">
      <c r="A240" s="74">
        <v>8381229</v>
      </c>
      <c r="B240" s="37">
        <v>32081</v>
      </c>
      <c r="C240" s="69">
        <v>21245320814</v>
      </c>
      <c r="D240" s="38" t="s">
        <v>329</v>
      </c>
      <c r="E240" s="64">
        <v>0.35523057480000003</v>
      </c>
      <c r="F240" s="70">
        <v>6</v>
      </c>
      <c r="G240" s="38" t="s">
        <v>290</v>
      </c>
      <c r="H240" s="66" t="s">
        <v>1258</v>
      </c>
      <c r="I240" s="39">
        <v>17.160000000000004</v>
      </c>
      <c r="J240" s="40"/>
      <c r="K240" s="75">
        <f t="shared" si="18"/>
        <v>0</v>
      </c>
      <c r="L240" s="41"/>
      <c r="N240" s="45" t="str">
        <f t="shared" si="19"/>
        <v>-</v>
      </c>
      <c r="O240" s="42" t="str">
        <f t="shared" si="23"/>
        <v>-</v>
      </c>
      <c r="P240" s="43" t="str">
        <f t="shared" si="20"/>
        <v>-</v>
      </c>
      <c r="Q240" s="46" t="str">
        <f t="shared" si="21"/>
        <v>-</v>
      </c>
      <c r="S240" s="46" t="str">
        <f t="shared" si="22"/>
        <v>-</v>
      </c>
    </row>
    <row r="241" spans="1:19" ht="15" x14ac:dyDescent="0.3">
      <c r="A241" s="74">
        <v>9282598</v>
      </c>
      <c r="B241" s="37">
        <v>71008</v>
      </c>
      <c r="C241" s="69">
        <v>21245710080</v>
      </c>
      <c r="D241" s="38" t="s">
        <v>334</v>
      </c>
      <c r="E241" s="64">
        <v>0.45304768960000003</v>
      </c>
      <c r="F241" s="70">
        <v>6</v>
      </c>
      <c r="G241" s="38" t="s">
        <v>64</v>
      </c>
      <c r="H241" s="66" t="s">
        <v>1258</v>
      </c>
      <c r="I241" s="39">
        <v>33.881250000000001</v>
      </c>
      <c r="J241" s="40"/>
      <c r="K241" s="75">
        <f t="shared" si="18"/>
        <v>0</v>
      </c>
      <c r="L241" s="41"/>
      <c r="N241" s="45" t="str">
        <f t="shared" si="19"/>
        <v>-</v>
      </c>
      <c r="O241" s="42" t="str">
        <f t="shared" si="23"/>
        <v>-</v>
      </c>
      <c r="P241" s="43" t="str">
        <f t="shared" si="20"/>
        <v>-</v>
      </c>
      <c r="Q241" s="46" t="str">
        <f t="shared" si="21"/>
        <v>-</v>
      </c>
      <c r="S241" s="46" t="str">
        <f t="shared" si="22"/>
        <v>-</v>
      </c>
    </row>
    <row r="242" spans="1:19" ht="15" x14ac:dyDescent="0.3">
      <c r="A242" s="74">
        <v>1657131</v>
      </c>
      <c r="B242" s="37">
        <v>71002</v>
      </c>
      <c r="C242" s="69">
        <v>21245710028</v>
      </c>
      <c r="D242" s="38" t="s">
        <v>334</v>
      </c>
      <c r="E242" s="64">
        <v>0.23682038320000001</v>
      </c>
      <c r="F242" s="70">
        <v>6</v>
      </c>
      <c r="G242" s="38" t="s">
        <v>63</v>
      </c>
      <c r="H242" s="66" t="s">
        <v>1258</v>
      </c>
      <c r="I242" s="39">
        <v>19.158749999999998</v>
      </c>
      <c r="J242" s="40"/>
      <c r="K242" s="75">
        <f t="shared" si="18"/>
        <v>0</v>
      </c>
      <c r="L242" s="41"/>
      <c r="N242" s="45" t="str">
        <f t="shared" si="19"/>
        <v>-</v>
      </c>
      <c r="O242" s="42" t="str">
        <f t="shared" si="23"/>
        <v>-</v>
      </c>
      <c r="P242" s="43" t="str">
        <f t="shared" si="20"/>
        <v>-</v>
      </c>
      <c r="Q242" s="46" t="str">
        <f t="shared" si="21"/>
        <v>-</v>
      </c>
      <c r="S242" s="46" t="str">
        <f t="shared" si="22"/>
        <v>-</v>
      </c>
    </row>
    <row r="243" spans="1:19" ht="15" x14ac:dyDescent="0.3">
      <c r="A243" s="74">
        <v>9200116</v>
      </c>
      <c r="B243" s="37">
        <v>84820</v>
      </c>
      <c r="C243" s="69">
        <v>21245848202</v>
      </c>
      <c r="D243" s="38" t="s">
        <v>335</v>
      </c>
      <c r="E243" s="64">
        <v>0.10296538400000001</v>
      </c>
      <c r="F243" s="70">
        <v>12</v>
      </c>
      <c r="G243" s="38" t="s">
        <v>336</v>
      </c>
      <c r="H243" s="66" t="s">
        <v>1258</v>
      </c>
      <c r="I243" s="39">
        <v>7.4587500000000002</v>
      </c>
      <c r="J243" s="40"/>
      <c r="K243" s="75">
        <f t="shared" si="18"/>
        <v>0</v>
      </c>
      <c r="L243" s="41"/>
      <c r="N243" s="45" t="str">
        <f t="shared" si="19"/>
        <v>-</v>
      </c>
      <c r="O243" s="42" t="str">
        <f t="shared" si="23"/>
        <v>-</v>
      </c>
      <c r="P243" s="43" t="str">
        <f t="shared" si="20"/>
        <v>-</v>
      </c>
      <c r="Q243" s="46" t="str">
        <f t="shared" si="21"/>
        <v>-</v>
      </c>
      <c r="S243" s="46" t="str">
        <f t="shared" si="22"/>
        <v>-</v>
      </c>
    </row>
    <row r="244" spans="1:19" ht="15" x14ac:dyDescent="0.3">
      <c r="A244" s="74">
        <v>8224523</v>
      </c>
      <c r="B244" s="37">
        <v>90823</v>
      </c>
      <c r="C244" s="69">
        <v>21245908234</v>
      </c>
      <c r="D244" s="38" t="s">
        <v>339</v>
      </c>
      <c r="E244" s="64">
        <v>0.15444807599999999</v>
      </c>
      <c r="F244" s="70">
        <v>6</v>
      </c>
      <c r="G244" s="38" t="s">
        <v>245</v>
      </c>
      <c r="H244" s="66" t="s">
        <v>1258</v>
      </c>
      <c r="I244" s="39">
        <v>8.7262500000000003</v>
      </c>
      <c r="J244" s="40"/>
      <c r="K244" s="75">
        <f t="shared" si="18"/>
        <v>0</v>
      </c>
      <c r="L244" s="41"/>
      <c r="N244" s="45" t="str">
        <f t="shared" si="19"/>
        <v>-</v>
      </c>
      <c r="O244" s="42" t="str">
        <f t="shared" si="23"/>
        <v>-</v>
      </c>
      <c r="P244" s="43" t="str">
        <f t="shared" si="20"/>
        <v>-</v>
      </c>
      <c r="Q244" s="46" t="str">
        <f t="shared" si="21"/>
        <v>-</v>
      </c>
      <c r="S244" s="46" t="str">
        <f t="shared" si="22"/>
        <v>-</v>
      </c>
    </row>
    <row r="245" spans="1:19" ht="15" x14ac:dyDescent="0.3">
      <c r="A245" s="74">
        <v>4957397</v>
      </c>
      <c r="B245" s="37">
        <v>39828</v>
      </c>
      <c r="C245" s="69">
        <v>21245398288</v>
      </c>
      <c r="D245" s="38" t="s">
        <v>136</v>
      </c>
      <c r="E245" s="64">
        <v>0.45819595879999997</v>
      </c>
      <c r="F245" s="70">
        <v>6</v>
      </c>
      <c r="G245" s="38" t="s">
        <v>341</v>
      </c>
      <c r="H245" s="66" t="s">
        <v>1258</v>
      </c>
      <c r="I245" s="39">
        <v>14.040000000000003</v>
      </c>
      <c r="J245" s="40"/>
      <c r="K245" s="75">
        <f t="shared" si="18"/>
        <v>0</v>
      </c>
      <c r="L245" s="41"/>
      <c r="N245" s="45" t="str">
        <f t="shared" si="19"/>
        <v>-</v>
      </c>
      <c r="O245" s="42" t="str">
        <f t="shared" si="23"/>
        <v>-</v>
      </c>
      <c r="P245" s="43" t="str">
        <f t="shared" si="20"/>
        <v>-</v>
      </c>
      <c r="Q245" s="46" t="str">
        <f t="shared" si="21"/>
        <v>-</v>
      </c>
      <c r="S245" s="46" t="str">
        <f t="shared" si="22"/>
        <v>-</v>
      </c>
    </row>
    <row r="246" spans="1:19" ht="15" x14ac:dyDescent="0.3">
      <c r="A246" s="74">
        <v>3572061</v>
      </c>
      <c r="B246" s="37">
        <v>80514</v>
      </c>
      <c r="C246" s="69">
        <v>21245805144</v>
      </c>
      <c r="D246" s="38" t="s">
        <v>344</v>
      </c>
      <c r="E246" s="64">
        <v>0.24196865239999998</v>
      </c>
      <c r="F246" s="70">
        <v>6</v>
      </c>
      <c r="G246" s="38" t="s">
        <v>117</v>
      </c>
      <c r="H246" s="66" t="s">
        <v>1258</v>
      </c>
      <c r="I246" s="39">
        <v>9.9937500000000004</v>
      </c>
      <c r="J246" s="40"/>
      <c r="K246" s="75">
        <f t="shared" si="18"/>
        <v>0</v>
      </c>
      <c r="L246" s="41"/>
      <c r="N246" s="45" t="str">
        <f t="shared" si="19"/>
        <v>-</v>
      </c>
      <c r="O246" s="42" t="str">
        <f t="shared" si="23"/>
        <v>-</v>
      </c>
      <c r="P246" s="43" t="str">
        <f t="shared" si="20"/>
        <v>-</v>
      </c>
      <c r="Q246" s="46" t="str">
        <f t="shared" si="21"/>
        <v>-</v>
      </c>
      <c r="S246" s="46" t="str">
        <f t="shared" si="22"/>
        <v>-</v>
      </c>
    </row>
    <row r="247" spans="1:19" ht="15" x14ac:dyDescent="0.3">
      <c r="A247" s="74">
        <v>8659671</v>
      </c>
      <c r="B247" s="37">
        <v>10308</v>
      </c>
      <c r="C247" s="69">
        <v>21245103080</v>
      </c>
      <c r="D247" s="38" t="s">
        <v>347</v>
      </c>
      <c r="E247" s="64">
        <v>0.61779230399999996</v>
      </c>
      <c r="F247" s="70">
        <v>6</v>
      </c>
      <c r="G247" s="38" t="s">
        <v>348</v>
      </c>
      <c r="H247" s="66" t="s">
        <v>1258</v>
      </c>
      <c r="I247" s="39">
        <v>11.2125</v>
      </c>
      <c r="J247" s="40"/>
      <c r="K247" s="75">
        <f t="shared" si="18"/>
        <v>0</v>
      </c>
      <c r="L247" s="41"/>
      <c r="N247" s="45" t="str">
        <f t="shared" si="19"/>
        <v>-</v>
      </c>
      <c r="O247" s="42" t="str">
        <f t="shared" si="23"/>
        <v>-</v>
      </c>
      <c r="P247" s="43" t="str">
        <f t="shared" si="20"/>
        <v>-</v>
      </c>
      <c r="Q247" s="46" t="str">
        <f t="shared" si="21"/>
        <v>-</v>
      </c>
      <c r="S247" s="46" t="str">
        <f t="shared" si="22"/>
        <v>-</v>
      </c>
    </row>
    <row r="248" spans="1:19" ht="15" x14ac:dyDescent="0.3">
      <c r="A248" s="74">
        <v>2799452</v>
      </c>
      <c r="B248" s="37">
        <v>13845</v>
      </c>
      <c r="C248" s="69">
        <v>21245138457</v>
      </c>
      <c r="D248" s="38" t="s">
        <v>349</v>
      </c>
      <c r="E248" s="64">
        <v>1.0605434551999999</v>
      </c>
      <c r="F248" s="70">
        <v>6</v>
      </c>
      <c r="G248" s="38" t="s">
        <v>350</v>
      </c>
      <c r="H248" s="66" t="s">
        <v>1258</v>
      </c>
      <c r="I248" s="39">
        <v>18.622500000000002</v>
      </c>
      <c r="J248" s="40"/>
      <c r="K248" s="75">
        <f t="shared" si="18"/>
        <v>0</v>
      </c>
      <c r="L248" s="41"/>
      <c r="N248" s="45" t="str">
        <f t="shared" si="19"/>
        <v>-</v>
      </c>
      <c r="O248" s="42" t="str">
        <f t="shared" si="23"/>
        <v>-</v>
      </c>
      <c r="P248" s="43" t="str">
        <f t="shared" si="20"/>
        <v>-</v>
      </c>
      <c r="Q248" s="46" t="str">
        <f t="shared" si="21"/>
        <v>-</v>
      </c>
      <c r="S248" s="46" t="str">
        <f t="shared" si="22"/>
        <v>-</v>
      </c>
    </row>
    <row r="249" spans="1:19" ht="15" x14ac:dyDescent="0.3">
      <c r="A249" s="74">
        <v>9477599</v>
      </c>
      <c r="B249" s="37">
        <v>72981</v>
      </c>
      <c r="C249" s="69">
        <v>21245729815</v>
      </c>
      <c r="D249" s="38" t="s">
        <v>357</v>
      </c>
      <c r="E249" s="64">
        <v>0.12355846079999999</v>
      </c>
      <c r="F249" s="70">
        <v>6</v>
      </c>
      <c r="G249" s="38" t="s">
        <v>34</v>
      </c>
      <c r="H249" s="66" t="s">
        <v>1258</v>
      </c>
      <c r="I249" s="39">
        <v>6.3862500000000004</v>
      </c>
      <c r="J249" s="40"/>
      <c r="K249" s="75">
        <f t="shared" si="18"/>
        <v>0</v>
      </c>
      <c r="L249" s="41"/>
      <c r="N249" s="45" t="str">
        <f t="shared" si="19"/>
        <v>-</v>
      </c>
      <c r="O249" s="42" t="str">
        <f t="shared" si="23"/>
        <v>-</v>
      </c>
      <c r="P249" s="43" t="str">
        <f t="shared" si="20"/>
        <v>-</v>
      </c>
      <c r="Q249" s="46" t="str">
        <f t="shared" si="21"/>
        <v>-</v>
      </c>
      <c r="S249" s="46" t="str">
        <f t="shared" si="22"/>
        <v>-</v>
      </c>
    </row>
    <row r="250" spans="1:19" ht="15" x14ac:dyDescent="0.3">
      <c r="A250" s="74">
        <v>7175313</v>
      </c>
      <c r="B250" s="37">
        <v>56099</v>
      </c>
      <c r="C250" s="69">
        <v>21245560999</v>
      </c>
      <c r="D250" s="38" t="s">
        <v>358</v>
      </c>
      <c r="E250" s="64">
        <v>5.6750000000000002E-2</v>
      </c>
      <c r="F250" s="70">
        <v>12</v>
      </c>
      <c r="G250" s="38" t="s">
        <v>63</v>
      </c>
      <c r="H250" s="66" t="s">
        <v>1258</v>
      </c>
      <c r="I250" s="39">
        <v>8.7750000000000004</v>
      </c>
      <c r="J250" s="40"/>
      <c r="K250" s="75">
        <f t="shared" si="18"/>
        <v>0</v>
      </c>
      <c r="L250" s="41"/>
      <c r="N250" s="45" t="str">
        <f t="shared" si="19"/>
        <v>-</v>
      </c>
      <c r="O250" s="42" t="str">
        <f t="shared" si="23"/>
        <v>-</v>
      </c>
      <c r="P250" s="43" t="str">
        <f t="shared" si="20"/>
        <v>-</v>
      </c>
      <c r="Q250" s="46" t="str">
        <f t="shared" si="21"/>
        <v>-</v>
      </c>
      <c r="S250" s="46" t="str">
        <f t="shared" si="22"/>
        <v>-</v>
      </c>
    </row>
    <row r="251" spans="1:19" ht="15" x14ac:dyDescent="0.3">
      <c r="A251" s="74">
        <v>1596984</v>
      </c>
      <c r="B251" s="37">
        <v>38567</v>
      </c>
      <c r="C251" s="69">
        <v>21245385677</v>
      </c>
      <c r="D251" s="38" t="s">
        <v>359</v>
      </c>
      <c r="E251" s="64">
        <v>5.6750000000000002E-2</v>
      </c>
      <c r="F251" s="70">
        <v>12</v>
      </c>
      <c r="G251" s="38" t="s">
        <v>223</v>
      </c>
      <c r="H251" s="66" t="s">
        <v>1258</v>
      </c>
      <c r="I251" s="39">
        <v>4.8262499999999999</v>
      </c>
      <c r="J251" s="40"/>
      <c r="K251" s="75">
        <f t="shared" si="18"/>
        <v>0</v>
      </c>
      <c r="L251" s="41"/>
      <c r="N251" s="45" t="str">
        <f t="shared" si="19"/>
        <v>-</v>
      </c>
      <c r="O251" s="42" t="str">
        <f t="shared" si="23"/>
        <v>-</v>
      </c>
      <c r="P251" s="43" t="str">
        <f t="shared" si="20"/>
        <v>-</v>
      </c>
      <c r="Q251" s="46" t="str">
        <f t="shared" si="21"/>
        <v>-</v>
      </c>
      <c r="S251" s="46" t="str">
        <f t="shared" si="22"/>
        <v>-</v>
      </c>
    </row>
    <row r="252" spans="1:19" ht="15" x14ac:dyDescent="0.3">
      <c r="A252" s="74">
        <v>9292601</v>
      </c>
      <c r="B252" s="37">
        <v>90343</v>
      </c>
      <c r="C252" s="69">
        <v>21245903437</v>
      </c>
      <c r="D252" s="38" t="s">
        <v>360</v>
      </c>
      <c r="E252" s="64">
        <v>5.6750000000000002E-2</v>
      </c>
      <c r="F252" s="70">
        <v>12</v>
      </c>
      <c r="G252" s="38" t="s">
        <v>222</v>
      </c>
      <c r="H252" s="66" t="s">
        <v>1258</v>
      </c>
      <c r="I252" s="39">
        <v>8.3362500000000015</v>
      </c>
      <c r="J252" s="40"/>
      <c r="K252" s="75">
        <f t="shared" si="18"/>
        <v>0</v>
      </c>
      <c r="L252" s="41"/>
      <c r="N252" s="45" t="str">
        <f t="shared" si="19"/>
        <v>-</v>
      </c>
      <c r="O252" s="42" t="str">
        <f t="shared" si="23"/>
        <v>-</v>
      </c>
      <c r="P252" s="43" t="str">
        <f t="shared" si="20"/>
        <v>-</v>
      </c>
      <c r="Q252" s="46" t="str">
        <f t="shared" si="21"/>
        <v>-</v>
      </c>
      <c r="S252" s="46" t="str">
        <f t="shared" si="22"/>
        <v>-</v>
      </c>
    </row>
    <row r="253" spans="1:19" ht="15" x14ac:dyDescent="0.3">
      <c r="A253" s="74">
        <v>9028651</v>
      </c>
      <c r="B253" s="37">
        <v>98653</v>
      </c>
      <c r="C253" s="69">
        <v>21245986539</v>
      </c>
      <c r="D253" s="38" t="s">
        <v>365</v>
      </c>
      <c r="E253" s="64">
        <v>5.6750000000000002E-2</v>
      </c>
      <c r="F253" s="70">
        <v>12</v>
      </c>
      <c r="G253" s="38" t="s">
        <v>366</v>
      </c>
      <c r="H253" s="66" t="s">
        <v>1258</v>
      </c>
      <c r="I253" s="39">
        <v>5.9474999999999998</v>
      </c>
      <c r="J253" s="40"/>
      <c r="K253" s="75">
        <f t="shared" si="18"/>
        <v>0</v>
      </c>
      <c r="L253" s="41"/>
      <c r="N253" s="45" t="str">
        <f t="shared" si="19"/>
        <v>-</v>
      </c>
      <c r="O253" s="42" t="str">
        <f t="shared" si="23"/>
        <v>-</v>
      </c>
      <c r="P253" s="43" t="str">
        <f t="shared" si="20"/>
        <v>-</v>
      </c>
      <c r="Q253" s="46" t="str">
        <f t="shared" si="21"/>
        <v>-</v>
      </c>
      <c r="S253" s="46" t="str">
        <f t="shared" si="22"/>
        <v>-</v>
      </c>
    </row>
    <row r="254" spans="1:19" ht="15" x14ac:dyDescent="0.3">
      <c r="A254" s="74">
        <v>9877519</v>
      </c>
      <c r="B254" s="37">
        <v>97900</v>
      </c>
      <c r="C254" s="69">
        <v>21245979005</v>
      </c>
      <c r="D254" s="38" t="s">
        <v>367</v>
      </c>
      <c r="E254" s="64">
        <v>8.2372307199999995E-2</v>
      </c>
      <c r="F254" s="70">
        <v>6</v>
      </c>
      <c r="G254" s="38" t="s">
        <v>98</v>
      </c>
      <c r="H254" s="66" t="s">
        <v>1258</v>
      </c>
      <c r="I254" s="39">
        <v>22.86375</v>
      </c>
      <c r="J254" s="40"/>
      <c r="K254" s="75">
        <f t="shared" si="18"/>
        <v>0</v>
      </c>
      <c r="L254" s="41"/>
      <c r="N254" s="45" t="str">
        <f t="shared" si="19"/>
        <v>-</v>
      </c>
      <c r="O254" s="42" t="str">
        <f t="shared" si="23"/>
        <v>-</v>
      </c>
      <c r="P254" s="43" t="str">
        <f t="shared" si="20"/>
        <v>-</v>
      </c>
      <c r="Q254" s="46" t="str">
        <f t="shared" si="21"/>
        <v>-</v>
      </c>
      <c r="S254" s="46" t="str">
        <f t="shared" si="22"/>
        <v>-</v>
      </c>
    </row>
    <row r="255" spans="1:19" ht="15" x14ac:dyDescent="0.3">
      <c r="A255" s="74">
        <v>7207017</v>
      </c>
      <c r="B255" s="37">
        <v>57680</v>
      </c>
      <c r="C255" s="69">
        <v>21245576808</v>
      </c>
      <c r="D255" s="38" t="s">
        <v>368</v>
      </c>
      <c r="E255" s="64">
        <v>0.63323711159999996</v>
      </c>
      <c r="F255" s="70">
        <v>6</v>
      </c>
      <c r="G255" s="38" t="s">
        <v>118</v>
      </c>
      <c r="H255" s="66" t="s">
        <v>1258</v>
      </c>
      <c r="I255" s="39">
        <v>20.91375</v>
      </c>
      <c r="J255" s="40"/>
      <c r="K255" s="75">
        <f t="shared" si="18"/>
        <v>0</v>
      </c>
      <c r="L255" s="41"/>
      <c r="N255" s="45" t="str">
        <f t="shared" si="19"/>
        <v>-</v>
      </c>
      <c r="O255" s="42" t="str">
        <f t="shared" si="23"/>
        <v>-</v>
      </c>
      <c r="P255" s="43" t="str">
        <f t="shared" si="20"/>
        <v>-</v>
      </c>
      <c r="Q255" s="46" t="str">
        <f t="shared" si="21"/>
        <v>-</v>
      </c>
      <c r="S255" s="46" t="str">
        <f t="shared" si="22"/>
        <v>-</v>
      </c>
    </row>
    <row r="256" spans="1:19" ht="15" x14ac:dyDescent="0.3">
      <c r="A256" s="74">
        <v>1961631</v>
      </c>
      <c r="B256" s="37">
        <v>57679</v>
      </c>
      <c r="C256" s="69">
        <v>21245576792</v>
      </c>
      <c r="D256" s="38" t="s">
        <v>369</v>
      </c>
      <c r="E256" s="64">
        <v>0.26256172919999998</v>
      </c>
      <c r="F256" s="70">
        <v>6</v>
      </c>
      <c r="G256" s="38" t="s">
        <v>117</v>
      </c>
      <c r="H256" s="66" t="s">
        <v>1258</v>
      </c>
      <c r="I256" s="39">
        <v>10.530000000000001</v>
      </c>
      <c r="J256" s="40"/>
      <c r="K256" s="75">
        <f t="shared" si="18"/>
        <v>0</v>
      </c>
      <c r="L256" s="41"/>
      <c r="N256" s="45" t="str">
        <f t="shared" si="19"/>
        <v>-</v>
      </c>
      <c r="O256" s="42" t="str">
        <f t="shared" si="23"/>
        <v>-</v>
      </c>
      <c r="P256" s="43" t="str">
        <f t="shared" si="20"/>
        <v>-</v>
      </c>
      <c r="Q256" s="46" t="str">
        <f t="shared" si="21"/>
        <v>-</v>
      </c>
      <c r="S256" s="46" t="str">
        <f t="shared" si="22"/>
        <v>-</v>
      </c>
    </row>
    <row r="257" spans="1:19" ht="15" x14ac:dyDescent="0.3">
      <c r="A257" s="74">
        <v>6335907</v>
      </c>
      <c r="B257" s="37">
        <v>96436</v>
      </c>
      <c r="C257" s="69">
        <v>21245964360</v>
      </c>
      <c r="D257" s="38" t="s">
        <v>370</v>
      </c>
      <c r="E257" s="64">
        <v>0.14415153760000002</v>
      </c>
      <c r="F257" s="70">
        <v>6</v>
      </c>
      <c r="G257" s="38" t="s">
        <v>371</v>
      </c>
      <c r="H257" s="66" t="s">
        <v>1258</v>
      </c>
      <c r="I257" s="39">
        <v>6.1912499999999993</v>
      </c>
      <c r="J257" s="40"/>
      <c r="K257" s="75">
        <f t="shared" si="18"/>
        <v>0</v>
      </c>
      <c r="L257" s="41"/>
      <c r="N257" s="45" t="str">
        <f t="shared" si="19"/>
        <v>-</v>
      </c>
      <c r="O257" s="42" t="str">
        <f t="shared" si="23"/>
        <v>-</v>
      </c>
      <c r="P257" s="43" t="str">
        <f t="shared" si="20"/>
        <v>-</v>
      </c>
      <c r="Q257" s="46" t="str">
        <f t="shared" si="21"/>
        <v>-</v>
      </c>
      <c r="S257" s="46" t="str">
        <f t="shared" si="22"/>
        <v>-</v>
      </c>
    </row>
    <row r="258" spans="1:19" ht="15" x14ac:dyDescent="0.3">
      <c r="A258" s="74">
        <v>1075870</v>
      </c>
      <c r="B258" s="37">
        <v>10024</v>
      </c>
      <c r="C258" s="69">
        <v>21245100249</v>
      </c>
      <c r="D258" s="38" t="s">
        <v>374</v>
      </c>
      <c r="E258" s="64">
        <v>0.14929980679999999</v>
      </c>
      <c r="F258" s="70">
        <v>6</v>
      </c>
      <c r="G258" s="38" t="s">
        <v>34</v>
      </c>
      <c r="H258" s="66" t="s">
        <v>1258</v>
      </c>
      <c r="I258" s="39">
        <v>26.6175</v>
      </c>
      <c r="J258" s="40"/>
      <c r="K258" s="75">
        <f t="shared" si="18"/>
        <v>0</v>
      </c>
      <c r="L258" s="41"/>
      <c r="N258" s="45" t="str">
        <f t="shared" si="19"/>
        <v>-</v>
      </c>
      <c r="O258" s="42" t="str">
        <f t="shared" si="23"/>
        <v>-</v>
      </c>
      <c r="P258" s="43" t="str">
        <f t="shared" si="20"/>
        <v>-</v>
      </c>
      <c r="Q258" s="46" t="str">
        <f t="shared" si="21"/>
        <v>-</v>
      </c>
      <c r="S258" s="46" t="str">
        <f t="shared" si="22"/>
        <v>-</v>
      </c>
    </row>
    <row r="259" spans="1:19" ht="15" x14ac:dyDescent="0.3">
      <c r="A259" s="74">
        <v>4232955</v>
      </c>
      <c r="B259" s="37">
        <v>52912</v>
      </c>
      <c r="C259" s="69">
        <v>21245529125</v>
      </c>
      <c r="D259" s="38" t="s">
        <v>375</v>
      </c>
      <c r="E259" s="64">
        <v>0.67442326519999996</v>
      </c>
      <c r="F259" s="70">
        <v>6</v>
      </c>
      <c r="G259" s="38" t="s">
        <v>34</v>
      </c>
      <c r="H259" s="66" t="s">
        <v>1258</v>
      </c>
      <c r="I259" s="39">
        <v>18.135000000000002</v>
      </c>
      <c r="J259" s="40"/>
      <c r="K259" s="75">
        <f t="shared" ref="K259:K323" si="24">J259*I259</f>
        <v>0</v>
      </c>
      <c r="L259" s="41"/>
      <c r="N259" s="45" t="str">
        <f t="shared" ref="N259:N322" si="25">IFERROR(IF($N$2*E259=0, "-", $N$2*E259), "-")</f>
        <v>-</v>
      </c>
      <c r="O259" s="42" t="str">
        <f t="shared" si="23"/>
        <v>-</v>
      </c>
      <c r="P259" s="43" t="str">
        <f t="shared" ref="P259:P322" si="26">IF(J259&gt;0,J259*E259, "-")</f>
        <v>-</v>
      </c>
      <c r="Q259" s="46" t="str">
        <f t="shared" ref="Q259:Q322" si="27">IFERROR(IF($N$2&gt;0, $N$2*P259, "-"), "-")</f>
        <v>-</v>
      </c>
      <c r="S259" s="46" t="str">
        <f t="shared" ref="S259:S322" si="28">IFERROR(IF(Q259+K259=0, "-", IF(Q259&gt;0, Q259+K259, "-")), "-")</f>
        <v>-</v>
      </c>
    </row>
    <row r="260" spans="1:19" ht="15" x14ac:dyDescent="0.3">
      <c r="A260" s="74">
        <v>5019720</v>
      </c>
      <c r="B260" s="37">
        <v>74671</v>
      </c>
      <c r="C260" s="69">
        <v>21245746713</v>
      </c>
      <c r="D260" s="38" t="s">
        <v>365</v>
      </c>
      <c r="E260" s="64">
        <v>5.6750000000000002E-2</v>
      </c>
      <c r="F260" s="70">
        <v>12</v>
      </c>
      <c r="G260" s="38" t="s">
        <v>379</v>
      </c>
      <c r="H260" s="66" t="s">
        <v>1258</v>
      </c>
      <c r="I260" s="39">
        <v>9.0675000000000008</v>
      </c>
      <c r="J260" s="40"/>
      <c r="K260" s="75">
        <f t="shared" si="24"/>
        <v>0</v>
      </c>
      <c r="L260" s="41"/>
      <c r="N260" s="45" t="str">
        <f t="shared" si="25"/>
        <v>-</v>
      </c>
      <c r="O260" s="42" t="str">
        <f t="shared" ref="O260:O323" si="29">IFERROR(IF(N260&gt;0,I260+N260,"-"),"-")</f>
        <v>-</v>
      </c>
      <c r="P260" s="43" t="str">
        <f t="shared" si="26"/>
        <v>-</v>
      </c>
      <c r="Q260" s="46" t="str">
        <f t="shared" si="27"/>
        <v>-</v>
      </c>
      <c r="S260" s="46" t="str">
        <f t="shared" si="28"/>
        <v>-</v>
      </c>
    </row>
    <row r="261" spans="1:19" ht="15" x14ac:dyDescent="0.3">
      <c r="A261" s="74">
        <v>2762796</v>
      </c>
      <c r="B261" s="37">
        <v>14369</v>
      </c>
      <c r="C261" s="69">
        <v>21245143697</v>
      </c>
      <c r="D261" s="38" t="s">
        <v>380</v>
      </c>
      <c r="E261" s="64">
        <v>0.22652384480000001</v>
      </c>
      <c r="F261" s="70">
        <v>6</v>
      </c>
      <c r="G261" s="38" t="s">
        <v>381</v>
      </c>
      <c r="H261" s="66" t="s">
        <v>1258</v>
      </c>
      <c r="I261" s="39">
        <v>17.54025</v>
      </c>
      <c r="J261" s="40"/>
      <c r="K261" s="75">
        <f t="shared" si="24"/>
        <v>0</v>
      </c>
      <c r="L261" s="41"/>
      <c r="N261" s="45" t="str">
        <f t="shared" si="25"/>
        <v>-</v>
      </c>
      <c r="O261" s="42" t="str">
        <f t="shared" si="29"/>
        <v>-</v>
      </c>
      <c r="P261" s="43" t="str">
        <f t="shared" si="26"/>
        <v>-</v>
      </c>
      <c r="Q261" s="46" t="str">
        <f t="shared" si="27"/>
        <v>-</v>
      </c>
      <c r="S261" s="46" t="str">
        <f t="shared" si="28"/>
        <v>-</v>
      </c>
    </row>
    <row r="262" spans="1:19" ht="15" x14ac:dyDescent="0.3">
      <c r="A262" s="74">
        <v>3083446</v>
      </c>
      <c r="B262" s="37">
        <v>72308</v>
      </c>
      <c r="C262" s="69">
        <v>21245723080</v>
      </c>
      <c r="D262" s="38" t="s">
        <v>382</v>
      </c>
      <c r="E262" s="64">
        <v>0.10811365319999999</v>
      </c>
      <c r="F262" s="70">
        <v>6</v>
      </c>
      <c r="G262" s="38" t="s">
        <v>34</v>
      </c>
      <c r="H262" s="66" t="s">
        <v>1258</v>
      </c>
      <c r="I262" s="39">
        <v>11.846250000000001</v>
      </c>
      <c r="J262" s="40"/>
      <c r="K262" s="75">
        <f t="shared" si="24"/>
        <v>0</v>
      </c>
      <c r="L262" s="41"/>
      <c r="N262" s="45" t="str">
        <f t="shared" si="25"/>
        <v>-</v>
      </c>
      <c r="O262" s="42" t="str">
        <f t="shared" si="29"/>
        <v>-</v>
      </c>
      <c r="P262" s="43" t="str">
        <f t="shared" si="26"/>
        <v>-</v>
      </c>
      <c r="Q262" s="46" t="str">
        <f t="shared" si="27"/>
        <v>-</v>
      </c>
      <c r="S262" s="46" t="str">
        <f t="shared" si="28"/>
        <v>-</v>
      </c>
    </row>
    <row r="263" spans="1:19" ht="15" x14ac:dyDescent="0.3">
      <c r="A263" s="74">
        <v>4101077</v>
      </c>
      <c r="B263" s="37">
        <v>13429</v>
      </c>
      <c r="C263" s="69">
        <v>21245134299</v>
      </c>
      <c r="D263" s="38" t="s">
        <v>387</v>
      </c>
      <c r="E263" s="64">
        <v>0.59719922719999996</v>
      </c>
      <c r="F263" s="70">
        <v>6</v>
      </c>
      <c r="G263" s="38" t="s">
        <v>16</v>
      </c>
      <c r="H263" s="66" t="s">
        <v>1258</v>
      </c>
      <c r="I263" s="39">
        <v>14.040000000000003</v>
      </c>
      <c r="J263" s="40"/>
      <c r="K263" s="75">
        <f t="shared" si="24"/>
        <v>0</v>
      </c>
      <c r="L263" s="41"/>
      <c r="N263" s="45" t="str">
        <f t="shared" si="25"/>
        <v>-</v>
      </c>
      <c r="O263" s="42" t="str">
        <f t="shared" si="29"/>
        <v>-</v>
      </c>
      <c r="P263" s="43" t="str">
        <f t="shared" si="26"/>
        <v>-</v>
      </c>
      <c r="Q263" s="46" t="str">
        <f t="shared" si="27"/>
        <v>-</v>
      </c>
      <c r="S263" s="46" t="str">
        <f t="shared" si="28"/>
        <v>-</v>
      </c>
    </row>
    <row r="264" spans="1:19" ht="15" x14ac:dyDescent="0.3">
      <c r="A264" s="74">
        <v>5966496</v>
      </c>
      <c r="B264" s="37">
        <v>37187</v>
      </c>
      <c r="C264" s="69">
        <v>21245371878</v>
      </c>
      <c r="D264" s="38" t="s">
        <v>388</v>
      </c>
      <c r="E264" s="64">
        <v>5.6750000000000002E-2</v>
      </c>
      <c r="F264" s="70">
        <v>6</v>
      </c>
      <c r="G264" s="38" t="s">
        <v>389</v>
      </c>
      <c r="H264" s="66" t="s">
        <v>1258</v>
      </c>
      <c r="I264" s="39">
        <v>9.36</v>
      </c>
      <c r="J264" s="40"/>
      <c r="K264" s="75">
        <f t="shared" si="24"/>
        <v>0</v>
      </c>
      <c r="L264" s="41"/>
      <c r="N264" s="45" t="str">
        <f t="shared" si="25"/>
        <v>-</v>
      </c>
      <c r="O264" s="42" t="str">
        <f t="shared" si="29"/>
        <v>-</v>
      </c>
      <c r="P264" s="43" t="str">
        <f t="shared" si="26"/>
        <v>-</v>
      </c>
      <c r="Q264" s="46" t="str">
        <f t="shared" si="27"/>
        <v>-</v>
      </c>
      <c r="S264" s="46" t="str">
        <f t="shared" si="28"/>
        <v>-</v>
      </c>
    </row>
    <row r="265" spans="1:19" ht="15" x14ac:dyDescent="0.3">
      <c r="A265" s="74">
        <v>7783161</v>
      </c>
      <c r="B265" s="37">
        <v>57525</v>
      </c>
      <c r="C265" s="69">
        <v>21245575252</v>
      </c>
      <c r="D265" s="38" t="s">
        <v>392</v>
      </c>
      <c r="E265" s="64">
        <v>0.87520576399999994</v>
      </c>
      <c r="F265" s="70">
        <v>6</v>
      </c>
      <c r="G265" s="38" t="s">
        <v>157</v>
      </c>
      <c r="H265" s="66" t="s">
        <v>1258</v>
      </c>
      <c r="I265" s="39">
        <v>14.137500000000001</v>
      </c>
      <c r="J265" s="40"/>
      <c r="K265" s="75">
        <f t="shared" si="24"/>
        <v>0</v>
      </c>
      <c r="L265" s="41"/>
      <c r="N265" s="45" t="str">
        <f t="shared" si="25"/>
        <v>-</v>
      </c>
      <c r="O265" s="42" t="str">
        <f t="shared" si="29"/>
        <v>-</v>
      </c>
      <c r="P265" s="43" t="str">
        <f t="shared" si="26"/>
        <v>-</v>
      </c>
      <c r="Q265" s="46" t="str">
        <f t="shared" si="27"/>
        <v>-</v>
      </c>
      <c r="S265" s="46" t="str">
        <f t="shared" si="28"/>
        <v>-</v>
      </c>
    </row>
    <row r="266" spans="1:19" ht="15" x14ac:dyDescent="0.3">
      <c r="A266" s="74">
        <v>3072015</v>
      </c>
      <c r="B266" s="37">
        <v>12760</v>
      </c>
      <c r="C266" s="69">
        <v>21245127604</v>
      </c>
      <c r="D266" s="38" t="s">
        <v>393</v>
      </c>
      <c r="E266" s="64">
        <v>0.16474461439999999</v>
      </c>
      <c r="F266" s="70">
        <v>6</v>
      </c>
      <c r="G266" s="38" t="s">
        <v>330</v>
      </c>
      <c r="H266" s="66" t="s">
        <v>1258</v>
      </c>
      <c r="I266" s="39">
        <v>10.0425</v>
      </c>
      <c r="J266" s="40"/>
      <c r="K266" s="75">
        <f t="shared" si="24"/>
        <v>0</v>
      </c>
      <c r="L266" s="41"/>
      <c r="N266" s="45" t="str">
        <f t="shared" si="25"/>
        <v>-</v>
      </c>
      <c r="O266" s="42" t="str">
        <f t="shared" si="29"/>
        <v>-</v>
      </c>
      <c r="P266" s="43" t="str">
        <f t="shared" si="26"/>
        <v>-</v>
      </c>
      <c r="Q266" s="46" t="str">
        <f t="shared" si="27"/>
        <v>-</v>
      </c>
      <c r="S266" s="46" t="str">
        <f t="shared" si="28"/>
        <v>-</v>
      </c>
    </row>
    <row r="267" spans="1:19" ht="15" x14ac:dyDescent="0.3">
      <c r="A267" s="74">
        <v>3751572</v>
      </c>
      <c r="B267" s="37">
        <v>50017</v>
      </c>
      <c r="C267" s="69">
        <v>21245500179</v>
      </c>
      <c r="D267" s="38" t="s">
        <v>396</v>
      </c>
      <c r="E267" s="64">
        <v>6.6927499599999996E-2</v>
      </c>
      <c r="F267" s="70">
        <v>12</v>
      </c>
      <c r="G267" s="38" t="s">
        <v>397</v>
      </c>
      <c r="H267" s="66" t="s">
        <v>1258</v>
      </c>
      <c r="I267" s="39">
        <v>6.3862500000000004</v>
      </c>
      <c r="J267" s="40"/>
      <c r="K267" s="75">
        <f t="shared" si="24"/>
        <v>0</v>
      </c>
      <c r="L267" s="41"/>
      <c r="N267" s="45" t="str">
        <f t="shared" si="25"/>
        <v>-</v>
      </c>
      <c r="O267" s="42" t="str">
        <f t="shared" si="29"/>
        <v>-</v>
      </c>
      <c r="P267" s="43" t="str">
        <f t="shared" si="26"/>
        <v>-</v>
      </c>
      <c r="Q267" s="46" t="str">
        <f t="shared" si="27"/>
        <v>-</v>
      </c>
      <c r="S267" s="46" t="str">
        <f t="shared" si="28"/>
        <v>-</v>
      </c>
    </row>
    <row r="268" spans="1:19" ht="15" x14ac:dyDescent="0.3">
      <c r="A268" s="74">
        <v>9395013</v>
      </c>
      <c r="B268" s="37">
        <v>72909</v>
      </c>
      <c r="C268" s="69">
        <v>21245729099</v>
      </c>
      <c r="D268" s="38" t="s">
        <v>398</v>
      </c>
      <c r="E268" s="64">
        <v>0.16474461439999999</v>
      </c>
      <c r="F268" s="70">
        <v>6</v>
      </c>
      <c r="G268" s="38" t="s">
        <v>34</v>
      </c>
      <c r="H268" s="66" t="s">
        <v>1258</v>
      </c>
      <c r="I268" s="39">
        <v>14.77125</v>
      </c>
      <c r="J268" s="40"/>
      <c r="K268" s="75">
        <f t="shared" si="24"/>
        <v>0</v>
      </c>
      <c r="L268" s="41"/>
      <c r="N268" s="45" t="str">
        <f t="shared" si="25"/>
        <v>-</v>
      </c>
      <c r="O268" s="42" t="str">
        <f t="shared" si="29"/>
        <v>-</v>
      </c>
      <c r="P268" s="43" t="str">
        <f t="shared" si="26"/>
        <v>-</v>
      </c>
      <c r="Q268" s="46" t="str">
        <f t="shared" si="27"/>
        <v>-</v>
      </c>
      <c r="S268" s="46" t="str">
        <f t="shared" si="28"/>
        <v>-</v>
      </c>
    </row>
    <row r="269" spans="1:19" ht="15" x14ac:dyDescent="0.3">
      <c r="A269" s="74">
        <v>9683164</v>
      </c>
      <c r="B269" s="37">
        <v>92100</v>
      </c>
      <c r="C269" s="69">
        <v>21245921004</v>
      </c>
      <c r="D269" s="38" t="s">
        <v>401</v>
      </c>
      <c r="E269" s="64">
        <v>5.6750000000000002E-2</v>
      </c>
      <c r="F269" s="70">
        <v>12</v>
      </c>
      <c r="G269" s="38" t="s">
        <v>402</v>
      </c>
      <c r="H269" s="66" t="s">
        <v>1258</v>
      </c>
      <c r="I269" s="39">
        <v>9.9450000000000003</v>
      </c>
      <c r="J269" s="40"/>
      <c r="K269" s="75">
        <f t="shared" si="24"/>
        <v>0</v>
      </c>
      <c r="L269" s="41"/>
      <c r="N269" s="45" t="str">
        <f t="shared" si="25"/>
        <v>-</v>
      </c>
      <c r="O269" s="42" t="str">
        <f t="shared" si="29"/>
        <v>-</v>
      </c>
      <c r="P269" s="43" t="str">
        <f t="shared" si="26"/>
        <v>-</v>
      </c>
      <c r="Q269" s="46" t="str">
        <f t="shared" si="27"/>
        <v>-</v>
      </c>
      <c r="S269" s="46" t="str">
        <f t="shared" si="28"/>
        <v>-</v>
      </c>
    </row>
    <row r="270" spans="1:19" ht="15" x14ac:dyDescent="0.3">
      <c r="A270" s="74">
        <v>2287288</v>
      </c>
      <c r="B270" s="37">
        <v>89958</v>
      </c>
      <c r="C270" s="69">
        <v>21245899587</v>
      </c>
      <c r="D270" s="38" t="s">
        <v>408</v>
      </c>
      <c r="E270" s="64">
        <v>0.11326192240000001</v>
      </c>
      <c r="F270" s="70">
        <v>12</v>
      </c>
      <c r="G270" s="38" t="s">
        <v>409</v>
      </c>
      <c r="H270" s="66" t="s">
        <v>1258</v>
      </c>
      <c r="I270" s="39">
        <v>13.30875</v>
      </c>
      <c r="J270" s="40"/>
      <c r="K270" s="75">
        <f t="shared" si="24"/>
        <v>0</v>
      </c>
      <c r="L270" s="41"/>
      <c r="N270" s="45" t="str">
        <f t="shared" si="25"/>
        <v>-</v>
      </c>
      <c r="O270" s="42" t="str">
        <f t="shared" si="29"/>
        <v>-</v>
      </c>
      <c r="P270" s="43" t="str">
        <f t="shared" si="26"/>
        <v>-</v>
      </c>
      <c r="Q270" s="46" t="str">
        <f t="shared" si="27"/>
        <v>-</v>
      </c>
      <c r="S270" s="46" t="str">
        <f t="shared" si="28"/>
        <v>-</v>
      </c>
    </row>
    <row r="271" spans="1:19" ht="15" x14ac:dyDescent="0.3">
      <c r="A271" s="74">
        <v>1294399</v>
      </c>
      <c r="B271" s="37">
        <v>12106</v>
      </c>
      <c r="C271" s="69">
        <v>21245121060</v>
      </c>
      <c r="D271" s="38" t="s">
        <v>411</v>
      </c>
      <c r="E271" s="64">
        <v>0.13385499919999999</v>
      </c>
      <c r="F271" s="70">
        <v>12</v>
      </c>
      <c r="G271" s="38" t="s">
        <v>412</v>
      </c>
      <c r="H271" s="66" t="s">
        <v>1258</v>
      </c>
      <c r="I271" s="39">
        <v>12.870000000000001</v>
      </c>
      <c r="J271" s="40"/>
      <c r="K271" s="75">
        <f t="shared" si="24"/>
        <v>0</v>
      </c>
      <c r="L271" s="41"/>
      <c r="N271" s="45" t="str">
        <f t="shared" si="25"/>
        <v>-</v>
      </c>
      <c r="O271" s="42" t="str">
        <f t="shared" si="29"/>
        <v>-</v>
      </c>
      <c r="P271" s="43" t="str">
        <f t="shared" si="26"/>
        <v>-</v>
      </c>
      <c r="Q271" s="46" t="str">
        <f t="shared" si="27"/>
        <v>-</v>
      </c>
      <c r="S271" s="46" t="str">
        <f t="shared" si="28"/>
        <v>-</v>
      </c>
    </row>
    <row r="272" spans="1:19" ht="15" x14ac:dyDescent="0.3">
      <c r="A272" s="74">
        <v>1616355</v>
      </c>
      <c r="B272" s="37">
        <v>28606</v>
      </c>
      <c r="C272" s="69">
        <v>21245286066</v>
      </c>
      <c r="D272" s="38" t="s">
        <v>416</v>
      </c>
      <c r="E272" s="64">
        <v>7.7224037999999995E-2</v>
      </c>
      <c r="F272" s="70">
        <v>12</v>
      </c>
      <c r="G272" s="38" t="s">
        <v>98</v>
      </c>
      <c r="H272" s="66" t="s">
        <v>1258</v>
      </c>
      <c r="I272" s="39">
        <v>10.530000000000001</v>
      </c>
      <c r="J272" s="40"/>
      <c r="K272" s="75">
        <f t="shared" si="24"/>
        <v>0</v>
      </c>
      <c r="L272" s="41"/>
      <c r="N272" s="45" t="str">
        <f t="shared" si="25"/>
        <v>-</v>
      </c>
      <c r="O272" s="42" t="str">
        <f t="shared" si="29"/>
        <v>-</v>
      </c>
      <c r="P272" s="43" t="str">
        <f t="shared" si="26"/>
        <v>-</v>
      </c>
      <c r="Q272" s="46" t="str">
        <f t="shared" si="27"/>
        <v>-</v>
      </c>
      <c r="S272" s="46" t="str">
        <f t="shared" si="28"/>
        <v>-</v>
      </c>
    </row>
    <row r="273" spans="1:19" ht="15" x14ac:dyDescent="0.3">
      <c r="A273" s="74">
        <v>8961206</v>
      </c>
      <c r="B273" s="37">
        <v>28612</v>
      </c>
      <c r="C273" s="69">
        <v>21245286127</v>
      </c>
      <c r="D273" s="38" t="s">
        <v>416</v>
      </c>
      <c r="E273" s="64">
        <v>0.13900326840000002</v>
      </c>
      <c r="F273" s="70">
        <v>6</v>
      </c>
      <c r="G273" s="38" t="s">
        <v>417</v>
      </c>
      <c r="H273" s="66" t="s">
        <v>1258</v>
      </c>
      <c r="I273" s="39">
        <v>18.135000000000002</v>
      </c>
      <c r="J273" s="40"/>
      <c r="K273" s="75">
        <f t="shared" si="24"/>
        <v>0</v>
      </c>
      <c r="L273" s="41"/>
      <c r="N273" s="45" t="str">
        <f t="shared" si="25"/>
        <v>-</v>
      </c>
      <c r="O273" s="42" t="str">
        <f t="shared" si="29"/>
        <v>-</v>
      </c>
      <c r="P273" s="43" t="str">
        <f t="shared" si="26"/>
        <v>-</v>
      </c>
      <c r="Q273" s="46" t="str">
        <f t="shared" si="27"/>
        <v>-</v>
      </c>
      <c r="S273" s="46" t="str">
        <f t="shared" si="28"/>
        <v>-</v>
      </c>
    </row>
    <row r="274" spans="1:19" ht="15" x14ac:dyDescent="0.3">
      <c r="A274" s="74">
        <v>3556117</v>
      </c>
      <c r="B274" s="37">
        <v>28663</v>
      </c>
      <c r="C274" s="69">
        <v>21245286639</v>
      </c>
      <c r="D274" s="38" t="s">
        <v>419</v>
      </c>
      <c r="E274" s="64">
        <v>5.6750000000000002E-2</v>
      </c>
      <c r="F274" s="70">
        <v>12</v>
      </c>
      <c r="G274" s="38" t="s">
        <v>420</v>
      </c>
      <c r="H274" s="66" t="s">
        <v>1258</v>
      </c>
      <c r="I274" s="39">
        <v>13.845000000000001</v>
      </c>
      <c r="J274" s="40"/>
      <c r="K274" s="75">
        <f t="shared" si="24"/>
        <v>0</v>
      </c>
      <c r="L274" s="41"/>
      <c r="N274" s="45" t="str">
        <f t="shared" si="25"/>
        <v>-</v>
      </c>
      <c r="O274" s="42" t="str">
        <f t="shared" si="29"/>
        <v>-</v>
      </c>
      <c r="P274" s="43" t="str">
        <f t="shared" si="26"/>
        <v>-</v>
      </c>
      <c r="Q274" s="46" t="str">
        <f t="shared" si="27"/>
        <v>-</v>
      </c>
      <c r="S274" s="46" t="str">
        <f t="shared" si="28"/>
        <v>-</v>
      </c>
    </row>
    <row r="275" spans="1:19" ht="15" x14ac:dyDescent="0.3">
      <c r="A275" s="74">
        <v>6679274</v>
      </c>
      <c r="B275" s="37">
        <v>94939</v>
      </c>
      <c r="C275" s="69">
        <v>21245949398</v>
      </c>
      <c r="D275" s="38" t="s">
        <v>361</v>
      </c>
      <c r="E275" s="64">
        <v>0.45304768960000003</v>
      </c>
      <c r="F275" s="70">
        <v>6</v>
      </c>
      <c r="G275" s="38" t="s">
        <v>421</v>
      </c>
      <c r="H275" s="66" t="s">
        <v>1258</v>
      </c>
      <c r="I275" s="39">
        <v>26.958750000000002</v>
      </c>
      <c r="J275" s="40"/>
      <c r="K275" s="75">
        <f t="shared" si="24"/>
        <v>0</v>
      </c>
      <c r="L275" s="41"/>
      <c r="N275" s="45" t="str">
        <f t="shared" si="25"/>
        <v>-</v>
      </c>
      <c r="O275" s="42" t="str">
        <f t="shared" si="29"/>
        <v>-</v>
      </c>
      <c r="P275" s="43" t="str">
        <f t="shared" si="26"/>
        <v>-</v>
      </c>
      <c r="Q275" s="46" t="str">
        <f t="shared" si="27"/>
        <v>-</v>
      </c>
      <c r="S275" s="46" t="str">
        <f t="shared" si="28"/>
        <v>-</v>
      </c>
    </row>
    <row r="276" spans="1:19" ht="15" x14ac:dyDescent="0.3">
      <c r="A276" s="74">
        <v>4251953</v>
      </c>
      <c r="B276" s="37">
        <v>74183</v>
      </c>
      <c r="C276" s="69">
        <v>21245741831</v>
      </c>
      <c r="D276" s="38" t="s">
        <v>423</v>
      </c>
      <c r="E276" s="64">
        <v>5.6750000000000002E-2</v>
      </c>
      <c r="F276" s="70">
        <v>12</v>
      </c>
      <c r="G276" s="38" t="s">
        <v>63</v>
      </c>
      <c r="H276" s="66" t="s">
        <v>1258</v>
      </c>
      <c r="I276" s="39">
        <v>8.1900000000000013</v>
      </c>
      <c r="J276" s="40"/>
      <c r="K276" s="75">
        <f t="shared" si="24"/>
        <v>0</v>
      </c>
      <c r="L276" s="41"/>
      <c r="N276" s="45" t="str">
        <f t="shared" si="25"/>
        <v>-</v>
      </c>
      <c r="O276" s="42" t="str">
        <f t="shared" si="29"/>
        <v>-</v>
      </c>
      <c r="P276" s="43" t="str">
        <f t="shared" si="26"/>
        <v>-</v>
      </c>
      <c r="Q276" s="46" t="str">
        <f t="shared" si="27"/>
        <v>-</v>
      </c>
      <c r="S276" s="46" t="str">
        <f t="shared" si="28"/>
        <v>-</v>
      </c>
    </row>
    <row r="277" spans="1:19" ht="15" x14ac:dyDescent="0.3">
      <c r="A277" s="74">
        <v>2459716</v>
      </c>
      <c r="B277" s="37">
        <v>20903</v>
      </c>
      <c r="C277" s="69">
        <v>21245209034</v>
      </c>
      <c r="D277" s="38" t="s">
        <v>425</v>
      </c>
      <c r="E277" s="64">
        <v>5.6750000000000002E-2</v>
      </c>
      <c r="F277" s="70">
        <v>6</v>
      </c>
      <c r="G277" s="38" t="s">
        <v>63</v>
      </c>
      <c r="H277" s="66" t="s">
        <v>1258</v>
      </c>
      <c r="I277" s="39">
        <v>8.7750000000000004</v>
      </c>
      <c r="J277" s="40"/>
      <c r="K277" s="75">
        <f t="shared" si="24"/>
        <v>0</v>
      </c>
      <c r="L277" s="41"/>
      <c r="N277" s="45" t="str">
        <f t="shared" si="25"/>
        <v>-</v>
      </c>
      <c r="O277" s="42" t="str">
        <f t="shared" si="29"/>
        <v>-</v>
      </c>
      <c r="P277" s="43" t="str">
        <f t="shared" si="26"/>
        <v>-</v>
      </c>
      <c r="Q277" s="46" t="str">
        <f t="shared" si="27"/>
        <v>-</v>
      </c>
      <c r="S277" s="46" t="str">
        <f t="shared" si="28"/>
        <v>-</v>
      </c>
    </row>
    <row r="278" spans="1:19" ht="15" x14ac:dyDescent="0.3">
      <c r="A278" s="74">
        <v>1241753</v>
      </c>
      <c r="B278" s="37">
        <v>60720</v>
      </c>
      <c r="C278" s="69">
        <v>21245607205</v>
      </c>
      <c r="D278" s="38" t="s">
        <v>427</v>
      </c>
      <c r="E278" s="64">
        <v>5.6750000000000002E-2</v>
      </c>
      <c r="F278" s="70">
        <v>12</v>
      </c>
      <c r="G278" s="38" t="s">
        <v>428</v>
      </c>
      <c r="H278" s="66" t="s">
        <v>1258</v>
      </c>
      <c r="I278" s="39">
        <v>5.7037499999999994</v>
      </c>
      <c r="J278" s="40"/>
      <c r="K278" s="75">
        <f t="shared" si="24"/>
        <v>0</v>
      </c>
      <c r="L278" s="41"/>
      <c r="N278" s="45" t="str">
        <f t="shared" si="25"/>
        <v>-</v>
      </c>
      <c r="O278" s="42" t="str">
        <f t="shared" si="29"/>
        <v>-</v>
      </c>
      <c r="P278" s="43" t="str">
        <f t="shared" si="26"/>
        <v>-</v>
      </c>
      <c r="Q278" s="46" t="str">
        <f t="shared" si="27"/>
        <v>-</v>
      </c>
      <c r="S278" s="46" t="str">
        <f t="shared" si="28"/>
        <v>-</v>
      </c>
    </row>
    <row r="279" spans="1:19" ht="15" x14ac:dyDescent="0.3">
      <c r="A279" s="74">
        <v>8147191</v>
      </c>
      <c r="B279" s="37">
        <v>60469</v>
      </c>
      <c r="C279" s="69">
        <v>21245604693</v>
      </c>
      <c r="D279" s="38" t="s">
        <v>429</v>
      </c>
      <c r="E279" s="64">
        <v>0.59205095799999996</v>
      </c>
      <c r="F279" s="70">
        <v>6</v>
      </c>
      <c r="G279" s="38" t="s">
        <v>16</v>
      </c>
      <c r="H279" s="66" t="s">
        <v>1258</v>
      </c>
      <c r="I279" s="39">
        <v>8.53125</v>
      </c>
      <c r="J279" s="40"/>
      <c r="K279" s="75">
        <f t="shared" si="24"/>
        <v>0</v>
      </c>
      <c r="L279" s="41"/>
      <c r="N279" s="45" t="str">
        <f t="shared" si="25"/>
        <v>-</v>
      </c>
      <c r="O279" s="42" t="str">
        <f t="shared" si="29"/>
        <v>-</v>
      </c>
      <c r="P279" s="43" t="str">
        <f t="shared" si="26"/>
        <v>-</v>
      </c>
      <c r="Q279" s="46" t="str">
        <f t="shared" si="27"/>
        <v>-</v>
      </c>
      <c r="S279" s="46" t="str">
        <f t="shared" si="28"/>
        <v>-</v>
      </c>
    </row>
    <row r="280" spans="1:19" ht="15" x14ac:dyDescent="0.3">
      <c r="A280" s="74">
        <v>2584860</v>
      </c>
      <c r="B280" s="37">
        <v>53675</v>
      </c>
      <c r="C280" s="69">
        <v>21245536758</v>
      </c>
      <c r="D280" s="38" t="s">
        <v>430</v>
      </c>
      <c r="E280" s="64">
        <v>6.1779230399999996E-2</v>
      </c>
      <c r="F280" s="70">
        <v>12</v>
      </c>
      <c r="G280" s="38" t="s">
        <v>129</v>
      </c>
      <c r="H280" s="66" t="s">
        <v>1258</v>
      </c>
      <c r="I280" s="39">
        <v>8.6287500000000001</v>
      </c>
      <c r="J280" s="40"/>
      <c r="K280" s="75">
        <f t="shared" si="24"/>
        <v>0</v>
      </c>
      <c r="L280" s="41"/>
      <c r="N280" s="45" t="str">
        <f t="shared" si="25"/>
        <v>-</v>
      </c>
      <c r="O280" s="42" t="str">
        <f t="shared" si="29"/>
        <v>-</v>
      </c>
      <c r="P280" s="43" t="str">
        <f t="shared" si="26"/>
        <v>-</v>
      </c>
      <c r="Q280" s="46" t="str">
        <f t="shared" si="27"/>
        <v>-</v>
      </c>
      <c r="S280" s="46" t="str">
        <f t="shared" si="28"/>
        <v>-</v>
      </c>
    </row>
    <row r="281" spans="1:19" ht="15" customHeight="1" x14ac:dyDescent="0.3">
      <c r="A281" s="74">
        <v>6295695</v>
      </c>
      <c r="B281" s="37">
        <v>71000</v>
      </c>
      <c r="C281" s="69">
        <v>21245710004</v>
      </c>
      <c r="D281" s="38" t="s">
        <v>431</v>
      </c>
      <c r="E281" s="64">
        <v>0.23167211400000001</v>
      </c>
      <c r="F281" s="70">
        <v>6</v>
      </c>
      <c r="G281" s="38" t="s">
        <v>63</v>
      </c>
      <c r="H281" s="66" t="s">
        <v>1258</v>
      </c>
      <c r="I281" s="39">
        <v>20.231250000000003</v>
      </c>
      <c r="J281" s="40"/>
      <c r="K281" s="75">
        <f t="shared" si="24"/>
        <v>0</v>
      </c>
      <c r="L281" s="41"/>
      <c r="N281" s="45" t="str">
        <f t="shared" si="25"/>
        <v>-</v>
      </c>
      <c r="O281" s="42" t="str">
        <f t="shared" si="29"/>
        <v>-</v>
      </c>
      <c r="P281" s="43" t="str">
        <f t="shared" si="26"/>
        <v>-</v>
      </c>
      <c r="Q281" s="46" t="str">
        <f t="shared" si="27"/>
        <v>-</v>
      </c>
      <c r="S281" s="46" t="str">
        <f t="shared" si="28"/>
        <v>-</v>
      </c>
    </row>
    <row r="282" spans="1:19" ht="15" x14ac:dyDescent="0.3">
      <c r="A282" s="74">
        <v>9485812</v>
      </c>
      <c r="B282" s="37">
        <v>23775</v>
      </c>
      <c r="C282" s="69">
        <v>21245237754</v>
      </c>
      <c r="D282" s="38" t="s">
        <v>438</v>
      </c>
      <c r="E282" s="64">
        <v>0.16474461439999999</v>
      </c>
      <c r="F282" s="70">
        <v>6</v>
      </c>
      <c r="G282" s="38" t="s">
        <v>10</v>
      </c>
      <c r="H282" s="66" t="s">
        <v>1258</v>
      </c>
      <c r="I282" s="39">
        <v>14.673750000000002</v>
      </c>
      <c r="J282" s="40"/>
      <c r="K282" s="75">
        <f t="shared" si="24"/>
        <v>0</v>
      </c>
      <c r="L282" s="41"/>
      <c r="N282" s="45" t="str">
        <f t="shared" si="25"/>
        <v>-</v>
      </c>
      <c r="O282" s="42" t="str">
        <f t="shared" si="29"/>
        <v>-</v>
      </c>
      <c r="P282" s="43" t="str">
        <f t="shared" si="26"/>
        <v>-</v>
      </c>
      <c r="Q282" s="46" t="str">
        <f t="shared" si="27"/>
        <v>-</v>
      </c>
      <c r="S282" s="46" t="str">
        <f t="shared" si="28"/>
        <v>-</v>
      </c>
    </row>
    <row r="283" spans="1:19" ht="15" x14ac:dyDescent="0.3">
      <c r="A283" s="74">
        <v>3153263</v>
      </c>
      <c r="B283" s="37">
        <v>56707</v>
      </c>
      <c r="C283" s="69">
        <v>21245567073</v>
      </c>
      <c r="D283" s="38" t="s">
        <v>441</v>
      </c>
      <c r="E283" s="64">
        <v>0.10811365319999999</v>
      </c>
      <c r="F283" s="70">
        <v>6</v>
      </c>
      <c r="G283" s="38" t="s">
        <v>330</v>
      </c>
      <c r="H283" s="66" t="s">
        <v>1258</v>
      </c>
      <c r="I283" s="39">
        <v>9.1650000000000009</v>
      </c>
      <c r="J283" s="40"/>
      <c r="K283" s="75">
        <f t="shared" si="24"/>
        <v>0</v>
      </c>
      <c r="L283" s="41"/>
      <c r="N283" s="45" t="str">
        <f t="shared" si="25"/>
        <v>-</v>
      </c>
      <c r="O283" s="42" t="str">
        <f t="shared" si="29"/>
        <v>-</v>
      </c>
      <c r="P283" s="43" t="str">
        <f t="shared" si="26"/>
        <v>-</v>
      </c>
      <c r="Q283" s="46" t="str">
        <f t="shared" si="27"/>
        <v>-</v>
      </c>
      <c r="S283" s="46" t="str">
        <f t="shared" si="28"/>
        <v>-</v>
      </c>
    </row>
    <row r="284" spans="1:19" ht="15" x14ac:dyDescent="0.3">
      <c r="A284" s="74">
        <v>8232868</v>
      </c>
      <c r="B284" s="37">
        <v>89954</v>
      </c>
      <c r="C284" s="69">
        <v>21245899549</v>
      </c>
      <c r="D284" s="38" t="s">
        <v>444</v>
      </c>
      <c r="E284" s="64">
        <v>9.7817114799999993E-2</v>
      </c>
      <c r="F284" s="70">
        <v>12</v>
      </c>
      <c r="G284" s="38" t="s">
        <v>240</v>
      </c>
      <c r="H284" s="66" t="s">
        <v>1258</v>
      </c>
      <c r="I284" s="39">
        <v>9.7987500000000018</v>
      </c>
      <c r="J284" s="40"/>
      <c r="K284" s="75">
        <f t="shared" si="24"/>
        <v>0</v>
      </c>
      <c r="L284" s="41"/>
      <c r="N284" s="45" t="str">
        <f t="shared" si="25"/>
        <v>-</v>
      </c>
      <c r="O284" s="42" t="str">
        <f t="shared" si="29"/>
        <v>-</v>
      </c>
      <c r="P284" s="43" t="str">
        <f t="shared" si="26"/>
        <v>-</v>
      </c>
      <c r="Q284" s="46" t="str">
        <f t="shared" si="27"/>
        <v>-</v>
      </c>
      <c r="S284" s="46" t="str">
        <f t="shared" si="28"/>
        <v>-</v>
      </c>
    </row>
    <row r="285" spans="1:19" ht="15" x14ac:dyDescent="0.3">
      <c r="A285" s="74">
        <v>7465111</v>
      </c>
      <c r="B285" s="37">
        <v>17255</v>
      </c>
      <c r="C285" s="69">
        <v>21245172550</v>
      </c>
      <c r="D285" s="38" t="s">
        <v>447</v>
      </c>
      <c r="E285" s="64">
        <v>7.2075768800000009E-2</v>
      </c>
      <c r="F285" s="70">
        <v>12</v>
      </c>
      <c r="G285" s="38" t="s">
        <v>173</v>
      </c>
      <c r="H285" s="66" t="s">
        <v>1258</v>
      </c>
      <c r="I285" s="39">
        <v>7.7025000000000006</v>
      </c>
      <c r="J285" s="40"/>
      <c r="K285" s="75">
        <f t="shared" si="24"/>
        <v>0</v>
      </c>
      <c r="L285" s="41"/>
      <c r="N285" s="45" t="str">
        <f t="shared" si="25"/>
        <v>-</v>
      </c>
      <c r="O285" s="42" t="str">
        <f t="shared" si="29"/>
        <v>-</v>
      </c>
      <c r="P285" s="43" t="str">
        <f t="shared" si="26"/>
        <v>-</v>
      </c>
      <c r="Q285" s="46" t="str">
        <f t="shared" si="27"/>
        <v>-</v>
      </c>
      <c r="S285" s="46" t="str">
        <f t="shared" si="28"/>
        <v>-</v>
      </c>
    </row>
    <row r="286" spans="1:19" ht="15" x14ac:dyDescent="0.3">
      <c r="A286" s="74">
        <v>9742901</v>
      </c>
      <c r="B286" s="37">
        <v>10906</v>
      </c>
      <c r="C286" s="69">
        <v>21245109068</v>
      </c>
      <c r="D286" s="38" t="s">
        <v>415</v>
      </c>
      <c r="E286" s="64">
        <v>5.6750000000000002E-2</v>
      </c>
      <c r="F286" s="70">
        <v>12</v>
      </c>
      <c r="G286" s="38" t="s">
        <v>63</v>
      </c>
      <c r="H286" s="66" t="s">
        <v>1258</v>
      </c>
      <c r="I286" s="39">
        <v>11.2125</v>
      </c>
      <c r="J286" s="40"/>
      <c r="K286" s="75">
        <f t="shared" si="24"/>
        <v>0</v>
      </c>
      <c r="L286" s="41"/>
      <c r="N286" s="45" t="str">
        <f t="shared" si="25"/>
        <v>-</v>
      </c>
      <c r="O286" s="42" t="str">
        <f t="shared" si="29"/>
        <v>-</v>
      </c>
      <c r="P286" s="43" t="str">
        <f t="shared" si="26"/>
        <v>-</v>
      </c>
      <c r="Q286" s="46" t="str">
        <f t="shared" si="27"/>
        <v>-</v>
      </c>
      <c r="S286" s="46" t="str">
        <f t="shared" si="28"/>
        <v>-</v>
      </c>
    </row>
    <row r="287" spans="1:19" ht="15" x14ac:dyDescent="0.3">
      <c r="A287" s="74">
        <v>7527010</v>
      </c>
      <c r="B287" s="37">
        <v>57330</v>
      </c>
      <c r="C287" s="69">
        <v>21245573302</v>
      </c>
      <c r="D287" s="38" t="s">
        <v>448</v>
      </c>
      <c r="E287" s="64">
        <v>7.2075768800000009E-2</v>
      </c>
      <c r="F287" s="70">
        <v>12</v>
      </c>
      <c r="G287" s="38" t="s">
        <v>191</v>
      </c>
      <c r="H287" s="66" t="s">
        <v>1258</v>
      </c>
      <c r="I287" s="39">
        <v>13.11375</v>
      </c>
      <c r="J287" s="40"/>
      <c r="K287" s="75">
        <f t="shared" si="24"/>
        <v>0</v>
      </c>
      <c r="L287" s="41"/>
      <c r="N287" s="45" t="str">
        <f t="shared" si="25"/>
        <v>-</v>
      </c>
      <c r="O287" s="42" t="str">
        <f t="shared" si="29"/>
        <v>-</v>
      </c>
      <c r="P287" s="43" t="str">
        <f t="shared" si="26"/>
        <v>-</v>
      </c>
      <c r="Q287" s="46" t="str">
        <f t="shared" si="27"/>
        <v>-</v>
      </c>
      <c r="S287" s="46" t="str">
        <f t="shared" si="28"/>
        <v>-</v>
      </c>
    </row>
    <row r="288" spans="1:19" ht="15" x14ac:dyDescent="0.3">
      <c r="A288" s="74">
        <v>8143741</v>
      </c>
      <c r="B288" s="37">
        <v>53570</v>
      </c>
      <c r="C288" s="69">
        <v>21245535706</v>
      </c>
      <c r="D288" s="38" t="s">
        <v>449</v>
      </c>
      <c r="E288" s="64">
        <v>8.7520576400000008E-2</v>
      </c>
      <c r="F288" s="70">
        <v>12</v>
      </c>
      <c r="G288" s="38" t="s">
        <v>129</v>
      </c>
      <c r="H288" s="66" t="s">
        <v>1258</v>
      </c>
      <c r="I288" s="39">
        <v>14.9175</v>
      </c>
      <c r="J288" s="40"/>
      <c r="K288" s="75">
        <f t="shared" si="24"/>
        <v>0</v>
      </c>
      <c r="L288" s="41"/>
      <c r="N288" s="45" t="str">
        <f t="shared" si="25"/>
        <v>-</v>
      </c>
      <c r="O288" s="42" t="str">
        <f t="shared" si="29"/>
        <v>-</v>
      </c>
      <c r="P288" s="43" t="str">
        <f t="shared" si="26"/>
        <v>-</v>
      </c>
      <c r="Q288" s="46" t="str">
        <f t="shared" si="27"/>
        <v>-</v>
      </c>
      <c r="S288" s="46" t="str">
        <f t="shared" si="28"/>
        <v>-</v>
      </c>
    </row>
    <row r="289" spans="1:19" ht="15" x14ac:dyDescent="0.3">
      <c r="A289" s="74">
        <v>9464035</v>
      </c>
      <c r="B289" s="37">
        <v>96330</v>
      </c>
      <c r="C289" s="69">
        <v>21245963301</v>
      </c>
      <c r="D289" s="38" t="s">
        <v>450</v>
      </c>
      <c r="E289" s="64">
        <v>0.19048596039999999</v>
      </c>
      <c r="F289" s="70">
        <v>6</v>
      </c>
      <c r="G289" s="38" t="s">
        <v>451</v>
      </c>
      <c r="H289" s="66" t="s">
        <v>1258</v>
      </c>
      <c r="I289" s="39">
        <v>7.0687500000000005</v>
      </c>
      <c r="J289" s="40"/>
      <c r="K289" s="75">
        <f t="shared" si="24"/>
        <v>0</v>
      </c>
      <c r="L289" s="41"/>
      <c r="N289" s="45" t="str">
        <f t="shared" si="25"/>
        <v>-</v>
      </c>
      <c r="O289" s="42" t="str">
        <f t="shared" si="29"/>
        <v>-</v>
      </c>
      <c r="P289" s="43" t="str">
        <f t="shared" si="26"/>
        <v>-</v>
      </c>
      <c r="Q289" s="46" t="str">
        <f t="shared" si="27"/>
        <v>-</v>
      </c>
      <c r="S289" s="46" t="str">
        <f t="shared" si="28"/>
        <v>-</v>
      </c>
    </row>
    <row r="290" spans="1:19" ht="15" x14ac:dyDescent="0.3">
      <c r="A290" s="74">
        <v>1303992</v>
      </c>
      <c r="B290" s="37">
        <v>14463</v>
      </c>
      <c r="C290" s="69">
        <v>21245144632</v>
      </c>
      <c r="D290" s="38" t="s">
        <v>452</v>
      </c>
      <c r="E290" s="64">
        <v>0.20593076800000001</v>
      </c>
      <c r="F290" s="70">
        <v>6</v>
      </c>
      <c r="G290" s="38" t="s">
        <v>117</v>
      </c>
      <c r="H290" s="66" t="s">
        <v>1258</v>
      </c>
      <c r="I290" s="39">
        <v>9.7012499999999982</v>
      </c>
      <c r="J290" s="40"/>
      <c r="K290" s="75">
        <f t="shared" si="24"/>
        <v>0</v>
      </c>
      <c r="L290" s="41"/>
      <c r="N290" s="45" t="str">
        <f t="shared" si="25"/>
        <v>-</v>
      </c>
      <c r="O290" s="42" t="str">
        <f t="shared" si="29"/>
        <v>-</v>
      </c>
      <c r="P290" s="43" t="str">
        <f t="shared" si="26"/>
        <v>-</v>
      </c>
      <c r="Q290" s="46" t="str">
        <f t="shared" si="27"/>
        <v>-</v>
      </c>
      <c r="S290" s="46" t="str">
        <f t="shared" si="28"/>
        <v>-</v>
      </c>
    </row>
    <row r="291" spans="1:19" ht="15" customHeight="1" x14ac:dyDescent="0.3">
      <c r="A291" s="74">
        <v>2326440</v>
      </c>
      <c r="B291" s="37">
        <v>65512</v>
      </c>
      <c r="C291" s="69">
        <v>21245655121</v>
      </c>
      <c r="D291" s="38" t="s">
        <v>453</v>
      </c>
      <c r="E291" s="64">
        <v>6.6927499599999996E-2</v>
      </c>
      <c r="F291" s="70">
        <v>12</v>
      </c>
      <c r="G291" s="38" t="s">
        <v>454</v>
      </c>
      <c r="H291" s="66" t="s">
        <v>1258</v>
      </c>
      <c r="I291" s="39">
        <v>10.8225</v>
      </c>
      <c r="J291" s="40"/>
      <c r="K291" s="75">
        <f t="shared" si="24"/>
        <v>0</v>
      </c>
      <c r="L291" s="41"/>
      <c r="N291" s="45" t="str">
        <f t="shared" si="25"/>
        <v>-</v>
      </c>
      <c r="O291" s="42" t="str">
        <f t="shared" si="29"/>
        <v>-</v>
      </c>
      <c r="P291" s="43" t="str">
        <f t="shared" si="26"/>
        <v>-</v>
      </c>
      <c r="Q291" s="46" t="str">
        <f t="shared" si="27"/>
        <v>-</v>
      </c>
      <c r="S291" s="46" t="str">
        <f t="shared" si="28"/>
        <v>-</v>
      </c>
    </row>
    <row r="292" spans="1:19" ht="15" x14ac:dyDescent="0.3">
      <c r="A292" s="74">
        <v>4857277</v>
      </c>
      <c r="B292" s="37">
        <v>67307</v>
      </c>
      <c r="C292" s="69">
        <v>21245673071</v>
      </c>
      <c r="D292" s="38" t="s">
        <v>455</v>
      </c>
      <c r="E292" s="64">
        <v>0.14929980679999999</v>
      </c>
      <c r="F292" s="70">
        <v>6</v>
      </c>
      <c r="G292" s="38" t="s">
        <v>34</v>
      </c>
      <c r="H292" s="66" t="s">
        <v>1258</v>
      </c>
      <c r="I292" s="39">
        <v>13.845000000000001</v>
      </c>
      <c r="J292" s="40"/>
      <c r="K292" s="75">
        <f t="shared" si="24"/>
        <v>0</v>
      </c>
      <c r="L292" s="41"/>
      <c r="N292" s="45" t="str">
        <f t="shared" si="25"/>
        <v>-</v>
      </c>
      <c r="O292" s="42" t="str">
        <f t="shared" si="29"/>
        <v>-</v>
      </c>
      <c r="P292" s="43" t="str">
        <f t="shared" si="26"/>
        <v>-</v>
      </c>
      <c r="Q292" s="46" t="str">
        <f t="shared" si="27"/>
        <v>-</v>
      </c>
      <c r="S292" s="46" t="str">
        <f t="shared" si="28"/>
        <v>-</v>
      </c>
    </row>
    <row r="293" spans="1:19" ht="15" customHeight="1" x14ac:dyDescent="0.3">
      <c r="A293" s="74">
        <v>2913982</v>
      </c>
      <c r="B293" s="37">
        <v>60620</v>
      </c>
      <c r="C293" s="69">
        <v>21245606208</v>
      </c>
      <c r="D293" s="38" t="s">
        <v>456</v>
      </c>
      <c r="E293" s="64">
        <v>0.31404442120000003</v>
      </c>
      <c r="F293" s="70">
        <v>6</v>
      </c>
      <c r="G293" s="38" t="s">
        <v>364</v>
      </c>
      <c r="H293" s="66" t="s">
        <v>1258</v>
      </c>
      <c r="I293" s="39">
        <v>28.811250000000001</v>
      </c>
      <c r="J293" s="40"/>
      <c r="K293" s="75">
        <f t="shared" si="24"/>
        <v>0</v>
      </c>
      <c r="L293" s="41"/>
      <c r="N293" s="45" t="str">
        <f t="shared" si="25"/>
        <v>-</v>
      </c>
      <c r="O293" s="42" t="str">
        <f t="shared" si="29"/>
        <v>-</v>
      </c>
      <c r="P293" s="43" t="str">
        <f t="shared" si="26"/>
        <v>-</v>
      </c>
      <c r="Q293" s="46" t="str">
        <f t="shared" si="27"/>
        <v>-</v>
      </c>
      <c r="S293" s="46" t="str">
        <f t="shared" si="28"/>
        <v>-</v>
      </c>
    </row>
    <row r="294" spans="1:19" ht="15" x14ac:dyDescent="0.3">
      <c r="A294" s="74">
        <v>8971658</v>
      </c>
      <c r="B294" s="37">
        <v>67751</v>
      </c>
      <c r="C294" s="69">
        <v>21245677512</v>
      </c>
      <c r="D294" s="38" t="s">
        <v>457</v>
      </c>
      <c r="E294" s="64">
        <v>0.14929980679999999</v>
      </c>
      <c r="F294" s="70">
        <v>6</v>
      </c>
      <c r="G294" s="38" t="s">
        <v>34</v>
      </c>
      <c r="H294" s="66" t="s">
        <v>1258</v>
      </c>
      <c r="I294" s="39">
        <v>12.48</v>
      </c>
      <c r="J294" s="40"/>
      <c r="K294" s="75">
        <f t="shared" si="24"/>
        <v>0</v>
      </c>
      <c r="L294" s="41"/>
      <c r="N294" s="45" t="str">
        <f t="shared" si="25"/>
        <v>-</v>
      </c>
      <c r="O294" s="42" t="str">
        <f t="shared" si="29"/>
        <v>-</v>
      </c>
      <c r="P294" s="43" t="str">
        <f t="shared" si="26"/>
        <v>-</v>
      </c>
      <c r="Q294" s="46" t="str">
        <f t="shared" si="27"/>
        <v>-</v>
      </c>
      <c r="S294" s="46" t="str">
        <f t="shared" si="28"/>
        <v>-</v>
      </c>
    </row>
    <row r="295" spans="1:19" ht="15" x14ac:dyDescent="0.3">
      <c r="A295" s="74">
        <v>5683273</v>
      </c>
      <c r="B295" s="37">
        <v>58884</v>
      </c>
      <c r="C295" s="69">
        <v>21245588849</v>
      </c>
      <c r="D295" s="38" t="s">
        <v>81</v>
      </c>
      <c r="E295" s="64">
        <v>0.14929980679999999</v>
      </c>
      <c r="F295" s="70">
        <v>6</v>
      </c>
      <c r="G295" s="38" t="s">
        <v>439</v>
      </c>
      <c r="H295" s="66" t="s">
        <v>1258</v>
      </c>
      <c r="I295" s="39">
        <v>8.4824999999999982</v>
      </c>
      <c r="J295" s="40"/>
      <c r="K295" s="75">
        <f t="shared" si="24"/>
        <v>0</v>
      </c>
      <c r="L295" s="41"/>
      <c r="N295" s="45" t="str">
        <f t="shared" si="25"/>
        <v>-</v>
      </c>
      <c r="O295" s="42" t="str">
        <f t="shared" si="29"/>
        <v>-</v>
      </c>
      <c r="P295" s="43" t="str">
        <f t="shared" si="26"/>
        <v>-</v>
      </c>
      <c r="Q295" s="46" t="str">
        <f t="shared" si="27"/>
        <v>-</v>
      </c>
      <c r="S295" s="46" t="str">
        <f t="shared" si="28"/>
        <v>-</v>
      </c>
    </row>
    <row r="296" spans="1:19" ht="15" x14ac:dyDescent="0.3">
      <c r="A296" s="74">
        <v>9724785</v>
      </c>
      <c r="B296" s="37">
        <v>65746</v>
      </c>
      <c r="C296" s="69">
        <v>21245657460</v>
      </c>
      <c r="D296" s="38" t="s">
        <v>463</v>
      </c>
      <c r="E296" s="64">
        <v>0.23682038320000001</v>
      </c>
      <c r="F296" s="70">
        <v>6</v>
      </c>
      <c r="G296" s="38" t="s">
        <v>464</v>
      </c>
      <c r="H296" s="66" t="s">
        <v>1258</v>
      </c>
      <c r="I296" s="39">
        <v>17.55</v>
      </c>
      <c r="J296" s="40"/>
      <c r="K296" s="75">
        <f t="shared" si="24"/>
        <v>0</v>
      </c>
      <c r="L296" s="41"/>
      <c r="N296" s="45" t="str">
        <f t="shared" si="25"/>
        <v>-</v>
      </c>
      <c r="O296" s="42" t="str">
        <f t="shared" si="29"/>
        <v>-</v>
      </c>
      <c r="P296" s="43" t="str">
        <f t="shared" si="26"/>
        <v>-</v>
      </c>
      <c r="Q296" s="46" t="str">
        <f t="shared" si="27"/>
        <v>-</v>
      </c>
      <c r="S296" s="46" t="str">
        <f t="shared" si="28"/>
        <v>-</v>
      </c>
    </row>
    <row r="297" spans="1:19" ht="15" x14ac:dyDescent="0.3">
      <c r="A297" s="74">
        <v>2484466</v>
      </c>
      <c r="B297" s="37">
        <v>66784</v>
      </c>
      <c r="C297" s="69">
        <v>21245667841</v>
      </c>
      <c r="D297" s="38" t="s">
        <v>465</v>
      </c>
      <c r="E297" s="64">
        <v>0.64868191919999996</v>
      </c>
      <c r="F297" s="70">
        <v>1</v>
      </c>
      <c r="G297" s="38" t="s">
        <v>466</v>
      </c>
      <c r="H297" s="66" t="s">
        <v>1258</v>
      </c>
      <c r="I297" s="39">
        <v>29.25</v>
      </c>
      <c r="J297" s="40"/>
      <c r="K297" s="75">
        <f t="shared" si="24"/>
        <v>0</v>
      </c>
      <c r="L297" s="41"/>
      <c r="N297" s="45" t="str">
        <f t="shared" si="25"/>
        <v>-</v>
      </c>
      <c r="O297" s="42" t="str">
        <f t="shared" si="29"/>
        <v>-</v>
      </c>
      <c r="P297" s="43" t="str">
        <f t="shared" si="26"/>
        <v>-</v>
      </c>
      <c r="Q297" s="46" t="str">
        <f t="shared" si="27"/>
        <v>-</v>
      </c>
      <c r="S297" s="46" t="str">
        <f t="shared" si="28"/>
        <v>-</v>
      </c>
    </row>
    <row r="298" spans="1:19" ht="15" x14ac:dyDescent="0.3">
      <c r="A298" s="74">
        <v>5715683</v>
      </c>
      <c r="B298" s="37">
        <v>38973</v>
      </c>
      <c r="C298" s="69">
        <v>21245389736</v>
      </c>
      <c r="D298" s="38" t="s">
        <v>81</v>
      </c>
      <c r="E298" s="64">
        <v>0.14415153760000002</v>
      </c>
      <c r="F298" s="70">
        <v>6</v>
      </c>
      <c r="G298" s="38" t="s">
        <v>439</v>
      </c>
      <c r="H298" s="66" t="s">
        <v>1258</v>
      </c>
      <c r="I298" s="39">
        <v>8.4824999999999982</v>
      </c>
      <c r="J298" s="40"/>
      <c r="K298" s="75">
        <f t="shared" si="24"/>
        <v>0</v>
      </c>
      <c r="L298" s="41"/>
      <c r="N298" s="45" t="str">
        <f t="shared" si="25"/>
        <v>-</v>
      </c>
      <c r="O298" s="42" t="str">
        <f t="shared" si="29"/>
        <v>-</v>
      </c>
      <c r="P298" s="43" t="str">
        <f t="shared" si="26"/>
        <v>-</v>
      </c>
      <c r="Q298" s="46" t="str">
        <f t="shared" si="27"/>
        <v>-</v>
      </c>
      <c r="S298" s="46" t="str">
        <f t="shared" si="28"/>
        <v>-</v>
      </c>
    </row>
    <row r="299" spans="1:19" ht="15" x14ac:dyDescent="0.3">
      <c r="A299" s="74">
        <v>3007952</v>
      </c>
      <c r="B299" s="37">
        <v>69740</v>
      </c>
      <c r="C299" s="69">
        <v>21245697404</v>
      </c>
      <c r="D299" s="38" t="s">
        <v>136</v>
      </c>
      <c r="E299" s="64">
        <v>0.24711692159999998</v>
      </c>
      <c r="F299" s="70">
        <v>6</v>
      </c>
      <c r="G299" s="38" t="s">
        <v>469</v>
      </c>
      <c r="H299" s="66" t="s">
        <v>1258</v>
      </c>
      <c r="I299" s="39">
        <v>7.9560000000000004</v>
      </c>
      <c r="J299" s="40"/>
      <c r="K299" s="75">
        <f t="shared" si="24"/>
        <v>0</v>
      </c>
      <c r="L299" s="41"/>
      <c r="N299" s="45" t="str">
        <f t="shared" si="25"/>
        <v>-</v>
      </c>
      <c r="O299" s="42" t="str">
        <f t="shared" si="29"/>
        <v>-</v>
      </c>
      <c r="P299" s="43" t="str">
        <f t="shared" si="26"/>
        <v>-</v>
      </c>
      <c r="Q299" s="46" t="str">
        <f t="shared" si="27"/>
        <v>-</v>
      </c>
      <c r="S299" s="46" t="str">
        <f t="shared" si="28"/>
        <v>-</v>
      </c>
    </row>
    <row r="300" spans="1:19" ht="15" x14ac:dyDescent="0.3">
      <c r="A300" s="74">
        <v>4712369</v>
      </c>
      <c r="B300" s="37">
        <v>55119</v>
      </c>
      <c r="C300" s="69">
        <v>21245551195</v>
      </c>
      <c r="D300" s="38" t="s">
        <v>470</v>
      </c>
      <c r="E300" s="64">
        <v>0.29345134440000004</v>
      </c>
      <c r="F300" s="70">
        <v>6</v>
      </c>
      <c r="G300" s="38" t="s">
        <v>34</v>
      </c>
      <c r="H300" s="66" t="s">
        <v>1258</v>
      </c>
      <c r="I300" s="39">
        <v>21.157499999999999</v>
      </c>
      <c r="J300" s="40"/>
      <c r="K300" s="75">
        <f t="shared" si="24"/>
        <v>0</v>
      </c>
      <c r="L300" s="41"/>
      <c r="N300" s="45" t="str">
        <f t="shared" si="25"/>
        <v>-</v>
      </c>
      <c r="O300" s="42" t="str">
        <f t="shared" si="29"/>
        <v>-</v>
      </c>
      <c r="P300" s="43" t="str">
        <f t="shared" si="26"/>
        <v>-</v>
      </c>
      <c r="Q300" s="46" t="str">
        <f t="shared" si="27"/>
        <v>-</v>
      </c>
      <c r="S300" s="46" t="str">
        <f t="shared" si="28"/>
        <v>-</v>
      </c>
    </row>
    <row r="301" spans="1:19" ht="15" customHeight="1" x14ac:dyDescent="0.3">
      <c r="A301" s="74">
        <v>3999126</v>
      </c>
      <c r="B301" s="37">
        <v>56726</v>
      </c>
      <c r="C301" s="69">
        <v>21245567264</v>
      </c>
      <c r="D301" s="38" t="s">
        <v>475</v>
      </c>
      <c r="E301" s="64">
        <v>0.32948922879999998</v>
      </c>
      <c r="F301" s="70">
        <v>6</v>
      </c>
      <c r="G301" s="38" t="s">
        <v>476</v>
      </c>
      <c r="H301" s="66" t="s">
        <v>1258</v>
      </c>
      <c r="I301" s="39">
        <v>14.186250000000001</v>
      </c>
      <c r="J301" s="40"/>
      <c r="K301" s="75">
        <f t="shared" si="24"/>
        <v>0</v>
      </c>
      <c r="L301" s="41"/>
      <c r="N301" s="45" t="str">
        <f t="shared" si="25"/>
        <v>-</v>
      </c>
      <c r="O301" s="42" t="str">
        <f t="shared" si="29"/>
        <v>-</v>
      </c>
      <c r="P301" s="43" t="str">
        <f t="shared" si="26"/>
        <v>-</v>
      </c>
      <c r="Q301" s="46" t="str">
        <f t="shared" si="27"/>
        <v>-</v>
      </c>
      <c r="S301" s="46" t="str">
        <f t="shared" si="28"/>
        <v>-</v>
      </c>
    </row>
    <row r="302" spans="1:19" ht="15" x14ac:dyDescent="0.3">
      <c r="A302" s="74">
        <v>6132636</v>
      </c>
      <c r="B302" s="37">
        <v>33300</v>
      </c>
      <c r="C302" s="69">
        <v>21245333005</v>
      </c>
      <c r="D302" s="38" t="s">
        <v>477</v>
      </c>
      <c r="E302" s="64">
        <v>0.11326192240000001</v>
      </c>
      <c r="F302" s="70">
        <v>12</v>
      </c>
      <c r="G302" s="38" t="s">
        <v>240</v>
      </c>
      <c r="H302" s="66" t="s">
        <v>1258</v>
      </c>
      <c r="I302" s="39">
        <v>5.27475</v>
      </c>
      <c r="J302" s="40"/>
      <c r="K302" s="75">
        <f t="shared" si="24"/>
        <v>0</v>
      </c>
      <c r="L302" s="41"/>
      <c r="N302" s="45" t="str">
        <f t="shared" si="25"/>
        <v>-</v>
      </c>
      <c r="O302" s="42" t="str">
        <f t="shared" si="29"/>
        <v>-</v>
      </c>
      <c r="P302" s="43" t="str">
        <f t="shared" si="26"/>
        <v>-</v>
      </c>
      <c r="Q302" s="46" t="str">
        <f t="shared" si="27"/>
        <v>-</v>
      </c>
      <c r="S302" s="46" t="str">
        <f t="shared" si="28"/>
        <v>-</v>
      </c>
    </row>
    <row r="303" spans="1:19" ht="15" customHeight="1" x14ac:dyDescent="0.3">
      <c r="A303" s="74">
        <v>5871149</v>
      </c>
      <c r="B303" s="37">
        <v>66854</v>
      </c>
      <c r="C303" s="69">
        <v>21245668541</v>
      </c>
      <c r="D303" s="38" t="s">
        <v>478</v>
      </c>
      <c r="E303" s="64">
        <v>0.35008230560000003</v>
      </c>
      <c r="F303" s="70">
        <v>6</v>
      </c>
      <c r="G303" s="38" t="s">
        <v>479</v>
      </c>
      <c r="H303" s="66" t="s">
        <v>1258</v>
      </c>
      <c r="I303" s="39">
        <v>15.20025</v>
      </c>
      <c r="J303" s="40"/>
      <c r="K303" s="75">
        <f t="shared" si="24"/>
        <v>0</v>
      </c>
      <c r="L303" s="41"/>
      <c r="N303" s="45" t="str">
        <f t="shared" si="25"/>
        <v>-</v>
      </c>
      <c r="O303" s="42" t="str">
        <f t="shared" si="29"/>
        <v>-</v>
      </c>
      <c r="P303" s="43" t="str">
        <f t="shared" si="26"/>
        <v>-</v>
      </c>
      <c r="Q303" s="46" t="str">
        <f t="shared" si="27"/>
        <v>-</v>
      </c>
      <c r="S303" s="46" t="str">
        <f t="shared" si="28"/>
        <v>-</v>
      </c>
    </row>
    <row r="304" spans="1:19" ht="15" x14ac:dyDescent="0.3">
      <c r="A304" s="74">
        <v>5034696</v>
      </c>
      <c r="B304" s="37">
        <v>10319</v>
      </c>
      <c r="C304" s="69">
        <v>21245103196</v>
      </c>
      <c r="D304" s="38" t="s">
        <v>480</v>
      </c>
      <c r="E304" s="64">
        <v>0.32434095959999998</v>
      </c>
      <c r="F304" s="70">
        <v>6</v>
      </c>
      <c r="G304" s="38" t="s">
        <v>481</v>
      </c>
      <c r="H304" s="66" t="s">
        <v>1258</v>
      </c>
      <c r="I304" s="39">
        <v>17.355</v>
      </c>
      <c r="J304" s="40"/>
      <c r="K304" s="75">
        <f t="shared" si="24"/>
        <v>0</v>
      </c>
      <c r="L304" s="41"/>
      <c r="N304" s="45" t="str">
        <f t="shared" si="25"/>
        <v>-</v>
      </c>
      <c r="O304" s="42" t="str">
        <f t="shared" si="29"/>
        <v>-</v>
      </c>
      <c r="P304" s="43" t="str">
        <f t="shared" si="26"/>
        <v>-</v>
      </c>
      <c r="Q304" s="46" t="str">
        <f t="shared" si="27"/>
        <v>-</v>
      </c>
      <c r="S304" s="46" t="str">
        <f t="shared" si="28"/>
        <v>-</v>
      </c>
    </row>
    <row r="305" spans="1:19" ht="15" x14ac:dyDescent="0.3">
      <c r="A305" s="74">
        <v>2421378</v>
      </c>
      <c r="B305" s="37">
        <v>84006</v>
      </c>
      <c r="C305" s="69">
        <v>21245840060</v>
      </c>
      <c r="D305" s="38" t="s">
        <v>1266</v>
      </c>
      <c r="E305" s="64">
        <v>0.13900338178650001</v>
      </c>
      <c r="F305" s="70">
        <v>6</v>
      </c>
      <c r="G305" s="38" t="s">
        <v>330</v>
      </c>
      <c r="H305" s="66" t="s">
        <v>1258</v>
      </c>
      <c r="I305" s="39">
        <v>6.09375</v>
      </c>
      <c r="J305" s="40"/>
      <c r="K305" s="75">
        <f t="shared" si="24"/>
        <v>0</v>
      </c>
      <c r="L305" s="41"/>
      <c r="N305" s="45" t="str">
        <f t="shared" si="25"/>
        <v>-</v>
      </c>
      <c r="O305" s="42" t="str">
        <f t="shared" si="29"/>
        <v>-</v>
      </c>
      <c r="P305" s="43" t="str">
        <f t="shared" si="26"/>
        <v>-</v>
      </c>
      <c r="Q305" s="46" t="str">
        <f t="shared" si="27"/>
        <v>-</v>
      </c>
      <c r="S305" s="46" t="str">
        <f t="shared" si="28"/>
        <v>-</v>
      </c>
    </row>
    <row r="306" spans="1:19" ht="15" customHeight="1" x14ac:dyDescent="0.3">
      <c r="A306" s="74">
        <v>3098368</v>
      </c>
      <c r="B306" s="37">
        <v>84012</v>
      </c>
      <c r="C306" s="69">
        <v>21245840121</v>
      </c>
      <c r="D306" s="38" t="s">
        <v>1266</v>
      </c>
      <c r="E306" s="64">
        <v>0.25226539657550001</v>
      </c>
      <c r="F306" s="70">
        <v>6</v>
      </c>
      <c r="G306" s="38" t="s">
        <v>290</v>
      </c>
      <c r="H306" s="66" t="s">
        <v>1258</v>
      </c>
      <c r="I306" s="39">
        <v>10.14</v>
      </c>
      <c r="J306" s="40"/>
      <c r="K306" s="75">
        <f t="shared" si="24"/>
        <v>0</v>
      </c>
      <c r="L306" s="41"/>
      <c r="N306" s="45" t="str">
        <f t="shared" si="25"/>
        <v>-</v>
      </c>
      <c r="O306" s="42" t="str">
        <f t="shared" si="29"/>
        <v>-</v>
      </c>
      <c r="P306" s="43" t="str">
        <f t="shared" si="26"/>
        <v>-</v>
      </c>
      <c r="Q306" s="46" t="str">
        <f t="shared" si="27"/>
        <v>-</v>
      </c>
      <c r="S306" s="46" t="str">
        <f t="shared" si="28"/>
        <v>-</v>
      </c>
    </row>
    <row r="307" spans="1:19" ht="15" customHeight="1" x14ac:dyDescent="0.3">
      <c r="A307" s="74">
        <v>3663080</v>
      </c>
      <c r="B307" s="37">
        <v>95583</v>
      </c>
      <c r="C307" s="69">
        <v>21245955832</v>
      </c>
      <c r="D307" s="38" t="s">
        <v>1267</v>
      </c>
      <c r="E307" s="64">
        <v>0.25741366997500004</v>
      </c>
      <c r="F307" s="70">
        <v>12</v>
      </c>
      <c r="G307" s="38" t="s">
        <v>1268</v>
      </c>
      <c r="H307" s="66" t="s">
        <v>1258</v>
      </c>
      <c r="I307" s="39">
        <v>10.96875</v>
      </c>
      <c r="J307" s="40"/>
      <c r="K307" s="75">
        <f t="shared" si="24"/>
        <v>0</v>
      </c>
      <c r="L307" s="41"/>
      <c r="N307" s="45" t="str">
        <f t="shared" si="25"/>
        <v>-</v>
      </c>
      <c r="O307" s="42" t="str">
        <f t="shared" si="29"/>
        <v>-</v>
      </c>
      <c r="P307" s="43" t="str">
        <f t="shared" si="26"/>
        <v>-</v>
      </c>
      <c r="Q307" s="46" t="str">
        <f t="shared" si="27"/>
        <v>-</v>
      </c>
      <c r="S307" s="46" t="str">
        <f t="shared" si="28"/>
        <v>-</v>
      </c>
    </row>
    <row r="308" spans="1:19" ht="15" x14ac:dyDescent="0.3">
      <c r="A308" s="74">
        <v>6593008</v>
      </c>
      <c r="B308" s="37">
        <v>10715</v>
      </c>
      <c r="C308" s="69">
        <v>21245107156</v>
      </c>
      <c r="D308" s="38" t="s">
        <v>125</v>
      </c>
      <c r="E308" s="64">
        <v>0.45304805915600005</v>
      </c>
      <c r="F308" s="70">
        <v>6</v>
      </c>
      <c r="G308" s="38" t="s">
        <v>1269</v>
      </c>
      <c r="H308" s="66" t="s">
        <v>1258</v>
      </c>
      <c r="I308" s="39">
        <v>25.447499999999998</v>
      </c>
      <c r="J308" s="40"/>
      <c r="K308" s="75">
        <f t="shared" si="24"/>
        <v>0</v>
      </c>
      <c r="L308" s="41"/>
      <c r="N308" s="45" t="str">
        <f t="shared" si="25"/>
        <v>-</v>
      </c>
      <c r="O308" s="42" t="str">
        <f t="shared" si="29"/>
        <v>-</v>
      </c>
      <c r="P308" s="43" t="str">
        <f t="shared" si="26"/>
        <v>-</v>
      </c>
      <c r="Q308" s="46" t="str">
        <f t="shared" si="27"/>
        <v>-</v>
      </c>
      <c r="S308" s="46" t="str">
        <f t="shared" si="28"/>
        <v>-</v>
      </c>
    </row>
    <row r="309" spans="1:19" ht="15" customHeight="1" x14ac:dyDescent="0.3">
      <c r="A309" s="74">
        <v>3205763</v>
      </c>
      <c r="B309" s="37">
        <v>38286</v>
      </c>
      <c r="C309" s="69">
        <v>21245382867</v>
      </c>
      <c r="D309" s="38" t="s">
        <v>188</v>
      </c>
      <c r="E309" s="64">
        <v>0.61779280793999991</v>
      </c>
      <c r="F309" s="70">
        <v>3</v>
      </c>
      <c r="G309" s="38" t="s">
        <v>1270</v>
      </c>
      <c r="H309" s="66" t="s">
        <v>1258</v>
      </c>
      <c r="I309" s="39">
        <v>19.646250000000002</v>
      </c>
      <c r="J309" s="40"/>
      <c r="K309" s="75">
        <f t="shared" si="24"/>
        <v>0</v>
      </c>
      <c r="L309" s="41"/>
      <c r="N309" s="45" t="str">
        <f t="shared" si="25"/>
        <v>-</v>
      </c>
      <c r="O309" s="42" t="str">
        <f t="shared" si="29"/>
        <v>-</v>
      </c>
      <c r="P309" s="43" t="str">
        <f t="shared" si="26"/>
        <v>-</v>
      </c>
      <c r="Q309" s="46" t="str">
        <f t="shared" si="27"/>
        <v>-</v>
      </c>
      <c r="S309" s="46" t="str">
        <f t="shared" si="28"/>
        <v>-</v>
      </c>
    </row>
    <row r="310" spans="1:19" ht="15" x14ac:dyDescent="0.3">
      <c r="A310" s="74">
        <v>8974648</v>
      </c>
      <c r="B310" s="37">
        <v>61897</v>
      </c>
      <c r="C310" s="69">
        <v>21245618973</v>
      </c>
      <c r="D310" s="38" t="s">
        <v>1271</v>
      </c>
      <c r="E310" s="64">
        <v>0.27800676357300003</v>
      </c>
      <c r="F310" s="70">
        <v>6</v>
      </c>
      <c r="G310" s="38" t="s">
        <v>1272</v>
      </c>
      <c r="H310" s="66" t="s">
        <v>1258</v>
      </c>
      <c r="I310" s="39">
        <v>6.9225000000000003</v>
      </c>
      <c r="J310" s="40"/>
      <c r="K310" s="75">
        <f t="shared" si="24"/>
        <v>0</v>
      </c>
      <c r="L310" s="41"/>
      <c r="N310" s="45" t="str">
        <f t="shared" si="25"/>
        <v>-</v>
      </c>
      <c r="O310" s="42" t="str">
        <f t="shared" si="29"/>
        <v>-</v>
      </c>
      <c r="P310" s="43" t="str">
        <f t="shared" si="26"/>
        <v>-</v>
      </c>
      <c r="Q310" s="46" t="str">
        <f t="shared" si="27"/>
        <v>-</v>
      </c>
      <c r="S310" s="46" t="str">
        <f t="shared" si="28"/>
        <v>-</v>
      </c>
    </row>
    <row r="311" spans="1:19" ht="15" x14ac:dyDescent="0.3">
      <c r="A311" s="74">
        <v>6684816</v>
      </c>
      <c r="B311" s="37">
        <v>83684</v>
      </c>
      <c r="C311" s="69">
        <v>21245836841</v>
      </c>
      <c r="D311" s="38" t="s">
        <v>1273</v>
      </c>
      <c r="E311" s="64">
        <v>0.13385510838700002</v>
      </c>
      <c r="F311" s="70">
        <v>6</v>
      </c>
      <c r="G311" s="38" t="s">
        <v>215</v>
      </c>
      <c r="H311" s="66" t="s">
        <v>1258</v>
      </c>
      <c r="I311" s="39">
        <v>10.14</v>
      </c>
      <c r="J311" s="40"/>
      <c r="K311" s="75">
        <f t="shared" si="24"/>
        <v>0</v>
      </c>
      <c r="L311" s="41"/>
      <c r="N311" s="45" t="str">
        <f t="shared" si="25"/>
        <v>-</v>
      </c>
      <c r="O311" s="42" t="str">
        <f t="shared" si="29"/>
        <v>-</v>
      </c>
      <c r="P311" s="43" t="str">
        <f t="shared" si="26"/>
        <v>-</v>
      </c>
      <c r="Q311" s="46" t="str">
        <f t="shared" si="27"/>
        <v>-</v>
      </c>
      <c r="S311" s="46" t="str">
        <f t="shared" si="28"/>
        <v>-</v>
      </c>
    </row>
    <row r="312" spans="1:19" ht="15" x14ac:dyDescent="0.3">
      <c r="A312" s="74">
        <v>4514664</v>
      </c>
      <c r="B312" s="37">
        <v>73017</v>
      </c>
      <c r="C312" s="69">
        <v>21245730170</v>
      </c>
      <c r="D312" s="38" t="s">
        <v>1274</v>
      </c>
      <c r="E312" s="64">
        <v>0.28830331037200002</v>
      </c>
      <c r="F312" s="70">
        <v>6</v>
      </c>
      <c r="G312" s="38" t="s">
        <v>1275</v>
      </c>
      <c r="H312" s="66" t="s">
        <v>1258</v>
      </c>
      <c r="I312" s="39">
        <v>17.54025</v>
      </c>
      <c r="J312" s="40"/>
      <c r="K312" s="75">
        <f t="shared" si="24"/>
        <v>0</v>
      </c>
      <c r="L312" s="41"/>
      <c r="N312" s="45" t="str">
        <f t="shared" si="25"/>
        <v>-</v>
      </c>
      <c r="O312" s="42" t="str">
        <f t="shared" si="29"/>
        <v>-</v>
      </c>
      <c r="P312" s="43" t="str">
        <f t="shared" si="26"/>
        <v>-</v>
      </c>
      <c r="Q312" s="46" t="str">
        <f t="shared" si="27"/>
        <v>-</v>
      </c>
      <c r="S312" s="46" t="str">
        <f t="shared" si="28"/>
        <v>-</v>
      </c>
    </row>
    <row r="313" spans="1:19" ht="15" x14ac:dyDescent="0.3">
      <c r="A313" s="74">
        <v>9519382</v>
      </c>
      <c r="B313" s="37">
        <v>88856</v>
      </c>
      <c r="C313" s="69">
        <v>21245888567</v>
      </c>
      <c r="D313" s="38" t="s">
        <v>1276</v>
      </c>
      <c r="E313" s="64">
        <v>7.7224100992499989E-2</v>
      </c>
      <c r="F313" s="70">
        <v>6</v>
      </c>
      <c r="G313" s="38" t="s">
        <v>573</v>
      </c>
      <c r="H313" s="66" t="s">
        <v>1258</v>
      </c>
      <c r="I313" s="39">
        <v>12.675000000000001</v>
      </c>
      <c r="J313" s="40"/>
      <c r="K313" s="75">
        <f t="shared" si="24"/>
        <v>0</v>
      </c>
      <c r="L313" s="41"/>
      <c r="N313" s="45" t="str">
        <f t="shared" si="25"/>
        <v>-</v>
      </c>
      <c r="O313" s="42" t="str">
        <f t="shared" si="29"/>
        <v>-</v>
      </c>
      <c r="P313" s="43" t="str">
        <f t="shared" si="26"/>
        <v>-</v>
      </c>
      <c r="Q313" s="46" t="str">
        <f t="shared" si="27"/>
        <v>-</v>
      </c>
      <c r="S313" s="46" t="str">
        <f t="shared" si="28"/>
        <v>-</v>
      </c>
    </row>
    <row r="314" spans="1:19" ht="15" x14ac:dyDescent="0.3">
      <c r="A314" s="74">
        <v>5057141</v>
      </c>
      <c r="B314" s="37">
        <v>92745</v>
      </c>
      <c r="C314" s="69">
        <v>21245927457</v>
      </c>
      <c r="D314" s="38" t="s">
        <v>1277</v>
      </c>
      <c r="E314" s="64">
        <v>0.15444820198499998</v>
      </c>
      <c r="F314" s="70">
        <v>6</v>
      </c>
      <c r="G314" s="38" t="s">
        <v>364</v>
      </c>
      <c r="H314" s="66" t="s">
        <v>1258</v>
      </c>
      <c r="I314" s="39">
        <v>16.575000000000003</v>
      </c>
      <c r="J314" s="40"/>
      <c r="K314" s="75">
        <f t="shared" si="24"/>
        <v>0</v>
      </c>
      <c r="L314" s="41"/>
      <c r="N314" s="45" t="str">
        <f t="shared" si="25"/>
        <v>-</v>
      </c>
      <c r="O314" s="42" t="str">
        <f t="shared" si="29"/>
        <v>-</v>
      </c>
      <c r="P314" s="43" t="str">
        <f t="shared" si="26"/>
        <v>-</v>
      </c>
      <c r="Q314" s="46" t="str">
        <f t="shared" si="27"/>
        <v>-</v>
      </c>
      <c r="S314" s="46" t="str">
        <f t="shared" si="28"/>
        <v>-</v>
      </c>
    </row>
    <row r="315" spans="1:19" ht="15" customHeight="1" x14ac:dyDescent="0.3">
      <c r="A315" s="74">
        <v>6533311</v>
      </c>
      <c r="B315" s="37">
        <v>98496</v>
      </c>
      <c r="C315" s="69">
        <v>21245984962</v>
      </c>
      <c r="D315" s="38" t="s">
        <v>1278</v>
      </c>
      <c r="E315" s="64">
        <v>0.28315503697250005</v>
      </c>
      <c r="F315" s="70">
        <v>6</v>
      </c>
      <c r="G315" s="38" t="s">
        <v>1279</v>
      </c>
      <c r="H315" s="66" t="s">
        <v>1258</v>
      </c>
      <c r="I315" s="39">
        <v>19.88025</v>
      </c>
      <c r="J315" s="40"/>
      <c r="K315" s="75">
        <f t="shared" si="24"/>
        <v>0</v>
      </c>
      <c r="L315" s="41"/>
      <c r="N315" s="45" t="str">
        <f t="shared" si="25"/>
        <v>-</v>
      </c>
      <c r="O315" s="42" t="str">
        <f t="shared" si="29"/>
        <v>-</v>
      </c>
      <c r="P315" s="43" t="str">
        <f t="shared" si="26"/>
        <v>-</v>
      </c>
      <c r="Q315" s="46" t="str">
        <f t="shared" si="27"/>
        <v>-</v>
      </c>
      <c r="S315" s="46" t="str">
        <f t="shared" si="28"/>
        <v>-</v>
      </c>
    </row>
    <row r="316" spans="1:19" ht="15" customHeight="1" x14ac:dyDescent="0.3">
      <c r="A316" s="74">
        <v>8255022</v>
      </c>
      <c r="B316" s="37">
        <v>28893</v>
      </c>
      <c r="C316" s="69">
        <v>21245288930</v>
      </c>
      <c r="D316" s="38" t="s">
        <v>1280</v>
      </c>
      <c r="E316" s="64">
        <v>8.7520647791500011E-2</v>
      </c>
      <c r="F316" s="70">
        <v>6</v>
      </c>
      <c r="G316" s="38" t="s">
        <v>34</v>
      </c>
      <c r="H316" s="66" t="s">
        <v>1258</v>
      </c>
      <c r="I316" s="39">
        <v>18.037500000000001</v>
      </c>
      <c r="J316" s="40"/>
      <c r="K316" s="75">
        <f t="shared" si="24"/>
        <v>0</v>
      </c>
      <c r="L316" s="41"/>
      <c r="N316" s="45" t="str">
        <f t="shared" si="25"/>
        <v>-</v>
      </c>
      <c r="O316" s="42" t="str">
        <f t="shared" si="29"/>
        <v>-</v>
      </c>
      <c r="P316" s="43" t="str">
        <f t="shared" si="26"/>
        <v>-</v>
      </c>
      <c r="Q316" s="46" t="str">
        <f t="shared" si="27"/>
        <v>-</v>
      </c>
      <c r="S316" s="46" t="str">
        <f t="shared" si="28"/>
        <v>-</v>
      </c>
    </row>
    <row r="317" spans="1:19" ht="15" x14ac:dyDescent="0.3">
      <c r="A317" s="74">
        <v>7207097</v>
      </c>
      <c r="B317" s="37">
        <v>17720</v>
      </c>
      <c r="C317" s="69">
        <v>21245177203</v>
      </c>
      <c r="D317" s="38" t="s">
        <v>1281</v>
      </c>
      <c r="E317" s="64">
        <v>9.7817194590500006E-2</v>
      </c>
      <c r="F317" s="70">
        <v>6</v>
      </c>
      <c r="G317" s="38" t="s">
        <v>34</v>
      </c>
      <c r="H317" s="66" t="s">
        <v>1258</v>
      </c>
      <c r="I317" s="39">
        <v>18.037500000000001</v>
      </c>
      <c r="J317" s="40"/>
      <c r="K317" s="75">
        <f t="shared" si="24"/>
        <v>0</v>
      </c>
      <c r="L317" s="41"/>
      <c r="N317" s="45" t="str">
        <f t="shared" si="25"/>
        <v>-</v>
      </c>
      <c r="O317" s="42" t="str">
        <f t="shared" si="29"/>
        <v>-</v>
      </c>
      <c r="P317" s="43" t="str">
        <f t="shared" si="26"/>
        <v>-</v>
      </c>
      <c r="Q317" s="46" t="str">
        <f t="shared" si="27"/>
        <v>-</v>
      </c>
      <c r="S317" s="46" t="str">
        <f t="shared" si="28"/>
        <v>-</v>
      </c>
    </row>
    <row r="318" spans="1:19" ht="15" x14ac:dyDescent="0.3">
      <c r="A318" s="74">
        <v>8646415</v>
      </c>
      <c r="B318" s="37">
        <v>98648</v>
      </c>
      <c r="C318" s="69">
        <v>21245986485</v>
      </c>
      <c r="D318" s="38" t="s">
        <v>1282</v>
      </c>
      <c r="E318" s="64">
        <v>7.7224100992499989E-2</v>
      </c>
      <c r="F318" s="70">
        <v>6</v>
      </c>
      <c r="G318" s="38" t="s">
        <v>34</v>
      </c>
      <c r="H318" s="66" t="s">
        <v>1258</v>
      </c>
      <c r="I318" s="39">
        <v>19.5</v>
      </c>
      <c r="J318" s="40"/>
      <c r="K318" s="75">
        <f t="shared" si="24"/>
        <v>0</v>
      </c>
      <c r="L318" s="41"/>
      <c r="N318" s="45" t="str">
        <f t="shared" si="25"/>
        <v>-</v>
      </c>
      <c r="O318" s="42" t="str">
        <f t="shared" si="29"/>
        <v>-</v>
      </c>
      <c r="P318" s="43" t="str">
        <f t="shared" si="26"/>
        <v>-</v>
      </c>
      <c r="Q318" s="46" t="str">
        <f t="shared" si="27"/>
        <v>-</v>
      </c>
      <c r="S318" s="46" t="str">
        <f t="shared" si="28"/>
        <v>-</v>
      </c>
    </row>
    <row r="319" spans="1:19" ht="15" x14ac:dyDescent="0.3">
      <c r="A319" s="74">
        <v>2071975</v>
      </c>
      <c r="B319" s="37">
        <v>80143</v>
      </c>
      <c r="C319" s="69">
        <v>21245801436</v>
      </c>
      <c r="D319" s="38" t="s">
        <v>1283</v>
      </c>
      <c r="E319" s="64">
        <v>9.2668921191000009E-2</v>
      </c>
      <c r="F319" s="70">
        <v>6</v>
      </c>
      <c r="G319" s="38" t="s">
        <v>34</v>
      </c>
      <c r="H319" s="66" t="s">
        <v>1258</v>
      </c>
      <c r="I319" s="39">
        <v>19.5</v>
      </c>
      <c r="J319" s="40"/>
      <c r="K319" s="75">
        <f t="shared" si="24"/>
        <v>0</v>
      </c>
      <c r="L319" s="41"/>
      <c r="N319" s="45" t="str">
        <f t="shared" si="25"/>
        <v>-</v>
      </c>
      <c r="O319" s="42" t="str">
        <f t="shared" si="29"/>
        <v>-</v>
      </c>
      <c r="P319" s="43" t="str">
        <f t="shared" si="26"/>
        <v>-</v>
      </c>
      <c r="Q319" s="46" t="str">
        <f t="shared" si="27"/>
        <v>-</v>
      </c>
      <c r="S319" s="46" t="str">
        <f t="shared" si="28"/>
        <v>-</v>
      </c>
    </row>
    <row r="320" spans="1:19" ht="15" customHeight="1" x14ac:dyDescent="0.3">
      <c r="A320" s="74">
        <v>6548930</v>
      </c>
      <c r="B320" s="37">
        <v>91444</v>
      </c>
      <c r="C320" s="69">
        <v>21245914440</v>
      </c>
      <c r="D320" s="38" t="s">
        <v>1284</v>
      </c>
      <c r="E320" s="64">
        <v>4.6334460595500004E-2</v>
      </c>
      <c r="F320" s="70">
        <v>12</v>
      </c>
      <c r="G320" s="38" t="s">
        <v>135</v>
      </c>
      <c r="H320" s="66" t="s">
        <v>1258</v>
      </c>
      <c r="I320" s="39">
        <v>9.8962500000000002</v>
      </c>
      <c r="J320" s="40"/>
      <c r="K320" s="75">
        <f t="shared" si="24"/>
        <v>0</v>
      </c>
      <c r="L320" s="41"/>
      <c r="N320" s="45" t="str">
        <f t="shared" si="25"/>
        <v>-</v>
      </c>
      <c r="O320" s="42" t="str">
        <f t="shared" si="29"/>
        <v>-</v>
      </c>
      <c r="P320" s="43" t="str">
        <f t="shared" si="26"/>
        <v>-</v>
      </c>
      <c r="Q320" s="46" t="str">
        <f t="shared" si="27"/>
        <v>-</v>
      </c>
      <c r="S320" s="46" t="str">
        <f t="shared" si="28"/>
        <v>-</v>
      </c>
    </row>
    <row r="321" spans="1:19" ht="15" x14ac:dyDescent="0.3">
      <c r="A321" s="74">
        <v>2864491</v>
      </c>
      <c r="B321" s="37">
        <v>54901</v>
      </c>
      <c r="C321" s="69">
        <v>76280549010</v>
      </c>
      <c r="D321" s="38" t="s">
        <v>483</v>
      </c>
      <c r="E321" s="64">
        <v>0.20078249880000001</v>
      </c>
      <c r="F321" s="70">
        <v>6</v>
      </c>
      <c r="G321" s="38" t="s">
        <v>484</v>
      </c>
      <c r="H321" s="66" t="s">
        <v>1259</v>
      </c>
      <c r="I321" s="39">
        <v>12.918750000000001</v>
      </c>
      <c r="J321" s="40"/>
      <c r="K321" s="75">
        <f t="shared" si="24"/>
        <v>0</v>
      </c>
      <c r="L321" s="41"/>
      <c r="N321" s="45" t="str">
        <f t="shared" si="25"/>
        <v>-</v>
      </c>
      <c r="O321" s="42" t="str">
        <f t="shared" si="29"/>
        <v>-</v>
      </c>
      <c r="P321" s="43" t="str">
        <f t="shared" si="26"/>
        <v>-</v>
      </c>
      <c r="Q321" s="46" t="str">
        <f t="shared" si="27"/>
        <v>-</v>
      </c>
      <c r="S321" s="46" t="str">
        <f t="shared" si="28"/>
        <v>-</v>
      </c>
    </row>
    <row r="322" spans="1:19" ht="15" x14ac:dyDescent="0.3">
      <c r="A322" s="74">
        <v>3547598</v>
      </c>
      <c r="B322" s="37">
        <v>89504</v>
      </c>
      <c r="C322" s="69">
        <v>76280895049</v>
      </c>
      <c r="D322" s="38" t="s">
        <v>483</v>
      </c>
      <c r="E322" s="64">
        <v>0.33463749799999992</v>
      </c>
      <c r="F322" s="70">
        <v>6</v>
      </c>
      <c r="G322" s="38" t="s">
        <v>485</v>
      </c>
      <c r="H322" s="66" t="s">
        <v>1259</v>
      </c>
      <c r="I322" s="39">
        <v>22.425000000000001</v>
      </c>
      <c r="J322" s="40"/>
      <c r="K322" s="75">
        <f t="shared" si="24"/>
        <v>0</v>
      </c>
      <c r="L322" s="41"/>
      <c r="N322" s="45" t="str">
        <f t="shared" si="25"/>
        <v>-</v>
      </c>
      <c r="O322" s="42" t="str">
        <f t="shared" si="29"/>
        <v>-</v>
      </c>
      <c r="P322" s="43" t="str">
        <f t="shared" si="26"/>
        <v>-</v>
      </c>
      <c r="Q322" s="46" t="str">
        <f t="shared" si="27"/>
        <v>-</v>
      </c>
      <c r="S322" s="46" t="str">
        <f t="shared" si="28"/>
        <v>-</v>
      </c>
    </row>
    <row r="323" spans="1:19" ht="15" x14ac:dyDescent="0.3">
      <c r="A323" s="74">
        <v>3251482</v>
      </c>
      <c r="B323" s="37">
        <v>38584</v>
      </c>
      <c r="C323" s="69">
        <v>76280385847</v>
      </c>
      <c r="D323" s="38" t="s">
        <v>486</v>
      </c>
      <c r="E323" s="64">
        <v>7.2075768800000009E-2</v>
      </c>
      <c r="F323" s="70">
        <v>6</v>
      </c>
      <c r="G323" s="38" t="s">
        <v>34</v>
      </c>
      <c r="H323" s="66" t="s">
        <v>1259</v>
      </c>
      <c r="I323" s="39">
        <v>11.2125</v>
      </c>
      <c r="J323" s="40"/>
      <c r="K323" s="75">
        <f t="shared" si="24"/>
        <v>0</v>
      </c>
      <c r="L323" s="41"/>
      <c r="N323" s="45" t="str">
        <f t="shared" ref="N323:N386" si="30">IFERROR(IF($N$2*E323=0, "-", $N$2*E323), "-")</f>
        <v>-</v>
      </c>
      <c r="O323" s="42" t="str">
        <f t="shared" si="29"/>
        <v>-</v>
      </c>
      <c r="P323" s="43" t="str">
        <f t="shared" ref="P323:P386" si="31">IF(J323&gt;0,J323*E323, "-")</f>
        <v>-</v>
      </c>
      <c r="Q323" s="46" t="str">
        <f t="shared" ref="Q323:Q386" si="32">IFERROR(IF($N$2&gt;0, $N$2*P323, "-"), "-")</f>
        <v>-</v>
      </c>
      <c r="S323" s="46" t="str">
        <f t="shared" ref="S323:S386" si="33">IFERROR(IF(Q323+K323=0, "-", IF(Q323&gt;0, Q323+K323, "-")), "-")</f>
        <v>-</v>
      </c>
    </row>
    <row r="324" spans="1:19" ht="15" x14ac:dyDescent="0.3">
      <c r="A324" s="74">
        <v>5792033</v>
      </c>
      <c r="B324" s="37">
        <v>57445</v>
      </c>
      <c r="C324" s="69">
        <v>76280574456</v>
      </c>
      <c r="D324" s="38" t="s">
        <v>486</v>
      </c>
      <c r="E324" s="64">
        <v>0.11326192240000001</v>
      </c>
      <c r="F324" s="70">
        <v>12</v>
      </c>
      <c r="G324" s="38" t="s">
        <v>364</v>
      </c>
      <c r="H324" s="66" t="s">
        <v>1259</v>
      </c>
      <c r="I324" s="39">
        <v>19.5</v>
      </c>
      <c r="J324" s="40"/>
      <c r="K324" s="75">
        <f t="shared" ref="K324:K387" si="34">J324*I324</f>
        <v>0</v>
      </c>
      <c r="L324" s="41"/>
      <c r="N324" s="45" t="str">
        <f t="shared" si="30"/>
        <v>-</v>
      </c>
      <c r="O324" s="42" t="str">
        <f t="shared" ref="O324:O387" si="35">IFERROR(IF(N324&gt;0,I324+N324,"-"),"-")</f>
        <v>-</v>
      </c>
      <c r="P324" s="43" t="str">
        <f t="shared" si="31"/>
        <v>-</v>
      </c>
      <c r="Q324" s="46" t="str">
        <f t="shared" si="32"/>
        <v>-</v>
      </c>
      <c r="S324" s="46" t="str">
        <f t="shared" si="33"/>
        <v>-</v>
      </c>
    </row>
    <row r="325" spans="1:19" ht="15" x14ac:dyDescent="0.3">
      <c r="A325" s="74">
        <v>8426049</v>
      </c>
      <c r="B325" s="37">
        <v>46301</v>
      </c>
      <c r="C325" s="69">
        <v>76280463019</v>
      </c>
      <c r="D325" s="38" t="s">
        <v>89</v>
      </c>
      <c r="E325" s="64">
        <v>0.15444807599999999</v>
      </c>
      <c r="F325" s="70">
        <v>6</v>
      </c>
      <c r="G325" s="38" t="s">
        <v>58</v>
      </c>
      <c r="H325" s="66" t="s">
        <v>1259</v>
      </c>
      <c r="I325" s="39">
        <v>7.3125</v>
      </c>
      <c r="J325" s="40"/>
      <c r="K325" s="75">
        <f t="shared" si="34"/>
        <v>0</v>
      </c>
      <c r="L325" s="41"/>
      <c r="N325" s="45" t="str">
        <f t="shared" si="30"/>
        <v>-</v>
      </c>
      <c r="O325" s="42" t="str">
        <f t="shared" si="35"/>
        <v>-</v>
      </c>
      <c r="P325" s="43" t="str">
        <f t="shared" si="31"/>
        <v>-</v>
      </c>
      <c r="Q325" s="46" t="str">
        <f t="shared" si="32"/>
        <v>-</v>
      </c>
      <c r="S325" s="46" t="str">
        <f t="shared" si="33"/>
        <v>-</v>
      </c>
    </row>
    <row r="326" spans="1:19" ht="15" x14ac:dyDescent="0.3">
      <c r="A326" s="74">
        <v>2780469</v>
      </c>
      <c r="B326" s="37">
        <v>37402</v>
      </c>
      <c r="C326" s="69">
        <v>76280374025</v>
      </c>
      <c r="D326" s="38" t="s">
        <v>89</v>
      </c>
      <c r="E326" s="64">
        <v>0.27800653680000004</v>
      </c>
      <c r="F326" s="70">
        <v>6</v>
      </c>
      <c r="G326" s="38" t="s">
        <v>487</v>
      </c>
      <c r="H326" s="66" t="s">
        <v>1259</v>
      </c>
      <c r="I326" s="39">
        <v>12.723749999999999</v>
      </c>
      <c r="J326" s="40"/>
      <c r="K326" s="75">
        <f t="shared" si="34"/>
        <v>0</v>
      </c>
      <c r="L326" s="41"/>
      <c r="N326" s="45" t="str">
        <f t="shared" si="30"/>
        <v>-</v>
      </c>
      <c r="O326" s="42" t="str">
        <f t="shared" si="35"/>
        <v>-</v>
      </c>
      <c r="P326" s="43" t="str">
        <f t="shared" si="31"/>
        <v>-</v>
      </c>
      <c r="Q326" s="46" t="str">
        <f t="shared" si="32"/>
        <v>-</v>
      </c>
      <c r="S326" s="46" t="str">
        <f t="shared" si="33"/>
        <v>-</v>
      </c>
    </row>
    <row r="327" spans="1:19" ht="15" x14ac:dyDescent="0.3">
      <c r="A327" s="74">
        <v>3682063</v>
      </c>
      <c r="B327" s="37">
        <v>47705</v>
      </c>
      <c r="C327" s="69">
        <v>76280477054</v>
      </c>
      <c r="D327" s="38" t="s">
        <v>489</v>
      </c>
      <c r="E327" s="64">
        <v>9.2668845599999994E-2</v>
      </c>
      <c r="F327" s="70">
        <v>6</v>
      </c>
      <c r="G327" s="38" t="s">
        <v>490</v>
      </c>
      <c r="H327" s="66" t="s">
        <v>1259</v>
      </c>
      <c r="I327" s="39">
        <v>14.625</v>
      </c>
      <c r="J327" s="40"/>
      <c r="K327" s="75">
        <f t="shared" si="34"/>
        <v>0</v>
      </c>
      <c r="L327" s="41"/>
      <c r="N327" s="45" t="str">
        <f t="shared" si="30"/>
        <v>-</v>
      </c>
      <c r="O327" s="42" t="str">
        <f t="shared" si="35"/>
        <v>-</v>
      </c>
      <c r="P327" s="43" t="str">
        <f t="shared" si="31"/>
        <v>-</v>
      </c>
      <c r="Q327" s="46" t="str">
        <f t="shared" si="32"/>
        <v>-</v>
      </c>
      <c r="S327" s="46" t="str">
        <f t="shared" si="33"/>
        <v>-</v>
      </c>
    </row>
    <row r="328" spans="1:19" ht="15" x14ac:dyDescent="0.3">
      <c r="A328" s="74">
        <v>6458037</v>
      </c>
      <c r="B328" s="37">
        <v>54433</v>
      </c>
      <c r="C328" s="69">
        <v>76280544336</v>
      </c>
      <c r="D328" s="38" t="s">
        <v>493</v>
      </c>
      <c r="E328" s="64">
        <v>7.2075768800000009E-2</v>
      </c>
      <c r="F328" s="70">
        <v>6</v>
      </c>
      <c r="G328" s="38" t="s">
        <v>90</v>
      </c>
      <c r="H328" s="66" t="s">
        <v>1259</v>
      </c>
      <c r="I328" s="39">
        <v>8.3362500000000015</v>
      </c>
      <c r="J328" s="40"/>
      <c r="K328" s="75">
        <f t="shared" si="34"/>
        <v>0</v>
      </c>
      <c r="L328" s="41"/>
      <c r="N328" s="45" t="str">
        <f t="shared" si="30"/>
        <v>-</v>
      </c>
      <c r="O328" s="42" t="str">
        <f t="shared" si="35"/>
        <v>-</v>
      </c>
      <c r="P328" s="43" t="str">
        <f t="shared" si="31"/>
        <v>-</v>
      </c>
      <c r="Q328" s="46" t="str">
        <f t="shared" si="32"/>
        <v>-</v>
      </c>
      <c r="S328" s="46" t="str">
        <f t="shared" si="33"/>
        <v>-</v>
      </c>
    </row>
    <row r="329" spans="1:19" ht="15" x14ac:dyDescent="0.3">
      <c r="A329" s="74">
        <v>3387952</v>
      </c>
      <c r="B329" s="37">
        <v>4710</v>
      </c>
      <c r="C329" s="69">
        <v>76280047103</v>
      </c>
      <c r="D329" s="38" t="s">
        <v>340</v>
      </c>
      <c r="E329" s="64">
        <v>8.7520576400000008E-2</v>
      </c>
      <c r="F329" s="70">
        <v>12</v>
      </c>
      <c r="G329" s="38" t="s">
        <v>494</v>
      </c>
      <c r="H329" s="66" t="s">
        <v>1259</v>
      </c>
      <c r="I329" s="39">
        <v>5.2162500000000005</v>
      </c>
      <c r="J329" s="40"/>
      <c r="K329" s="75">
        <f t="shared" si="34"/>
        <v>0</v>
      </c>
      <c r="L329" s="41"/>
      <c r="N329" s="45" t="str">
        <f t="shared" si="30"/>
        <v>-</v>
      </c>
      <c r="O329" s="42" t="str">
        <f t="shared" si="35"/>
        <v>-</v>
      </c>
      <c r="P329" s="43" t="str">
        <f t="shared" si="31"/>
        <v>-</v>
      </c>
      <c r="Q329" s="46" t="str">
        <f t="shared" si="32"/>
        <v>-</v>
      </c>
      <c r="S329" s="46" t="str">
        <f t="shared" si="33"/>
        <v>-</v>
      </c>
    </row>
    <row r="330" spans="1:19" ht="15" x14ac:dyDescent="0.3">
      <c r="A330" s="74">
        <v>9553395</v>
      </c>
      <c r="B330" s="37">
        <v>47105</v>
      </c>
      <c r="C330" s="69">
        <v>76280471052</v>
      </c>
      <c r="D330" s="38" t="s">
        <v>502</v>
      </c>
      <c r="E330" s="64">
        <v>8.7520576400000008E-2</v>
      </c>
      <c r="F330" s="70">
        <v>12</v>
      </c>
      <c r="G330" s="38" t="s">
        <v>154</v>
      </c>
      <c r="H330" s="66" t="s">
        <v>1259</v>
      </c>
      <c r="I330" s="39">
        <v>6.8249999999999993</v>
      </c>
      <c r="J330" s="40"/>
      <c r="K330" s="75">
        <f t="shared" si="34"/>
        <v>0</v>
      </c>
      <c r="L330" s="41"/>
      <c r="N330" s="45" t="str">
        <f t="shared" si="30"/>
        <v>-</v>
      </c>
      <c r="O330" s="42" t="str">
        <f t="shared" si="35"/>
        <v>-</v>
      </c>
      <c r="P330" s="43" t="str">
        <f t="shared" si="31"/>
        <v>-</v>
      </c>
      <c r="Q330" s="46" t="str">
        <f t="shared" si="32"/>
        <v>-</v>
      </c>
      <c r="S330" s="46" t="str">
        <f t="shared" si="33"/>
        <v>-</v>
      </c>
    </row>
    <row r="331" spans="1:19" ht="15" x14ac:dyDescent="0.3">
      <c r="A331" s="74">
        <v>2773038</v>
      </c>
      <c r="B331" s="37">
        <v>4585</v>
      </c>
      <c r="C331" s="69">
        <v>76280045857</v>
      </c>
      <c r="D331" s="38" t="s">
        <v>504</v>
      </c>
      <c r="E331" s="64">
        <v>0.19048596039999999</v>
      </c>
      <c r="F331" s="70">
        <v>6</v>
      </c>
      <c r="G331" s="38" t="s">
        <v>290</v>
      </c>
      <c r="H331" s="66" t="s">
        <v>1259</v>
      </c>
      <c r="I331" s="39">
        <v>7.9950000000000001</v>
      </c>
      <c r="J331" s="40"/>
      <c r="K331" s="75">
        <f t="shared" si="34"/>
        <v>0</v>
      </c>
      <c r="L331" s="41"/>
      <c r="N331" s="45" t="str">
        <f t="shared" si="30"/>
        <v>-</v>
      </c>
      <c r="O331" s="42" t="str">
        <f t="shared" si="35"/>
        <v>-</v>
      </c>
      <c r="P331" s="43" t="str">
        <f t="shared" si="31"/>
        <v>-</v>
      </c>
      <c r="Q331" s="46" t="str">
        <f t="shared" si="32"/>
        <v>-</v>
      </c>
      <c r="S331" s="46" t="str">
        <f t="shared" si="33"/>
        <v>-</v>
      </c>
    </row>
    <row r="332" spans="1:19" ht="15" x14ac:dyDescent="0.3">
      <c r="A332" s="74">
        <v>3177954</v>
      </c>
      <c r="B332" s="37">
        <v>4797</v>
      </c>
      <c r="C332" s="69">
        <v>76280047974</v>
      </c>
      <c r="D332" s="38" t="s">
        <v>513</v>
      </c>
      <c r="E332" s="64">
        <v>0.24196865239999998</v>
      </c>
      <c r="F332" s="70">
        <v>6</v>
      </c>
      <c r="G332" s="38" t="s">
        <v>364</v>
      </c>
      <c r="H332" s="66" t="s">
        <v>1259</v>
      </c>
      <c r="I332" s="39">
        <v>9.7987500000000018</v>
      </c>
      <c r="J332" s="40"/>
      <c r="K332" s="75">
        <f t="shared" si="34"/>
        <v>0</v>
      </c>
      <c r="L332" s="41"/>
      <c r="N332" s="45" t="str">
        <f t="shared" si="30"/>
        <v>-</v>
      </c>
      <c r="O332" s="42" t="str">
        <f t="shared" si="35"/>
        <v>-</v>
      </c>
      <c r="P332" s="43" t="str">
        <f t="shared" si="31"/>
        <v>-</v>
      </c>
      <c r="Q332" s="46" t="str">
        <f t="shared" si="32"/>
        <v>-</v>
      </c>
      <c r="S332" s="46" t="str">
        <f t="shared" si="33"/>
        <v>-</v>
      </c>
    </row>
    <row r="333" spans="1:19" ht="15" x14ac:dyDescent="0.3">
      <c r="A333" s="74">
        <v>8064932</v>
      </c>
      <c r="B333" s="37">
        <v>4796</v>
      </c>
      <c r="C333" s="69">
        <v>76280047967</v>
      </c>
      <c r="D333" s="38" t="s">
        <v>513</v>
      </c>
      <c r="E333" s="64">
        <v>0.12870672999999999</v>
      </c>
      <c r="F333" s="70">
        <v>6</v>
      </c>
      <c r="G333" s="38" t="s">
        <v>34</v>
      </c>
      <c r="H333" s="66" t="s">
        <v>1259</v>
      </c>
      <c r="I333" s="39">
        <v>5.4112499999999999</v>
      </c>
      <c r="J333" s="40"/>
      <c r="K333" s="75">
        <f t="shared" si="34"/>
        <v>0</v>
      </c>
      <c r="L333" s="41"/>
      <c r="N333" s="45" t="str">
        <f t="shared" si="30"/>
        <v>-</v>
      </c>
      <c r="O333" s="42" t="str">
        <f t="shared" si="35"/>
        <v>-</v>
      </c>
      <c r="P333" s="43" t="str">
        <f t="shared" si="31"/>
        <v>-</v>
      </c>
      <c r="Q333" s="46" t="str">
        <f t="shared" si="32"/>
        <v>-</v>
      </c>
      <c r="S333" s="46" t="str">
        <f t="shared" si="33"/>
        <v>-</v>
      </c>
    </row>
    <row r="334" spans="1:19" ht="15" x14ac:dyDescent="0.3">
      <c r="A334" s="74">
        <v>7349797</v>
      </c>
      <c r="B334" s="37">
        <v>4583</v>
      </c>
      <c r="C334" s="69">
        <v>76280045833</v>
      </c>
      <c r="D334" s="38" t="s">
        <v>514</v>
      </c>
      <c r="E334" s="64">
        <v>0.15444807599999999</v>
      </c>
      <c r="F334" s="70">
        <v>6</v>
      </c>
      <c r="G334" s="38" t="s">
        <v>74</v>
      </c>
      <c r="H334" s="66" t="s">
        <v>1259</v>
      </c>
      <c r="I334" s="39">
        <v>5.8987499999999997</v>
      </c>
      <c r="J334" s="40"/>
      <c r="K334" s="75">
        <f t="shared" si="34"/>
        <v>0</v>
      </c>
      <c r="L334" s="41"/>
      <c r="N334" s="45" t="str">
        <f t="shared" si="30"/>
        <v>-</v>
      </c>
      <c r="O334" s="42" t="str">
        <f t="shared" si="35"/>
        <v>-</v>
      </c>
      <c r="P334" s="43" t="str">
        <f t="shared" si="31"/>
        <v>-</v>
      </c>
      <c r="Q334" s="46" t="str">
        <f t="shared" si="32"/>
        <v>-</v>
      </c>
      <c r="S334" s="46" t="str">
        <f t="shared" si="33"/>
        <v>-</v>
      </c>
    </row>
    <row r="335" spans="1:19" ht="15" x14ac:dyDescent="0.3">
      <c r="A335" s="74">
        <v>5566870</v>
      </c>
      <c r="B335" s="37">
        <v>35281</v>
      </c>
      <c r="C335" s="69">
        <v>76280352818</v>
      </c>
      <c r="D335" s="38" t="s">
        <v>517</v>
      </c>
      <c r="E335" s="64">
        <v>8.2372307199999995E-2</v>
      </c>
      <c r="F335" s="70">
        <v>12</v>
      </c>
      <c r="G335" s="38" t="s">
        <v>34</v>
      </c>
      <c r="H335" s="66" t="s">
        <v>1259</v>
      </c>
      <c r="I335" s="39">
        <v>8.53125</v>
      </c>
      <c r="J335" s="40"/>
      <c r="K335" s="75">
        <f t="shared" si="34"/>
        <v>0</v>
      </c>
      <c r="L335" s="41"/>
      <c r="N335" s="45" t="str">
        <f t="shared" si="30"/>
        <v>-</v>
      </c>
      <c r="O335" s="42" t="str">
        <f t="shared" si="35"/>
        <v>-</v>
      </c>
      <c r="P335" s="43" t="str">
        <f t="shared" si="31"/>
        <v>-</v>
      </c>
      <c r="Q335" s="46" t="str">
        <f t="shared" si="32"/>
        <v>-</v>
      </c>
      <c r="S335" s="46" t="str">
        <f t="shared" si="33"/>
        <v>-</v>
      </c>
    </row>
    <row r="336" spans="1:19" ht="15" x14ac:dyDescent="0.3">
      <c r="A336" s="74">
        <v>4055985</v>
      </c>
      <c r="B336" s="37">
        <v>57419</v>
      </c>
      <c r="C336" s="69">
        <v>76280574197</v>
      </c>
      <c r="D336" s="38" t="s">
        <v>521</v>
      </c>
      <c r="E336" s="64">
        <v>0.18018942199999999</v>
      </c>
      <c r="F336" s="70">
        <v>6</v>
      </c>
      <c r="G336" s="38" t="s">
        <v>207</v>
      </c>
      <c r="H336" s="66" t="s">
        <v>1259</v>
      </c>
      <c r="I336" s="39">
        <v>18.037500000000001</v>
      </c>
      <c r="J336" s="40"/>
      <c r="K336" s="75">
        <f t="shared" si="34"/>
        <v>0</v>
      </c>
      <c r="L336" s="41"/>
      <c r="N336" s="45" t="str">
        <f t="shared" si="30"/>
        <v>-</v>
      </c>
      <c r="O336" s="42" t="str">
        <f t="shared" si="35"/>
        <v>-</v>
      </c>
      <c r="P336" s="43" t="str">
        <f t="shared" si="31"/>
        <v>-</v>
      </c>
      <c r="Q336" s="46" t="str">
        <f t="shared" si="32"/>
        <v>-</v>
      </c>
      <c r="S336" s="46" t="str">
        <f t="shared" si="33"/>
        <v>-</v>
      </c>
    </row>
    <row r="337" spans="1:19" ht="15" x14ac:dyDescent="0.3">
      <c r="A337" s="74">
        <v>2950185</v>
      </c>
      <c r="B337" s="37">
        <v>62754</v>
      </c>
      <c r="C337" s="69">
        <v>76280627541</v>
      </c>
      <c r="D337" s="38" t="s">
        <v>526</v>
      </c>
      <c r="E337" s="64">
        <v>7.7224037999999995E-2</v>
      </c>
      <c r="F337" s="70">
        <v>12</v>
      </c>
      <c r="G337" s="38" t="s">
        <v>98</v>
      </c>
      <c r="H337" s="66" t="s">
        <v>1259</v>
      </c>
      <c r="I337" s="39">
        <v>9.75</v>
      </c>
      <c r="J337" s="40"/>
      <c r="K337" s="75">
        <f t="shared" si="34"/>
        <v>0</v>
      </c>
      <c r="L337" s="41"/>
      <c r="N337" s="45" t="str">
        <f t="shared" si="30"/>
        <v>-</v>
      </c>
      <c r="O337" s="42" t="str">
        <f t="shared" si="35"/>
        <v>-</v>
      </c>
      <c r="P337" s="43" t="str">
        <f t="shared" si="31"/>
        <v>-</v>
      </c>
      <c r="Q337" s="46" t="str">
        <f t="shared" si="32"/>
        <v>-</v>
      </c>
      <c r="S337" s="46" t="str">
        <f t="shared" si="33"/>
        <v>-</v>
      </c>
    </row>
    <row r="338" spans="1:19" ht="15" x14ac:dyDescent="0.3">
      <c r="A338" s="74">
        <v>7518477</v>
      </c>
      <c r="B338" s="37">
        <v>20677</v>
      </c>
      <c r="C338" s="69">
        <v>76280206777</v>
      </c>
      <c r="D338" s="38" t="s">
        <v>489</v>
      </c>
      <c r="E338" s="64">
        <v>7.2075768800000009E-2</v>
      </c>
      <c r="F338" s="70">
        <v>6</v>
      </c>
      <c r="G338" s="38" t="s">
        <v>34</v>
      </c>
      <c r="H338" s="66" t="s">
        <v>1259</v>
      </c>
      <c r="I338" s="39">
        <v>14.625</v>
      </c>
      <c r="J338" s="40"/>
      <c r="K338" s="75">
        <f t="shared" si="34"/>
        <v>0</v>
      </c>
      <c r="L338" s="41"/>
      <c r="N338" s="45" t="str">
        <f t="shared" si="30"/>
        <v>-</v>
      </c>
      <c r="O338" s="42" t="str">
        <f t="shared" si="35"/>
        <v>-</v>
      </c>
      <c r="P338" s="43" t="str">
        <f t="shared" si="31"/>
        <v>-</v>
      </c>
      <c r="Q338" s="46" t="str">
        <f t="shared" si="32"/>
        <v>-</v>
      </c>
      <c r="S338" s="46" t="str">
        <f t="shared" si="33"/>
        <v>-</v>
      </c>
    </row>
    <row r="339" spans="1:19" ht="15" x14ac:dyDescent="0.3">
      <c r="A339" s="74">
        <v>5758684</v>
      </c>
      <c r="B339" s="37">
        <v>1645</v>
      </c>
      <c r="C339" s="69">
        <v>76280016451</v>
      </c>
      <c r="D339" s="38" t="s">
        <v>537</v>
      </c>
      <c r="E339" s="64">
        <v>8.7520576400000008E-2</v>
      </c>
      <c r="F339" s="70">
        <v>6</v>
      </c>
      <c r="G339" s="38" t="s">
        <v>409</v>
      </c>
      <c r="H339" s="66" t="s">
        <v>1259</v>
      </c>
      <c r="I339" s="39">
        <v>6.24</v>
      </c>
      <c r="J339" s="40"/>
      <c r="K339" s="75">
        <f t="shared" si="34"/>
        <v>0</v>
      </c>
      <c r="L339" s="41"/>
      <c r="N339" s="45" t="str">
        <f t="shared" si="30"/>
        <v>-</v>
      </c>
      <c r="O339" s="42" t="str">
        <f t="shared" si="35"/>
        <v>-</v>
      </c>
      <c r="P339" s="43" t="str">
        <f t="shared" si="31"/>
        <v>-</v>
      </c>
      <c r="Q339" s="46" t="str">
        <f t="shared" si="32"/>
        <v>-</v>
      </c>
      <c r="S339" s="46" t="str">
        <f t="shared" si="33"/>
        <v>-</v>
      </c>
    </row>
    <row r="340" spans="1:19" ht="15" x14ac:dyDescent="0.3">
      <c r="A340" s="74">
        <v>5943614</v>
      </c>
      <c r="B340" s="37">
        <v>46105</v>
      </c>
      <c r="C340" s="69">
        <v>76280461053</v>
      </c>
      <c r="D340" s="38" t="s">
        <v>425</v>
      </c>
      <c r="E340" s="64">
        <v>6.6927499599999996E-2</v>
      </c>
      <c r="F340" s="70">
        <v>6</v>
      </c>
      <c r="G340" s="38" t="s">
        <v>285</v>
      </c>
      <c r="H340" s="66" t="s">
        <v>1259</v>
      </c>
      <c r="I340" s="39">
        <v>5.8987499999999997</v>
      </c>
      <c r="J340" s="40"/>
      <c r="K340" s="75">
        <f t="shared" si="34"/>
        <v>0</v>
      </c>
      <c r="L340" s="41"/>
      <c r="N340" s="45" t="str">
        <f t="shared" si="30"/>
        <v>-</v>
      </c>
      <c r="O340" s="42" t="str">
        <f t="shared" si="35"/>
        <v>-</v>
      </c>
      <c r="P340" s="43" t="str">
        <f t="shared" si="31"/>
        <v>-</v>
      </c>
      <c r="Q340" s="46" t="str">
        <f t="shared" si="32"/>
        <v>-</v>
      </c>
      <c r="S340" s="46" t="str">
        <f t="shared" si="33"/>
        <v>-</v>
      </c>
    </row>
    <row r="341" spans="1:19" ht="15" x14ac:dyDescent="0.3">
      <c r="A341" s="74">
        <v>3296842</v>
      </c>
      <c r="B341" s="37">
        <v>4420</v>
      </c>
      <c r="C341" s="69">
        <v>76280044201</v>
      </c>
      <c r="D341" s="38" t="s">
        <v>587</v>
      </c>
      <c r="E341" s="64">
        <v>0.16989288359999999</v>
      </c>
      <c r="F341" s="70">
        <v>6</v>
      </c>
      <c r="G341" s="38" t="s">
        <v>207</v>
      </c>
      <c r="H341" s="66" t="s">
        <v>1259</v>
      </c>
      <c r="I341" s="39">
        <v>7.3125</v>
      </c>
      <c r="J341" s="40"/>
      <c r="K341" s="75">
        <f t="shared" si="34"/>
        <v>0</v>
      </c>
      <c r="L341" s="41"/>
      <c r="N341" s="45" t="str">
        <f t="shared" si="30"/>
        <v>-</v>
      </c>
      <c r="O341" s="42" t="str">
        <f t="shared" si="35"/>
        <v>-</v>
      </c>
      <c r="P341" s="43" t="str">
        <f t="shared" si="31"/>
        <v>-</v>
      </c>
      <c r="Q341" s="46" t="str">
        <f t="shared" si="32"/>
        <v>-</v>
      </c>
      <c r="S341" s="46" t="str">
        <f t="shared" si="33"/>
        <v>-</v>
      </c>
    </row>
    <row r="342" spans="1:19" ht="15" x14ac:dyDescent="0.3">
      <c r="A342" s="74">
        <v>6174748</v>
      </c>
      <c r="B342" s="37">
        <v>4676</v>
      </c>
      <c r="C342" s="69">
        <v>76280046762</v>
      </c>
      <c r="D342" s="38" t="s">
        <v>597</v>
      </c>
      <c r="E342" s="64">
        <v>8.2372307199999995E-2</v>
      </c>
      <c r="F342" s="70">
        <v>12</v>
      </c>
      <c r="G342" s="38" t="s">
        <v>598</v>
      </c>
      <c r="H342" s="66" t="s">
        <v>1259</v>
      </c>
      <c r="I342" s="39">
        <v>4.9237500000000001</v>
      </c>
      <c r="J342" s="40"/>
      <c r="K342" s="75">
        <f t="shared" si="34"/>
        <v>0</v>
      </c>
      <c r="L342" s="41"/>
      <c r="N342" s="45" t="str">
        <f t="shared" si="30"/>
        <v>-</v>
      </c>
      <c r="O342" s="42" t="str">
        <f t="shared" si="35"/>
        <v>-</v>
      </c>
      <c r="P342" s="43" t="str">
        <f t="shared" si="31"/>
        <v>-</v>
      </c>
      <c r="Q342" s="46" t="str">
        <f t="shared" si="32"/>
        <v>-</v>
      </c>
      <c r="S342" s="46" t="str">
        <f t="shared" si="33"/>
        <v>-</v>
      </c>
    </row>
    <row r="343" spans="1:19" ht="15" x14ac:dyDescent="0.3">
      <c r="A343" s="74">
        <v>7073641</v>
      </c>
      <c r="B343" s="37">
        <v>47102</v>
      </c>
      <c r="C343" s="69">
        <v>76280471021</v>
      </c>
      <c r="D343" s="38" t="s">
        <v>624</v>
      </c>
      <c r="E343" s="64">
        <v>6.1779230399999996E-2</v>
      </c>
      <c r="F343" s="70">
        <v>12</v>
      </c>
      <c r="G343" s="38" t="s">
        <v>285</v>
      </c>
      <c r="H343" s="66" t="s">
        <v>1259</v>
      </c>
      <c r="I343" s="39">
        <v>4.4362500000000002</v>
      </c>
      <c r="J343" s="40"/>
      <c r="K343" s="75">
        <f t="shared" si="34"/>
        <v>0</v>
      </c>
      <c r="L343" s="41"/>
      <c r="N343" s="45" t="str">
        <f t="shared" si="30"/>
        <v>-</v>
      </c>
      <c r="O343" s="42" t="str">
        <f t="shared" si="35"/>
        <v>-</v>
      </c>
      <c r="P343" s="43" t="str">
        <f t="shared" si="31"/>
        <v>-</v>
      </c>
      <c r="Q343" s="46" t="str">
        <f t="shared" si="32"/>
        <v>-</v>
      </c>
      <c r="S343" s="46" t="str">
        <f t="shared" si="33"/>
        <v>-</v>
      </c>
    </row>
    <row r="344" spans="1:19" ht="15" x14ac:dyDescent="0.3">
      <c r="A344" s="74">
        <v>7486732</v>
      </c>
      <c r="B344" s="37">
        <v>4432</v>
      </c>
      <c r="C344" s="69">
        <v>76280044324</v>
      </c>
      <c r="D344" s="38" t="s">
        <v>632</v>
      </c>
      <c r="E344" s="64">
        <v>0.10811365319999999</v>
      </c>
      <c r="F344" s="70">
        <v>12</v>
      </c>
      <c r="G344" s="38" t="s">
        <v>207</v>
      </c>
      <c r="H344" s="66" t="s">
        <v>1259</v>
      </c>
      <c r="I344" s="39">
        <v>5.7525000000000004</v>
      </c>
      <c r="J344" s="40"/>
      <c r="K344" s="75">
        <f t="shared" si="34"/>
        <v>0</v>
      </c>
      <c r="L344" s="41"/>
      <c r="N344" s="45" t="str">
        <f t="shared" si="30"/>
        <v>-</v>
      </c>
      <c r="O344" s="42" t="str">
        <f t="shared" si="35"/>
        <v>-</v>
      </c>
      <c r="P344" s="43" t="str">
        <f t="shared" si="31"/>
        <v>-</v>
      </c>
      <c r="Q344" s="46" t="str">
        <f t="shared" si="32"/>
        <v>-</v>
      </c>
      <c r="S344" s="46" t="str">
        <f t="shared" si="33"/>
        <v>-</v>
      </c>
    </row>
    <row r="345" spans="1:19" ht="15" x14ac:dyDescent="0.3">
      <c r="A345" s="74">
        <v>4167606</v>
      </c>
      <c r="B345" s="37">
        <v>3080</v>
      </c>
      <c r="C345" s="69">
        <v>76280030808</v>
      </c>
      <c r="D345" s="38" t="s">
        <v>695</v>
      </c>
      <c r="E345" s="64">
        <v>6.6927499599999996E-2</v>
      </c>
      <c r="F345" s="70">
        <v>6</v>
      </c>
      <c r="G345" s="38" t="s">
        <v>648</v>
      </c>
      <c r="H345" s="66" t="s">
        <v>1259</v>
      </c>
      <c r="I345" s="39">
        <v>8.53125</v>
      </c>
      <c r="J345" s="40"/>
      <c r="K345" s="75">
        <f t="shared" si="34"/>
        <v>0</v>
      </c>
      <c r="L345" s="41"/>
      <c r="N345" s="45" t="str">
        <f t="shared" si="30"/>
        <v>-</v>
      </c>
      <c r="O345" s="42" t="str">
        <f t="shared" si="35"/>
        <v>-</v>
      </c>
      <c r="P345" s="43" t="str">
        <f t="shared" si="31"/>
        <v>-</v>
      </c>
      <c r="Q345" s="46" t="str">
        <f t="shared" si="32"/>
        <v>-</v>
      </c>
      <c r="S345" s="46" t="str">
        <f t="shared" si="33"/>
        <v>-</v>
      </c>
    </row>
    <row r="346" spans="1:19" ht="15" x14ac:dyDescent="0.3">
      <c r="A346" s="74">
        <v>6659109</v>
      </c>
      <c r="B346" s="37">
        <v>1440</v>
      </c>
      <c r="C346" s="69">
        <v>76280014402</v>
      </c>
      <c r="D346" s="38" t="s">
        <v>733</v>
      </c>
      <c r="E346" s="64">
        <v>9.7817114799999993E-2</v>
      </c>
      <c r="F346" s="70">
        <v>6</v>
      </c>
      <c r="G346" s="38" t="s">
        <v>592</v>
      </c>
      <c r="H346" s="66" t="s">
        <v>1259</v>
      </c>
      <c r="I346" s="39">
        <v>6.1425000000000001</v>
      </c>
      <c r="J346" s="40"/>
      <c r="K346" s="75">
        <f t="shared" si="34"/>
        <v>0</v>
      </c>
      <c r="L346" s="41"/>
      <c r="N346" s="45" t="str">
        <f t="shared" si="30"/>
        <v>-</v>
      </c>
      <c r="O346" s="42" t="str">
        <f t="shared" si="35"/>
        <v>-</v>
      </c>
      <c r="P346" s="43" t="str">
        <f t="shared" si="31"/>
        <v>-</v>
      </c>
      <c r="Q346" s="46" t="str">
        <f t="shared" si="32"/>
        <v>-</v>
      </c>
      <c r="S346" s="46" t="str">
        <f t="shared" si="33"/>
        <v>-</v>
      </c>
    </row>
    <row r="347" spans="1:19" ht="15" x14ac:dyDescent="0.3">
      <c r="A347" s="74">
        <v>8961663</v>
      </c>
      <c r="B347" s="37">
        <v>4596</v>
      </c>
      <c r="C347" s="69">
        <v>76280045963</v>
      </c>
      <c r="D347" s="38" t="s">
        <v>817</v>
      </c>
      <c r="E347" s="64">
        <v>6.1779230399999996E-2</v>
      </c>
      <c r="F347" s="70">
        <v>12</v>
      </c>
      <c r="G347" s="38" t="s">
        <v>818</v>
      </c>
      <c r="H347" s="66" t="s">
        <v>1259</v>
      </c>
      <c r="I347" s="39">
        <v>3.9000000000000004</v>
      </c>
      <c r="J347" s="40"/>
      <c r="K347" s="75">
        <f t="shared" si="34"/>
        <v>0</v>
      </c>
      <c r="L347" s="41"/>
      <c r="N347" s="45" t="str">
        <f t="shared" si="30"/>
        <v>-</v>
      </c>
      <c r="O347" s="42" t="str">
        <f t="shared" si="35"/>
        <v>-</v>
      </c>
      <c r="P347" s="43" t="str">
        <f t="shared" si="31"/>
        <v>-</v>
      </c>
      <c r="Q347" s="46" t="str">
        <f t="shared" si="32"/>
        <v>-</v>
      </c>
      <c r="S347" s="46" t="str">
        <f t="shared" si="33"/>
        <v>-</v>
      </c>
    </row>
    <row r="348" spans="1:19" ht="15" x14ac:dyDescent="0.3">
      <c r="A348" s="74">
        <v>4365158</v>
      </c>
      <c r="B348" s="37">
        <v>4440</v>
      </c>
      <c r="C348" s="69">
        <v>76280044409</v>
      </c>
      <c r="D348" s="38" t="s">
        <v>488</v>
      </c>
      <c r="E348" s="64">
        <v>0.19048596039999999</v>
      </c>
      <c r="F348" s="70">
        <v>6</v>
      </c>
      <c r="G348" s="38" t="s">
        <v>117</v>
      </c>
      <c r="H348" s="66" t="s">
        <v>1259</v>
      </c>
      <c r="I348" s="39">
        <v>9.2624999999999993</v>
      </c>
      <c r="J348" s="40"/>
      <c r="K348" s="75">
        <f t="shared" si="34"/>
        <v>0</v>
      </c>
      <c r="L348" s="41"/>
      <c r="N348" s="45" t="str">
        <f t="shared" si="30"/>
        <v>-</v>
      </c>
      <c r="O348" s="42" t="str">
        <f t="shared" si="35"/>
        <v>-</v>
      </c>
      <c r="P348" s="43" t="str">
        <f t="shared" si="31"/>
        <v>-</v>
      </c>
      <c r="Q348" s="46" t="str">
        <f t="shared" si="32"/>
        <v>-</v>
      </c>
      <c r="S348" s="46" t="str">
        <f t="shared" si="33"/>
        <v>-</v>
      </c>
    </row>
    <row r="349" spans="1:19" ht="15" x14ac:dyDescent="0.3">
      <c r="A349" s="74">
        <v>5678625</v>
      </c>
      <c r="B349" s="37">
        <v>4670</v>
      </c>
      <c r="C349" s="69">
        <v>76280046700</v>
      </c>
      <c r="D349" s="38" t="s">
        <v>491</v>
      </c>
      <c r="E349" s="64">
        <v>9.7817114799999993E-2</v>
      </c>
      <c r="F349" s="70">
        <v>6</v>
      </c>
      <c r="G349" s="38" t="s">
        <v>143</v>
      </c>
      <c r="H349" s="66" t="s">
        <v>1263</v>
      </c>
      <c r="I349" s="39">
        <v>5.1674999999999995</v>
      </c>
      <c r="J349" s="40"/>
      <c r="K349" s="75">
        <f t="shared" si="34"/>
        <v>0</v>
      </c>
      <c r="L349" s="41"/>
      <c r="N349" s="45" t="str">
        <f t="shared" si="30"/>
        <v>-</v>
      </c>
      <c r="O349" s="42" t="str">
        <f t="shared" si="35"/>
        <v>-</v>
      </c>
      <c r="P349" s="43" t="str">
        <f t="shared" si="31"/>
        <v>-</v>
      </c>
      <c r="Q349" s="46" t="str">
        <f t="shared" si="32"/>
        <v>-</v>
      </c>
      <c r="S349" s="46" t="str">
        <f t="shared" si="33"/>
        <v>-</v>
      </c>
    </row>
    <row r="350" spans="1:19" ht="15" x14ac:dyDescent="0.3">
      <c r="A350" s="74">
        <v>3051004</v>
      </c>
      <c r="B350" s="37">
        <v>4300</v>
      </c>
      <c r="C350" s="69">
        <v>76280043006</v>
      </c>
      <c r="D350" s="38" t="s">
        <v>495</v>
      </c>
      <c r="E350" s="64">
        <v>8.2372307199999995E-2</v>
      </c>
      <c r="F350" s="70">
        <v>6</v>
      </c>
      <c r="G350" s="38" t="s">
        <v>496</v>
      </c>
      <c r="H350" s="66" t="s">
        <v>1263</v>
      </c>
      <c r="I350" s="39">
        <v>7.8000000000000007</v>
      </c>
      <c r="J350" s="40"/>
      <c r="K350" s="75">
        <f t="shared" si="34"/>
        <v>0</v>
      </c>
      <c r="L350" s="41"/>
      <c r="N350" s="45" t="str">
        <f t="shared" si="30"/>
        <v>-</v>
      </c>
      <c r="O350" s="42" t="str">
        <f t="shared" si="35"/>
        <v>-</v>
      </c>
      <c r="P350" s="43" t="str">
        <f t="shared" si="31"/>
        <v>-</v>
      </c>
      <c r="Q350" s="46" t="str">
        <f t="shared" si="32"/>
        <v>-</v>
      </c>
      <c r="S350" s="46" t="str">
        <f t="shared" si="33"/>
        <v>-</v>
      </c>
    </row>
    <row r="351" spans="1:19" ht="15" x14ac:dyDescent="0.3">
      <c r="A351" s="74">
        <v>8643295</v>
      </c>
      <c r="B351" s="37">
        <v>4450</v>
      </c>
      <c r="C351" s="69">
        <v>76280044508</v>
      </c>
      <c r="D351" s="38" t="s">
        <v>503</v>
      </c>
      <c r="E351" s="64">
        <v>0.18533769119999999</v>
      </c>
      <c r="F351" s="70">
        <v>6</v>
      </c>
      <c r="G351" s="38" t="s">
        <v>117</v>
      </c>
      <c r="H351" s="66" t="s">
        <v>1263</v>
      </c>
      <c r="I351" s="39">
        <v>9.75</v>
      </c>
      <c r="J351" s="40"/>
      <c r="K351" s="75">
        <f t="shared" si="34"/>
        <v>0</v>
      </c>
      <c r="L351" s="41"/>
      <c r="N351" s="45" t="str">
        <f t="shared" si="30"/>
        <v>-</v>
      </c>
      <c r="O351" s="42" t="str">
        <f t="shared" si="35"/>
        <v>-</v>
      </c>
      <c r="P351" s="43" t="str">
        <f t="shared" si="31"/>
        <v>-</v>
      </c>
      <c r="Q351" s="46" t="str">
        <f t="shared" si="32"/>
        <v>-</v>
      </c>
      <c r="S351" s="46" t="str">
        <f t="shared" si="33"/>
        <v>-</v>
      </c>
    </row>
    <row r="352" spans="1:19" ht="15" x14ac:dyDescent="0.3">
      <c r="A352" s="74">
        <v>9244603</v>
      </c>
      <c r="B352" s="37">
        <v>45852</v>
      </c>
      <c r="C352" s="69">
        <v>76280458527</v>
      </c>
      <c r="D352" s="38" t="s">
        <v>504</v>
      </c>
      <c r="E352" s="64">
        <v>0.40156499760000003</v>
      </c>
      <c r="F352" s="70">
        <v>6</v>
      </c>
      <c r="G352" s="38" t="s">
        <v>291</v>
      </c>
      <c r="H352" s="66" t="s">
        <v>1263</v>
      </c>
      <c r="I352" s="39">
        <v>13.162500000000001</v>
      </c>
      <c r="J352" s="40"/>
      <c r="K352" s="75">
        <f t="shared" si="34"/>
        <v>0</v>
      </c>
      <c r="L352" s="41"/>
      <c r="N352" s="45" t="str">
        <f t="shared" si="30"/>
        <v>-</v>
      </c>
      <c r="O352" s="42" t="str">
        <f t="shared" si="35"/>
        <v>-</v>
      </c>
      <c r="P352" s="43" t="str">
        <f t="shared" si="31"/>
        <v>-</v>
      </c>
      <c r="Q352" s="46" t="str">
        <f t="shared" si="32"/>
        <v>-</v>
      </c>
      <c r="S352" s="46" t="str">
        <f t="shared" si="33"/>
        <v>-</v>
      </c>
    </row>
    <row r="353" spans="1:19" ht="15" x14ac:dyDescent="0.3">
      <c r="A353" s="74">
        <v>7178273</v>
      </c>
      <c r="B353" s="37">
        <v>11777</v>
      </c>
      <c r="C353" s="69">
        <v>76280117776</v>
      </c>
      <c r="D353" s="38" t="s">
        <v>505</v>
      </c>
      <c r="E353" s="64">
        <v>9.2668845599999994E-2</v>
      </c>
      <c r="F353" s="70">
        <v>6</v>
      </c>
      <c r="G353" s="38" t="s">
        <v>330</v>
      </c>
      <c r="H353" s="66" t="s">
        <v>1263</v>
      </c>
      <c r="I353" s="39">
        <v>17.55</v>
      </c>
      <c r="J353" s="40"/>
      <c r="K353" s="75">
        <f t="shared" si="34"/>
        <v>0</v>
      </c>
      <c r="L353" s="41"/>
      <c r="N353" s="45" t="str">
        <f t="shared" si="30"/>
        <v>-</v>
      </c>
      <c r="O353" s="42" t="str">
        <f t="shared" si="35"/>
        <v>-</v>
      </c>
      <c r="P353" s="43" t="str">
        <f t="shared" si="31"/>
        <v>-</v>
      </c>
      <c r="Q353" s="46" t="str">
        <f t="shared" si="32"/>
        <v>-</v>
      </c>
      <c r="S353" s="46" t="str">
        <f t="shared" si="33"/>
        <v>-</v>
      </c>
    </row>
    <row r="354" spans="1:19" ht="15" x14ac:dyDescent="0.3">
      <c r="A354" s="74">
        <v>1351969</v>
      </c>
      <c r="B354" s="37">
        <v>4560</v>
      </c>
      <c r="C354" s="69">
        <v>76280045604</v>
      </c>
      <c r="D354" s="38" t="s">
        <v>506</v>
      </c>
      <c r="E354" s="64">
        <v>0.19048596039999999</v>
      </c>
      <c r="F354" s="70">
        <v>6</v>
      </c>
      <c r="G354" s="38" t="s">
        <v>154</v>
      </c>
      <c r="H354" s="66" t="s">
        <v>1263</v>
      </c>
      <c r="I354" s="39">
        <v>7.3125</v>
      </c>
      <c r="J354" s="40"/>
      <c r="K354" s="75">
        <f t="shared" si="34"/>
        <v>0</v>
      </c>
      <c r="L354" s="41"/>
      <c r="N354" s="45" t="str">
        <f t="shared" si="30"/>
        <v>-</v>
      </c>
      <c r="O354" s="42" t="str">
        <f t="shared" si="35"/>
        <v>-</v>
      </c>
      <c r="P354" s="43" t="str">
        <f t="shared" si="31"/>
        <v>-</v>
      </c>
      <c r="Q354" s="46" t="str">
        <f t="shared" si="32"/>
        <v>-</v>
      </c>
      <c r="S354" s="46" t="str">
        <f t="shared" si="33"/>
        <v>-</v>
      </c>
    </row>
    <row r="355" spans="1:19" ht="15" x14ac:dyDescent="0.3">
      <c r="A355" s="74">
        <v>6017952</v>
      </c>
      <c r="B355" s="37">
        <v>4561</v>
      </c>
      <c r="C355" s="69">
        <v>76280045611</v>
      </c>
      <c r="D355" s="38" t="s">
        <v>506</v>
      </c>
      <c r="E355" s="64">
        <v>0.40671326679999997</v>
      </c>
      <c r="F355" s="70">
        <v>6</v>
      </c>
      <c r="G355" s="38" t="s">
        <v>157</v>
      </c>
      <c r="H355" s="66" t="s">
        <v>1263</v>
      </c>
      <c r="I355" s="39">
        <v>14.625</v>
      </c>
      <c r="J355" s="40"/>
      <c r="K355" s="75">
        <f t="shared" si="34"/>
        <v>0</v>
      </c>
      <c r="L355" s="41"/>
      <c r="N355" s="45" t="str">
        <f t="shared" si="30"/>
        <v>-</v>
      </c>
      <c r="O355" s="42" t="str">
        <f t="shared" si="35"/>
        <v>-</v>
      </c>
      <c r="P355" s="43" t="str">
        <f t="shared" si="31"/>
        <v>-</v>
      </c>
      <c r="Q355" s="46" t="str">
        <f t="shared" si="32"/>
        <v>-</v>
      </c>
      <c r="S355" s="46" t="str">
        <f t="shared" si="33"/>
        <v>-</v>
      </c>
    </row>
    <row r="356" spans="1:19" ht="15" x14ac:dyDescent="0.3">
      <c r="A356" s="74">
        <v>4016278</v>
      </c>
      <c r="B356" s="37">
        <v>4940</v>
      </c>
      <c r="C356" s="69">
        <v>76280049404</v>
      </c>
      <c r="D356" s="38" t="s">
        <v>509</v>
      </c>
      <c r="E356" s="64">
        <v>8.7520576400000008E-2</v>
      </c>
      <c r="F356" s="70">
        <v>12</v>
      </c>
      <c r="G356" s="38" t="s">
        <v>98</v>
      </c>
      <c r="H356" s="66" t="s">
        <v>1263</v>
      </c>
      <c r="I356" s="39">
        <v>4.5337500000000004</v>
      </c>
      <c r="J356" s="40"/>
      <c r="K356" s="75">
        <f t="shared" si="34"/>
        <v>0</v>
      </c>
      <c r="L356" s="41"/>
      <c r="N356" s="45" t="str">
        <f t="shared" si="30"/>
        <v>-</v>
      </c>
      <c r="O356" s="42" t="str">
        <f t="shared" si="35"/>
        <v>-</v>
      </c>
      <c r="P356" s="43" t="str">
        <f t="shared" si="31"/>
        <v>-</v>
      </c>
      <c r="Q356" s="46" t="str">
        <f t="shared" si="32"/>
        <v>-</v>
      </c>
      <c r="S356" s="46" t="str">
        <f t="shared" si="33"/>
        <v>-</v>
      </c>
    </row>
    <row r="357" spans="1:19" ht="15" x14ac:dyDescent="0.3">
      <c r="A357" s="74">
        <v>4912369</v>
      </c>
      <c r="B357" s="37">
        <v>39902</v>
      </c>
      <c r="C357" s="69">
        <v>76280399028</v>
      </c>
      <c r="D357" s="38" t="s">
        <v>515</v>
      </c>
      <c r="E357" s="64">
        <v>6.6927499599999996E-2</v>
      </c>
      <c r="F357" s="70">
        <v>6</v>
      </c>
      <c r="G357" s="38" t="s">
        <v>516</v>
      </c>
      <c r="H357" s="66" t="s">
        <v>1263</v>
      </c>
      <c r="I357" s="39">
        <v>14.5275</v>
      </c>
      <c r="J357" s="40"/>
      <c r="K357" s="75">
        <f t="shared" si="34"/>
        <v>0</v>
      </c>
      <c r="L357" s="41"/>
      <c r="N357" s="45" t="str">
        <f t="shared" si="30"/>
        <v>-</v>
      </c>
      <c r="O357" s="42" t="str">
        <f t="shared" si="35"/>
        <v>-</v>
      </c>
      <c r="P357" s="43" t="str">
        <f t="shared" si="31"/>
        <v>-</v>
      </c>
      <c r="Q357" s="46" t="str">
        <f t="shared" si="32"/>
        <v>-</v>
      </c>
      <c r="S357" s="46" t="str">
        <f t="shared" si="33"/>
        <v>-</v>
      </c>
    </row>
    <row r="358" spans="1:19" ht="15" x14ac:dyDescent="0.3">
      <c r="A358" s="74">
        <v>8373877</v>
      </c>
      <c r="B358" s="37">
        <v>4325</v>
      </c>
      <c r="C358" s="69">
        <v>76280043259</v>
      </c>
      <c r="D358" s="38" t="s">
        <v>518</v>
      </c>
      <c r="E358" s="64">
        <v>8.7520576400000008E-2</v>
      </c>
      <c r="F358" s="70">
        <v>12</v>
      </c>
      <c r="G358" s="38" t="s">
        <v>200</v>
      </c>
      <c r="H358" s="66" t="s">
        <v>1263</v>
      </c>
      <c r="I358" s="39">
        <v>6.24</v>
      </c>
      <c r="J358" s="40"/>
      <c r="K358" s="75">
        <f t="shared" si="34"/>
        <v>0</v>
      </c>
      <c r="L358" s="41"/>
      <c r="N358" s="45" t="str">
        <f t="shared" si="30"/>
        <v>-</v>
      </c>
      <c r="O358" s="42" t="str">
        <f t="shared" si="35"/>
        <v>-</v>
      </c>
      <c r="P358" s="43" t="str">
        <f t="shared" si="31"/>
        <v>-</v>
      </c>
      <c r="Q358" s="46" t="str">
        <f t="shared" si="32"/>
        <v>-</v>
      </c>
      <c r="S358" s="46" t="str">
        <f t="shared" si="33"/>
        <v>-</v>
      </c>
    </row>
    <row r="359" spans="1:19" ht="15" x14ac:dyDescent="0.3">
      <c r="A359" s="74">
        <v>5183839</v>
      </c>
      <c r="B359" s="37">
        <v>4516</v>
      </c>
      <c r="C359" s="69">
        <v>76280045161</v>
      </c>
      <c r="D359" s="38" t="s">
        <v>519</v>
      </c>
      <c r="E359" s="64">
        <v>9.7817114799999993E-2</v>
      </c>
      <c r="F359" s="70">
        <v>6</v>
      </c>
      <c r="G359" s="38" t="s">
        <v>34</v>
      </c>
      <c r="H359" s="66" t="s">
        <v>1263</v>
      </c>
      <c r="I359" s="39">
        <v>6.24</v>
      </c>
      <c r="J359" s="40"/>
      <c r="K359" s="75">
        <f t="shared" si="34"/>
        <v>0</v>
      </c>
      <c r="L359" s="41"/>
      <c r="N359" s="45" t="str">
        <f t="shared" si="30"/>
        <v>-</v>
      </c>
      <c r="O359" s="42" t="str">
        <f t="shared" si="35"/>
        <v>-</v>
      </c>
      <c r="P359" s="43" t="str">
        <f t="shared" si="31"/>
        <v>-</v>
      </c>
      <c r="Q359" s="46" t="str">
        <f t="shared" si="32"/>
        <v>-</v>
      </c>
      <c r="S359" s="46" t="str">
        <f t="shared" si="33"/>
        <v>-</v>
      </c>
    </row>
    <row r="360" spans="1:19" ht="15" x14ac:dyDescent="0.3">
      <c r="A360" s="74">
        <v>5079389</v>
      </c>
      <c r="B360" s="37">
        <v>2130</v>
      </c>
      <c r="C360" s="69">
        <v>76280021301</v>
      </c>
      <c r="D360" s="38" t="s">
        <v>522</v>
      </c>
      <c r="E360" s="64">
        <v>0.10296538400000001</v>
      </c>
      <c r="F360" s="70">
        <v>6</v>
      </c>
      <c r="G360" s="38" t="s">
        <v>154</v>
      </c>
      <c r="H360" s="66" t="s">
        <v>1263</v>
      </c>
      <c r="I360" s="39">
        <v>5.6062500000000002</v>
      </c>
      <c r="J360" s="40"/>
      <c r="K360" s="75">
        <f t="shared" si="34"/>
        <v>0</v>
      </c>
      <c r="L360" s="41"/>
      <c r="N360" s="45" t="str">
        <f t="shared" si="30"/>
        <v>-</v>
      </c>
      <c r="O360" s="42" t="str">
        <f t="shared" si="35"/>
        <v>-</v>
      </c>
      <c r="P360" s="43" t="str">
        <f t="shared" si="31"/>
        <v>-</v>
      </c>
      <c r="Q360" s="46" t="str">
        <f t="shared" si="32"/>
        <v>-</v>
      </c>
      <c r="S360" s="46" t="str">
        <f t="shared" si="33"/>
        <v>-</v>
      </c>
    </row>
    <row r="361" spans="1:19" ht="15" x14ac:dyDescent="0.3">
      <c r="A361" s="74">
        <v>8443886</v>
      </c>
      <c r="B361" s="37">
        <v>4400</v>
      </c>
      <c r="C361" s="69">
        <v>76280044003</v>
      </c>
      <c r="D361" s="38" t="s">
        <v>503</v>
      </c>
      <c r="E361" s="64">
        <v>0.11841019160000001</v>
      </c>
      <c r="F361" s="70">
        <v>12</v>
      </c>
      <c r="G361" s="38" t="s">
        <v>207</v>
      </c>
      <c r="H361" s="66" t="s">
        <v>1263</v>
      </c>
      <c r="I361" s="39">
        <v>6.24</v>
      </c>
      <c r="J361" s="40"/>
      <c r="K361" s="75">
        <f t="shared" si="34"/>
        <v>0</v>
      </c>
      <c r="L361" s="41"/>
      <c r="N361" s="45" t="str">
        <f t="shared" si="30"/>
        <v>-</v>
      </c>
      <c r="O361" s="42" t="str">
        <f t="shared" si="35"/>
        <v>-</v>
      </c>
      <c r="P361" s="43" t="str">
        <f t="shared" si="31"/>
        <v>-</v>
      </c>
      <c r="Q361" s="46" t="str">
        <f t="shared" si="32"/>
        <v>-</v>
      </c>
      <c r="S361" s="46" t="str">
        <f t="shared" si="33"/>
        <v>-</v>
      </c>
    </row>
    <row r="362" spans="1:19" ht="15" x14ac:dyDescent="0.3">
      <c r="A362" s="74">
        <v>8045198</v>
      </c>
      <c r="B362" s="37">
        <v>4270</v>
      </c>
      <c r="C362" s="69">
        <v>76280042702</v>
      </c>
      <c r="D362" s="38" t="s">
        <v>524</v>
      </c>
      <c r="E362" s="64">
        <v>6.1779230399999996E-2</v>
      </c>
      <c r="F362" s="70">
        <v>12</v>
      </c>
      <c r="G362" s="38" t="s">
        <v>183</v>
      </c>
      <c r="H362" s="66" t="s">
        <v>1263</v>
      </c>
      <c r="I362" s="39">
        <v>5.4599999999999991</v>
      </c>
      <c r="J362" s="40"/>
      <c r="K362" s="75">
        <f t="shared" si="34"/>
        <v>0</v>
      </c>
      <c r="L362" s="41"/>
      <c r="N362" s="45" t="str">
        <f t="shared" si="30"/>
        <v>-</v>
      </c>
      <c r="O362" s="42" t="str">
        <f t="shared" si="35"/>
        <v>-</v>
      </c>
      <c r="P362" s="43" t="str">
        <f t="shared" si="31"/>
        <v>-</v>
      </c>
      <c r="Q362" s="46" t="str">
        <f t="shared" si="32"/>
        <v>-</v>
      </c>
      <c r="S362" s="46" t="str">
        <f t="shared" si="33"/>
        <v>-</v>
      </c>
    </row>
    <row r="363" spans="1:19" ht="15" x14ac:dyDescent="0.3">
      <c r="A363" s="74">
        <v>5175498</v>
      </c>
      <c r="B363" s="37">
        <v>4271</v>
      </c>
      <c r="C363" s="69">
        <v>76280042719</v>
      </c>
      <c r="D363" s="38" t="s">
        <v>524</v>
      </c>
      <c r="E363" s="64">
        <v>0.10296538400000001</v>
      </c>
      <c r="F363" s="70">
        <v>12</v>
      </c>
      <c r="G363" s="38" t="s">
        <v>494</v>
      </c>
      <c r="H363" s="66" t="s">
        <v>1263</v>
      </c>
      <c r="I363" s="39">
        <v>9.8475000000000001</v>
      </c>
      <c r="J363" s="40"/>
      <c r="K363" s="75">
        <f t="shared" si="34"/>
        <v>0</v>
      </c>
      <c r="L363" s="41"/>
      <c r="N363" s="45" t="str">
        <f t="shared" si="30"/>
        <v>-</v>
      </c>
      <c r="O363" s="42" t="str">
        <f t="shared" si="35"/>
        <v>-</v>
      </c>
      <c r="P363" s="43" t="str">
        <f t="shared" si="31"/>
        <v>-</v>
      </c>
      <c r="Q363" s="46" t="str">
        <f t="shared" si="32"/>
        <v>-</v>
      </c>
      <c r="S363" s="46" t="str">
        <f t="shared" si="33"/>
        <v>-</v>
      </c>
    </row>
    <row r="364" spans="1:19" ht="15" x14ac:dyDescent="0.3">
      <c r="A364" s="74">
        <v>2360847</v>
      </c>
      <c r="B364" s="37">
        <v>4707</v>
      </c>
      <c r="C364" s="69">
        <v>76280047073</v>
      </c>
      <c r="D364" s="38" t="s">
        <v>528</v>
      </c>
      <c r="E364" s="64">
        <v>6.6927499599999996E-2</v>
      </c>
      <c r="F364" s="70">
        <v>12</v>
      </c>
      <c r="G364" s="38" t="s">
        <v>529</v>
      </c>
      <c r="H364" s="66" t="s">
        <v>1263</v>
      </c>
      <c r="I364" s="39">
        <v>5.07</v>
      </c>
      <c r="J364" s="40"/>
      <c r="K364" s="75">
        <f t="shared" si="34"/>
        <v>0</v>
      </c>
      <c r="L364" s="41"/>
      <c r="N364" s="45" t="str">
        <f t="shared" si="30"/>
        <v>-</v>
      </c>
      <c r="O364" s="42" t="str">
        <f t="shared" si="35"/>
        <v>-</v>
      </c>
      <c r="P364" s="43" t="str">
        <f t="shared" si="31"/>
        <v>-</v>
      </c>
      <c r="Q364" s="46" t="str">
        <f t="shared" si="32"/>
        <v>-</v>
      </c>
      <c r="S364" s="46" t="str">
        <f t="shared" si="33"/>
        <v>-</v>
      </c>
    </row>
    <row r="365" spans="1:19" ht="15" x14ac:dyDescent="0.3">
      <c r="A365" s="74">
        <v>8925640</v>
      </c>
      <c r="B365" s="37">
        <v>45931</v>
      </c>
      <c r="C365" s="69">
        <v>76280459319</v>
      </c>
      <c r="D365" s="38" t="s">
        <v>535</v>
      </c>
      <c r="E365" s="64">
        <v>8.7520576400000008E-2</v>
      </c>
      <c r="F365" s="70">
        <v>12</v>
      </c>
      <c r="G365" s="38" t="s">
        <v>536</v>
      </c>
      <c r="H365" s="66" t="s">
        <v>1263</v>
      </c>
      <c r="I365" s="39">
        <v>5.3137500000000006</v>
      </c>
      <c r="J365" s="40"/>
      <c r="K365" s="75">
        <f t="shared" si="34"/>
        <v>0</v>
      </c>
      <c r="L365" s="41"/>
      <c r="N365" s="45" t="str">
        <f t="shared" si="30"/>
        <v>-</v>
      </c>
      <c r="O365" s="42" t="str">
        <f t="shared" si="35"/>
        <v>-</v>
      </c>
      <c r="P365" s="43" t="str">
        <f t="shared" si="31"/>
        <v>-</v>
      </c>
      <c r="Q365" s="46" t="str">
        <f t="shared" si="32"/>
        <v>-</v>
      </c>
      <c r="S365" s="46" t="str">
        <f t="shared" si="33"/>
        <v>-</v>
      </c>
    </row>
    <row r="366" spans="1:19" ht="15" x14ac:dyDescent="0.3">
      <c r="A366" s="74">
        <v>4560798</v>
      </c>
      <c r="B366" s="37">
        <v>1590</v>
      </c>
      <c r="C366" s="69">
        <v>76280015904</v>
      </c>
      <c r="D366" s="38" t="s">
        <v>540</v>
      </c>
      <c r="E366" s="64">
        <v>8.7520576400000008E-2</v>
      </c>
      <c r="F366" s="70">
        <v>6</v>
      </c>
      <c r="G366" s="38" t="s">
        <v>409</v>
      </c>
      <c r="H366" s="66" t="s">
        <v>1263</v>
      </c>
      <c r="I366" s="39">
        <v>7.1662499999999998</v>
      </c>
      <c r="J366" s="40"/>
      <c r="K366" s="75">
        <f t="shared" si="34"/>
        <v>0</v>
      </c>
      <c r="L366" s="41"/>
      <c r="N366" s="45" t="str">
        <f t="shared" si="30"/>
        <v>-</v>
      </c>
      <c r="O366" s="42" t="str">
        <f t="shared" si="35"/>
        <v>-</v>
      </c>
      <c r="P366" s="43" t="str">
        <f t="shared" si="31"/>
        <v>-</v>
      </c>
      <c r="Q366" s="46" t="str">
        <f t="shared" si="32"/>
        <v>-</v>
      </c>
      <c r="S366" s="46" t="str">
        <f t="shared" si="33"/>
        <v>-</v>
      </c>
    </row>
    <row r="367" spans="1:19" ht="15" x14ac:dyDescent="0.3">
      <c r="A367" s="74">
        <v>5597653</v>
      </c>
      <c r="B367" s="37">
        <v>71983</v>
      </c>
      <c r="C367" s="69">
        <v>76280719833</v>
      </c>
      <c r="D367" s="38" t="s">
        <v>541</v>
      </c>
      <c r="E367" s="64">
        <v>7.2075768800000009E-2</v>
      </c>
      <c r="F367" s="70">
        <v>6</v>
      </c>
      <c r="G367" s="38" t="s">
        <v>490</v>
      </c>
      <c r="H367" s="66" t="s">
        <v>1263</v>
      </c>
      <c r="I367" s="39">
        <v>17.403750000000002</v>
      </c>
      <c r="J367" s="40"/>
      <c r="K367" s="75">
        <f t="shared" si="34"/>
        <v>0</v>
      </c>
      <c r="L367" s="41"/>
      <c r="N367" s="45" t="str">
        <f t="shared" si="30"/>
        <v>-</v>
      </c>
      <c r="O367" s="42" t="str">
        <f t="shared" si="35"/>
        <v>-</v>
      </c>
      <c r="P367" s="43" t="str">
        <f t="shared" si="31"/>
        <v>-</v>
      </c>
      <c r="Q367" s="46" t="str">
        <f t="shared" si="32"/>
        <v>-</v>
      </c>
      <c r="S367" s="46" t="str">
        <f t="shared" si="33"/>
        <v>-</v>
      </c>
    </row>
    <row r="368" spans="1:19" ht="15" x14ac:dyDescent="0.3">
      <c r="A368" s="74">
        <v>7897732</v>
      </c>
      <c r="B368" s="37">
        <v>4630</v>
      </c>
      <c r="C368" s="69">
        <v>76280046304</v>
      </c>
      <c r="D368" s="38" t="s">
        <v>543</v>
      </c>
      <c r="E368" s="64">
        <v>0.18018942199999999</v>
      </c>
      <c r="F368" s="70">
        <v>6</v>
      </c>
      <c r="G368" s="38" t="s">
        <v>544</v>
      </c>
      <c r="H368" s="66" t="s">
        <v>1263</v>
      </c>
      <c r="I368" s="39">
        <v>7.3125</v>
      </c>
      <c r="J368" s="40"/>
      <c r="K368" s="75">
        <f t="shared" si="34"/>
        <v>0</v>
      </c>
      <c r="L368" s="41"/>
      <c r="N368" s="45" t="str">
        <f t="shared" si="30"/>
        <v>-</v>
      </c>
      <c r="O368" s="42" t="str">
        <f t="shared" si="35"/>
        <v>-</v>
      </c>
      <c r="P368" s="43" t="str">
        <f t="shared" si="31"/>
        <v>-</v>
      </c>
      <c r="Q368" s="46" t="str">
        <f t="shared" si="32"/>
        <v>-</v>
      </c>
      <c r="S368" s="46" t="str">
        <f t="shared" si="33"/>
        <v>-</v>
      </c>
    </row>
    <row r="369" spans="1:19" ht="15" x14ac:dyDescent="0.3">
      <c r="A369" s="74">
        <v>8919081</v>
      </c>
      <c r="B369" s="37">
        <v>4705</v>
      </c>
      <c r="C369" s="69">
        <v>76280047059</v>
      </c>
      <c r="D369" s="38" t="s">
        <v>545</v>
      </c>
      <c r="E369" s="64">
        <v>9.2668845599999994E-2</v>
      </c>
      <c r="F369" s="70">
        <v>12</v>
      </c>
      <c r="G369" s="38" t="s">
        <v>170</v>
      </c>
      <c r="H369" s="66" t="s">
        <v>1263</v>
      </c>
      <c r="I369" s="39">
        <v>5.5087500000000009</v>
      </c>
      <c r="J369" s="40"/>
      <c r="K369" s="75">
        <f t="shared" si="34"/>
        <v>0</v>
      </c>
      <c r="L369" s="41"/>
      <c r="N369" s="45" t="str">
        <f t="shared" si="30"/>
        <v>-</v>
      </c>
      <c r="O369" s="42" t="str">
        <f t="shared" si="35"/>
        <v>-</v>
      </c>
      <c r="P369" s="43" t="str">
        <f t="shared" si="31"/>
        <v>-</v>
      </c>
      <c r="Q369" s="46" t="str">
        <f t="shared" si="32"/>
        <v>-</v>
      </c>
      <c r="S369" s="46" t="str">
        <f t="shared" si="33"/>
        <v>-</v>
      </c>
    </row>
    <row r="370" spans="1:19" ht="15" x14ac:dyDescent="0.3">
      <c r="A370" s="74">
        <v>6337160</v>
      </c>
      <c r="B370" s="37">
        <v>4365</v>
      </c>
      <c r="C370" s="69">
        <v>76280043655</v>
      </c>
      <c r="D370" s="38" t="s">
        <v>239</v>
      </c>
      <c r="E370" s="64">
        <v>0.11326192240000001</v>
      </c>
      <c r="F370" s="70">
        <v>12</v>
      </c>
      <c r="G370" s="38" t="s">
        <v>207</v>
      </c>
      <c r="H370" s="66" t="s">
        <v>1263</v>
      </c>
      <c r="I370" s="39">
        <v>6.9225000000000003</v>
      </c>
      <c r="J370" s="40"/>
      <c r="K370" s="75">
        <f t="shared" si="34"/>
        <v>0</v>
      </c>
      <c r="L370" s="41"/>
      <c r="N370" s="45" t="str">
        <f t="shared" si="30"/>
        <v>-</v>
      </c>
      <c r="O370" s="42" t="str">
        <f t="shared" si="35"/>
        <v>-</v>
      </c>
      <c r="P370" s="43" t="str">
        <f t="shared" si="31"/>
        <v>-</v>
      </c>
      <c r="Q370" s="46" t="str">
        <f t="shared" si="32"/>
        <v>-</v>
      </c>
      <c r="S370" s="46" t="str">
        <f t="shared" si="33"/>
        <v>-</v>
      </c>
    </row>
    <row r="371" spans="1:19" ht="15" x14ac:dyDescent="0.3">
      <c r="A371" s="74">
        <v>9217918</v>
      </c>
      <c r="B371" s="37">
        <v>36153</v>
      </c>
      <c r="C371" s="69">
        <v>76280361537</v>
      </c>
      <c r="D371" s="38" t="s">
        <v>548</v>
      </c>
      <c r="E371" s="64">
        <v>5.6750000000000002E-2</v>
      </c>
      <c r="F371" s="70">
        <v>12</v>
      </c>
      <c r="G371" s="38" t="s">
        <v>389</v>
      </c>
      <c r="H371" s="66" t="s">
        <v>1263</v>
      </c>
      <c r="I371" s="39">
        <v>6.24</v>
      </c>
      <c r="J371" s="40"/>
      <c r="K371" s="75">
        <f t="shared" si="34"/>
        <v>0</v>
      </c>
      <c r="L371" s="41"/>
      <c r="N371" s="45" t="str">
        <f t="shared" si="30"/>
        <v>-</v>
      </c>
      <c r="O371" s="42" t="str">
        <f t="shared" si="35"/>
        <v>-</v>
      </c>
      <c r="P371" s="43" t="str">
        <f t="shared" si="31"/>
        <v>-</v>
      </c>
      <c r="Q371" s="46" t="str">
        <f t="shared" si="32"/>
        <v>-</v>
      </c>
      <c r="S371" s="46" t="str">
        <f t="shared" si="33"/>
        <v>-</v>
      </c>
    </row>
    <row r="372" spans="1:19" ht="15" x14ac:dyDescent="0.3">
      <c r="A372" s="74">
        <v>4730989</v>
      </c>
      <c r="B372" s="37">
        <v>4240</v>
      </c>
      <c r="C372" s="69">
        <v>76280042405</v>
      </c>
      <c r="D372" s="38" t="s">
        <v>550</v>
      </c>
      <c r="E372" s="64">
        <v>9.7817114799999993E-2</v>
      </c>
      <c r="F372" s="70">
        <v>12</v>
      </c>
      <c r="G372" s="38" t="s">
        <v>34</v>
      </c>
      <c r="H372" s="66" t="s">
        <v>1263</v>
      </c>
      <c r="I372" s="39">
        <v>7.3125</v>
      </c>
      <c r="J372" s="40"/>
      <c r="K372" s="75">
        <f t="shared" si="34"/>
        <v>0</v>
      </c>
      <c r="L372" s="41"/>
      <c r="N372" s="45" t="str">
        <f t="shared" si="30"/>
        <v>-</v>
      </c>
      <c r="O372" s="42" t="str">
        <f t="shared" si="35"/>
        <v>-</v>
      </c>
      <c r="P372" s="43" t="str">
        <f t="shared" si="31"/>
        <v>-</v>
      </c>
      <c r="Q372" s="46" t="str">
        <f t="shared" si="32"/>
        <v>-</v>
      </c>
      <c r="S372" s="46" t="str">
        <f t="shared" si="33"/>
        <v>-</v>
      </c>
    </row>
    <row r="373" spans="1:19" ht="15" x14ac:dyDescent="0.3">
      <c r="A373" s="74">
        <v>3549953</v>
      </c>
      <c r="B373" s="37">
        <v>4678</v>
      </c>
      <c r="C373" s="69">
        <v>76280046786</v>
      </c>
      <c r="D373" s="38" t="s">
        <v>552</v>
      </c>
      <c r="E373" s="64">
        <v>7.2075768800000009E-2</v>
      </c>
      <c r="F373" s="70">
        <v>12</v>
      </c>
      <c r="G373" s="38" t="s">
        <v>553</v>
      </c>
      <c r="H373" s="66" t="s">
        <v>1263</v>
      </c>
      <c r="I373" s="39">
        <v>7.1662499999999998</v>
      </c>
      <c r="J373" s="40"/>
      <c r="K373" s="75">
        <f t="shared" si="34"/>
        <v>0</v>
      </c>
      <c r="L373" s="41"/>
      <c r="N373" s="45" t="str">
        <f t="shared" si="30"/>
        <v>-</v>
      </c>
      <c r="O373" s="42" t="str">
        <f t="shared" si="35"/>
        <v>-</v>
      </c>
      <c r="P373" s="43" t="str">
        <f t="shared" si="31"/>
        <v>-</v>
      </c>
      <c r="Q373" s="46" t="str">
        <f t="shared" si="32"/>
        <v>-</v>
      </c>
      <c r="S373" s="46" t="str">
        <f t="shared" si="33"/>
        <v>-</v>
      </c>
    </row>
    <row r="374" spans="1:19" ht="15" x14ac:dyDescent="0.3">
      <c r="A374" s="74">
        <v>3073090</v>
      </c>
      <c r="B374" s="37">
        <v>4814</v>
      </c>
      <c r="C374" s="69">
        <v>76280048148</v>
      </c>
      <c r="D374" s="38" t="s">
        <v>559</v>
      </c>
      <c r="E374" s="64">
        <v>0.16474461439999999</v>
      </c>
      <c r="F374" s="70">
        <v>6</v>
      </c>
      <c r="G374" s="38" t="s">
        <v>560</v>
      </c>
      <c r="H374" s="66" t="s">
        <v>1263</v>
      </c>
      <c r="I374" s="39">
        <v>9.1162499999999991</v>
      </c>
      <c r="J374" s="40"/>
      <c r="K374" s="75">
        <f t="shared" si="34"/>
        <v>0</v>
      </c>
      <c r="L374" s="41"/>
      <c r="N374" s="45" t="str">
        <f t="shared" si="30"/>
        <v>-</v>
      </c>
      <c r="O374" s="42" t="str">
        <f t="shared" si="35"/>
        <v>-</v>
      </c>
      <c r="P374" s="43" t="str">
        <f t="shared" si="31"/>
        <v>-</v>
      </c>
      <c r="Q374" s="46" t="str">
        <f t="shared" si="32"/>
        <v>-</v>
      </c>
      <c r="S374" s="46" t="str">
        <f t="shared" si="33"/>
        <v>-</v>
      </c>
    </row>
    <row r="375" spans="1:19" ht="15" x14ac:dyDescent="0.3">
      <c r="A375" s="74">
        <v>4451273</v>
      </c>
      <c r="B375" s="37">
        <v>4860</v>
      </c>
      <c r="C375" s="69">
        <v>76280048605</v>
      </c>
      <c r="D375" s="38" t="s">
        <v>509</v>
      </c>
      <c r="E375" s="64">
        <v>0.12870672999999999</v>
      </c>
      <c r="F375" s="70">
        <v>12</v>
      </c>
      <c r="G375" s="38" t="s">
        <v>74</v>
      </c>
      <c r="H375" s="66" t="s">
        <v>1263</v>
      </c>
      <c r="I375" s="39">
        <v>7.1174999999999997</v>
      </c>
      <c r="J375" s="40"/>
      <c r="K375" s="75">
        <f t="shared" si="34"/>
        <v>0</v>
      </c>
      <c r="L375" s="41"/>
      <c r="N375" s="45" t="str">
        <f t="shared" si="30"/>
        <v>-</v>
      </c>
      <c r="O375" s="42" t="str">
        <f t="shared" si="35"/>
        <v>-</v>
      </c>
      <c r="P375" s="43" t="str">
        <f t="shared" si="31"/>
        <v>-</v>
      </c>
      <c r="Q375" s="46" t="str">
        <f t="shared" si="32"/>
        <v>-</v>
      </c>
      <c r="S375" s="46" t="str">
        <f t="shared" si="33"/>
        <v>-</v>
      </c>
    </row>
    <row r="376" spans="1:19" ht="15" x14ac:dyDescent="0.3">
      <c r="A376" s="74">
        <v>5582775</v>
      </c>
      <c r="B376" s="37">
        <v>4162</v>
      </c>
      <c r="C376" s="69">
        <v>76280041620</v>
      </c>
      <c r="D376" s="38" t="s">
        <v>579</v>
      </c>
      <c r="E376" s="64">
        <v>5.6750000000000002E-2</v>
      </c>
      <c r="F376" s="70">
        <v>6</v>
      </c>
      <c r="G376" s="38" t="s">
        <v>580</v>
      </c>
      <c r="H376" s="66" t="s">
        <v>1263</v>
      </c>
      <c r="I376" s="39">
        <v>7.9462500000000009</v>
      </c>
      <c r="J376" s="40"/>
      <c r="K376" s="75">
        <f t="shared" si="34"/>
        <v>0</v>
      </c>
      <c r="L376" s="41"/>
      <c r="N376" s="45" t="str">
        <f t="shared" si="30"/>
        <v>-</v>
      </c>
      <c r="O376" s="42" t="str">
        <f t="shared" si="35"/>
        <v>-</v>
      </c>
      <c r="P376" s="43" t="str">
        <f t="shared" si="31"/>
        <v>-</v>
      </c>
      <c r="Q376" s="46" t="str">
        <f t="shared" si="32"/>
        <v>-</v>
      </c>
      <c r="S376" s="46" t="str">
        <f t="shared" si="33"/>
        <v>-</v>
      </c>
    </row>
    <row r="377" spans="1:19" ht="15" x14ac:dyDescent="0.3">
      <c r="A377" s="74">
        <v>4494268</v>
      </c>
      <c r="B377" s="37">
        <v>4620</v>
      </c>
      <c r="C377" s="69">
        <v>76280046205</v>
      </c>
      <c r="D377" s="38" t="s">
        <v>582</v>
      </c>
      <c r="E377" s="64">
        <v>0.10296538400000001</v>
      </c>
      <c r="F377" s="70">
        <v>12</v>
      </c>
      <c r="G377" s="38" t="s">
        <v>90</v>
      </c>
      <c r="H377" s="66" t="s">
        <v>1263</v>
      </c>
      <c r="I377" s="39">
        <v>5.1674999999999995</v>
      </c>
      <c r="J377" s="40"/>
      <c r="K377" s="75">
        <f t="shared" si="34"/>
        <v>0</v>
      </c>
      <c r="L377" s="41"/>
      <c r="N377" s="45" t="str">
        <f t="shared" si="30"/>
        <v>-</v>
      </c>
      <c r="O377" s="42" t="str">
        <f t="shared" si="35"/>
        <v>-</v>
      </c>
      <c r="P377" s="43" t="str">
        <f t="shared" si="31"/>
        <v>-</v>
      </c>
      <c r="Q377" s="46" t="str">
        <f t="shared" si="32"/>
        <v>-</v>
      </c>
      <c r="S377" s="46" t="str">
        <f t="shared" si="33"/>
        <v>-</v>
      </c>
    </row>
    <row r="378" spans="1:19" ht="15" x14ac:dyDescent="0.3">
      <c r="A378" s="74">
        <v>4675792</v>
      </c>
      <c r="B378" s="37">
        <v>4621</v>
      </c>
      <c r="C378" s="69">
        <v>76280046212</v>
      </c>
      <c r="D378" s="38" t="s">
        <v>582</v>
      </c>
      <c r="E378" s="64">
        <v>0.19048596039999999</v>
      </c>
      <c r="F378" s="70">
        <v>6</v>
      </c>
      <c r="G378" s="38" t="s">
        <v>534</v>
      </c>
      <c r="H378" s="66" t="s">
        <v>1263</v>
      </c>
      <c r="I378" s="39">
        <v>9.1650000000000009</v>
      </c>
      <c r="J378" s="40"/>
      <c r="K378" s="75">
        <f t="shared" si="34"/>
        <v>0</v>
      </c>
      <c r="L378" s="41"/>
      <c r="N378" s="45" t="str">
        <f t="shared" si="30"/>
        <v>-</v>
      </c>
      <c r="O378" s="42" t="str">
        <f t="shared" si="35"/>
        <v>-</v>
      </c>
      <c r="P378" s="43" t="str">
        <f t="shared" si="31"/>
        <v>-</v>
      </c>
      <c r="Q378" s="46" t="str">
        <f t="shared" si="32"/>
        <v>-</v>
      </c>
      <c r="S378" s="46" t="str">
        <f t="shared" si="33"/>
        <v>-</v>
      </c>
    </row>
    <row r="379" spans="1:19" ht="15" x14ac:dyDescent="0.3">
      <c r="A379" s="74">
        <v>8002274</v>
      </c>
      <c r="B379" s="37">
        <v>35007</v>
      </c>
      <c r="C379" s="69">
        <v>76280350074</v>
      </c>
      <c r="D379" s="38" t="s">
        <v>590</v>
      </c>
      <c r="E379" s="64">
        <v>9.2668845599999994E-2</v>
      </c>
      <c r="F379" s="70">
        <v>6</v>
      </c>
      <c r="G379" s="38" t="s">
        <v>34</v>
      </c>
      <c r="H379" s="66" t="s">
        <v>1263</v>
      </c>
      <c r="I379" s="39">
        <v>18.037500000000001</v>
      </c>
      <c r="J379" s="40"/>
      <c r="K379" s="75">
        <f t="shared" si="34"/>
        <v>0</v>
      </c>
      <c r="L379" s="41"/>
      <c r="N379" s="45" t="str">
        <f t="shared" si="30"/>
        <v>-</v>
      </c>
      <c r="O379" s="42" t="str">
        <f t="shared" si="35"/>
        <v>-</v>
      </c>
      <c r="P379" s="43" t="str">
        <f t="shared" si="31"/>
        <v>-</v>
      </c>
      <c r="Q379" s="46" t="str">
        <f t="shared" si="32"/>
        <v>-</v>
      </c>
      <c r="S379" s="46" t="str">
        <f t="shared" si="33"/>
        <v>-</v>
      </c>
    </row>
    <row r="380" spans="1:19" ht="15" x14ac:dyDescent="0.3">
      <c r="A380" s="74">
        <v>2901778</v>
      </c>
      <c r="B380" s="37">
        <v>51812</v>
      </c>
      <c r="C380" s="69">
        <v>76280518122</v>
      </c>
      <c r="D380" s="38" t="s">
        <v>596</v>
      </c>
      <c r="E380" s="64">
        <v>0.13385499919999999</v>
      </c>
      <c r="F380" s="70">
        <v>6</v>
      </c>
      <c r="G380" s="38" t="s">
        <v>63</v>
      </c>
      <c r="H380" s="66" t="s">
        <v>1263</v>
      </c>
      <c r="I380" s="39">
        <v>16.721249999999998</v>
      </c>
      <c r="J380" s="40"/>
      <c r="K380" s="75">
        <f t="shared" si="34"/>
        <v>0</v>
      </c>
      <c r="L380" s="41"/>
      <c r="N380" s="45" t="str">
        <f t="shared" si="30"/>
        <v>-</v>
      </c>
      <c r="O380" s="42" t="str">
        <f t="shared" si="35"/>
        <v>-</v>
      </c>
      <c r="P380" s="43" t="str">
        <f t="shared" si="31"/>
        <v>-</v>
      </c>
      <c r="Q380" s="46" t="str">
        <f t="shared" si="32"/>
        <v>-</v>
      </c>
      <c r="S380" s="46" t="str">
        <f t="shared" si="33"/>
        <v>-</v>
      </c>
    </row>
    <row r="381" spans="1:19" ht="15" x14ac:dyDescent="0.3">
      <c r="A381" s="74">
        <v>2842113</v>
      </c>
      <c r="B381" s="37">
        <v>1430</v>
      </c>
      <c r="C381" s="69">
        <v>76280014303</v>
      </c>
      <c r="D381" s="38" t="s">
        <v>599</v>
      </c>
      <c r="E381" s="64">
        <v>8.2372307199999995E-2</v>
      </c>
      <c r="F381" s="70">
        <v>6</v>
      </c>
      <c r="G381" s="38" t="s">
        <v>600</v>
      </c>
      <c r="H381" s="66" t="s">
        <v>1263</v>
      </c>
      <c r="I381" s="39">
        <v>7.8487500000000008</v>
      </c>
      <c r="J381" s="40"/>
      <c r="K381" s="75">
        <f t="shared" si="34"/>
        <v>0</v>
      </c>
      <c r="L381" s="41"/>
      <c r="N381" s="45" t="str">
        <f t="shared" si="30"/>
        <v>-</v>
      </c>
      <c r="O381" s="42" t="str">
        <f t="shared" si="35"/>
        <v>-</v>
      </c>
      <c r="P381" s="43" t="str">
        <f t="shared" si="31"/>
        <v>-</v>
      </c>
      <c r="Q381" s="46" t="str">
        <f t="shared" si="32"/>
        <v>-</v>
      </c>
      <c r="S381" s="46" t="str">
        <f t="shared" si="33"/>
        <v>-</v>
      </c>
    </row>
    <row r="382" spans="1:19" ht="15" x14ac:dyDescent="0.3">
      <c r="A382" s="74">
        <v>7511473</v>
      </c>
      <c r="B382" s="37">
        <v>4818</v>
      </c>
      <c r="C382" s="69">
        <v>76280048186</v>
      </c>
      <c r="D382" s="38" t="s">
        <v>611</v>
      </c>
      <c r="E382" s="64">
        <v>8.7520576400000008E-2</v>
      </c>
      <c r="F382" s="70">
        <v>12</v>
      </c>
      <c r="G382" s="38" t="s">
        <v>612</v>
      </c>
      <c r="H382" s="66" t="s">
        <v>1263</v>
      </c>
      <c r="I382" s="39">
        <v>10.0425</v>
      </c>
      <c r="J382" s="40"/>
      <c r="K382" s="75">
        <f t="shared" si="34"/>
        <v>0</v>
      </c>
      <c r="L382" s="41"/>
      <c r="N382" s="45" t="str">
        <f t="shared" si="30"/>
        <v>-</v>
      </c>
      <c r="O382" s="42" t="str">
        <f t="shared" si="35"/>
        <v>-</v>
      </c>
      <c r="P382" s="43" t="str">
        <f t="shared" si="31"/>
        <v>-</v>
      </c>
      <c r="Q382" s="46" t="str">
        <f t="shared" si="32"/>
        <v>-</v>
      </c>
      <c r="S382" s="46" t="str">
        <f t="shared" si="33"/>
        <v>-</v>
      </c>
    </row>
    <row r="383" spans="1:19" ht="15" x14ac:dyDescent="0.3">
      <c r="A383" s="74">
        <v>2206813</v>
      </c>
      <c r="B383" s="37">
        <v>8333</v>
      </c>
      <c r="C383" s="69">
        <v>76280083330</v>
      </c>
      <c r="D383" s="38" t="s">
        <v>617</v>
      </c>
      <c r="E383" s="64">
        <v>8.2372307199999995E-2</v>
      </c>
      <c r="F383" s="70">
        <v>12</v>
      </c>
      <c r="G383" s="38" t="s">
        <v>34</v>
      </c>
      <c r="H383" s="66" t="s">
        <v>1263</v>
      </c>
      <c r="I383" s="39">
        <v>9.75</v>
      </c>
      <c r="J383" s="40"/>
      <c r="K383" s="75">
        <f t="shared" si="34"/>
        <v>0</v>
      </c>
      <c r="L383" s="41"/>
      <c r="N383" s="45" t="str">
        <f t="shared" si="30"/>
        <v>-</v>
      </c>
      <c r="O383" s="42" t="str">
        <f t="shared" si="35"/>
        <v>-</v>
      </c>
      <c r="P383" s="43" t="str">
        <f t="shared" si="31"/>
        <v>-</v>
      </c>
      <c r="Q383" s="46" t="str">
        <f t="shared" si="32"/>
        <v>-</v>
      </c>
      <c r="S383" s="46" t="str">
        <f t="shared" si="33"/>
        <v>-</v>
      </c>
    </row>
    <row r="384" spans="1:19" ht="15" x14ac:dyDescent="0.3">
      <c r="A384" s="74">
        <v>4255349</v>
      </c>
      <c r="B384" s="37">
        <v>4589</v>
      </c>
      <c r="C384" s="69">
        <v>76280045895</v>
      </c>
      <c r="D384" s="38" t="s">
        <v>609</v>
      </c>
      <c r="E384" s="64">
        <v>7.2075768800000009E-2</v>
      </c>
      <c r="F384" s="70">
        <v>12</v>
      </c>
      <c r="G384" s="38" t="s">
        <v>618</v>
      </c>
      <c r="H384" s="66" t="s">
        <v>1263</v>
      </c>
      <c r="I384" s="39">
        <v>5.4112499999999999</v>
      </c>
      <c r="J384" s="40"/>
      <c r="K384" s="75">
        <f t="shared" si="34"/>
        <v>0</v>
      </c>
      <c r="L384" s="41"/>
      <c r="N384" s="45" t="str">
        <f t="shared" si="30"/>
        <v>-</v>
      </c>
      <c r="O384" s="42" t="str">
        <f t="shared" si="35"/>
        <v>-</v>
      </c>
      <c r="P384" s="43" t="str">
        <f t="shared" si="31"/>
        <v>-</v>
      </c>
      <c r="Q384" s="46" t="str">
        <f t="shared" si="32"/>
        <v>-</v>
      </c>
      <c r="S384" s="46" t="str">
        <f t="shared" si="33"/>
        <v>-</v>
      </c>
    </row>
    <row r="385" spans="1:19" ht="15" x14ac:dyDescent="0.3">
      <c r="A385" s="74">
        <v>8551683</v>
      </c>
      <c r="B385" s="37">
        <v>4588</v>
      </c>
      <c r="C385" s="69">
        <v>76280045888</v>
      </c>
      <c r="D385" s="38" t="s">
        <v>609</v>
      </c>
      <c r="E385" s="64">
        <v>5.6750000000000002E-2</v>
      </c>
      <c r="F385" s="70">
        <v>12</v>
      </c>
      <c r="G385" s="38" t="s">
        <v>620</v>
      </c>
      <c r="H385" s="66" t="s">
        <v>1263</v>
      </c>
      <c r="I385" s="39">
        <v>3.7537500000000001</v>
      </c>
      <c r="J385" s="40"/>
      <c r="K385" s="75">
        <f t="shared" si="34"/>
        <v>0</v>
      </c>
      <c r="L385" s="41"/>
      <c r="N385" s="45" t="str">
        <f t="shared" si="30"/>
        <v>-</v>
      </c>
      <c r="O385" s="42" t="str">
        <f t="shared" si="35"/>
        <v>-</v>
      </c>
      <c r="P385" s="43" t="str">
        <f t="shared" si="31"/>
        <v>-</v>
      </c>
      <c r="Q385" s="46" t="str">
        <f t="shared" si="32"/>
        <v>-</v>
      </c>
      <c r="S385" s="46" t="str">
        <f t="shared" si="33"/>
        <v>-</v>
      </c>
    </row>
    <row r="386" spans="1:19" ht="15" x14ac:dyDescent="0.3">
      <c r="A386" s="74">
        <v>4017988</v>
      </c>
      <c r="B386" s="37">
        <v>1210</v>
      </c>
      <c r="C386" s="69">
        <v>76280012101</v>
      </c>
      <c r="D386" s="38" t="s">
        <v>621</v>
      </c>
      <c r="E386" s="64">
        <v>9.7817114799999993E-2</v>
      </c>
      <c r="F386" s="70">
        <v>6</v>
      </c>
      <c r="G386" s="38" t="s">
        <v>622</v>
      </c>
      <c r="H386" s="66" t="s">
        <v>1263</v>
      </c>
      <c r="I386" s="39">
        <v>6.3862500000000004</v>
      </c>
      <c r="J386" s="40"/>
      <c r="K386" s="75">
        <f t="shared" si="34"/>
        <v>0</v>
      </c>
      <c r="L386" s="41"/>
      <c r="N386" s="45" t="str">
        <f t="shared" si="30"/>
        <v>-</v>
      </c>
      <c r="O386" s="42" t="str">
        <f t="shared" si="35"/>
        <v>-</v>
      </c>
      <c r="P386" s="43" t="str">
        <f t="shared" si="31"/>
        <v>-</v>
      </c>
      <c r="Q386" s="46" t="str">
        <f t="shared" si="32"/>
        <v>-</v>
      </c>
      <c r="S386" s="46" t="str">
        <f t="shared" si="33"/>
        <v>-</v>
      </c>
    </row>
    <row r="387" spans="1:19" ht="15" x14ac:dyDescent="0.3">
      <c r="A387" s="74">
        <v>1595916</v>
      </c>
      <c r="B387" s="37">
        <v>2160</v>
      </c>
      <c r="C387" s="69">
        <v>76280021608</v>
      </c>
      <c r="D387" s="38" t="s">
        <v>628</v>
      </c>
      <c r="E387" s="64">
        <v>9.2668845599999994E-2</v>
      </c>
      <c r="F387" s="70">
        <v>6</v>
      </c>
      <c r="G387" s="38" t="s">
        <v>154</v>
      </c>
      <c r="H387" s="66" t="s">
        <v>1263</v>
      </c>
      <c r="I387" s="39">
        <v>7.4099999999999993</v>
      </c>
      <c r="J387" s="40"/>
      <c r="K387" s="75">
        <f t="shared" si="34"/>
        <v>0</v>
      </c>
      <c r="L387" s="41"/>
      <c r="N387" s="45" t="str">
        <f t="shared" ref="N387:N450" si="36">IFERROR(IF($N$2*E387=0, "-", $N$2*E387), "-")</f>
        <v>-</v>
      </c>
      <c r="O387" s="42" t="str">
        <f t="shared" si="35"/>
        <v>-</v>
      </c>
      <c r="P387" s="43" t="str">
        <f t="shared" ref="P387:P450" si="37">IF(J387&gt;0,J387*E387, "-")</f>
        <v>-</v>
      </c>
      <c r="Q387" s="46" t="str">
        <f t="shared" ref="Q387:Q450" si="38">IFERROR(IF($N$2&gt;0, $N$2*P387, "-"), "-")</f>
        <v>-</v>
      </c>
      <c r="S387" s="46" t="str">
        <f t="shared" ref="S387:S450" si="39">IFERROR(IF(Q387+K387=0, "-", IF(Q387&gt;0, Q387+K387, "-")), "-")</f>
        <v>-</v>
      </c>
    </row>
    <row r="388" spans="1:19" ht="15" x14ac:dyDescent="0.3">
      <c r="A388" s="74">
        <v>3024783</v>
      </c>
      <c r="B388" s="37">
        <v>4695</v>
      </c>
      <c r="C388" s="69">
        <v>76280046953</v>
      </c>
      <c r="D388" s="38" t="s">
        <v>630</v>
      </c>
      <c r="E388" s="64">
        <v>8.7520576400000008E-2</v>
      </c>
      <c r="F388" s="70">
        <v>12</v>
      </c>
      <c r="G388" s="38" t="s">
        <v>618</v>
      </c>
      <c r="H388" s="66" t="s">
        <v>1263</v>
      </c>
      <c r="I388" s="39">
        <v>8.1412499999999994</v>
      </c>
      <c r="J388" s="40"/>
      <c r="K388" s="75">
        <f t="shared" ref="K388:K451" si="40">J388*I388</f>
        <v>0</v>
      </c>
      <c r="L388" s="41"/>
      <c r="N388" s="45" t="str">
        <f t="shared" si="36"/>
        <v>-</v>
      </c>
      <c r="O388" s="42" t="str">
        <f t="shared" ref="O388:O451" si="41">IFERROR(IF(N388&gt;0,I388+N388,"-"),"-")</f>
        <v>-</v>
      </c>
      <c r="P388" s="43" t="str">
        <f t="shared" si="37"/>
        <v>-</v>
      </c>
      <c r="Q388" s="46" t="str">
        <f t="shared" si="38"/>
        <v>-</v>
      </c>
      <c r="S388" s="46" t="str">
        <f t="shared" si="39"/>
        <v>-</v>
      </c>
    </row>
    <row r="389" spans="1:19" ht="15" x14ac:dyDescent="0.3">
      <c r="A389" s="74">
        <v>9261909</v>
      </c>
      <c r="B389" s="37">
        <v>20055</v>
      </c>
      <c r="C389" s="69">
        <v>76280200553</v>
      </c>
      <c r="D389" s="38" t="s">
        <v>631</v>
      </c>
      <c r="E389" s="64">
        <v>0.14929980679999999</v>
      </c>
      <c r="F389" s="70">
        <v>6</v>
      </c>
      <c r="G389" s="38" t="s">
        <v>63</v>
      </c>
      <c r="H389" s="66" t="s">
        <v>1263</v>
      </c>
      <c r="I389" s="39">
        <v>16.721249999999998</v>
      </c>
      <c r="J389" s="40"/>
      <c r="K389" s="75">
        <f t="shared" si="40"/>
        <v>0</v>
      </c>
      <c r="L389" s="41"/>
      <c r="N389" s="45" t="str">
        <f t="shared" si="36"/>
        <v>-</v>
      </c>
      <c r="O389" s="42" t="str">
        <f t="shared" si="41"/>
        <v>-</v>
      </c>
      <c r="P389" s="43" t="str">
        <f t="shared" si="37"/>
        <v>-</v>
      </c>
      <c r="Q389" s="46" t="str">
        <f t="shared" si="38"/>
        <v>-</v>
      </c>
      <c r="S389" s="46" t="str">
        <f t="shared" si="39"/>
        <v>-</v>
      </c>
    </row>
    <row r="390" spans="1:19" ht="15" x14ac:dyDescent="0.3">
      <c r="A390" s="74">
        <v>4168709</v>
      </c>
      <c r="B390" s="37">
        <v>5100</v>
      </c>
      <c r="C390" s="69">
        <v>76280051001</v>
      </c>
      <c r="D390" s="38" t="s">
        <v>645</v>
      </c>
      <c r="E390" s="64">
        <v>6.1779230399999996E-2</v>
      </c>
      <c r="F390" s="70">
        <v>12</v>
      </c>
      <c r="G390" s="38" t="s">
        <v>646</v>
      </c>
      <c r="H390" s="66" t="s">
        <v>1263</v>
      </c>
      <c r="I390" s="39">
        <v>8.6287500000000001</v>
      </c>
      <c r="J390" s="40"/>
      <c r="K390" s="75">
        <f t="shared" si="40"/>
        <v>0</v>
      </c>
      <c r="L390" s="41"/>
      <c r="N390" s="45" t="str">
        <f t="shared" si="36"/>
        <v>-</v>
      </c>
      <c r="O390" s="42" t="str">
        <f t="shared" si="41"/>
        <v>-</v>
      </c>
      <c r="P390" s="43" t="str">
        <f t="shared" si="37"/>
        <v>-</v>
      </c>
      <c r="Q390" s="46" t="str">
        <f t="shared" si="38"/>
        <v>-</v>
      </c>
      <c r="S390" s="46" t="str">
        <f t="shared" si="39"/>
        <v>-</v>
      </c>
    </row>
    <row r="391" spans="1:19" ht="15" x14ac:dyDescent="0.3">
      <c r="A391" s="74">
        <v>5939947</v>
      </c>
      <c r="B391" s="37">
        <v>4453</v>
      </c>
      <c r="C391" s="69">
        <v>76280044539</v>
      </c>
      <c r="D391" s="38" t="s">
        <v>503</v>
      </c>
      <c r="E391" s="64">
        <v>0.20078249880000001</v>
      </c>
      <c r="F391" s="70">
        <v>6</v>
      </c>
      <c r="G391" s="38" t="s">
        <v>117</v>
      </c>
      <c r="H391" s="66" t="s">
        <v>1263</v>
      </c>
      <c r="I391" s="39">
        <v>9.75</v>
      </c>
      <c r="J391" s="40"/>
      <c r="K391" s="75">
        <f t="shared" si="40"/>
        <v>0</v>
      </c>
      <c r="L391" s="41"/>
      <c r="N391" s="45" t="str">
        <f t="shared" si="36"/>
        <v>-</v>
      </c>
      <c r="O391" s="42" t="str">
        <f t="shared" si="41"/>
        <v>-</v>
      </c>
      <c r="P391" s="43" t="str">
        <f t="shared" si="37"/>
        <v>-</v>
      </c>
      <c r="Q391" s="46" t="str">
        <f t="shared" si="38"/>
        <v>-</v>
      </c>
      <c r="S391" s="46" t="str">
        <f t="shared" si="39"/>
        <v>-</v>
      </c>
    </row>
    <row r="392" spans="1:19" ht="15" x14ac:dyDescent="0.3">
      <c r="A392" s="74">
        <v>5163400</v>
      </c>
      <c r="B392" s="37">
        <v>4490</v>
      </c>
      <c r="C392" s="69">
        <v>76280044904</v>
      </c>
      <c r="D392" s="38" t="s">
        <v>667</v>
      </c>
      <c r="E392" s="64">
        <v>0.44275115119999997</v>
      </c>
      <c r="F392" s="70">
        <v>6</v>
      </c>
      <c r="G392" s="38" t="s">
        <v>207</v>
      </c>
      <c r="H392" s="66" t="s">
        <v>1263</v>
      </c>
      <c r="I392" s="39">
        <v>9.4087500000000013</v>
      </c>
      <c r="J392" s="40"/>
      <c r="K392" s="75">
        <f t="shared" si="40"/>
        <v>0</v>
      </c>
      <c r="L392" s="41"/>
      <c r="N392" s="45" t="str">
        <f t="shared" si="36"/>
        <v>-</v>
      </c>
      <c r="O392" s="42" t="str">
        <f t="shared" si="41"/>
        <v>-</v>
      </c>
      <c r="P392" s="43" t="str">
        <f t="shared" si="37"/>
        <v>-</v>
      </c>
      <c r="Q392" s="46" t="str">
        <f t="shared" si="38"/>
        <v>-</v>
      </c>
      <c r="S392" s="46" t="str">
        <f t="shared" si="39"/>
        <v>-</v>
      </c>
    </row>
    <row r="393" spans="1:19" ht="15" x14ac:dyDescent="0.3">
      <c r="A393" s="74">
        <v>1100680</v>
      </c>
      <c r="B393" s="37">
        <v>4363</v>
      </c>
      <c r="C393" s="69">
        <v>76280043631</v>
      </c>
      <c r="D393" s="38" t="s">
        <v>146</v>
      </c>
      <c r="E393" s="64">
        <v>0.10296538400000001</v>
      </c>
      <c r="F393" s="70">
        <v>12</v>
      </c>
      <c r="G393" s="38" t="s">
        <v>207</v>
      </c>
      <c r="H393" s="66" t="s">
        <v>1263</v>
      </c>
      <c r="I393" s="39">
        <v>6.6787499999999991</v>
      </c>
      <c r="J393" s="40"/>
      <c r="K393" s="75">
        <f t="shared" si="40"/>
        <v>0</v>
      </c>
      <c r="L393" s="41"/>
      <c r="N393" s="45" t="str">
        <f t="shared" si="36"/>
        <v>-</v>
      </c>
      <c r="O393" s="42" t="str">
        <f t="shared" si="41"/>
        <v>-</v>
      </c>
      <c r="P393" s="43" t="str">
        <f t="shared" si="37"/>
        <v>-</v>
      </c>
      <c r="Q393" s="46" t="str">
        <f t="shared" si="38"/>
        <v>-</v>
      </c>
      <c r="S393" s="46" t="str">
        <f t="shared" si="39"/>
        <v>-</v>
      </c>
    </row>
    <row r="394" spans="1:19" ht="15" x14ac:dyDescent="0.3">
      <c r="A394" s="74">
        <v>3016767</v>
      </c>
      <c r="B394" s="37">
        <v>4525</v>
      </c>
      <c r="C394" s="69">
        <v>76280045253</v>
      </c>
      <c r="D394" s="38" t="s">
        <v>682</v>
      </c>
      <c r="E394" s="64">
        <v>0.27800653680000004</v>
      </c>
      <c r="F394" s="70">
        <v>6</v>
      </c>
      <c r="G394" s="38" t="s">
        <v>64</v>
      </c>
      <c r="H394" s="66" t="s">
        <v>1263</v>
      </c>
      <c r="I394" s="39">
        <v>14.430000000000001</v>
      </c>
      <c r="J394" s="40"/>
      <c r="K394" s="75">
        <f t="shared" si="40"/>
        <v>0</v>
      </c>
      <c r="L394" s="41"/>
      <c r="N394" s="45" t="str">
        <f t="shared" si="36"/>
        <v>-</v>
      </c>
      <c r="O394" s="42" t="str">
        <f t="shared" si="41"/>
        <v>-</v>
      </c>
      <c r="P394" s="43" t="str">
        <f t="shared" si="37"/>
        <v>-</v>
      </c>
      <c r="Q394" s="46" t="str">
        <f t="shared" si="38"/>
        <v>-</v>
      </c>
      <c r="S394" s="46" t="str">
        <f t="shared" si="39"/>
        <v>-</v>
      </c>
    </row>
    <row r="395" spans="1:19" ht="15" x14ac:dyDescent="0.3">
      <c r="A395" s="74">
        <v>3832796</v>
      </c>
      <c r="B395" s="37">
        <v>4524</v>
      </c>
      <c r="C395" s="69">
        <v>76280045246</v>
      </c>
      <c r="D395" s="38" t="s">
        <v>682</v>
      </c>
      <c r="E395" s="64">
        <v>0.14929980679999999</v>
      </c>
      <c r="F395" s="70">
        <v>6</v>
      </c>
      <c r="G395" s="38" t="s">
        <v>63</v>
      </c>
      <c r="H395" s="66" t="s">
        <v>1263</v>
      </c>
      <c r="I395" s="39">
        <v>7.1174999999999997</v>
      </c>
      <c r="J395" s="40"/>
      <c r="K395" s="75">
        <f t="shared" si="40"/>
        <v>0</v>
      </c>
      <c r="L395" s="41"/>
      <c r="N395" s="45" t="str">
        <f t="shared" si="36"/>
        <v>-</v>
      </c>
      <c r="O395" s="42" t="str">
        <f t="shared" si="41"/>
        <v>-</v>
      </c>
      <c r="P395" s="43" t="str">
        <f t="shared" si="37"/>
        <v>-</v>
      </c>
      <c r="Q395" s="46" t="str">
        <f t="shared" si="38"/>
        <v>-</v>
      </c>
      <c r="S395" s="46" t="str">
        <f t="shared" si="39"/>
        <v>-</v>
      </c>
    </row>
    <row r="396" spans="1:19" ht="15" x14ac:dyDescent="0.3">
      <c r="A396" s="74">
        <v>8727274</v>
      </c>
      <c r="B396" s="37">
        <v>3600</v>
      </c>
      <c r="C396" s="69">
        <v>76280036008</v>
      </c>
      <c r="D396" s="38" t="s">
        <v>699</v>
      </c>
      <c r="E396" s="64">
        <v>6.6927499599999996E-2</v>
      </c>
      <c r="F396" s="70">
        <v>6</v>
      </c>
      <c r="G396" s="38" t="s">
        <v>700</v>
      </c>
      <c r="H396" s="66" t="s">
        <v>1263</v>
      </c>
      <c r="I396" s="39">
        <v>12.626250000000001</v>
      </c>
      <c r="J396" s="40"/>
      <c r="K396" s="75">
        <f t="shared" si="40"/>
        <v>0</v>
      </c>
      <c r="L396" s="41"/>
      <c r="N396" s="45" t="str">
        <f t="shared" si="36"/>
        <v>-</v>
      </c>
      <c r="O396" s="42" t="str">
        <f t="shared" si="41"/>
        <v>-</v>
      </c>
      <c r="P396" s="43" t="str">
        <f t="shared" si="37"/>
        <v>-</v>
      </c>
      <c r="Q396" s="46" t="str">
        <f t="shared" si="38"/>
        <v>-</v>
      </c>
      <c r="S396" s="46" t="str">
        <f t="shared" si="39"/>
        <v>-</v>
      </c>
    </row>
    <row r="397" spans="1:19" ht="15" x14ac:dyDescent="0.3">
      <c r="A397" s="74">
        <v>1775350</v>
      </c>
      <c r="B397" s="37">
        <v>12109</v>
      </c>
      <c r="C397" s="69">
        <v>76280121094</v>
      </c>
      <c r="D397" s="38" t="s">
        <v>708</v>
      </c>
      <c r="E397" s="64">
        <v>8.2372307199999995E-2</v>
      </c>
      <c r="F397" s="70">
        <v>12</v>
      </c>
      <c r="G397" s="38" t="s">
        <v>709</v>
      </c>
      <c r="H397" s="66" t="s">
        <v>1263</v>
      </c>
      <c r="I397" s="39">
        <v>4.7287499999999998</v>
      </c>
      <c r="J397" s="40"/>
      <c r="K397" s="75">
        <f t="shared" si="40"/>
        <v>0</v>
      </c>
      <c r="L397" s="41"/>
      <c r="N397" s="45" t="str">
        <f t="shared" si="36"/>
        <v>-</v>
      </c>
      <c r="O397" s="42" t="str">
        <f t="shared" si="41"/>
        <v>-</v>
      </c>
      <c r="P397" s="43" t="str">
        <f t="shared" si="37"/>
        <v>-</v>
      </c>
      <c r="Q397" s="46" t="str">
        <f t="shared" si="38"/>
        <v>-</v>
      </c>
      <c r="S397" s="46" t="str">
        <f t="shared" si="39"/>
        <v>-</v>
      </c>
    </row>
    <row r="398" spans="1:19" ht="15" x14ac:dyDescent="0.3">
      <c r="A398" s="74">
        <v>5077223</v>
      </c>
      <c r="B398" s="37">
        <v>1125</v>
      </c>
      <c r="C398" s="69">
        <v>76280011258</v>
      </c>
      <c r="D398" s="38" t="s">
        <v>732</v>
      </c>
      <c r="E398" s="64">
        <v>0.10296538400000001</v>
      </c>
      <c r="F398" s="70">
        <v>6</v>
      </c>
      <c r="G398" s="38" t="s">
        <v>207</v>
      </c>
      <c r="H398" s="66" t="s">
        <v>1263</v>
      </c>
      <c r="I398" s="39">
        <v>6.8737500000000011</v>
      </c>
      <c r="J398" s="40"/>
      <c r="K398" s="75">
        <f t="shared" si="40"/>
        <v>0</v>
      </c>
      <c r="L398" s="41"/>
      <c r="N398" s="45" t="str">
        <f t="shared" si="36"/>
        <v>-</v>
      </c>
      <c r="O398" s="42" t="str">
        <f t="shared" si="41"/>
        <v>-</v>
      </c>
      <c r="P398" s="43" t="str">
        <f t="shared" si="37"/>
        <v>-</v>
      </c>
      <c r="Q398" s="46" t="str">
        <f t="shared" si="38"/>
        <v>-</v>
      </c>
      <c r="S398" s="46" t="str">
        <f t="shared" si="39"/>
        <v>-</v>
      </c>
    </row>
    <row r="399" spans="1:19" ht="15" x14ac:dyDescent="0.3">
      <c r="A399" s="74">
        <v>4539294</v>
      </c>
      <c r="B399" s="37">
        <v>4650</v>
      </c>
      <c r="C399" s="69">
        <v>76280046502</v>
      </c>
      <c r="D399" s="38" t="s">
        <v>737</v>
      </c>
      <c r="E399" s="64">
        <v>8.7520576400000008E-2</v>
      </c>
      <c r="F399" s="70">
        <v>12</v>
      </c>
      <c r="G399" s="38" t="s">
        <v>494</v>
      </c>
      <c r="H399" s="66" t="s">
        <v>1263</v>
      </c>
      <c r="I399" s="39">
        <v>5.1674999999999995</v>
      </c>
      <c r="J399" s="40"/>
      <c r="K399" s="75">
        <f t="shared" si="40"/>
        <v>0</v>
      </c>
      <c r="L399" s="41"/>
      <c r="N399" s="45" t="str">
        <f t="shared" si="36"/>
        <v>-</v>
      </c>
      <c r="O399" s="42" t="str">
        <f t="shared" si="41"/>
        <v>-</v>
      </c>
      <c r="P399" s="43" t="str">
        <f t="shared" si="37"/>
        <v>-</v>
      </c>
      <c r="Q399" s="46" t="str">
        <f t="shared" si="38"/>
        <v>-</v>
      </c>
      <c r="S399" s="46" t="str">
        <f t="shared" si="39"/>
        <v>-</v>
      </c>
    </row>
    <row r="400" spans="1:19" ht="15" x14ac:dyDescent="0.3">
      <c r="A400" s="74">
        <v>5557774</v>
      </c>
      <c r="B400" s="37">
        <v>4358</v>
      </c>
      <c r="C400" s="69">
        <v>76280043587</v>
      </c>
      <c r="D400" s="38" t="s">
        <v>91</v>
      </c>
      <c r="E400" s="64">
        <v>0.11326192240000001</v>
      </c>
      <c r="F400" s="70">
        <v>12</v>
      </c>
      <c r="G400" s="38" t="s">
        <v>207</v>
      </c>
      <c r="H400" s="66" t="s">
        <v>1263</v>
      </c>
      <c r="I400" s="39">
        <v>9.4087500000000013</v>
      </c>
      <c r="J400" s="40"/>
      <c r="K400" s="75">
        <f t="shared" si="40"/>
        <v>0</v>
      </c>
      <c r="L400" s="41"/>
      <c r="N400" s="45" t="str">
        <f t="shared" si="36"/>
        <v>-</v>
      </c>
      <c r="O400" s="42" t="str">
        <f t="shared" si="41"/>
        <v>-</v>
      </c>
      <c r="P400" s="43" t="str">
        <f t="shared" si="37"/>
        <v>-</v>
      </c>
      <c r="Q400" s="46" t="str">
        <f t="shared" si="38"/>
        <v>-</v>
      </c>
      <c r="S400" s="46" t="str">
        <f t="shared" si="39"/>
        <v>-</v>
      </c>
    </row>
    <row r="401" spans="1:19" ht="15" x14ac:dyDescent="0.3">
      <c r="A401" s="74">
        <v>6798616</v>
      </c>
      <c r="B401" s="37">
        <v>4359</v>
      </c>
      <c r="C401" s="69">
        <v>76280043594</v>
      </c>
      <c r="D401" s="38" t="s">
        <v>146</v>
      </c>
      <c r="E401" s="64">
        <v>8.7520576400000008E-2</v>
      </c>
      <c r="F401" s="70">
        <v>12</v>
      </c>
      <c r="G401" s="38" t="s">
        <v>200</v>
      </c>
      <c r="H401" s="66" t="s">
        <v>1263</v>
      </c>
      <c r="I401" s="39">
        <v>5.1674999999999995</v>
      </c>
      <c r="J401" s="40"/>
      <c r="K401" s="75">
        <f t="shared" si="40"/>
        <v>0</v>
      </c>
      <c r="L401" s="41"/>
      <c r="N401" s="45" t="str">
        <f t="shared" si="36"/>
        <v>-</v>
      </c>
      <c r="O401" s="42" t="str">
        <f t="shared" si="41"/>
        <v>-</v>
      </c>
      <c r="P401" s="43" t="str">
        <f t="shared" si="37"/>
        <v>-</v>
      </c>
      <c r="Q401" s="46" t="str">
        <f t="shared" si="38"/>
        <v>-</v>
      </c>
      <c r="S401" s="46" t="str">
        <f t="shared" si="39"/>
        <v>-</v>
      </c>
    </row>
    <row r="402" spans="1:19" ht="15" x14ac:dyDescent="0.3">
      <c r="A402" s="74">
        <v>3626179</v>
      </c>
      <c r="B402" s="37">
        <v>75250</v>
      </c>
      <c r="C402" s="69">
        <v>76280752502</v>
      </c>
      <c r="D402" s="38" t="s">
        <v>774</v>
      </c>
      <c r="E402" s="64">
        <v>5.6750000000000002E-2</v>
      </c>
      <c r="F402" s="70">
        <v>12</v>
      </c>
      <c r="G402" s="38" t="s">
        <v>775</v>
      </c>
      <c r="H402" s="66" t="s">
        <v>1263</v>
      </c>
      <c r="I402" s="39">
        <v>6.7275000000000009</v>
      </c>
      <c r="J402" s="40"/>
      <c r="K402" s="75">
        <f t="shared" si="40"/>
        <v>0</v>
      </c>
      <c r="L402" s="41"/>
      <c r="N402" s="45" t="str">
        <f t="shared" si="36"/>
        <v>-</v>
      </c>
      <c r="O402" s="42" t="str">
        <f t="shared" si="41"/>
        <v>-</v>
      </c>
      <c r="P402" s="43" t="str">
        <f t="shared" si="37"/>
        <v>-</v>
      </c>
      <c r="Q402" s="46" t="str">
        <f t="shared" si="38"/>
        <v>-</v>
      </c>
      <c r="S402" s="46" t="str">
        <f t="shared" si="39"/>
        <v>-</v>
      </c>
    </row>
    <row r="403" spans="1:19" ht="15" x14ac:dyDescent="0.3">
      <c r="A403" s="74">
        <v>1385020</v>
      </c>
      <c r="B403" s="37">
        <v>1460</v>
      </c>
      <c r="C403" s="69">
        <v>76280014600</v>
      </c>
      <c r="D403" s="38" t="s">
        <v>779</v>
      </c>
      <c r="E403" s="64">
        <v>0.10296538400000001</v>
      </c>
      <c r="F403" s="70">
        <v>6</v>
      </c>
      <c r="G403" s="38" t="s">
        <v>615</v>
      </c>
      <c r="H403" s="66" t="s">
        <v>1263</v>
      </c>
      <c r="I403" s="39">
        <v>6.24</v>
      </c>
      <c r="J403" s="40"/>
      <c r="K403" s="75">
        <f t="shared" si="40"/>
        <v>0</v>
      </c>
      <c r="L403" s="41"/>
      <c r="N403" s="45" t="str">
        <f t="shared" si="36"/>
        <v>-</v>
      </c>
      <c r="O403" s="42" t="str">
        <f t="shared" si="41"/>
        <v>-</v>
      </c>
      <c r="P403" s="43" t="str">
        <f t="shared" si="37"/>
        <v>-</v>
      </c>
      <c r="Q403" s="46" t="str">
        <f t="shared" si="38"/>
        <v>-</v>
      </c>
      <c r="S403" s="46" t="str">
        <f t="shared" si="39"/>
        <v>-</v>
      </c>
    </row>
    <row r="404" spans="1:19" ht="15" x14ac:dyDescent="0.3">
      <c r="A404" s="74">
        <v>5180450</v>
      </c>
      <c r="B404" s="37">
        <v>4990</v>
      </c>
      <c r="C404" s="69">
        <v>76280049909</v>
      </c>
      <c r="D404" s="38" t="s">
        <v>789</v>
      </c>
      <c r="E404" s="64">
        <v>6.6927499599999996E-2</v>
      </c>
      <c r="F404" s="70">
        <v>12</v>
      </c>
      <c r="G404" s="38" t="s">
        <v>788</v>
      </c>
      <c r="H404" s="66" t="s">
        <v>1263</v>
      </c>
      <c r="I404" s="39">
        <v>7.2150000000000007</v>
      </c>
      <c r="J404" s="40"/>
      <c r="K404" s="75">
        <f t="shared" si="40"/>
        <v>0</v>
      </c>
      <c r="L404" s="41"/>
      <c r="N404" s="45" t="str">
        <f t="shared" si="36"/>
        <v>-</v>
      </c>
      <c r="O404" s="42" t="str">
        <f t="shared" si="41"/>
        <v>-</v>
      </c>
      <c r="P404" s="43" t="str">
        <f t="shared" si="37"/>
        <v>-</v>
      </c>
      <c r="Q404" s="46" t="str">
        <f t="shared" si="38"/>
        <v>-</v>
      </c>
      <c r="S404" s="46" t="str">
        <f t="shared" si="39"/>
        <v>-</v>
      </c>
    </row>
    <row r="405" spans="1:19" ht="15" x14ac:dyDescent="0.3">
      <c r="A405" s="74">
        <v>4600242</v>
      </c>
      <c r="B405" s="37">
        <v>18348</v>
      </c>
      <c r="C405" s="69">
        <v>76280183481</v>
      </c>
      <c r="D405" s="38" t="s">
        <v>795</v>
      </c>
      <c r="E405" s="64">
        <v>0.11326192240000001</v>
      </c>
      <c r="F405" s="70">
        <v>12</v>
      </c>
      <c r="G405" s="38" t="s">
        <v>330</v>
      </c>
      <c r="H405" s="66" t="s">
        <v>1263</v>
      </c>
      <c r="I405" s="39">
        <v>6.3375000000000004</v>
      </c>
      <c r="J405" s="40"/>
      <c r="K405" s="75">
        <f t="shared" si="40"/>
        <v>0</v>
      </c>
      <c r="L405" s="41"/>
      <c r="N405" s="45" t="str">
        <f t="shared" si="36"/>
        <v>-</v>
      </c>
      <c r="O405" s="42" t="str">
        <f t="shared" si="41"/>
        <v>-</v>
      </c>
      <c r="P405" s="43" t="str">
        <f t="shared" si="37"/>
        <v>-</v>
      </c>
      <c r="Q405" s="46" t="str">
        <f t="shared" si="38"/>
        <v>-</v>
      </c>
      <c r="S405" s="46" t="str">
        <f t="shared" si="39"/>
        <v>-</v>
      </c>
    </row>
    <row r="406" spans="1:19" ht="15" x14ac:dyDescent="0.3">
      <c r="A406" s="74">
        <v>3351268</v>
      </c>
      <c r="B406" s="37">
        <v>13651</v>
      </c>
      <c r="C406" s="69">
        <v>76280136517</v>
      </c>
      <c r="D406" s="38" t="s">
        <v>807</v>
      </c>
      <c r="E406" s="64">
        <v>0.19048596039999999</v>
      </c>
      <c r="F406" s="70">
        <v>6</v>
      </c>
      <c r="G406" s="38" t="s">
        <v>593</v>
      </c>
      <c r="H406" s="66" t="s">
        <v>1263</v>
      </c>
      <c r="I406" s="39">
        <v>8.8725000000000005</v>
      </c>
      <c r="J406" s="40"/>
      <c r="K406" s="75">
        <f t="shared" si="40"/>
        <v>0</v>
      </c>
      <c r="L406" s="41"/>
      <c r="N406" s="45" t="str">
        <f t="shared" si="36"/>
        <v>-</v>
      </c>
      <c r="O406" s="42" t="str">
        <f t="shared" si="41"/>
        <v>-</v>
      </c>
      <c r="P406" s="43" t="str">
        <f t="shared" si="37"/>
        <v>-</v>
      </c>
      <c r="Q406" s="46" t="str">
        <f t="shared" si="38"/>
        <v>-</v>
      </c>
      <c r="S406" s="46" t="str">
        <f t="shared" si="39"/>
        <v>-</v>
      </c>
    </row>
    <row r="407" spans="1:19" ht="15" x14ac:dyDescent="0.3">
      <c r="A407" s="74">
        <v>3378810</v>
      </c>
      <c r="B407" s="37">
        <v>4690</v>
      </c>
      <c r="C407" s="69">
        <v>76280046908</v>
      </c>
      <c r="D407" s="38" t="s">
        <v>813</v>
      </c>
      <c r="E407" s="64">
        <v>8.7520576400000008E-2</v>
      </c>
      <c r="F407" s="70">
        <v>12</v>
      </c>
      <c r="G407" s="38" t="s">
        <v>102</v>
      </c>
      <c r="H407" s="66" t="s">
        <v>1263</v>
      </c>
      <c r="I407" s="39">
        <v>6.3375000000000004</v>
      </c>
      <c r="J407" s="40"/>
      <c r="K407" s="75">
        <f t="shared" si="40"/>
        <v>0</v>
      </c>
      <c r="L407" s="41"/>
      <c r="N407" s="45" t="str">
        <f t="shared" si="36"/>
        <v>-</v>
      </c>
      <c r="O407" s="42" t="str">
        <f t="shared" si="41"/>
        <v>-</v>
      </c>
      <c r="P407" s="43" t="str">
        <f t="shared" si="37"/>
        <v>-</v>
      </c>
      <c r="Q407" s="46" t="str">
        <f t="shared" si="38"/>
        <v>-</v>
      </c>
      <c r="S407" s="46" t="str">
        <f t="shared" si="39"/>
        <v>-</v>
      </c>
    </row>
    <row r="408" spans="1:19" ht="15" x14ac:dyDescent="0.3">
      <c r="A408" s="74">
        <v>5981058</v>
      </c>
      <c r="B408" s="37">
        <v>2170</v>
      </c>
      <c r="C408" s="69">
        <v>76280021707</v>
      </c>
      <c r="D408" s="38" t="s">
        <v>824</v>
      </c>
      <c r="E408" s="64">
        <v>8.7520576400000008E-2</v>
      </c>
      <c r="F408" s="70">
        <v>6</v>
      </c>
      <c r="G408" s="38" t="s">
        <v>154</v>
      </c>
      <c r="H408" s="66" t="s">
        <v>1263</v>
      </c>
      <c r="I408" s="39">
        <v>6.24</v>
      </c>
      <c r="J408" s="40"/>
      <c r="K408" s="75">
        <f t="shared" si="40"/>
        <v>0</v>
      </c>
      <c r="L408" s="41"/>
      <c r="N408" s="45" t="str">
        <f t="shared" si="36"/>
        <v>-</v>
      </c>
      <c r="O408" s="42" t="str">
        <f t="shared" si="41"/>
        <v>-</v>
      </c>
      <c r="P408" s="43" t="str">
        <f t="shared" si="37"/>
        <v>-</v>
      </c>
      <c r="Q408" s="46" t="str">
        <f t="shared" si="38"/>
        <v>-</v>
      </c>
      <c r="S408" s="46" t="str">
        <f t="shared" si="39"/>
        <v>-</v>
      </c>
    </row>
    <row r="409" spans="1:19" ht="15" x14ac:dyDescent="0.3">
      <c r="A409" s="74">
        <v>2812931</v>
      </c>
      <c r="B409" s="37">
        <v>4816</v>
      </c>
      <c r="C409" s="69">
        <v>76280048162</v>
      </c>
      <c r="D409" s="38" t="s">
        <v>866</v>
      </c>
      <c r="E409" s="64">
        <v>0.19563422959999999</v>
      </c>
      <c r="F409" s="70">
        <v>6</v>
      </c>
      <c r="G409" s="38" t="s">
        <v>867</v>
      </c>
      <c r="H409" s="66" t="s">
        <v>1263</v>
      </c>
      <c r="I409" s="39">
        <v>12.04125</v>
      </c>
      <c r="J409" s="40"/>
      <c r="K409" s="75">
        <f t="shared" si="40"/>
        <v>0</v>
      </c>
      <c r="L409" s="41"/>
      <c r="N409" s="45" t="str">
        <f t="shared" si="36"/>
        <v>-</v>
      </c>
      <c r="O409" s="42" t="str">
        <f t="shared" si="41"/>
        <v>-</v>
      </c>
      <c r="P409" s="43" t="str">
        <f t="shared" si="37"/>
        <v>-</v>
      </c>
      <c r="Q409" s="46" t="str">
        <f t="shared" si="38"/>
        <v>-</v>
      </c>
      <c r="S409" s="46" t="str">
        <f t="shared" si="39"/>
        <v>-</v>
      </c>
    </row>
    <row r="410" spans="1:19" ht="15" x14ac:dyDescent="0.3">
      <c r="A410" s="74">
        <v>7895374</v>
      </c>
      <c r="B410" s="37">
        <v>8378</v>
      </c>
      <c r="C410" s="69">
        <v>76280083781</v>
      </c>
      <c r="D410" s="38" t="s">
        <v>899</v>
      </c>
      <c r="E410" s="64">
        <v>0.15444807599999999</v>
      </c>
      <c r="F410" s="70">
        <v>6</v>
      </c>
      <c r="G410" s="38" t="s">
        <v>34</v>
      </c>
      <c r="H410" s="66" t="s">
        <v>1263</v>
      </c>
      <c r="I410" s="39">
        <v>11.505000000000001</v>
      </c>
      <c r="J410" s="40"/>
      <c r="K410" s="75">
        <f t="shared" si="40"/>
        <v>0</v>
      </c>
      <c r="L410" s="41"/>
      <c r="N410" s="45" t="str">
        <f t="shared" si="36"/>
        <v>-</v>
      </c>
      <c r="O410" s="42" t="str">
        <f t="shared" si="41"/>
        <v>-</v>
      </c>
      <c r="P410" s="43" t="str">
        <f t="shared" si="37"/>
        <v>-</v>
      </c>
      <c r="Q410" s="46" t="str">
        <f t="shared" si="38"/>
        <v>-</v>
      </c>
      <c r="S410" s="46" t="str">
        <f t="shared" si="39"/>
        <v>-</v>
      </c>
    </row>
    <row r="411" spans="1:19" ht="15" x14ac:dyDescent="0.3">
      <c r="A411" s="74">
        <v>4459708</v>
      </c>
      <c r="B411" s="37">
        <v>32989</v>
      </c>
      <c r="C411" s="69">
        <v>76280329896</v>
      </c>
      <c r="D411" s="38" t="s">
        <v>900</v>
      </c>
      <c r="E411" s="64">
        <v>9.2668845599999994E-2</v>
      </c>
      <c r="F411" s="70">
        <v>12</v>
      </c>
      <c r="G411" s="38" t="s">
        <v>901</v>
      </c>
      <c r="H411" s="66" t="s">
        <v>1263</v>
      </c>
      <c r="I411" s="39">
        <v>7.1662499999999998</v>
      </c>
      <c r="J411" s="40"/>
      <c r="K411" s="75">
        <f t="shared" si="40"/>
        <v>0</v>
      </c>
      <c r="L411" s="41"/>
      <c r="N411" s="45" t="str">
        <f t="shared" si="36"/>
        <v>-</v>
      </c>
      <c r="O411" s="42" t="str">
        <f t="shared" si="41"/>
        <v>-</v>
      </c>
      <c r="P411" s="43" t="str">
        <f t="shared" si="37"/>
        <v>-</v>
      </c>
      <c r="Q411" s="46" t="str">
        <f t="shared" si="38"/>
        <v>-</v>
      </c>
      <c r="S411" s="46" t="str">
        <f t="shared" si="39"/>
        <v>-</v>
      </c>
    </row>
    <row r="412" spans="1:19" ht="15" x14ac:dyDescent="0.3">
      <c r="A412" s="74">
        <v>8564346</v>
      </c>
      <c r="B412" s="37">
        <v>4790</v>
      </c>
      <c r="C412" s="69">
        <v>76280047905</v>
      </c>
      <c r="D412" s="38" t="s">
        <v>907</v>
      </c>
      <c r="E412" s="64">
        <v>8.2372307199999995E-2</v>
      </c>
      <c r="F412" s="70">
        <v>12</v>
      </c>
      <c r="G412" s="38" t="s">
        <v>34</v>
      </c>
      <c r="H412" s="66" t="s">
        <v>1263</v>
      </c>
      <c r="I412" s="39">
        <v>6.7762500000000001</v>
      </c>
      <c r="J412" s="40"/>
      <c r="K412" s="75">
        <f t="shared" si="40"/>
        <v>0</v>
      </c>
      <c r="L412" s="41"/>
      <c r="N412" s="45" t="str">
        <f t="shared" si="36"/>
        <v>-</v>
      </c>
      <c r="O412" s="42" t="str">
        <f t="shared" si="41"/>
        <v>-</v>
      </c>
      <c r="P412" s="43" t="str">
        <f t="shared" si="37"/>
        <v>-</v>
      </c>
      <c r="Q412" s="46" t="str">
        <f t="shared" si="38"/>
        <v>-</v>
      </c>
      <c r="S412" s="46" t="str">
        <f t="shared" si="39"/>
        <v>-</v>
      </c>
    </row>
    <row r="413" spans="1:19" ht="15" x14ac:dyDescent="0.3">
      <c r="A413" s="74">
        <v>2119205</v>
      </c>
      <c r="B413" s="37">
        <v>3970</v>
      </c>
      <c r="C413" s="69">
        <v>76280039702</v>
      </c>
      <c r="D413" s="38" t="s">
        <v>923</v>
      </c>
      <c r="E413" s="64">
        <v>5.6750000000000002E-2</v>
      </c>
      <c r="F413" s="70">
        <v>6</v>
      </c>
      <c r="G413" s="38" t="s">
        <v>924</v>
      </c>
      <c r="H413" s="66" t="s">
        <v>1263</v>
      </c>
      <c r="I413" s="39">
        <v>7.4587500000000002</v>
      </c>
      <c r="J413" s="40"/>
      <c r="K413" s="75">
        <f t="shared" si="40"/>
        <v>0</v>
      </c>
      <c r="L413" s="41"/>
      <c r="N413" s="45" t="str">
        <f t="shared" si="36"/>
        <v>-</v>
      </c>
      <c r="O413" s="42" t="str">
        <f t="shared" si="41"/>
        <v>-</v>
      </c>
      <c r="P413" s="43" t="str">
        <f t="shared" si="37"/>
        <v>-</v>
      </c>
      <c r="Q413" s="46" t="str">
        <f t="shared" si="38"/>
        <v>-</v>
      </c>
      <c r="S413" s="46" t="str">
        <f t="shared" si="39"/>
        <v>-</v>
      </c>
    </row>
    <row r="414" spans="1:19" ht="15" x14ac:dyDescent="0.3">
      <c r="A414" s="74">
        <v>8434916</v>
      </c>
      <c r="B414" s="37">
        <v>180</v>
      </c>
      <c r="C414" s="69">
        <v>76280001808</v>
      </c>
      <c r="D414" s="38" t="s">
        <v>925</v>
      </c>
      <c r="E414" s="64">
        <v>9.7817114799999993E-2</v>
      </c>
      <c r="F414" s="70">
        <v>6</v>
      </c>
      <c r="G414" s="38" t="s">
        <v>207</v>
      </c>
      <c r="H414" s="66" t="s">
        <v>1263</v>
      </c>
      <c r="I414" s="39">
        <v>6.7762500000000001</v>
      </c>
      <c r="J414" s="40"/>
      <c r="K414" s="75">
        <f t="shared" si="40"/>
        <v>0</v>
      </c>
      <c r="L414" s="41"/>
      <c r="N414" s="45" t="str">
        <f t="shared" si="36"/>
        <v>-</v>
      </c>
      <c r="O414" s="42" t="str">
        <f t="shared" si="41"/>
        <v>-</v>
      </c>
      <c r="P414" s="43" t="str">
        <f t="shared" si="37"/>
        <v>-</v>
      </c>
      <c r="Q414" s="46" t="str">
        <f t="shared" si="38"/>
        <v>-</v>
      </c>
      <c r="S414" s="46" t="str">
        <f t="shared" si="39"/>
        <v>-</v>
      </c>
    </row>
    <row r="415" spans="1:19" ht="15" x14ac:dyDescent="0.3">
      <c r="A415" s="74">
        <v>1485892</v>
      </c>
      <c r="B415" s="37">
        <v>8891</v>
      </c>
      <c r="C415" s="69">
        <v>76280088915</v>
      </c>
      <c r="D415" s="38" t="s">
        <v>926</v>
      </c>
      <c r="E415" s="64">
        <v>5.6750000000000002E-2</v>
      </c>
      <c r="F415" s="70">
        <v>12</v>
      </c>
      <c r="G415" s="38" t="s">
        <v>529</v>
      </c>
      <c r="H415" s="66" t="s">
        <v>1263</v>
      </c>
      <c r="I415" s="39">
        <v>6.0449999999999999</v>
      </c>
      <c r="J415" s="40"/>
      <c r="K415" s="75">
        <f t="shared" si="40"/>
        <v>0</v>
      </c>
      <c r="L415" s="41"/>
      <c r="N415" s="45" t="str">
        <f t="shared" si="36"/>
        <v>-</v>
      </c>
      <c r="O415" s="42" t="str">
        <f t="shared" si="41"/>
        <v>-</v>
      </c>
      <c r="P415" s="43" t="str">
        <f t="shared" si="37"/>
        <v>-</v>
      </c>
      <c r="Q415" s="46" t="str">
        <f t="shared" si="38"/>
        <v>-</v>
      </c>
      <c r="S415" s="46" t="str">
        <f t="shared" si="39"/>
        <v>-</v>
      </c>
    </row>
    <row r="416" spans="1:19" ht="15" x14ac:dyDescent="0.3">
      <c r="A416" s="74">
        <v>8679122</v>
      </c>
      <c r="B416" s="37">
        <v>4792</v>
      </c>
      <c r="C416" s="69">
        <v>76280047929</v>
      </c>
      <c r="D416" s="38" t="s">
        <v>951</v>
      </c>
      <c r="E416" s="64">
        <v>9.7817114799999993E-2</v>
      </c>
      <c r="F416" s="70">
        <v>6</v>
      </c>
      <c r="G416" s="38" t="s">
        <v>63</v>
      </c>
      <c r="H416" s="66" t="s">
        <v>1263</v>
      </c>
      <c r="I416" s="39">
        <v>10.530000000000001</v>
      </c>
      <c r="J416" s="40"/>
      <c r="K416" s="75">
        <f t="shared" si="40"/>
        <v>0</v>
      </c>
      <c r="L416" s="41"/>
      <c r="N416" s="45" t="str">
        <f t="shared" si="36"/>
        <v>-</v>
      </c>
      <c r="O416" s="42" t="str">
        <f t="shared" si="41"/>
        <v>-</v>
      </c>
      <c r="P416" s="43" t="str">
        <f t="shared" si="37"/>
        <v>-</v>
      </c>
      <c r="Q416" s="46" t="str">
        <f t="shared" si="38"/>
        <v>-</v>
      </c>
      <c r="S416" s="46" t="str">
        <f t="shared" si="39"/>
        <v>-</v>
      </c>
    </row>
    <row r="417" spans="1:19" ht="15" x14ac:dyDescent="0.3">
      <c r="A417" s="74">
        <v>9351369</v>
      </c>
      <c r="B417" s="37">
        <v>8006</v>
      </c>
      <c r="C417" s="69">
        <v>76280080063</v>
      </c>
      <c r="D417" s="38" t="s">
        <v>953</v>
      </c>
      <c r="E417" s="64">
        <v>7.2075768800000009E-2</v>
      </c>
      <c r="F417" s="70">
        <v>12</v>
      </c>
      <c r="G417" s="38" t="s">
        <v>90</v>
      </c>
      <c r="H417" s="66" t="s">
        <v>1263</v>
      </c>
      <c r="I417" s="39">
        <v>16.185000000000002</v>
      </c>
      <c r="J417" s="40"/>
      <c r="K417" s="75">
        <f t="shared" si="40"/>
        <v>0</v>
      </c>
      <c r="L417" s="41"/>
      <c r="N417" s="45" t="str">
        <f t="shared" si="36"/>
        <v>-</v>
      </c>
      <c r="O417" s="42" t="str">
        <f t="shared" si="41"/>
        <v>-</v>
      </c>
      <c r="P417" s="43" t="str">
        <f t="shared" si="37"/>
        <v>-</v>
      </c>
      <c r="Q417" s="46" t="str">
        <f t="shared" si="38"/>
        <v>-</v>
      </c>
      <c r="S417" s="46" t="str">
        <f t="shared" si="39"/>
        <v>-</v>
      </c>
    </row>
    <row r="418" spans="1:19" ht="15" x14ac:dyDescent="0.3">
      <c r="A418" s="74">
        <v>5504970</v>
      </c>
      <c r="B418" s="37">
        <v>4680</v>
      </c>
      <c r="C418" s="69">
        <v>76280046809</v>
      </c>
      <c r="D418" s="38" t="s">
        <v>971</v>
      </c>
      <c r="E418" s="64">
        <v>7.7224037999999995E-2</v>
      </c>
      <c r="F418" s="70">
        <v>12</v>
      </c>
      <c r="G418" s="38" t="s">
        <v>276</v>
      </c>
      <c r="H418" s="66" t="s">
        <v>1263</v>
      </c>
      <c r="I418" s="39">
        <v>5.0212500000000002</v>
      </c>
      <c r="J418" s="40"/>
      <c r="K418" s="75">
        <f t="shared" si="40"/>
        <v>0</v>
      </c>
      <c r="L418" s="41"/>
      <c r="N418" s="45" t="str">
        <f t="shared" si="36"/>
        <v>-</v>
      </c>
      <c r="O418" s="42" t="str">
        <f t="shared" si="41"/>
        <v>-</v>
      </c>
      <c r="P418" s="43" t="str">
        <f t="shared" si="37"/>
        <v>-</v>
      </c>
      <c r="Q418" s="46" t="str">
        <f t="shared" si="38"/>
        <v>-</v>
      </c>
      <c r="S418" s="46" t="str">
        <f t="shared" si="39"/>
        <v>-</v>
      </c>
    </row>
    <row r="419" spans="1:19" ht="15" x14ac:dyDescent="0.3">
      <c r="A419" s="74">
        <v>2648674</v>
      </c>
      <c r="B419" s="37">
        <v>4215</v>
      </c>
      <c r="C419" s="69">
        <v>76280042153</v>
      </c>
      <c r="D419" s="38" t="s">
        <v>985</v>
      </c>
      <c r="E419" s="64">
        <v>0.15959634519999999</v>
      </c>
      <c r="F419" s="70">
        <v>6</v>
      </c>
      <c r="G419" s="38" t="s">
        <v>154</v>
      </c>
      <c r="H419" s="66" t="s">
        <v>1263</v>
      </c>
      <c r="I419" s="39">
        <v>8.6775000000000002</v>
      </c>
      <c r="J419" s="40"/>
      <c r="K419" s="75">
        <f t="shared" si="40"/>
        <v>0</v>
      </c>
      <c r="L419" s="41"/>
      <c r="N419" s="45" t="str">
        <f t="shared" si="36"/>
        <v>-</v>
      </c>
      <c r="O419" s="42" t="str">
        <f t="shared" si="41"/>
        <v>-</v>
      </c>
      <c r="P419" s="43" t="str">
        <f t="shared" si="37"/>
        <v>-</v>
      </c>
      <c r="Q419" s="46" t="str">
        <f t="shared" si="38"/>
        <v>-</v>
      </c>
      <c r="S419" s="46" t="str">
        <f t="shared" si="39"/>
        <v>-</v>
      </c>
    </row>
    <row r="420" spans="1:19" ht="15" x14ac:dyDescent="0.3">
      <c r="A420" s="74">
        <v>8368142</v>
      </c>
      <c r="B420" s="37">
        <v>41887</v>
      </c>
      <c r="C420" s="69">
        <v>76280418873</v>
      </c>
      <c r="D420" s="38" t="s">
        <v>609</v>
      </c>
      <c r="E420" s="64">
        <v>7.2075768800000009E-2</v>
      </c>
      <c r="F420" s="70">
        <v>12</v>
      </c>
      <c r="G420" s="38" t="s">
        <v>231</v>
      </c>
      <c r="H420" s="66" t="s">
        <v>1263</v>
      </c>
      <c r="I420" s="39">
        <v>9.75</v>
      </c>
      <c r="J420" s="40"/>
      <c r="K420" s="75">
        <f t="shared" si="40"/>
        <v>0</v>
      </c>
      <c r="L420" s="41"/>
      <c r="N420" s="45" t="str">
        <f t="shared" si="36"/>
        <v>-</v>
      </c>
      <c r="O420" s="42" t="str">
        <f t="shared" si="41"/>
        <v>-</v>
      </c>
      <c r="P420" s="43" t="str">
        <f t="shared" si="37"/>
        <v>-</v>
      </c>
      <c r="Q420" s="46" t="str">
        <f t="shared" si="38"/>
        <v>-</v>
      </c>
      <c r="S420" s="46" t="str">
        <f t="shared" si="39"/>
        <v>-</v>
      </c>
    </row>
    <row r="421" spans="1:19" ht="15" x14ac:dyDescent="0.3">
      <c r="A421" s="74">
        <v>8928612</v>
      </c>
      <c r="B421" s="37">
        <v>36664</v>
      </c>
      <c r="C421" s="69">
        <v>76280366648</v>
      </c>
      <c r="D421" s="38" t="s">
        <v>1157</v>
      </c>
      <c r="E421" s="64">
        <v>5.6750000000000002E-2</v>
      </c>
      <c r="F421" s="70">
        <v>6</v>
      </c>
      <c r="G421" s="38" t="s">
        <v>160</v>
      </c>
      <c r="H421" s="66" t="s">
        <v>1263</v>
      </c>
      <c r="I421" s="39">
        <v>15.99</v>
      </c>
      <c r="J421" s="40"/>
      <c r="K421" s="75">
        <f t="shared" si="40"/>
        <v>0</v>
      </c>
      <c r="L421" s="41"/>
      <c r="N421" s="45" t="str">
        <f t="shared" si="36"/>
        <v>-</v>
      </c>
      <c r="O421" s="42" t="str">
        <f t="shared" si="41"/>
        <v>-</v>
      </c>
      <c r="P421" s="43" t="str">
        <f t="shared" si="37"/>
        <v>-</v>
      </c>
      <c r="Q421" s="46" t="str">
        <f t="shared" si="38"/>
        <v>-</v>
      </c>
      <c r="S421" s="46" t="str">
        <f t="shared" si="39"/>
        <v>-</v>
      </c>
    </row>
    <row r="422" spans="1:19" ht="15" x14ac:dyDescent="0.3">
      <c r="A422" s="74">
        <v>8333942</v>
      </c>
      <c r="B422" s="37">
        <v>4301</v>
      </c>
      <c r="C422" s="69">
        <v>76280043013</v>
      </c>
      <c r="D422" s="38" t="s">
        <v>495</v>
      </c>
      <c r="E422" s="64">
        <v>0.16989288359999999</v>
      </c>
      <c r="F422" s="70">
        <v>6</v>
      </c>
      <c r="G422" s="38" t="s">
        <v>200</v>
      </c>
      <c r="H422" s="66" t="s">
        <v>1258</v>
      </c>
      <c r="I422" s="39">
        <v>14.625</v>
      </c>
      <c r="J422" s="40"/>
      <c r="K422" s="75">
        <f t="shared" si="40"/>
        <v>0</v>
      </c>
      <c r="L422" s="41"/>
      <c r="N422" s="45" t="str">
        <f t="shared" si="36"/>
        <v>-</v>
      </c>
      <c r="O422" s="42" t="str">
        <f t="shared" si="41"/>
        <v>-</v>
      </c>
      <c r="P422" s="43" t="str">
        <f t="shared" si="37"/>
        <v>-</v>
      </c>
      <c r="Q422" s="46" t="str">
        <f t="shared" si="38"/>
        <v>-</v>
      </c>
      <c r="S422" s="46" t="str">
        <f t="shared" si="39"/>
        <v>-</v>
      </c>
    </row>
    <row r="423" spans="1:19" ht="15" x14ac:dyDescent="0.3">
      <c r="A423" s="74">
        <v>2299570</v>
      </c>
      <c r="B423" s="37">
        <v>4303</v>
      </c>
      <c r="C423" s="69">
        <v>76280043037</v>
      </c>
      <c r="D423" s="38" t="s">
        <v>495</v>
      </c>
      <c r="E423" s="64">
        <v>0.34493403640000003</v>
      </c>
      <c r="F423" s="70">
        <v>6</v>
      </c>
      <c r="G423" s="38" t="s">
        <v>497</v>
      </c>
      <c r="H423" s="66" t="s">
        <v>1258</v>
      </c>
      <c r="I423" s="39">
        <v>31.6875</v>
      </c>
      <c r="J423" s="40"/>
      <c r="K423" s="75">
        <f t="shared" si="40"/>
        <v>0</v>
      </c>
      <c r="L423" s="41"/>
      <c r="N423" s="45" t="str">
        <f t="shared" si="36"/>
        <v>-</v>
      </c>
      <c r="O423" s="42" t="str">
        <f t="shared" si="41"/>
        <v>-</v>
      </c>
      <c r="P423" s="43" t="str">
        <f t="shared" si="37"/>
        <v>-</v>
      </c>
      <c r="Q423" s="46" t="str">
        <f t="shared" si="38"/>
        <v>-</v>
      </c>
      <c r="S423" s="46" t="str">
        <f t="shared" si="39"/>
        <v>-</v>
      </c>
    </row>
    <row r="424" spans="1:19" ht="15" x14ac:dyDescent="0.3">
      <c r="A424" s="74">
        <v>6055498</v>
      </c>
      <c r="B424" s="37">
        <v>1390</v>
      </c>
      <c r="C424" s="69">
        <v>76280013900</v>
      </c>
      <c r="D424" s="38" t="s">
        <v>498</v>
      </c>
      <c r="E424" s="64">
        <v>7.7224037999999995E-2</v>
      </c>
      <c r="F424" s="70">
        <v>6</v>
      </c>
      <c r="G424" s="38" t="s">
        <v>499</v>
      </c>
      <c r="H424" s="66" t="s">
        <v>1258</v>
      </c>
      <c r="I424" s="39">
        <v>6.8249999999999993</v>
      </c>
      <c r="J424" s="40"/>
      <c r="K424" s="75">
        <f t="shared" si="40"/>
        <v>0</v>
      </c>
      <c r="L424" s="41"/>
      <c r="N424" s="45" t="str">
        <f t="shared" si="36"/>
        <v>-</v>
      </c>
      <c r="O424" s="42" t="str">
        <f t="shared" si="41"/>
        <v>-</v>
      </c>
      <c r="P424" s="43" t="str">
        <f t="shared" si="37"/>
        <v>-</v>
      </c>
      <c r="Q424" s="46" t="str">
        <f t="shared" si="38"/>
        <v>-</v>
      </c>
      <c r="S424" s="46" t="str">
        <f t="shared" si="39"/>
        <v>-</v>
      </c>
    </row>
    <row r="425" spans="1:19" ht="15" x14ac:dyDescent="0.3">
      <c r="A425" s="74">
        <v>9226009</v>
      </c>
      <c r="B425" s="37">
        <v>4460</v>
      </c>
      <c r="C425" s="69">
        <v>76280044607</v>
      </c>
      <c r="D425" s="38" t="s">
        <v>500</v>
      </c>
      <c r="E425" s="64">
        <v>0.16989288359999999</v>
      </c>
      <c r="F425" s="70">
        <v>6</v>
      </c>
      <c r="G425" s="38" t="s">
        <v>117</v>
      </c>
      <c r="H425" s="66" t="s">
        <v>1258</v>
      </c>
      <c r="I425" s="39">
        <v>9.7987500000000018</v>
      </c>
      <c r="J425" s="40"/>
      <c r="K425" s="75">
        <f t="shared" si="40"/>
        <v>0</v>
      </c>
      <c r="L425" s="41"/>
      <c r="N425" s="45" t="str">
        <f t="shared" si="36"/>
        <v>-</v>
      </c>
      <c r="O425" s="42" t="str">
        <f t="shared" si="41"/>
        <v>-</v>
      </c>
      <c r="P425" s="43" t="str">
        <f t="shared" si="37"/>
        <v>-</v>
      </c>
      <c r="Q425" s="46" t="str">
        <f t="shared" si="38"/>
        <v>-</v>
      </c>
      <c r="S425" s="46" t="str">
        <f t="shared" si="39"/>
        <v>-</v>
      </c>
    </row>
    <row r="426" spans="1:19" ht="15" x14ac:dyDescent="0.3">
      <c r="A426" s="74">
        <v>3951236</v>
      </c>
      <c r="B426" s="37">
        <v>4461</v>
      </c>
      <c r="C426" s="69">
        <v>76280044614</v>
      </c>
      <c r="D426" s="38" t="s">
        <v>500</v>
      </c>
      <c r="E426" s="64">
        <v>0.35008230560000003</v>
      </c>
      <c r="F426" s="70">
        <v>6</v>
      </c>
      <c r="G426" s="38" t="s">
        <v>118</v>
      </c>
      <c r="H426" s="66" t="s">
        <v>1258</v>
      </c>
      <c r="I426" s="39">
        <v>21.060000000000002</v>
      </c>
      <c r="J426" s="40"/>
      <c r="K426" s="75">
        <f t="shared" si="40"/>
        <v>0</v>
      </c>
      <c r="L426" s="41"/>
      <c r="N426" s="45" t="str">
        <f t="shared" si="36"/>
        <v>-</v>
      </c>
      <c r="O426" s="42" t="str">
        <f t="shared" si="41"/>
        <v>-</v>
      </c>
      <c r="P426" s="43" t="str">
        <f t="shared" si="37"/>
        <v>-</v>
      </c>
      <c r="Q426" s="46" t="str">
        <f t="shared" si="38"/>
        <v>-</v>
      </c>
      <c r="S426" s="46" t="str">
        <f t="shared" si="39"/>
        <v>-</v>
      </c>
    </row>
    <row r="427" spans="1:19" ht="15" x14ac:dyDescent="0.3">
      <c r="A427" s="74">
        <v>2968026</v>
      </c>
      <c r="B427" s="37">
        <v>4462</v>
      </c>
      <c r="C427" s="69">
        <v>76280044621</v>
      </c>
      <c r="D427" s="38" t="s">
        <v>500</v>
      </c>
      <c r="E427" s="64">
        <v>0.50967865080000008</v>
      </c>
      <c r="F427" s="70">
        <v>6</v>
      </c>
      <c r="G427" s="38" t="s">
        <v>501</v>
      </c>
      <c r="H427" s="66" t="s">
        <v>1258</v>
      </c>
      <c r="I427" s="39">
        <v>26.910000000000004</v>
      </c>
      <c r="J427" s="40"/>
      <c r="K427" s="75">
        <f t="shared" si="40"/>
        <v>0</v>
      </c>
      <c r="L427" s="41"/>
      <c r="N427" s="45" t="str">
        <f t="shared" si="36"/>
        <v>-</v>
      </c>
      <c r="O427" s="42" t="str">
        <f t="shared" si="41"/>
        <v>-</v>
      </c>
      <c r="P427" s="43" t="str">
        <f t="shared" si="37"/>
        <v>-</v>
      </c>
      <c r="Q427" s="46" t="str">
        <f t="shared" si="38"/>
        <v>-</v>
      </c>
      <c r="S427" s="46" t="str">
        <f t="shared" si="39"/>
        <v>-</v>
      </c>
    </row>
    <row r="428" spans="1:19" ht="15" x14ac:dyDescent="0.3">
      <c r="A428" s="74">
        <v>7719351</v>
      </c>
      <c r="B428" s="37">
        <v>64630</v>
      </c>
      <c r="C428" s="69">
        <v>76280646306</v>
      </c>
      <c r="D428" s="38" t="s">
        <v>500</v>
      </c>
      <c r="E428" s="64">
        <v>0.10296538400000001</v>
      </c>
      <c r="F428" s="70">
        <v>12</v>
      </c>
      <c r="G428" s="38" t="s">
        <v>330</v>
      </c>
      <c r="H428" s="66" t="s">
        <v>1258</v>
      </c>
      <c r="I428" s="39">
        <v>7.3612500000000001</v>
      </c>
      <c r="J428" s="40"/>
      <c r="K428" s="75">
        <f t="shared" si="40"/>
        <v>0</v>
      </c>
      <c r="L428" s="41"/>
      <c r="N428" s="45" t="str">
        <f t="shared" si="36"/>
        <v>-</v>
      </c>
      <c r="O428" s="42" t="str">
        <f t="shared" si="41"/>
        <v>-</v>
      </c>
      <c r="P428" s="43" t="str">
        <f t="shared" si="37"/>
        <v>-</v>
      </c>
      <c r="Q428" s="46" t="str">
        <f t="shared" si="38"/>
        <v>-</v>
      </c>
      <c r="S428" s="46" t="str">
        <f t="shared" si="39"/>
        <v>-</v>
      </c>
    </row>
    <row r="429" spans="1:19" ht="15" x14ac:dyDescent="0.3">
      <c r="A429" s="74">
        <v>3626565</v>
      </c>
      <c r="B429" s="37">
        <v>63349</v>
      </c>
      <c r="C429" s="69">
        <v>76280633498</v>
      </c>
      <c r="D429" s="38" t="s">
        <v>505</v>
      </c>
      <c r="E429" s="64">
        <v>0.18018942199999999</v>
      </c>
      <c r="F429" s="70">
        <v>6</v>
      </c>
      <c r="G429" s="38" t="s">
        <v>290</v>
      </c>
      <c r="H429" s="66" t="s">
        <v>1258</v>
      </c>
      <c r="I429" s="39">
        <v>31.882500000000004</v>
      </c>
      <c r="J429" s="40"/>
      <c r="K429" s="75">
        <f t="shared" si="40"/>
        <v>0</v>
      </c>
      <c r="L429" s="41"/>
      <c r="N429" s="45" t="str">
        <f t="shared" si="36"/>
        <v>-</v>
      </c>
      <c r="O429" s="42" t="str">
        <f t="shared" si="41"/>
        <v>-</v>
      </c>
      <c r="P429" s="43" t="str">
        <f t="shared" si="37"/>
        <v>-</v>
      </c>
      <c r="Q429" s="46" t="str">
        <f t="shared" si="38"/>
        <v>-</v>
      </c>
      <c r="S429" s="46" t="str">
        <f t="shared" si="39"/>
        <v>-</v>
      </c>
    </row>
    <row r="430" spans="1:19" ht="15" x14ac:dyDescent="0.3">
      <c r="A430" s="74">
        <v>2937557</v>
      </c>
      <c r="B430" s="37">
        <v>862</v>
      </c>
      <c r="C430" s="69">
        <v>76280008623</v>
      </c>
      <c r="D430" s="38" t="s">
        <v>227</v>
      </c>
      <c r="E430" s="64">
        <v>0.12870672999999999</v>
      </c>
      <c r="F430" s="70">
        <v>6</v>
      </c>
      <c r="G430" s="38" t="s">
        <v>414</v>
      </c>
      <c r="H430" s="66" t="s">
        <v>1258</v>
      </c>
      <c r="I430" s="39">
        <v>7.1662499999999998</v>
      </c>
      <c r="J430" s="40"/>
      <c r="K430" s="75">
        <f t="shared" si="40"/>
        <v>0</v>
      </c>
      <c r="L430" s="41"/>
      <c r="N430" s="45" t="str">
        <f t="shared" si="36"/>
        <v>-</v>
      </c>
      <c r="O430" s="42" t="str">
        <f t="shared" si="41"/>
        <v>-</v>
      </c>
      <c r="P430" s="43" t="str">
        <f t="shared" si="37"/>
        <v>-</v>
      </c>
      <c r="Q430" s="46" t="str">
        <f t="shared" si="38"/>
        <v>-</v>
      </c>
      <c r="S430" s="46" t="str">
        <f t="shared" si="39"/>
        <v>-</v>
      </c>
    </row>
    <row r="431" spans="1:19" ht="15" x14ac:dyDescent="0.3">
      <c r="A431" s="74">
        <v>7726523</v>
      </c>
      <c r="B431" s="37">
        <v>4941</v>
      </c>
      <c r="C431" s="69">
        <v>76280049411</v>
      </c>
      <c r="D431" s="38" t="s">
        <v>508</v>
      </c>
      <c r="E431" s="64">
        <v>0.16474461439999999</v>
      </c>
      <c r="F431" s="70">
        <v>6</v>
      </c>
      <c r="G431" s="38" t="s">
        <v>417</v>
      </c>
      <c r="H431" s="66" t="s">
        <v>1258</v>
      </c>
      <c r="I431" s="39">
        <v>7.3125</v>
      </c>
      <c r="J431" s="40"/>
      <c r="K431" s="75">
        <f t="shared" si="40"/>
        <v>0</v>
      </c>
      <c r="L431" s="41"/>
      <c r="N431" s="45" t="str">
        <f t="shared" si="36"/>
        <v>-</v>
      </c>
      <c r="O431" s="42" t="str">
        <f t="shared" si="41"/>
        <v>-</v>
      </c>
      <c r="P431" s="43" t="str">
        <f t="shared" si="37"/>
        <v>-</v>
      </c>
      <c r="Q431" s="46" t="str">
        <f t="shared" si="38"/>
        <v>-</v>
      </c>
      <c r="S431" s="46" t="str">
        <f t="shared" si="39"/>
        <v>-</v>
      </c>
    </row>
    <row r="432" spans="1:19" ht="15" x14ac:dyDescent="0.3">
      <c r="A432" s="74">
        <v>3290436</v>
      </c>
      <c r="B432" s="37">
        <v>49301</v>
      </c>
      <c r="C432" s="69">
        <v>76280493016</v>
      </c>
      <c r="D432" s="38" t="s">
        <v>510</v>
      </c>
      <c r="E432" s="64">
        <v>8.2372307199999995E-2</v>
      </c>
      <c r="F432" s="70">
        <v>6</v>
      </c>
      <c r="G432" s="38" t="s">
        <v>511</v>
      </c>
      <c r="H432" s="66" t="s">
        <v>1258</v>
      </c>
      <c r="I432" s="39">
        <v>10.09125</v>
      </c>
      <c r="J432" s="40"/>
      <c r="K432" s="75">
        <f t="shared" si="40"/>
        <v>0</v>
      </c>
      <c r="L432" s="41"/>
      <c r="N432" s="45" t="str">
        <f t="shared" si="36"/>
        <v>-</v>
      </c>
      <c r="O432" s="42" t="str">
        <f t="shared" si="41"/>
        <v>-</v>
      </c>
      <c r="P432" s="43" t="str">
        <f t="shared" si="37"/>
        <v>-</v>
      </c>
      <c r="Q432" s="46" t="str">
        <f t="shared" si="38"/>
        <v>-</v>
      </c>
      <c r="S432" s="46" t="str">
        <f t="shared" si="39"/>
        <v>-</v>
      </c>
    </row>
    <row r="433" spans="1:19" ht="15" x14ac:dyDescent="0.3">
      <c r="A433" s="74">
        <v>3258357</v>
      </c>
      <c r="B433" s="37">
        <v>45835</v>
      </c>
      <c r="C433" s="69">
        <v>76280458350</v>
      </c>
      <c r="D433" s="38" t="s">
        <v>514</v>
      </c>
      <c r="E433" s="64">
        <v>0.26770999839999998</v>
      </c>
      <c r="F433" s="70">
        <v>6</v>
      </c>
      <c r="G433" s="38" t="s">
        <v>73</v>
      </c>
      <c r="H433" s="66" t="s">
        <v>1258</v>
      </c>
      <c r="I433" s="39">
        <v>11.31</v>
      </c>
      <c r="J433" s="40"/>
      <c r="K433" s="75">
        <f t="shared" si="40"/>
        <v>0</v>
      </c>
      <c r="L433" s="41"/>
      <c r="N433" s="45" t="str">
        <f t="shared" si="36"/>
        <v>-</v>
      </c>
      <c r="O433" s="42" t="str">
        <f t="shared" si="41"/>
        <v>-</v>
      </c>
      <c r="P433" s="43" t="str">
        <f t="shared" si="37"/>
        <v>-</v>
      </c>
      <c r="Q433" s="46" t="str">
        <f t="shared" si="38"/>
        <v>-</v>
      </c>
      <c r="S433" s="46" t="str">
        <f t="shared" si="39"/>
        <v>-</v>
      </c>
    </row>
    <row r="434" spans="1:19" ht="15" x14ac:dyDescent="0.3">
      <c r="A434" s="74">
        <v>3735386</v>
      </c>
      <c r="B434" s="37">
        <v>4517</v>
      </c>
      <c r="C434" s="69">
        <v>76280045178</v>
      </c>
      <c r="D434" s="38" t="s">
        <v>519</v>
      </c>
      <c r="E434" s="64">
        <v>0.19048596039999999</v>
      </c>
      <c r="F434" s="70">
        <v>6</v>
      </c>
      <c r="G434" s="38" t="s">
        <v>364</v>
      </c>
      <c r="H434" s="66" t="s">
        <v>1258</v>
      </c>
      <c r="I434" s="39">
        <v>12.04125</v>
      </c>
      <c r="J434" s="40"/>
      <c r="K434" s="75">
        <f t="shared" si="40"/>
        <v>0</v>
      </c>
      <c r="L434" s="41"/>
      <c r="N434" s="45" t="str">
        <f t="shared" si="36"/>
        <v>-</v>
      </c>
      <c r="O434" s="42" t="str">
        <f t="shared" si="41"/>
        <v>-</v>
      </c>
      <c r="P434" s="43" t="str">
        <f t="shared" si="37"/>
        <v>-</v>
      </c>
      <c r="Q434" s="46" t="str">
        <f t="shared" si="38"/>
        <v>-</v>
      </c>
      <c r="S434" s="46" t="str">
        <f t="shared" si="39"/>
        <v>-</v>
      </c>
    </row>
    <row r="435" spans="1:19" ht="15" x14ac:dyDescent="0.3">
      <c r="A435" s="74">
        <v>3406153</v>
      </c>
      <c r="B435" s="37">
        <v>4466</v>
      </c>
      <c r="C435" s="69">
        <v>76280044669</v>
      </c>
      <c r="D435" s="38" t="s">
        <v>520</v>
      </c>
      <c r="E435" s="64">
        <v>0.10811365319999999</v>
      </c>
      <c r="F435" s="70">
        <v>12</v>
      </c>
      <c r="G435" s="38" t="s">
        <v>34</v>
      </c>
      <c r="H435" s="66" t="s">
        <v>1258</v>
      </c>
      <c r="I435" s="39">
        <v>13.162500000000001</v>
      </c>
      <c r="J435" s="40"/>
      <c r="K435" s="75">
        <f t="shared" si="40"/>
        <v>0</v>
      </c>
      <c r="L435" s="41"/>
      <c r="N435" s="45" t="str">
        <f t="shared" si="36"/>
        <v>-</v>
      </c>
      <c r="O435" s="42" t="str">
        <f t="shared" si="41"/>
        <v>-</v>
      </c>
      <c r="P435" s="43" t="str">
        <f t="shared" si="37"/>
        <v>-</v>
      </c>
      <c r="Q435" s="46" t="str">
        <f t="shared" si="38"/>
        <v>-</v>
      </c>
      <c r="S435" s="46" t="str">
        <f t="shared" si="39"/>
        <v>-</v>
      </c>
    </row>
    <row r="436" spans="1:19" ht="15" x14ac:dyDescent="0.3">
      <c r="A436" s="74">
        <v>7013825</v>
      </c>
      <c r="B436" s="37">
        <v>4272</v>
      </c>
      <c r="C436" s="69">
        <v>76280042726</v>
      </c>
      <c r="D436" s="38" t="s">
        <v>524</v>
      </c>
      <c r="E436" s="64">
        <v>0.22652384480000001</v>
      </c>
      <c r="F436" s="70">
        <v>6</v>
      </c>
      <c r="G436" s="38" t="s">
        <v>525</v>
      </c>
      <c r="H436" s="66" t="s">
        <v>1258</v>
      </c>
      <c r="I436" s="39">
        <v>20.377499999999998</v>
      </c>
      <c r="J436" s="40"/>
      <c r="K436" s="75">
        <f t="shared" si="40"/>
        <v>0</v>
      </c>
      <c r="L436" s="41"/>
      <c r="N436" s="45" t="str">
        <f t="shared" si="36"/>
        <v>-</v>
      </c>
      <c r="O436" s="42" t="str">
        <f t="shared" si="41"/>
        <v>-</v>
      </c>
      <c r="P436" s="43" t="str">
        <f t="shared" si="37"/>
        <v>-</v>
      </c>
      <c r="Q436" s="46" t="str">
        <f t="shared" si="38"/>
        <v>-</v>
      </c>
      <c r="S436" s="46" t="str">
        <f t="shared" si="39"/>
        <v>-</v>
      </c>
    </row>
    <row r="437" spans="1:19" ht="15" x14ac:dyDescent="0.3">
      <c r="A437" s="74">
        <v>7276026</v>
      </c>
      <c r="B437" s="37">
        <v>49416</v>
      </c>
      <c r="C437" s="69">
        <v>76280494167</v>
      </c>
      <c r="D437" s="38" t="s">
        <v>527</v>
      </c>
      <c r="E437" s="64">
        <v>6.6927499599999996E-2</v>
      </c>
      <c r="F437" s="70">
        <v>6</v>
      </c>
      <c r="G437" s="38" t="s">
        <v>98</v>
      </c>
      <c r="H437" s="66" t="s">
        <v>1258</v>
      </c>
      <c r="I437" s="39">
        <v>15.84375</v>
      </c>
      <c r="J437" s="40"/>
      <c r="K437" s="75">
        <f t="shared" si="40"/>
        <v>0</v>
      </c>
      <c r="L437" s="41"/>
      <c r="N437" s="45" t="str">
        <f t="shared" si="36"/>
        <v>-</v>
      </c>
      <c r="O437" s="42" t="str">
        <f t="shared" si="41"/>
        <v>-</v>
      </c>
      <c r="P437" s="43" t="str">
        <f t="shared" si="37"/>
        <v>-</v>
      </c>
      <c r="Q437" s="46" t="str">
        <f t="shared" si="38"/>
        <v>-</v>
      </c>
      <c r="S437" s="46" t="str">
        <f t="shared" si="39"/>
        <v>-</v>
      </c>
    </row>
    <row r="438" spans="1:19" ht="15" x14ac:dyDescent="0.3">
      <c r="A438" s="74">
        <v>1130435</v>
      </c>
      <c r="B438" s="37">
        <v>4731</v>
      </c>
      <c r="C438" s="69">
        <v>76280047318</v>
      </c>
      <c r="D438" s="38" t="s">
        <v>530</v>
      </c>
      <c r="E438" s="64">
        <v>0.19563422959999999</v>
      </c>
      <c r="F438" s="70">
        <v>6</v>
      </c>
      <c r="G438" s="38" t="s">
        <v>364</v>
      </c>
      <c r="H438" s="66" t="s">
        <v>1258</v>
      </c>
      <c r="I438" s="39">
        <v>21.303750000000001</v>
      </c>
      <c r="J438" s="40"/>
      <c r="K438" s="75">
        <f t="shared" si="40"/>
        <v>0</v>
      </c>
      <c r="L438" s="41"/>
      <c r="N438" s="45" t="str">
        <f t="shared" si="36"/>
        <v>-</v>
      </c>
      <c r="O438" s="42" t="str">
        <f t="shared" si="41"/>
        <v>-</v>
      </c>
      <c r="P438" s="43" t="str">
        <f t="shared" si="37"/>
        <v>-</v>
      </c>
      <c r="Q438" s="46" t="str">
        <f t="shared" si="38"/>
        <v>-</v>
      </c>
      <c r="S438" s="46" t="str">
        <f t="shared" si="39"/>
        <v>-</v>
      </c>
    </row>
    <row r="439" spans="1:19" ht="15" x14ac:dyDescent="0.3">
      <c r="A439" s="74">
        <v>2126235</v>
      </c>
      <c r="B439" s="37">
        <v>47295</v>
      </c>
      <c r="C439" s="69">
        <v>76280472950</v>
      </c>
      <c r="D439" s="38" t="s">
        <v>530</v>
      </c>
      <c r="E439" s="64">
        <v>6.1779230399999996E-2</v>
      </c>
      <c r="F439" s="70">
        <v>12</v>
      </c>
      <c r="G439" s="38" t="s">
        <v>135</v>
      </c>
      <c r="H439" s="66" t="s">
        <v>1258</v>
      </c>
      <c r="I439" s="39">
        <v>5.9962500000000007</v>
      </c>
      <c r="J439" s="40"/>
      <c r="K439" s="75">
        <f t="shared" si="40"/>
        <v>0</v>
      </c>
      <c r="L439" s="41"/>
      <c r="N439" s="45" t="str">
        <f t="shared" si="36"/>
        <v>-</v>
      </c>
      <c r="O439" s="42" t="str">
        <f t="shared" si="41"/>
        <v>-</v>
      </c>
      <c r="P439" s="43" t="str">
        <f t="shared" si="37"/>
        <v>-</v>
      </c>
      <c r="Q439" s="46" t="str">
        <f t="shared" si="38"/>
        <v>-</v>
      </c>
      <c r="S439" s="46" t="str">
        <f t="shared" si="39"/>
        <v>-</v>
      </c>
    </row>
    <row r="440" spans="1:19" ht="15" x14ac:dyDescent="0.3">
      <c r="A440" s="74">
        <v>9975413</v>
      </c>
      <c r="B440" s="37">
        <v>4511</v>
      </c>
      <c r="C440" s="69">
        <v>76280045116</v>
      </c>
      <c r="D440" s="38" t="s">
        <v>531</v>
      </c>
      <c r="E440" s="64">
        <v>0.36037884399999998</v>
      </c>
      <c r="F440" s="70">
        <v>6</v>
      </c>
      <c r="G440" s="38" t="s">
        <v>532</v>
      </c>
      <c r="H440" s="66" t="s">
        <v>1258</v>
      </c>
      <c r="I440" s="39">
        <v>12.626250000000001</v>
      </c>
      <c r="J440" s="40"/>
      <c r="K440" s="75">
        <f t="shared" si="40"/>
        <v>0</v>
      </c>
      <c r="L440" s="41"/>
      <c r="N440" s="45" t="str">
        <f t="shared" si="36"/>
        <v>-</v>
      </c>
      <c r="O440" s="42" t="str">
        <f t="shared" si="41"/>
        <v>-</v>
      </c>
      <c r="P440" s="43" t="str">
        <f t="shared" si="37"/>
        <v>-</v>
      </c>
      <c r="Q440" s="46" t="str">
        <f t="shared" si="38"/>
        <v>-</v>
      </c>
      <c r="S440" s="46" t="str">
        <f t="shared" si="39"/>
        <v>-</v>
      </c>
    </row>
    <row r="441" spans="1:19" ht="15" x14ac:dyDescent="0.3">
      <c r="A441" s="74">
        <v>6664011</v>
      </c>
      <c r="B441" s="37">
        <v>4510</v>
      </c>
      <c r="C441" s="69">
        <v>76280045109</v>
      </c>
      <c r="D441" s="38" t="s">
        <v>531</v>
      </c>
      <c r="E441" s="64">
        <v>0.19563422959999999</v>
      </c>
      <c r="F441" s="70">
        <v>6</v>
      </c>
      <c r="G441" s="38" t="s">
        <v>154</v>
      </c>
      <c r="H441" s="66" t="s">
        <v>1258</v>
      </c>
      <c r="I441" s="39">
        <v>7.8974999999999991</v>
      </c>
      <c r="J441" s="40"/>
      <c r="K441" s="75">
        <f t="shared" si="40"/>
        <v>0</v>
      </c>
      <c r="L441" s="41"/>
      <c r="N441" s="45" t="str">
        <f t="shared" si="36"/>
        <v>-</v>
      </c>
      <c r="O441" s="42" t="str">
        <f t="shared" si="41"/>
        <v>-</v>
      </c>
      <c r="P441" s="43" t="str">
        <f t="shared" si="37"/>
        <v>-</v>
      </c>
      <c r="Q441" s="46" t="str">
        <f t="shared" si="38"/>
        <v>-</v>
      </c>
      <c r="S441" s="46" t="str">
        <f t="shared" si="39"/>
        <v>-</v>
      </c>
    </row>
    <row r="442" spans="1:19" ht="15" x14ac:dyDescent="0.3">
      <c r="A442" s="74">
        <v>2891652</v>
      </c>
      <c r="B442" s="37">
        <v>840</v>
      </c>
      <c r="C442" s="69">
        <v>76280008401</v>
      </c>
      <c r="D442" s="38" t="s">
        <v>533</v>
      </c>
      <c r="E442" s="64">
        <v>8.2372307199999995E-2</v>
      </c>
      <c r="F442" s="70">
        <v>12</v>
      </c>
      <c r="G442" s="38" t="s">
        <v>90</v>
      </c>
      <c r="H442" s="66" t="s">
        <v>1258</v>
      </c>
      <c r="I442" s="39">
        <v>9.75</v>
      </c>
      <c r="J442" s="40"/>
      <c r="K442" s="75">
        <f t="shared" si="40"/>
        <v>0</v>
      </c>
      <c r="L442" s="41"/>
      <c r="N442" s="45" t="str">
        <f t="shared" si="36"/>
        <v>-</v>
      </c>
      <c r="O442" s="42" t="str">
        <f t="shared" si="41"/>
        <v>-</v>
      </c>
      <c r="P442" s="43" t="str">
        <f t="shared" si="37"/>
        <v>-</v>
      </c>
      <c r="Q442" s="46" t="str">
        <f t="shared" si="38"/>
        <v>-</v>
      </c>
      <c r="S442" s="46" t="str">
        <f t="shared" si="39"/>
        <v>-</v>
      </c>
    </row>
    <row r="443" spans="1:19" ht="15" x14ac:dyDescent="0.3">
      <c r="A443" s="74">
        <v>1080010</v>
      </c>
      <c r="B443" s="37">
        <v>841</v>
      </c>
      <c r="C443" s="69">
        <v>76280008418</v>
      </c>
      <c r="D443" s="38" t="s">
        <v>533</v>
      </c>
      <c r="E443" s="64">
        <v>0.13385499919999999</v>
      </c>
      <c r="F443" s="70">
        <v>6</v>
      </c>
      <c r="G443" s="38" t="s">
        <v>534</v>
      </c>
      <c r="H443" s="66" t="s">
        <v>1258</v>
      </c>
      <c r="I443" s="39">
        <v>17.55</v>
      </c>
      <c r="J443" s="40"/>
      <c r="K443" s="75">
        <f t="shared" si="40"/>
        <v>0</v>
      </c>
      <c r="L443" s="41"/>
      <c r="N443" s="45" t="str">
        <f t="shared" si="36"/>
        <v>-</v>
      </c>
      <c r="O443" s="42" t="str">
        <f t="shared" si="41"/>
        <v>-</v>
      </c>
      <c r="P443" s="43" t="str">
        <f t="shared" si="37"/>
        <v>-</v>
      </c>
      <c r="Q443" s="46" t="str">
        <f t="shared" si="38"/>
        <v>-</v>
      </c>
      <c r="S443" s="46" t="str">
        <f t="shared" si="39"/>
        <v>-</v>
      </c>
    </row>
    <row r="444" spans="1:19" ht="15" x14ac:dyDescent="0.3">
      <c r="A444" s="74">
        <v>2835770</v>
      </c>
      <c r="B444" s="37">
        <v>26535</v>
      </c>
      <c r="C444" s="69">
        <v>76280265354</v>
      </c>
      <c r="D444" s="38" t="s">
        <v>538</v>
      </c>
      <c r="E444" s="64">
        <v>6.1779230399999996E-2</v>
      </c>
      <c r="F444" s="70">
        <v>6</v>
      </c>
      <c r="G444" s="38" t="s">
        <v>63</v>
      </c>
      <c r="H444" s="66" t="s">
        <v>1258</v>
      </c>
      <c r="I444" s="39">
        <v>5.8500000000000005</v>
      </c>
      <c r="J444" s="40"/>
      <c r="K444" s="75">
        <f t="shared" si="40"/>
        <v>0</v>
      </c>
      <c r="L444" s="41"/>
      <c r="N444" s="45" t="str">
        <f t="shared" si="36"/>
        <v>-</v>
      </c>
      <c r="O444" s="42" t="str">
        <f t="shared" si="41"/>
        <v>-</v>
      </c>
      <c r="P444" s="43" t="str">
        <f t="shared" si="37"/>
        <v>-</v>
      </c>
      <c r="Q444" s="46" t="str">
        <f t="shared" si="38"/>
        <v>-</v>
      </c>
      <c r="S444" s="46" t="str">
        <f t="shared" si="39"/>
        <v>-</v>
      </c>
    </row>
    <row r="445" spans="1:19" ht="15" x14ac:dyDescent="0.3">
      <c r="A445" s="74">
        <v>1637273</v>
      </c>
      <c r="B445" s="37">
        <v>44685</v>
      </c>
      <c r="C445" s="69">
        <v>76280446852</v>
      </c>
      <c r="D445" s="38" t="s">
        <v>415</v>
      </c>
      <c r="E445" s="64">
        <v>0.10296538400000001</v>
      </c>
      <c r="F445" s="70">
        <v>6</v>
      </c>
      <c r="G445" s="38" t="s">
        <v>400</v>
      </c>
      <c r="H445" s="66" t="s">
        <v>1258</v>
      </c>
      <c r="I445" s="39">
        <v>17.306249999999999</v>
      </c>
      <c r="J445" s="40"/>
      <c r="K445" s="75">
        <f t="shared" si="40"/>
        <v>0</v>
      </c>
      <c r="L445" s="41"/>
      <c r="N445" s="45" t="str">
        <f t="shared" si="36"/>
        <v>-</v>
      </c>
      <c r="O445" s="42" t="str">
        <f t="shared" si="41"/>
        <v>-</v>
      </c>
      <c r="P445" s="43" t="str">
        <f t="shared" si="37"/>
        <v>-</v>
      </c>
      <c r="Q445" s="46" t="str">
        <f t="shared" si="38"/>
        <v>-</v>
      </c>
      <c r="S445" s="46" t="str">
        <f t="shared" si="39"/>
        <v>-</v>
      </c>
    </row>
    <row r="446" spans="1:19" ht="15" x14ac:dyDescent="0.3">
      <c r="A446" s="74">
        <v>2230024</v>
      </c>
      <c r="B446" s="37">
        <v>98679</v>
      </c>
      <c r="C446" s="69">
        <v>76280986792</v>
      </c>
      <c r="D446" s="38" t="s">
        <v>542</v>
      </c>
      <c r="E446" s="64">
        <v>0.14415153760000002</v>
      </c>
      <c r="F446" s="70">
        <v>6</v>
      </c>
      <c r="G446" s="38" t="s">
        <v>63</v>
      </c>
      <c r="H446" s="66" t="s">
        <v>1258</v>
      </c>
      <c r="I446" s="39">
        <v>16.916250000000002</v>
      </c>
      <c r="J446" s="40"/>
      <c r="K446" s="75">
        <f t="shared" si="40"/>
        <v>0</v>
      </c>
      <c r="L446" s="41"/>
      <c r="N446" s="45" t="str">
        <f t="shared" si="36"/>
        <v>-</v>
      </c>
      <c r="O446" s="42" t="str">
        <f t="shared" si="41"/>
        <v>-</v>
      </c>
      <c r="P446" s="43" t="str">
        <f t="shared" si="37"/>
        <v>-</v>
      </c>
      <c r="Q446" s="46" t="str">
        <f t="shared" si="38"/>
        <v>-</v>
      </c>
      <c r="S446" s="46" t="str">
        <f t="shared" si="39"/>
        <v>-</v>
      </c>
    </row>
    <row r="447" spans="1:19" ht="15" x14ac:dyDescent="0.3">
      <c r="A447" s="74">
        <v>9416655</v>
      </c>
      <c r="B447" s="37">
        <v>160</v>
      </c>
      <c r="C447" s="69">
        <v>76280001600</v>
      </c>
      <c r="D447" s="38" t="s">
        <v>546</v>
      </c>
      <c r="E447" s="64">
        <v>0.10811365319999999</v>
      </c>
      <c r="F447" s="70">
        <v>6</v>
      </c>
      <c r="G447" s="38" t="s">
        <v>547</v>
      </c>
      <c r="H447" s="66" t="s">
        <v>1258</v>
      </c>
      <c r="I447" s="39">
        <v>7.7025000000000006</v>
      </c>
      <c r="J447" s="40"/>
      <c r="K447" s="75">
        <f t="shared" si="40"/>
        <v>0</v>
      </c>
      <c r="L447" s="41"/>
      <c r="N447" s="45" t="str">
        <f t="shared" si="36"/>
        <v>-</v>
      </c>
      <c r="O447" s="42" t="str">
        <f t="shared" si="41"/>
        <v>-</v>
      </c>
      <c r="P447" s="43" t="str">
        <f t="shared" si="37"/>
        <v>-</v>
      </c>
      <c r="Q447" s="46" t="str">
        <f t="shared" si="38"/>
        <v>-</v>
      </c>
      <c r="S447" s="46" t="str">
        <f t="shared" si="39"/>
        <v>-</v>
      </c>
    </row>
    <row r="448" spans="1:19" ht="15" x14ac:dyDescent="0.3">
      <c r="A448" s="74">
        <v>2224777</v>
      </c>
      <c r="B448" s="37">
        <v>87496</v>
      </c>
      <c r="C448" s="69">
        <v>76280874969</v>
      </c>
      <c r="D448" s="38" t="s">
        <v>548</v>
      </c>
      <c r="E448" s="64">
        <v>5.6750000000000002E-2</v>
      </c>
      <c r="F448" s="70">
        <v>12</v>
      </c>
      <c r="G448" s="38" t="s">
        <v>549</v>
      </c>
      <c r="H448" s="66" t="s">
        <v>1258</v>
      </c>
      <c r="I448" s="39">
        <v>11.456250000000001</v>
      </c>
      <c r="J448" s="40"/>
      <c r="K448" s="75">
        <f t="shared" si="40"/>
        <v>0</v>
      </c>
      <c r="L448" s="41"/>
      <c r="N448" s="45" t="str">
        <f t="shared" si="36"/>
        <v>-</v>
      </c>
      <c r="O448" s="42" t="str">
        <f t="shared" si="41"/>
        <v>-</v>
      </c>
      <c r="P448" s="43" t="str">
        <f t="shared" si="37"/>
        <v>-</v>
      </c>
      <c r="Q448" s="46" t="str">
        <f t="shared" si="38"/>
        <v>-</v>
      </c>
      <c r="S448" s="46" t="str">
        <f t="shared" si="39"/>
        <v>-</v>
      </c>
    </row>
    <row r="449" spans="1:19" ht="15" x14ac:dyDescent="0.3">
      <c r="A449" s="74">
        <v>1623111</v>
      </c>
      <c r="B449" s="37">
        <v>4241</v>
      </c>
      <c r="C449" s="69">
        <v>76280042412</v>
      </c>
      <c r="D449" s="38" t="s">
        <v>550</v>
      </c>
      <c r="E449" s="64">
        <v>0.18018942199999999</v>
      </c>
      <c r="F449" s="70">
        <v>6</v>
      </c>
      <c r="G449" s="38" t="s">
        <v>364</v>
      </c>
      <c r="H449" s="66" t="s">
        <v>1258</v>
      </c>
      <c r="I449" s="39">
        <v>14.625</v>
      </c>
      <c r="J449" s="40"/>
      <c r="K449" s="75">
        <f t="shared" si="40"/>
        <v>0</v>
      </c>
      <c r="L449" s="41"/>
      <c r="N449" s="45" t="str">
        <f t="shared" si="36"/>
        <v>-</v>
      </c>
      <c r="O449" s="42" t="str">
        <f t="shared" si="41"/>
        <v>-</v>
      </c>
      <c r="P449" s="43" t="str">
        <f t="shared" si="37"/>
        <v>-</v>
      </c>
      <c r="Q449" s="46" t="str">
        <f t="shared" si="38"/>
        <v>-</v>
      </c>
      <c r="S449" s="46" t="str">
        <f t="shared" si="39"/>
        <v>-</v>
      </c>
    </row>
    <row r="450" spans="1:19" ht="15" x14ac:dyDescent="0.3">
      <c r="A450" s="74">
        <v>9749310</v>
      </c>
      <c r="B450" s="37">
        <v>4242</v>
      </c>
      <c r="C450" s="69">
        <v>76280042429</v>
      </c>
      <c r="D450" s="38" t="s">
        <v>550</v>
      </c>
      <c r="E450" s="64">
        <v>0.32434095959999998</v>
      </c>
      <c r="F450" s="70">
        <v>6</v>
      </c>
      <c r="G450" s="38" t="s">
        <v>551</v>
      </c>
      <c r="H450" s="66" t="s">
        <v>1258</v>
      </c>
      <c r="I450" s="39">
        <v>24.375</v>
      </c>
      <c r="J450" s="40"/>
      <c r="K450" s="75">
        <f t="shared" si="40"/>
        <v>0</v>
      </c>
      <c r="L450" s="41"/>
      <c r="N450" s="45" t="str">
        <f t="shared" si="36"/>
        <v>-</v>
      </c>
      <c r="O450" s="42" t="str">
        <f t="shared" si="41"/>
        <v>-</v>
      </c>
      <c r="P450" s="43" t="str">
        <f t="shared" si="37"/>
        <v>-</v>
      </c>
      <c r="Q450" s="46" t="str">
        <f t="shared" si="38"/>
        <v>-</v>
      </c>
      <c r="S450" s="46" t="str">
        <f t="shared" si="39"/>
        <v>-</v>
      </c>
    </row>
    <row r="451" spans="1:19" ht="15" x14ac:dyDescent="0.3">
      <c r="A451" s="74">
        <v>8244123</v>
      </c>
      <c r="B451" s="37">
        <v>8132</v>
      </c>
      <c r="C451" s="69">
        <v>76280081329</v>
      </c>
      <c r="D451" s="38" t="s">
        <v>554</v>
      </c>
      <c r="E451" s="64">
        <v>0.11326192240000001</v>
      </c>
      <c r="F451" s="70">
        <v>6</v>
      </c>
      <c r="G451" s="38" t="s">
        <v>63</v>
      </c>
      <c r="H451" s="66" t="s">
        <v>1258</v>
      </c>
      <c r="I451" s="39">
        <v>10.8225</v>
      </c>
      <c r="J451" s="40"/>
      <c r="K451" s="75">
        <f t="shared" si="40"/>
        <v>0</v>
      </c>
      <c r="L451" s="41"/>
      <c r="N451" s="45" t="str">
        <f t="shared" ref="N451:N514" si="42">IFERROR(IF($N$2*E451=0, "-", $N$2*E451), "-")</f>
        <v>-</v>
      </c>
      <c r="O451" s="42" t="str">
        <f t="shared" si="41"/>
        <v>-</v>
      </c>
      <c r="P451" s="43" t="str">
        <f t="shared" ref="P451:P514" si="43">IF(J451&gt;0,J451*E451, "-")</f>
        <v>-</v>
      </c>
      <c r="Q451" s="46" t="str">
        <f t="shared" ref="Q451:Q514" si="44">IFERROR(IF($N$2&gt;0, $N$2*P451, "-"), "-")</f>
        <v>-</v>
      </c>
      <c r="S451" s="46" t="str">
        <f t="shared" ref="S451:S514" si="45">IFERROR(IF(Q451+K451=0, "-", IF(Q451&gt;0, Q451+K451, "-")), "-")</f>
        <v>-</v>
      </c>
    </row>
    <row r="452" spans="1:19" ht="15" x14ac:dyDescent="0.3">
      <c r="A452" s="74">
        <v>4649773</v>
      </c>
      <c r="B452" s="37">
        <v>90578</v>
      </c>
      <c r="C452" s="69">
        <v>76280905786</v>
      </c>
      <c r="D452" s="38" t="s">
        <v>557</v>
      </c>
      <c r="E452" s="64">
        <v>0.10296538400000001</v>
      </c>
      <c r="F452" s="70">
        <v>6</v>
      </c>
      <c r="G452" s="38" t="s">
        <v>558</v>
      </c>
      <c r="H452" s="66" t="s">
        <v>1258</v>
      </c>
      <c r="I452" s="39">
        <v>15.502500000000001</v>
      </c>
      <c r="J452" s="40"/>
      <c r="K452" s="75">
        <f t="shared" ref="K452:K515" si="46">J452*I452</f>
        <v>0</v>
      </c>
      <c r="L452" s="41"/>
      <c r="N452" s="45" t="str">
        <f t="shared" si="42"/>
        <v>-</v>
      </c>
      <c r="O452" s="42" t="str">
        <f t="shared" ref="O452:O515" si="47">IFERROR(IF(N452&gt;0,I452+N452,"-"),"-")</f>
        <v>-</v>
      </c>
      <c r="P452" s="43" t="str">
        <f t="shared" si="43"/>
        <v>-</v>
      </c>
      <c r="Q452" s="46" t="str">
        <f t="shared" si="44"/>
        <v>-</v>
      </c>
      <c r="S452" s="46" t="str">
        <f t="shared" si="45"/>
        <v>-</v>
      </c>
    </row>
    <row r="453" spans="1:19" ht="15" x14ac:dyDescent="0.3">
      <c r="A453" s="74">
        <v>3383929</v>
      </c>
      <c r="B453" s="37">
        <v>4815</v>
      </c>
      <c r="C453" s="69">
        <v>76280048155</v>
      </c>
      <c r="D453" s="38" t="s">
        <v>559</v>
      </c>
      <c r="E453" s="64">
        <v>0.35008230560000003</v>
      </c>
      <c r="F453" s="70">
        <v>6</v>
      </c>
      <c r="G453" s="38" t="s">
        <v>561</v>
      </c>
      <c r="H453" s="66" t="s">
        <v>1258</v>
      </c>
      <c r="I453" s="39">
        <v>20.28</v>
      </c>
      <c r="J453" s="40"/>
      <c r="K453" s="75">
        <f t="shared" si="46"/>
        <v>0</v>
      </c>
      <c r="L453" s="41"/>
      <c r="N453" s="45" t="str">
        <f t="shared" si="42"/>
        <v>-</v>
      </c>
      <c r="O453" s="42" t="str">
        <f t="shared" si="47"/>
        <v>-</v>
      </c>
      <c r="P453" s="43" t="str">
        <f t="shared" si="43"/>
        <v>-</v>
      </c>
      <c r="Q453" s="46" t="str">
        <f t="shared" si="44"/>
        <v>-</v>
      </c>
      <c r="S453" s="46" t="str">
        <f t="shared" si="45"/>
        <v>-</v>
      </c>
    </row>
    <row r="454" spans="1:19" ht="15" x14ac:dyDescent="0.3">
      <c r="A454" s="74">
        <v>7786179</v>
      </c>
      <c r="B454" s="37">
        <v>4801</v>
      </c>
      <c r="C454" s="69">
        <v>76280048018</v>
      </c>
      <c r="D454" s="38" t="s">
        <v>562</v>
      </c>
      <c r="E454" s="64">
        <v>0.10296538400000001</v>
      </c>
      <c r="F454" s="70">
        <v>12</v>
      </c>
      <c r="G454" s="38" t="s">
        <v>63</v>
      </c>
      <c r="H454" s="66" t="s">
        <v>1258</v>
      </c>
      <c r="I454" s="39">
        <v>12.723749999999999</v>
      </c>
      <c r="J454" s="40"/>
      <c r="K454" s="75">
        <f t="shared" si="46"/>
        <v>0</v>
      </c>
      <c r="L454" s="41"/>
      <c r="N454" s="45" t="str">
        <f t="shared" si="42"/>
        <v>-</v>
      </c>
      <c r="O454" s="42" t="str">
        <f t="shared" si="47"/>
        <v>-</v>
      </c>
      <c r="P454" s="43" t="str">
        <f t="shared" si="43"/>
        <v>-</v>
      </c>
      <c r="Q454" s="46" t="str">
        <f t="shared" si="44"/>
        <v>-</v>
      </c>
      <c r="S454" s="46" t="str">
        <f t="shared" si="45"/>
        <v>-</v>
      </c>
    </row>
    <row r="455" spans="1:19" ht="15" x14ac:dyDescent="0.3">
      <c r="A455" s="74">
        <v>8975227</v>
      </c>
      <c r="B455" s="37">
        <v>4802</v>
      </c>
      <c r="C455" s="69">
        <v>76280048025</v>
      </c>
      <c r="D455" s="38" t="s">
        <v>562</v>
      </c>
      <c r="E455" s="64">
        <v>0.18018942199999999</v>
      </c>
      <c r="F455" s="70">
        <v>6</v>
      </c>
      <c r="G455" s="38" t="s">
        <v>64</v>
      </c>
      <c r="H455" s="66" t="s">
        <v>1258</v>
      </c>
      <c r="I455" s="39">
        <v>22.181249999999999</v>
      </c>
      <c r="J455" s="40"/>
      <c r="K455" s="75">
        <f t="shared" si="46"/>
        <v>0</v>
      </c>
      <c r="L455" s="41"/>
      <c r="N455" s="45" t="str">
        <f t="shared" si="42"/>
        <v>-</v>
      </c>
      <c r="O455" s="42" t="str">
        <f t="shared" si="47"/>
        <v>-</v>
      </c>
      <c r="P455" s="43" t="str">
        <f t="shared" si="43"/>
        <v>-</v>
      </c>
      <c r="Q455" s="46" t="str">
        <f t="shared" si="44"/>
        <v>-</v>
      </c>
      <c r="S455" s="46" t="str">
        <f t="shared" si="45"/>
        <v>-</v>
      </c>
    </row>
    <row r="456" spans="1:19" ht="15" x14ac:dyDescent="0.3">
      <c r="A456" s="74">
        <v>4430018</v>
      </c>
      <c r="B456" s="37">
        <v>4800</v>
      </c>
      <c r="C456" s="69">
        <v>76280048001</v>
      </c>
      <c r="D456" s="38" t="s">
        <v>562</v>
      </c>
      <c r="E456" s="64">
        <v>7.2075768800000009E-2</v>
      </c>
      <c r="F456" s="70">
        <v>12</v>
      </c>
      <c r="G456" s="38" t="s">
        <v>34</v>
      </c>
      <c r="H456" s="66" t="s">
        <v>1258</v>
      </c>
      <c r="I456" s="39">
        <v>9.3112500000000011</v>
      </c>
      <c r="J456" s="40"/>
      <c r="K456" s="75">
        <f t="shared" si="46"/>
        <v>0</v>
      </c>
      <c r="L456" s="41"/>
      <c r="N456" s="45" t="str">
        <f t="shared" si="42"/>
        <v>-</v>
      </c>
      <c r="O456" s="42" t="str">
        <f t="shared" si="47"/>
        <v>-</v>
      </c>
      <c r="P456" s="43" t="str">
        <f t="shared" si="43"/>
        <v>-</v>
      </c>
      <c r="Q456" s="46" t="str">
        <f t="shared" si="44"/>
        <v>-</v>
      </c>
      <c r="S456" s="46" t="str">
        <f t="shared" si="45"/>
        <v>-</v>
      </c>
    </row>
    <row r="457" spans="1:19" ht="15" x14ac:dyDescent="0.3">
      <c r="A457" s="74">
        <v>3198995</v>
      </c>
      <c r="B457" s="37">
        <v>57232</v>
      </c>
      <c r="C457" s="69">
        <v>76280572322</v>
      </c>
      <c r="D457" s="38" t="s">
        <v>563</v>
      </c>
      <c r="E457" s="64">
        <v>9.7817114799999993E-2</v>
      </c>
      <c r="F457" s="70">
        <v>12</v>
      </c>
      <c r="G457" s="38" t="s">
        <v>152</v>
      </c>
      <c r="H457" s="66" t="s">
        <v>1258</v>
      </c>
      <c r="I457" s="39">
        <v>12.04125</v>
      </c>
      <c r="J457" s="40"/>
      <c r="K457" s="75">
        <f t="shared" si="46"/>
        <v>0</v>
      </c>
      <c r="L457" s="41"/>
      <c r="N457" s="45" t="str">
        <f t="shared" si="42"/>
        <v>-</v>
      </c>
      <c r="O457" s="42" t="str">
        <f t="shared" si="47"/>
        <v>-</v>
      </c>
      <c r="P457" s="43" t="str">
        <f t="shared" si="43"/>
        <v>-</v>
      </c>
      <c r="Q457" s="46" t="str">
        <f t="shared" si="44"/>
        <v>-</v>
      </c>
      <c r="S457" s="46" t="str">
        <f t="shared" si="45"/>
        <v>-</v>
      </c>
    </row>
    <row r="458" spans="1:19" ht="15" x14ac:dyDescent="0.3">
      <c r="A458" s="74">
        <v>4959074</v>
      </c>
      <c r="B458" s="37">
        <v>1550</v>
      </c>
      <c r="C458" s="69">
        <v>76280015508</v>
      </c>
      <c r="D458" s="38" t="s">
        <v>564</v>
      </c>
      <c r="E458" s="64">
        <v>0.10811365319999999</v>
      </c>
      <c r="F458" s="70">
        <v>6</v>
      </c>
      <c r="G458" s="38" t="s">
        <v>565</v>
      </c>
      <c r="H458" s="66" t="s">
        <v>1258</v>
      </c>
      <c r="I458" s="39">
        <v>8.2875000000000014</v>
      </c>
      <c r="J458" s="40"/>
      <c r="K458" s="75">
        <f t="shared" si="46"/>
        <v>0</v>
      </c>
      <c r="L458" s="41"/>
      <c r="N458" s="45" t="str">
        <f t="shared" si="42"/>
        <v>-</v>
      </c>
      <c r="O458" s="42" t="str">
        <f t="shared" si="47"/>
        <v>-</v>
      </c>
      <c r="P458" s="43" t="str">
        <f t="shared" si="43"/>
        <v>-</v>
      </c>
      <c r="Q458" s="46" t="str">
        <f t="shared" si="44"/>
        <v>-</v>
      </c>
      <c r="S458" s="46" t="str">
        <f t="shared" si="45"/>
        <v>-</v>
      </c>
    </row>
    <row r="459" spans="1:19" ht="15" x14ac:dyDescent="0.3">
      <c r="A459" s="74">
        <v>7966684</v>
      </c>
      <c r="B459" s="37">
        <v>1551</v>
      </c>
      <c r="C459" s="69">
        <v>76280015515</v>
      </c>
      <c r="D459" s="38" t="s">
        <v>564</v>
      </c>
      <c r="E459" s="64">
        <v>0.17504115280000002</v>
      </c>
      <c r="F459" s="70">
        <v>6</v>
      </c>
      <c r="G459" s="38" t="s">
        <v>566</v>
      </c>
      <c r="H459" s="66" t="s">
        <v>1258</v>
      </c>
      <c r="I459" s="39">
        <v>15.063750000000001</v>
      </c>
      <c r="J459" s="40"/>
      <c r="K459" s="75">
        <f t="shared" si="46"/>
        <v>0</v>
      </c>
      <c r="L459" s="41"/>
      <c r="N459" s="45" t="str">
        <f t="shared" si="42"/>
        <v>-</v>
      </c>
      <c r="O459" s="42" t="str">
        <f t="shared" si="47"/>
        <v>-</v>
      </c>
      <c r="P459" s="43" t="str">
        <f t="shared" si="43"/>
        <v>-</v>
      </c>
      <c r="Q459" s="46" t="str">
        <f t="shared" si="44"/>
        <v>-</v>
      </c>
      <c r="S459" s="46" t="str">
        <f t="shared" si="45"/>
        <v>-</v>
      </c>
    </row>
    <row r="460" spans="1:19" ht="15" x14ac:dyDescent="0.3">
      <c r="A460" s="74">
        <v>7599369</v>
      </c>
      <c r="B460" s="37">
        <v>8100</v>
      </c>
      <c r="C460" s="69">
        <v>76280081008</v>
      </c>
      <c r="D460" s="38" t="s">
        <v>568</v>
      </c>
      <c r="E460" s="64">
        <v>8.7520576400000008E-2</v>
      </c>
      <c r="F460" s="70">
        <v>6</v>
      </c>
      <c r="G460" s="38" t="s">
        <v>570</v>
      </c>
      <c r="H460" s="66" t="s">
        <v>1258</v>
      </c>
      <c r="I460" s="39">
        <v>6.5325000000000006</v>
      </c>
      <c r="J460" s="40"/>
      <c r="K460" s="75">
        <f t="shared" si="46"/>
        <v>0</v>
      </c>
      <c r="L460" s="41"/>
      <c r="N460" s="45" t="str">
        <f t="shared" si="42"/>
        <v>-</v>
      </c>
      <c r="O460" s="42" t="str">
        <f t="shared" si="47"/>
        <v>-</v>
      </c>
      <c r="P460" s="43" t="str">
        <f t="shared" si="43"/>
        <v>-</v>
      </c>
      <c r="Q460" s="46" t="str">
        <f t="shared" si="44"/>
        <v>-</v>
      </c>
      <c r="S460" s="46" t="str">
        <f t="shared" si="45"/>
        <v>-</v>
      </c>
    </row>
    <row r="461" spans="1:19" ht="15" x14ac:dyDescent="0.3">
      <c r="A461" s="74">
        <v>3554058</v>
      </c>
      <c r="B461" s="37">
        <v>3703</v>
      </c>
      <c r="C461" s="69">
        <v>76280037036</v>
      </c>
      <c r="D461" s="38" t="s">
        <v>571</v>
      </c>
      <c r="E461" s="64">
        <v>5.6750000000000002E-2</v>
      </c>
      <c r="F461" s="70">
        <v>6</v>
      </c>
      <c r="G461" s="38" t="s">
        <v>572</v>
      </c>
      <c r="H461" s="66" t="s">
        <v>1258</v>
      </c>
      <c r="I461" s="39">
        <v>11.992500000000001</v>
      </c>
      <c r="J461" s="40"/>
      <c r="K461" s="75">
        <f t="shared" si="46"/>
        <v>0</v>
      </c>
      <c r="L461" s="41"/>
      <c r="N461" s="45" t="str">
        <f t="shared" si="42"/>
        <v>-</v>
      </c>
      <c r="O461" s="42" t="str">
        <f t="shared" si="47"/>
        <v>-</v>
      </c>
      <c r="P461" s="43" t="str">
        <f t="shared" si="43"/>
        <v>-</v>
      </c>
      <c r="Q461" s="46" t="str">
        <f t="shared" si="44"/>
        <v>-</v>
      </c>
      <c r="S461" s="46" t="str">
        <f t="shared" si="45"/>
        <v>-</v>
      </c>
    </row>
    <row r="462" spans="1:19" ht="15" x14ac:dyDescent="0.3">
      <c r="A462" s="74">
        <v>8537560</v>
      </c>
      <c r="B462" s="37">
        <v>10679</v>
      </c>
      <c r="C462" s="69">
        <v>76280106794</v>
      </c>
      <c r="D462" s="38" t="s">
        <v>571</v>
      </c>
      <c r="E462" s="64">
        <v>7.7224037999999995E-2</v>
      </c>
      <c r="F462" s="70">
        <v>6</v>
      </c>
      <c r="G462" s="38" t="s">
        <v>573</v>
      </c>
      <c r="H462" s="66" t="s">
        <v>1258</v>
      </c>
      <c r="I462" s="39">
        <v>21.401250000000001</v>
      </c>
      <c r="J462" s="40"/>
      <c r="K462" s="75">
        <f t="shared" si="46"/>
        <v>0</v>
      </c>
      <c r="L462" s="41"/>
      <c r="N462" s="45" t="str">
        <f t="shared" si="42"/>
        <v>-</v>
      </c>
      <c r="O462" s="42" t="str">
        <f t="shared" si="47"/>
        <v>-</v>
      </c>
      <c r="P462" s="43" t="str">
        <f t="shared" si="43"/>
        <v>-</v>
      </c>
      <c r="Q462" s="46" t="str">
        <f t="shared" si="44"/>
        <v>-</v>
      </c>
      <c r="S462" s="46" t="str">
        <f t="shared" si="45"/>
        <v>-</v>
      </c>
    </row>
    <row r="463" spans="1:19" ht="15" x14ac:dyDescent="0.3">
      <c r="A463" s="74">
        <v>7143039</v>
      </c>
      <c r="B463" s="37">
        <v>13747</v>
      </c>
      <c r="C463" s="69">
        <v>76280137477</v>
      </c>
      <c r="D463" s="38" t="s">
        <v>574</v>
      </c>
      <c r="E463" s="64">
        <v>6.6927499599999996E-2</v>
      </c>
      <c r="F463" s="70">
        <v>6</v>
      </c>
      <c r="G463" s="38" t="s">
        <v>191</v>
      </c>
      <c r="H463" s="66" t="s">
        <v>1258</v>
      </c>
      <c r="I463" s="39">
        <v>10.773750000000001</v>
      </c>
      <c r="J463" s="40"/>
      <c r="K463" s="75">
        <f t="shared" si="46"/>
        <v>0</v>
      </c>
      <c r="L463" s="41"/>
      <c r="N463" s="45" t="str">
        <f t="shared" si="42"/>
        <v>-</v>
      </c>
      <c r="O463" s="42" t="str">
        <f t="shared" si="47"/>
        <v>-</v>
      </c>
      <c r="P463" s="43" t="str">
        <f t="shared" si="43"/>
        <v>-</v>
      </c>
      <c r="Q463" s="46" t="str">
        <f t="shared" si="44"/>
        <v>-</v>
      </c>
      <c r="S463" s="46" t="str">
        <f t="shared" si="45"/>
        <v>-</v>
      </c>
    </row>
    <row r="464" spans="1:19" ht="15" x14ac:dyDescent="0.3">
      <c r="A464" s="74">
        <v>7741519</v>
      </c>
      <c r="B464" s="37">
        <v>51284</v>
      </c>
      <c r="C464" s="69">
        <v>76280512847</v>
      </c>
      <c r="D464" s="38" t="s">
        <v>577</v>
      </c>
      <c r="E464" s="64">
        <v>5.6750000000000002E-2</v>
      </c>
      <c r="F464" s="70">
        <v>12</v>
      </c>
      <c r="G464" s="38" t="s">
        <v>578</v>
      </c>
      <c r="H464" s="66" t="s">
        <v>1258</v>
      </c>
      <c r="I464" s="39">
        <v>6.24</v>
      </c>
      <c r="J464" s="40"/>
      <c r="K464" s="75">
        <f t="shared" si="46"/>
        <v>0</v>
      </c>
      <c r="L464" s="41"/>
      <c r="N464" s="45" t="str">
        <f t="shared" si="42"/>
        <v>-</v>
      </c>
      <c r="O464" s="42" t="str">
        <f t="shared" si="47"/>
        <v>-</v>
      </c>
      <c r="P464" s="43" t="str">
        <f t="shared" si="43"/>
        <v>-</v>
      </c>
      <c r="Q464" s="46" t="str">
        <f t="shared" si="44"/>
        <v>-</v>
      </c>
      <c r="S464" s="46" t="str">
        <f t="shared" si="45"/>
        <v>-</v>
      </c>
    </row>
    <row r="465" spans="1:19" ht="15" x14ac:dyDescent="0.3">
      <c r="A465" s="74">
        <v>4016787</v>
      </c>
      <c r="B465" s="37">
        <v>4163</v>
      </c>
      <c r="C465" s="69">
        <v>76280041637</v>
      </c>
      <c r="D465" s="38" t="s">
        <v>579</v>
      </c>
      <c r="E465" s="64">
        <v>9.7817114799999993E-2</v>
      </c>
      <c r="F465" s="70">
        <v>12</v>
      </c>
      <c r="G465" s="38" t="s">
        <v>581</v>
      </c>
      <c r="H465" s="66" t="s">
        <v>1258</v>
      </c>
      <c r="I465" s="39">
        <v>14.040000000000003</v>
      </c>
      <c r="J465" s="40"/>
      <c r="K465" s="75">
        <f t="shared" si="46"/>
        <v>0</v>
      </c>
      <c r="L465" s="41"/>
      <c r="N465" s="45" t="str">
        <f t="shared" si="42"/>
        <v>-</v>
      </c>
      <c r="O465" s="42" t="str">
        <f t="shared" si="47"/>
        <v>-</v>
      </c>
      <c r="P465" s="43" t="str">
        <f t="shared" si="43"/>
        <v>-</v>
      </c>
      <c r="Q465" s="46" t="str">
        <f t="shared" si="44"/>
        <v>-</v>
      </c>
      <c r="S465" s="46" t="str">
        <f t="shared" si="45"/>
        <v>-</v>
      </c>
    </row>
    <row r="466" spans="1:19" ht="15" x14ac:dyDescent="0.3">
      <c r="A466" s="74">
        <v>5477857</v>
      </c>
      <c r="B466" s="37">
        <v>13223</v>
      </c>
      <c r="C466" s="69">
        <v>76280132236</v>
      </c>
      <c r="D466" s="38" t="s">
        <v>582</v>
      </c>
      <c r="E466" s="64">
        <v>0.28830307520000004</v>
      </c>
      <c r="F466" s="70">
        <v>6</v>
      </c>
      <c r="G466" s="38" t="s">
        <v>60</v>
      </c>
      <c r="H466" s="66" t="s">
        <v>1258</v>
      </c>
      <c r="I466" s="39">
        <v>12.626250000000001</v>
      </c>
      <c r="J466" s="40"/>
      <c r="K466" s="75">
        <f t="shared" si="46"/>
        <v>0</v>
      </c>
      <c r="L466" s="41"/>
      <c r="N466" s="45" t="str">
        <f t="shared" si="42"/>
        <v>-</v>
      </c>
      <c r="O466" s="42" t="str">
        <f t="shared" si="47"/>
        <v>-</v>
      </c>
      <c r="P466" s="43" t="str">
        <f t="shared" si="43"/>
        <v>-</v>
      </c>
      <c r="Q466" s="46" t="str">
        <f t="shared" si="44"/>
        <v>-</v>
      </c>
      <c r="S466" s="46" t="str">
        <f t="shared" si="45"/>
        <v>-</v>
      </c>
    </row>
    <row r="467" spans="1:19" ht="15" x14ac:dyDescent="0.3">
      <c r="A467" s="74">
        <v>9021569</v>
      </c>
      <c r="B467" s="37">
        <v>27877</v>
      </c>
      <c r="C467" s="69">
        <v>76280278774</v>
      </c>
      <c r="D467" s="38" t="s">
        <v>583</v>
      </c>
      <c r="E467" s="64">
        <v>6.6927499599999996E-2</v>
      </c>
      <c r="F467" s="70">
        <v>12</v>
      </c>
      <c r="G467" s="38" t="s">
        <v>584</v>
      </c>
      <c r="H467" s="66" t="s">
        <v>1258</v>
      </c>
      <c r="I467" s="39">
        <v>12.870000000000001</v>
      </c>
      <c r="J467" s="40"/>
      <c r="K467" s="75">
        <f t="shared" si="46"/>
        <v>0</v>
      </c>
      <c r="L467" s="41"/>
      <c r="N467" s="45" t="str">
        <f t="shared" si="42"/>
        <v>-</v>
      </c>
      <c r="O467" s="42" t="str">
        <f t="shared" si="47"/>
        <v>-</v>
      </c>
      <c r="P467" s="43" t="str">
        <f t="shared" si="43"/>
        <v>-</v>
      </c>
      <c r="Q467" s="46" t="str">
        <f t="shared" si="44"/>
        <v>-</v>
      </c>
      <c r="S467" s="46" t="str">
        <f t="shared" si="45"/>
        <v>-</v>
      </c>
    </row>
    <row r="468" spans="1:19" ht="15" x14ac:dyDescent="0.3">
      <c r="A468" s="74">
        <v>8208845</v>
      </c>
      <c r="B468" s="37">
        <v>446</v>
      </c>
      <c r="C468" s="69">
        <v>76280004465</v>
      </c>
      <c r="D468" s="38" t="s">
        <v>585</v>
      </c>
      <c r="E468" s="64">
        <v>6.1779230399999996E-2</v>
      </c>
      <c r="F468" s="70">
        <v>12</v>
      </c>
      <c r="G468" s="38" t="s">
        <v>586</v>
      </c>
      <c r="H468" s="66" t="s">
        <v>1258</v>
      </c>
      <c r="I468" s="39">
        <v>7.8974999999999991</v>
      </c>
      <c r="J468" s="40"/>
      <c r="K468" s="75">
        <f t="shared" si="46"/>
        <v>0</v>
      </c>
      <c r="L468" s="41"/>
      <c r="N468" s="45" t="str">
        <f t="shared" si="42"/>
        <v>-</v>
      </c>
      <c r="O468" s="42" t="str">
        <f t="shared" si="47"/>
        <v>-</v>
      </c>
      <c r="P468" s="43" t="str">
        <f t="shared" si="43"/>
        <v>-</v>
      </c>
      <c r="Q468" s="46" t="str">
        <f t="shared" si="44"/>
        <v>-</v>
      </c>
      <c r="S468" s="46" t="str">
        <f t="shared" si="45"/>
        <v>-</v>
      </c>
    </row>
    <row r="469" spans="1:19" ht="15" x14ac:dyDescent="0.3">
      <c r="A469" s="74">
        <v>1695799</v>
      </c>
      <c r="B469" s="37">
        <v>447</v>
      </c>
      <c r="C469" s="69">
        <v>76280004472</v>
      </c>
      <c r="D469" s="38" t="s">
        <v>585</v>
      </c>
      <c r="E469" s="64">
        <v>0.10296538400000001</v>
      </c>
      <c r="F469" s="70">
        <v>6</v>
      </c>
      <c r="G469" s="38" t="s">
        <v>570</v>
      </c>
      <c r="H469" s="66" t="s">
        <v>1258</v>
      </c>
      <c r="I469" s="39">
        <v>14.625</v>
      </c>
      <c r="J469" s="40"/>
      <c r="K469" s="75">
        <f t="shared" si="46"/>
        <v>0</v>
      </c>
      <c r="L469" s="41"/>
      <c r="N469" s="45" t="str">
        <f t="shared" si="42"/>
        <v>-</v>
      </c>
      <c r="O469" s="42" t="str">
        <f t="shared" si="47"/>
        <v>-</v>
      </c>
      <c r="P469" s="43" t="str">
        <f t="shared" si="43"/>
        <v>-</v>
      </c>
      <c r="Q469" s="46" t="str">
        <f t="shared" si="44"/>
        <v>-</v>
      </c>
      <c r="S469" s="46" t="str">
        <f t="shared" si="45"/>
        <v>-</v>
      </c>
    </row>
    <row r="470" spans="1:19" ht="15" x14ac:dyDescent="0.3">
      <c r="A470" s="74">
        <v>3328464</v>
      </c>
      <c r="B470" s="37">
        <v>4130</v>
      </c>
      <c r="C470" s="69">
        <v>76280041309</v>
      </c>
      <c r="D470" s="38" t="s">
        <v>588</v>
      </c>
      <c r="E470" s="64">
        <v>6.1779230399999996E-2</v>
      </c>
      <c r="F470" s="70">
        <v>12</v>
      </c>
      <c r="G470" s="38" t="s">
        <v>589</v>
      </c>
      <c r="H470" s="66" t="s">
        <v>1258</v>
      </c>
      <c r="I470" s="39">
        <v>5.5087500000000009</v>
      </c>
      <c r="J470" s="40"/>
      <c r="K470" s="75">
        <f t="shared" si="46"/>
        <v>0</v>
      </c>
      <c r="L470" s="41"/>
      <c r="N470" s="45" t="str">
        <f t="shared" si="42"/>
        <v>-</v>
      </c>
      <c r="O470" s="42" t="str">
        <f t="shared" si="47"/>
        <v>-</v>
      </c>
      <c r="P470" s="43" t="str">
        <f t="shared" si="43"/>
        <v>-</v>
      </c>
      <c r="Q470" s="46" t="str">
        <f t="shared" si="44"/>
        <v>-</v>
      </c>
      <c r="S470" s="46" t="str">
        <f t="shared" si="45"/>
        <v>-</v>
      </c>
    </row>
    <row r="471" spans="1:19" ht="15" x14ac:dyDescent="0.3">
      <c r="A471" s="74">
        <v>3750112</v>
      </c>
      <c r="B471" s="37">
        <v>1300</v>
      </c>
      <c r="C471" s="69">
        <v>76280013009</v>
      </c>
      <c r="D471" s="38" t="s">
        <v>591</v>
      </c>
      <c r="E471" s="64">
        <v>0.10296538400000001</v>
      </c>
      <c r="F471" s="70">
        <v>6</v>
      </c>
      <c r="G471" s="38" t="s">
        <v>592</v>
      </c>
      <c r="H471" s="66" t="s">
        <v>1258</v>
      </c>
      <c r="I471" s="39">
        <v>6.09375</v>
      </c>
      <c r="J471" s="40"/>
      <c r="K471" s="75">
        <f t="shared" si="46"/>
        <v>0</v>
      </c>
      <c r="L471" s="41"/>
      <c r="N471" s="45" t="str">
        <f t="shared" si="42"/>
        <v>-</v>
      </c>
      <c r="O471" s="42" t="str">
        <f t="shared" si="47"/>
        <v>-</v>
      </c>
      <c r="P471" s="43" t="str">
        <f t="shared" si="43"/>
        <v>-</v>
      </c>
      <c r="Q471" s="46" t="str">
        <f t="shared" si="44"/>
        <v>-</v>
      </c>
      <c r="S471" s="46" t="str">
        <f t="shared" si="45"/>
        <v>-</v>
      </c>
    </row>
    <row r="472" spans="1:19" ht="15" x14ac:dyDescent="0.3">
      <c r="A472" s="74">
        <v>3999700</v>
      </c>
      <c r="B472" s="37">
        <v>4350</v>
      </c>
      <c r="C472" s="69">
        <v>76280043501</v>
      </c>
      <c r="D472" s="38" t="s">
        <v>594</v>
      </c>
      <c r="E472" s="64">
        <v>7.7224037999999995E-2</v>
      </c>
      <c r="F472" s="70">
        <v>6</v>
      </c>
      <c r="G472" s="38" t="s">
        <v>595</v>
      </c>
      <c r="H472" s="66" t="s">
        <v>1258</v>
      </c>
      <c r="I472" s="39">
        <v>8.6775000000000002</v>
      </c>
      <c r="J472" s="40"/>
      <c r="K472" s="75">
        <f t="shared" si="46"/>
        <v>0</v>
      </c>
      <c r="L472" s="41"/>
      <c r="N472" s="45" t="str">
        <f t="shared" si="42"/>
        <v>-</v>
      </c>
      <c r="O472" s="42" t="str">
        <f t="shared" si="47"/>
        <v>-</v>
      </c>
      <c r="P472" s="43" t="str">
        <f t="shared" si="43"/>
        <v>-</v>
      </c>
      <c r="Q472" s="46" t="str">
        <f t="shared" si="44"/>
        <v>-</v>
      </c>
      <c r="S472" s="46" t="str">
        <f t="shared" si="45"/>
        <v>-</v>
      </c>
    </row>
    <row r="473" spans="1:19" ht="15" x14ac:dyDescent="0.3">
      <c r="A473" s="74">
        <v>4856219</v>
      </c>
      <c r="B473" s="37">
        <v>4514</v>
      </c>
      <c r="C473" s="69">
        <v>76280045147</v>
      </c>
      <c r="D473" s="38" t="s">
        <v>601</v>
      </c>
      <c r="E473" s="64">
        <v>0.32434095959999998</v>
      </c>
      <c r="F473" s="70">
        <v>6</v>
      </c>
      <c r="G473" s="38" t="s">
        <v>532</v>
      </c>
      <c r="H473" s="66" t="s">
        <v>1258</v>
      </c>
      <c r="I473" s="39">
        <v>12.626250000000001</v>
      </c>
      <c r="J473" s="40"/>
      <c r="K473" s="75">
        <f t="shared" si="46"/>
        <v>0</v>
      </c>
      <c r="L473" s="41"/>
      <c r="N473" s="45" t="str">
        <f t="shared" si="42"/>
        <v>-</v>
      </c>
      <c r="O473" s="42" t="str">
        <f t="shared" si="47"/>
        <v>-</v>
      </c>
      <c r="P473" s="43" t="str">
        <f t="shared" si="43"/>
        <v>-</v>
      </c>
      <c r="Q473" s="46" t="str">
        <f t="shared" si="44"/>
        <v>-</v>
      </c>
      <c r="S473" s="46" t="str">
        <f t="shared" si="45"/>
        <v>-</v>
      </c>
    </row>
    <row r="474" spans="1:19" ht="15" x14ac:dyDescent="0.3">
      <c r="A474" s="74">
        <v>3837996</v>
      </c>
      <c r="B474" s="37">
        <v>4513</v>
      </c>
      <c r="C474" s="69">
        <v>76280045130</v>
      </c>
      <c r="D474" s="38" t="s">
        <v>601</v>
      </c>
      <c r="E474" s="64">
        <v>0.18533769119999999</v>
      </c>
      <c r="F474" s="70">
        <v>6</v>
      </c>
      <c r="G474" s="38" t="s">
        <v>154</v>
      </c>
      <c r="H474" s="66" t="s">
        <v>1258</v>
      </c>
      <c r="I474" s="39">
        <v>7.8974999999999991</v>
      </c>
      <c r="J474" s="40"/>
      <c r="K474" s="75">
        <f t="shared" si="46"/>
        <v>0</v>
      </c>
      <c r="L474" s="41"/>
      <c r="N474" s="45" t="str">
        <f t="shared" si="42"/>
        <v>-</v>
      </c>
      <c r="O474" s="42" t="str">
        <f t="shared" si="47"/>
        <v>-</v>
      </c>
      <c r="P474" s="43" t="str">
        <f t="shared" si="43"/>
        <v>-</v>
      </c>
      <c r="Q474" s="46" t="str">
        <f t="shared" si="44"/>
        <v>-</v>
      </c>
      <c r="S474" s="46" t="str">
        <f t="shared" si="45"/>
        <v>-</v>
      </c>
    </row>
    <row r="475" spans="1:19" ht="15" x14ac:dyDescent="0.3">
      <c r="A475" s="74">
        <v>3368881</v>
      </c>
      <c r="B475" s="37">
        <v>69755</v>
      </c>
      <c r="C475" s="69">
        <v>76280697551</v>
      </c>
      <c r="D475" s="38" t="s">
        <v>602</v>
      </c>
      <c r="E475" s="64">
        <v>0.11326192240000001</v>
      </c>
      <c r="F475" s="70">
        <v>6</v>
      </c>
      <c r="G475" s="38" t="s">
        <v>603</v>
      </c>
      <c r="H475" s="66" t="s">
        <v>1258</v>
      </c>
      <c r="I475" s="39">
        <v>9.5062500000000014</v>
      </c>
      <c r="J475" s="40"/>
      <c r="K475" s="75">
        <f t="shared" si="46"/>
        <v>0</v>
      </c>
      <c r="L475" s="41"/>
      <c r="N475" s="45" t="str">
        <f t="shared" si="42"/>
        <v>-</v>
      </c>
      <c r="O475" s="42" t="str">
        <f t="shared" si="47"/>
        <v>-</v>
      </c>
      <c r="P475" s="43" t="str">
        <f t="shared" si="43"/>
        <v>-</v>
      </c>
      <c r="Q475" s="46" t="str">
        <f t="shared" si="44"/>
        <v>-</v>
      </c>
      <c r="S475" s="46" t="str">
        <f t="shared" si="45"/>
        <v>-</v>
      </c>
    </row>
    <row r="476" spans="1:19" ht="15" x14ac:dyDescent="0.3">
      <c r="A476" s="74">
        <v>8565360</v>
      </c>
      <c r="B476" s="37">
        <v>3700</v>
      </c>
      <c r="C476" s="69">
        <v>76280037005</v>
      </c>
      <c r="D476" s="38" t="s">
        <v>604</v>
      </c>
      <c r="E476" s="64">
        <v>7.2075768800000009E-2</v>
      </c>
      <c r="F476" s="70">
        <v>6</v>
      </c>
      <c r="G476" s="38" t="s">
        <v>605</v>
      </c>
      <c r="H476" s="66" t="s">
        <v>1258</v>
      </c>
      <c r="I476" s="39">
        <v>12.138749999999998</v>
      </c>
      <c r="J476" s="40"/>
      <c r="K476" s="75">
        <f t="shared" si="46"/>
        <v>0</v>
      </c>
      <c r="L476" s="41"/>
      <c r="N476" s="45" t="str">
        <f t="shared" si="42"/>
        <v>-</v>
      </c>
      <c r="O476" s="42" t="str">
        <f t="shared" si="47"/>
        <v>-</v>
      </c>
      <c r="P476" s="43" t="str">
        <f t="shared" si="43"/>
        <v>-</v>
      </c>
      <c r="Q476" s="46" t="str">
        <f t="shared" si="44"/>
        <v>-</v>
      </c>
      <c r="S476" s="46" t="str">
        <f t="shared" si="45"/>
        <v>-</v>
      </c>
    </row>
    <row r="477" spans="1:19" ht="15" x14ac:dyDescent="0.3">
      <c r="A477" s="74">
        <v>6359238</v>
      </c>
      <c r="B477" s="37">
        <v>3701</v>
      </c>
      <c r="C477" s="69">
        <v>76280037012</v>
      </c>
      <c r="D477" s="38" t="s">
        <v>604</v>
      </c>
      <c r="E477" s="64">
        <v>0.11326192240000001</v>
      </c>
      <c r="F477" s="70">
        <v>6</v>
      </c>
      <c r="G477" s="38" t="s">
        <v>606</v>
      </c>
      <c r="H477" s="66" t="s">
        <v>1258</v>
      </c>
      <c r="I477" s="39">
        <v>22.86375</v>
      </c>
      <c r="J477" s="40"/>
      <c r="K477" s="75">
        <f t="shared" si="46"/>
        <v>0</v>
      </c>
      <c r="L477" s="41"/>
      <c r="N477" s="45" t="str">
        <f t="shared" si="42"/>
        <v>-</v>
      </c>
      <c r="O477" s="42" t="str">
        <f t="shared" si="47"/>
        <v>-</v>
      </c>
      <c r="P477" s="43" t="str">
        <f t="shared" si="43"/>
        <v>-</v>
      </c>
      <c r="Q477" s="46" t="str">
        <f t="shared" si="44"/>
        <v>-</v>
      </c>
      <c r="S477" s="46" t="str">
        <f t="shared" si="45"/>
        <v>-</v>
      </c>
    </row>
    <row r="478" spans="1:19" ht="15" x14ac:dyDescent="0.3">
      <c r="A478" s="74">
        <v>8369991</v>
      </c>
      <c r="B478" s="37">
        <v>45895</v>
      </c>
      <c r="C478" s="69">
        <v>76280458954</v>
      </c>
      <c r="D478" s="38" t="s">
        <v>609</v>
      </c>
      <c r="E478" s="64">
        <v>5.6750000000000002E-2</v>
      </c>
      <c r="F478" s="70">
        <v>12</v>
      </c>
      <c r="G478" s="38" t="s">
        <v>610</v>
      </c>
      <c r="H478" s="66" t="s">
        <v>1258</v>
      </c>
      <c r="I478" s="39">
        <v>7.2150000000000007</v>
      </c>
      <c r="J478" s="40"/>
      <c r="K478" s="75">
        <f t="shared" si="46"/>
        <v>0</v>
      </c>
      <c r="L478" s="41"/>
      <c r="N478" s="45" t="str">
        <f t="shared" si="42"/>
        <v>-</v>
      </c>
      <c r="O478" s="42" t="str">
        <f t="shared" si="47"/>
        <v>-</v>
      </c>
      <c r="P478" s="43" t="str">
        <f t="shared" si="43"/>
        <v>-</v>
      </c>
      <c r="Q478" s="46" t="str">
        <f t="shared" si="44"/>
        <v>-</v>
      </c>
      <c r="S478" s="46" t="str">
        <f t="shared" si="45"/>
        <v>-</v>
      </c>
    </row>
    <row r="479" spans="1:19" ht="15" x14ac:dyDescent="0.3">
      <c r="A479" s="74">
        <v>7347373</v>
      </c>
      <c r="B479" s="37">
        <v>1340</v>
      </c>
      <c r="C479" s="69">
        <v>76280013405</v>
      </c>
      <c r="D479" s="38" t="s">
        <v>613</v>
      </c>
      <c r="E479" s="64">
        <v>0.10296538400000001</v>
      </c>
      <c r="F479" s="70">
        <v>6</v>
      </c>
      <c r="G479" s="38" t="s">
        <v>615</v>
      </c>
      <c r="H479" s="66" t="s">
        <v>1258</v>
      </c>
      <c r="I479" s="39">
        <v>5.9962500000000007</v>
      </c>
      <c r="J479" s="40"/>
      <c r="K479" s="75">
        <f t="shared" si="46"/>
        <v>0</v>
      </c>
      <c r="L479" s="41"/>
      <c r="N479" s="45" t="str">
        <f t="shared" si="42"/>
        <v>-</v>
      </c>
      <c r="O479" s="42" t="str">
        <f t="shared" si="47"/>
        <v>-</v>
      </c>
      <c r="P479" s="43" t="str">
        <f t="shared" si="43"/>
        <v>-</v>
      </c>
      <c r="Q479" s="46" t="str">
        <f t="shared" si="44"/>
        <v>-</v>
      </c>
      <c r="S479" s="46" t="str">
        <f t="shared" si="45"/>
        <v>-</v>
      </c>
    </row>
    <row r="480" spans="1:19" ht="15" x14ac:dyDescent="0.3">
      <c r="A480" s="74">
        <v>4345806</v>
      </c>
      <c r="B480" s="37">
        <v>4530</v>
      </c>
      <c r="C480" s="69">
        <v>76280045307</v>
      </c>
      <c r="D480" s="38" t="s">
        <v>616</v>
      </c>
      <c r="E480" s="64">
        <v>0.15444807599999999</v>
      </c>
      <c r="F480" s="70">
        <v>6</v>
      </c>
      <c r="G480" s="38" t="s">
        <v>63</v>
      </c>
      <c r="H480" s="66" t="s">
        <v>1258</v>
      </c>
      <c r="I480" s="39">
        <v>6.1425000000000001</v>
      </c>
      <c r="J480" s="40"/>
      <c r="K480" s="75">
        <f t="shared" si="46"/>
        <v>0</v>
      </c>
      <c r="L480" s="41"/>
      <c r="N480" s="45" t="str">
        <f t="shared" si="42"/>
        <v>-</v>
      </c>
      <c r="O480" s="42" t="str">
        <f t="shared" si="47"/>
        <v>-</v>
      </c>
      <c r="P480" s="43" t="str">
        <f t="shared" si="43"/>
        <v>-</v>
      </c>
      <c r="Q480" s="46" t="str">
        <f t="shared" si="44"/>
        <v>-</v>
      </c>
      <c r="S480" s="46" t="str">
        <f t="shared" si="45"/>
        <v>-</v>
      </c>
    </row>
    <row r="481" spans="1:19" ht="15" x14ac:dyDescent="0.3">
      <c r="A481" s="74">
        <v>6243909</v>
      </c>
      <c r="B481" s="37">
        <v>1211</v>
      </c>
      <c r="C481" s="69">
        <v>76280012118</v>
      </c>
      <c r="D481" s="38" t="s">
        <v>621</v>
      </c>
      <c r="E481" s="64">
        <v>0.16474461439999999</v>
      </c>
      <c r="F481" s="70">
        <v>6</v>
      </c>
      <c r="G481" s="38" t="s">
        <v>623</v>
      </c>
      <c r="H481" s="66" t="s">
        <v>1258</v>
      </c>
      <c r="I481" s="39">
        <v>11.407499999999999</v>
      </c>
      <c r="J481" s="40"/>
      <c r="K481" s="75">
        <f t="shared" si="46"/>
        <v>0</v>
      </c>
      <c r="L481" s="41"/>
      <c r="N481" s="45" t="str">
        <f t="shared" si="42"/>
        <v>-</v>
      </c>
      <c r="O481" s="42" t="str">
        <f t="shared" si="47"/>
        <v>-</v>
      </c>
      <c r="P481" s="43" t="str">
        <f t="shared" si="43"/>
        <v>-</v>
      </c>
      <c r="Q481" s="46" t="str">
        <f t="shared" si="44"/>
        <v>-</v>
      </c>
      <c r="S481" s="46" t="str">
        <f t="shared" si="45"/>
        <v>-</v>
      </c>
    </row>
    <row r="482" spans="1:19" ht="15" x14ac:dyDescent="0.3">
      <c r="A482" s="74">
        <v>6994328</v>
      </c>
      <c r="B482" s="37">
        <v>39905</v>
      </c>
      <c r="C482" s="69">
        <v>76280399059</v>
      </c>
      <c r="D482" s="38" t="s">
        <v>625</v>
      </c>
      <c r="E482" s="64">
        <v>7.2075768800000009E-2</v>
      </c>
      <c r="F482" s="70">
        <v>6</v>
      </c>
      <c r="G482" s="38" t="s">
        <v>626</v>
      </c>
      <c r="H482" s="66" t="s">
        <v>1258</v>
      </c>
      <c r="I482" s="39">
        <v>11.943750000000001</v>
      </c>
      <c r="J482" s="40"/>
      <c r="K482" s="75">
        <f t="shared" si="46"/>
        <v>0</v>
      </c>
      <c r="L482" s="41"/>
      <c r="N482" s="45" t="str">
        <f t="shared" si="42"/>
        <v>-</v>
      </c>
      <c r="O482" s="42" t="str">
        <f t="shared" si="47"/>
        <v>-</v>
      </c>
      <c r="P482" s="43" t="str">
        <f t="shared" si="43"/>
        <v>-</v>
      </c>
      <c r="Q482" s="46" t="str">
        <f t="shared" si="44"/>
        <v>-</v>
      </c>
      <c r="S482" s="46" t="str">
        <f t="shared" si="45"/>
        <v>-</v>
      </c>
    </row>
    <row r="483" spans="1:19" ht="15" x14ac:dyDescent="0.3">
      <c r="A483" s="74">
        <v>4413949</v>
      </c>
      <c r="B483" s="37">
        <v>10727</v>
      </c>
      <c r="C483" s="69">
        <v>76280107272</v>
      </c>
      <c r="D483" s="38" t="s">
        <v>627</v>
      </c>
      <c r="E483" s="64">
        <v>0.20078249880000001</v>
      </c>
      <c r="F483" s="70">
        <v>6</v>
      </c>
      <c r="G483" s="38" t="s">
        <v>74</v>
      </c>
      <c r="H483" s="66" t="s">
        <v>1258</v>
      </c>
      <c r="I483" s="39">
        <v>9.9450000000000003</v>
      </c>
      <c r="J483" s="40"/>
      <c r="K483" s="75">
        <f t="shared" si="46"/>
        <v>0</v>
      </c>
      <c r="L483" s="41"/>
      <c r="N483" s="45" t="str">
        <f t="shared" si="42"/>
        <v>-</v>
      </c>
      <c r="O483" s="42" t="str">
        <f t="shared" si="47"/>
        <v>-</v>
      </c>
      <c r="P483" s="43" t="str">
        <f t="shared" si="43"/>
        <v>-</v>
      </c>
      <c r="Q483" s="46" t="str">
        <f t="shared" si="44"/>
        <v>-</v>
      </c>
      <c r="S483" s="46" t="str">
        <f t="shared" si="45"/>
        <v>-</v>
      </c>
    </row>
    <row r="484" spans="1:19" ht="15" x14ac:dyDescent="0.3">
      <c r="A484" s="74">
        <v>9527508</v>
      </c>
      <c r="B484" s="37">
        <v>260</v>
      </c>
      <c r="C484" s="69">
        <v>76280002607</v>
      </c>
      <c r="D484" s="38" t="s">
        <v>629</v>
      </c>
      <c r="E484" s="64">
        <v>0.10296538400000001</v>
      </c>
      <c r="F484" s="70">
        <v>6</v>
      </c>
      <c r="G484" s="38" t="s">
        <v>154</v>
      </c>
      <c r="H484" s="66" t="s">
        <v>1258</v>
      </c>
      <c r="I484" s="39">
        <v>6.63</v>
      </c>
      <c r="J484" s="40"/>
      <c r="K484" s="75">
        <f t="shared" si="46"/>
        <v>0</v>
      </c>
      <c r="L484" s="41"/>
      <c r="N484" s="45" t="str">
        <f t="shared" si="42"/>
        <v>-</v>
      </c>
      <c r="O484" s="42" t="str">
        <f t="shared" si="47"/>
        <v>-</v>
      </c>
      <c r="P484" s="43" t="str">
        <f t="shared" si="43"/>
        <v>-</v>
      </c>
      <c r="Q484" s="46" t="str">
        <f t="shared" si="44"/>
        <v>-</v>
      </c>
      <c r="S484" s="46" t="str">
        <f t="shared" si="45"/>
        <v>-</v>
      </c>
    </row>
    <row r="485" spans="1:19" ht="15" x14ac:dyDescent="0.3">
      <c r="A485" s="74">
        <v>4459863</v>
      </c>
      <c r="B485" s="37">
        <v>4433</v>
      </c>
      <c r="C485" s="69">
        <v>76280044331</v>
      </c>
      <c r="D485" s="38" t="s">
        <v>632</v>
      </c>
      <c r="E485" s="64">
        <v>0.25226519079999998</v>
      </c>
      <c r="F485" s="70">
        <v>6</v>
      </c>
      <c r="G485" s="38" t="s">
        <v>523</v>
      </c>
      <c r="H485" s="66" t="s">
        <v>1258</v>
      </c>
      <c r="I485" s="39">
        <v>14.430000000000001</v>
      </c>
      <c r="J485" s="40"/>
      <c r="K485" s="75">
        <f t="shared" si="46"/>
        <v>0</v>
      </c>
      <c r="L485" s="41"/>
      <c r="N485" s="45" t="str">
        <f t="shared" si="42"/>
        <v>-</v>
      </c>
      <c r="O485" s="42" t="str">
        <f t="shared" si="47"/>
        <v>-</v>
      </c>
      <c r="P485" s="43" t="str">
        <f t="shared" si="43"/>
        <v>-</v>
      </c>
      <c r="Q485" s="46" t="str">
        <f t="shared" si="44"/>
        <v>-</v>
      </c>
      <c r="S485" s="46" t="str">
        <f t="shared" si="45"/>
        <v>-</v>
      </c>
    </row>
    <row r="486" spans="1:19" ht="15" x14ac:dyDescent="0.3">
      <c r="A486" s="74">
        <v>4903664</v>
      </c>
      <c r="B486" s="37">
        <v>860</v>
      </c>
      <c r="C486" s="69">
        <v>76280008609</v>
      </c>
      <c r="D486" s="38" t="s">
        <v>633</v>
      </c>
      <c r="E486" s="64">
        <v>6.6927499599999996E-2</v>
      </c>
      <c r="F486" s="70">
        <v>6</v>
      </c>
      <c r="G486" s="38" t="s">
        <v>634</v>
      </c>
      <c r="H486" s="66" t="s">
        <v>1258</v>
      </c>
      <c r="I486" s="39">
        <v>7.3125</v>
      </c>
      <c r="J486" s="40"/>
      <c r="K486" s="75">
        <f t="shared" si="46"/>
        <v>0</v>
      </c>
      <c r="L486" s="41"/>
      <c r="N486" s="45" t="str">
        <f t="shared" si="42"/>
        <v>-</v>
      </c>
      <c r="O486" s="42" t="str">
        <f t="shared" si="47"/>
        <v>-</v>
      </c>
      <c r="P486" s="43" t="str">
        <f t="shared" si="43"/>
        <v>-</v>
      </c>
      <c r="Q486" s="46" t="str">
        <f t="shared" si="44"/>
        <v>-</v>
      </c>
      <c r="S486" s="46" t="str">
        <f t="shared" si="45"/>
        <v>-</v>
      </c>
    </row>
    <row r="487" spans="1:19" ht="15" x14ac:dyDescent="0.3">
      <c r="A487" s="74">
        <v>2939834</v>
      </c>
      <c r="B487" s="37">
        <v>4584</v>
      </c>
      <c r="C487" s="69">
        <v>76280045840</v>
      </c>
      <c r="D487" s="38" t="s">
        <v>504</v>
      </c>
      <c r="E487" s="64">
        <v>0.27285826759999998</v>
      </c>
      <c r="F487" s="70">
        <v>6</v>
      </c>
      <c r="G487" s="38" t="s">
        <v>330</v>
      </c>
      <c r="H487" s="66" t="s">
        <v>1258</v>
      </c>
      <c r="I487" s="39">
        <v>10.87125</v>
      </c>
      <c r="J487" s="40"/>
      <c r="K487" s="75">
        <f t="shared" si="46"/>
        <v>0</v>
      </c>
      <c r="L487" s="41"/>
      <c r="N487" s="45" t="str">
        <f t="shared" si="42"/>
        <v>-</v>
      </c>
      <c r="O487" s="42" t="str">
        <f t="shared" si="47"/>
        <v>-</v>
      </c>
      <c r="P487" s="43" t="str">
        <f t="shared" si="43"/>
        <v>-</v>
      </c>
      <c r="Q487" s="46" t="str">
        <f t="shared" si="44"/>
        <v>-</v>
      </c>
      <c r="S487" s="46" t="str">
        <f t="shared" si="45"/>
        <v>-</v>
      </c>
    </row>
    <row r="488" spans="1:19" ht="15" x14ac:dyDescent="0.3">
      <c r="A488" s="74">
        <v>3528988</v>
      </c>
      <c r="B488" s="37">
        <v>83217</v>
      </c>
      <c r="C488" s="69">
        <v>76280832174</v>
      </c>
      <c r="D488" s="38" t="s">
        <v>640</v>
      </c>
      <c r="E488" s="64">
        <v>5.6750000000000002E-2</v>
      </c>
      <c r="F488" s="70">
        <v>6</v>
      </c>
      <c r="G488" s="38" t="s">
        <v>641</v>
      </c>
      <c r="H488" s="66" t="s">
        <v>1258</v>
      </c>
      <c r="I488" s="39">
        <v>18.330000000000002</v>
      </c>
      <c r="J488" s="40"/>
      <c r="K488" s="75">
        <f t="shared" si="46"/>
        <v>0</v>
      </c>
      <c r="L488" s="41"/>
      <c r="N488" s="45" t="str">
        <f t="shared" si="42"/>
        <v>-</v>
      </c>
      <c r="O488" s="42" t="str">
        <f t="shared" si="47"/>
        <v>-</v>
      </c>
      <c r="P488" s="43" t="str">
        <f t="shared" si="43"/>
        <v>-</v>
      </c>
      <c r="Q488" s="46" t="str">
        <f t="shared" si="44"/>
        <v>-</v>
      </c>
      <c r="S488" s="46" t="str">
        <f t="shared" si="45"/>
        <v>-</v>
      </c>
    </row>
    <row r="489" spans="1:19" ht="15" x14ac:dyDescent="0.3">
      <c r="A489" s="74">
        <v>1245361</v>
      </c>
      <c r="B489" s="37">
        <v>3800</v>
      </c>
      <c r="C489" s="69">
        <v>76280038002</v>
      </c>
      <c r="D489" s="38" t="s">
        <v>647</v>
      </c>
      <c r="E489" s="64">
        <v>5.6750000000000002E-2</v>
      </c>
      <c r="F489" s="70">
        <v>6</v>
      </c>
      <c r="G489" s="38" t="s">
        <v>648</v>
      </c>
      <c r="H489" s="66" t="s">
        <v>1258</v>
      </c>
      <c r="I489" s="39">
        <v>10.87125</v>
      </c>
      <c r="J489" s="40"/>
      <c r="K489" s="75">
        <f t="shared" si="46"/>
        <v>0</v>
      </c>
      <c r="L489" s="41"/>
      <c r="N489" s="45" t="str">
        <f t="shared" si="42"/>
        <v>-</v>
      </c>
      <c r="O489" s="42" t="str">
        <f t="shared" si="47"/>
        <v>-</v>
      </c>
      <c r="P489" s="43" t="str">
        <f t="shared" si="43"/>
        <v>-</v>
      </c>
      <c r="Q489" s="46" t="str">
        <f t="shared" si="44"/>
        <v>-</v>
      </c>
      <c r="S489" s="46" t="str">
        <f t="shared" si="45"/>
        <v>-</v>
      </c>
    </row>
    <row r="490" spans="1:19" ht="15" x14ac:dyDescent="0.3">
      <c r="A490" s="74">
        <v>3552385</v>
      </c>
      <c r="B490" s="37">
        <v>12928</v>
      </c>
      <c r="C490" s="69">
        <v>76280129281</v>
      </c>
      <c r="D490" s="38" t="s">
        <v>647</v>
      </c>
      <c r="E490" s="64">
        <v>8.2372307199999995E-2</v>
      </c>
      <c r="F490" s="70">
        <v>6</v>
      </c>
      <c r="G490" s="38" t="s">
        <v>649</v>
      </c>
      <c r="H490" s="66" t="s">
        <v>1258</v>
      </c>
      <c r="I490" s="39">
        <v>20.475000000000001</v>
      </c>
      <c r="J490" s="40"/>
      <c r="K490" s="75">
        <f t="shared" si="46"/>
        <v>0</v>
      </c>
      <c r="L490" s="41"/>
      <c r="N490" s="45" t="str">
        <f t="shared" si="42"/>
        <v>-</v>
      </c>
      <c r="O490" s="42" t="str">
        <f t="shared" si="47"/>
        <v>-</v>
      </c>
      <c r="P490" s="43" t="str">
        <f t="shared" si="43"/>
        <v>-</v>
      </c>
      <c r="Q490" s="46" t="str">
        <f t="shared" si="44"/>
        <v>-</v>
      </c>
      <c r="S490" s="46" t="str">
        <f t="shared" si="45"/>
        <v>-</v>
      </c>
    </row>
    <row r="491" spans="1:19" ht="15" x14ac:dyDescent="0.3">
      <c r="A491" s="74">
        <v>2199484</v>
      </c>
      <c r="B491" s="37">
        <v>4168</v>
      </c>
      <c r="C491" s="69">
        <v>76280041682</v>
      </c>
      <c r="D491" s="38" t="s">
        <v>650</v>
      </c>
      <c r="E491" s="64">
        <v>0.13900326840000002</v>
      </c>
      <c r="F491" s="70">
        <v>6</v>
      </c>
      <c r="G491" s="38" t="s">
        <v>652</v>
      </c>
      <c r="H491" s="66" t="s">
        <v>1258</v>
      </c>
      <c r="I491" s="39">
        <v>9.9450000000000003</v>
      </c>
      <c r="J491" s="40"/>
      <c r="K491" s="75">
        <f t="shared" si="46"/>
        <v>0</v>
      </c>
      <c r="L491" s="41"/>
      <c r="N491" s="45" t="str">
        <f t="shared" si="42"/>
        <v>-</v>
      </c>
      <c r="O491" s="42" t="str">
        <f t="shared" si="47"/>
        <v>-</v>
      </c>
      <c r="P491" s="43" t="str">
        <f t="shared" si="43"/>
        <v>-</v>
      </c>
      <c r="Q491" s="46" t="str">
        <f t="shared" si="44"/>
        <v>-</v>
      </c>
      <c r="S491" s="46" t="str">
        <f t="shared" si="45"/>
        <v>-</v>
      </c>
    </row>
    <row r="492" spans="1:19" ht="15" x14ac:dyDescent="0.3">
      <c r="A492" s="74">
        <v>1385228</v>
      </c>
      <c r="B492" s="37">
        <v>66456</v>
      </c>
      <c r="C492" s="69">
        <v>76280664560</v>
      </c>
      <c r="D492" s="38" t="s">
        <v>655</v>
      </c>
      <c r="E492" s="64">
        <v>0.23167211400000001</v>
      </c>
      <c r="F492" s="70">
        <v>6</v>
      </c>
      <c r="G492" s="38" t="s">
        <v>63</v>
      </c>
      <c r="H492" s="66" t="s">
        <v>1258</v>
      </c>
      <c r="I492" s="39">
        <v>16.8675</v>
      </c>
      <c r="J492" s="40"/>
      <c r="K492" s="75">
        <f t="shared" si="46"/>
        <v>0</v>
      </c>
      <c r="L492" s="41"/>
      <c r="N492" s="45" t="str">
        <f t="shared" si="42"/>
        <v>-</v>
      </c>
      <c r="O492" s="42" t="str">
        <f t="shared" si="47"/>
        <v>-</v>
      </c>
      <c r="P492" s="43" t="str">
        <f t="shared" si="43"/>
        <v>-</v>
      </c>
      <c r="Q492" s="46" t="str">
        <f t="shared" si="44"/>
        <v>-</v>
      </c>
      <c r="S492" s="46" t="str">
        <f t="shared" si="45"/>
        <v>-</v>
      </c>
    </row>
    <row r="493" spans="1:19" ht="15" x14ac:dyDescent="0.3">
      <c r="A493" s="74">
        <v>5303352</v>
      </c>
      <c r="B493" s="37">
        <v>276</v>
      </c>
      <c r="C493" s="69">
        <v>76280002768</v>
      </c>
      <c r="D493" s="38" t="s">
        <v>656</v>
      </c>
      <c r="E493" s="64">
        <v>9.2668845599999994E-2</v>
      </c>
      <c r="F493" s="70">
        <v>6</v>
      </c>
      <c r="G493" s="38" t="s">
        <v>154</v>
      </c>
      <c r="H493" s="66" t="s">
        <v>1258</v>
      </c>
      <c r="I493" s="39">
        <v>7.5075000000000003</v>
      </c>
      <c r="J493" s="40"/>
      <c r="K493" s="75">
        <f t="shared" si="46"/>
        <v>0</v>
      </c>
      <c r="L493" s="41"/>
      <c r="N493" s="45" t="str">
        <f t="shared" si="42"/>
        <v>-</v>
      </c>
      <c r="O493" s="42" t="str">
        <f t="shared" si="47"/>
        <v>-</v>
      </c>
      <c r="P493" s="43" t="str">
        <f t="shared" si="43"/>
        <v>-</v>
      </c>
      <c r="Q493" s="46" t="str">
        <f t="shared" si="44"/>
        <v>-</v>
      </c>
      <c r="S493" s="46" t="str">
        <f t="shared" si="45"/>
        <v>-</v>
      </c>
    </row>
    <row r="494" spans="1:19" ht="15" x14ac:dyDescent="0.3">
      <c r="A494" s="74">
        <v>8330512</v>
      </c>
      <c r="B494" s="37">
        <v>2761</v>
      </c>
      <c r="C494" s="69">
        <v>76280027617</v>
      </c>
      <c r="D494" s="38" t="s">
        <v>657</v>
      </c>
      <c r="E494" s="64">
        <v>0.16474461439999999</v>
      </c>
      <c r="F494" s="70">
        <v>6</v>
      </c>
      <c r="G494" s="38" t="s">
        <v>64</v>
      </c>
      <c r="H494" s="66" t="s">
        <v>1258</v>
      </c>
      <c r="I494" s="39">
        <v>12.821250000000003</v>
      </c>
      <c r="J494" s="40"/>
      <c r="K494" s="75">
        <f t="shared" si="46"/>
        <v>0</v>
      </c>
      <c r="L494" s="41"/>
      <c r="N494" s="45" t="str">
        <f t="shared" si="42"/>
        <v>-</v>
      </c>
      <c r="O494" s="42" t="str">
        <f t="shared" si="47"/>
        <v>-</v>
      </c>
      <c r="P494" s="43" t="str">
        <f t="shared" si="43"/>
        <v>-</v>
      </c>
      <c r="Q494" s="46" t="str">
        <f t="shared" si="44"/>
        <v>-</v>
      </c>
      <c r="S494" s="46" t="str">
        <f t="shared" si="45"/>
        <v>-</v>
      </c>
    </row>
    <row r="495" spans="1:19" ht="15" x14ac:dyDescent="0.3">
      <c r="A495" s="74">
        <v>6375119</v>
      </c>
      <c r="B495" s="37">
        <v>4345</v>
      </c>
      <c r="C495" s="69">
        <v>76280043457</v>
      </c>
      <c r="D495" s="38" t="s">
        <v>594</v>
      </c>
      <c r="E495" s="64">
        <v>8.2372307199999995E-2</v>
      </c>
      <c r="F495" s="70">
        <v>12</v>
      </c>
      <c r="G495" s="38" t="s">
        <v>76</v>
      </c>
      <c r="H495" s="66" t="s">
        <v>1258</v>
      </c>
      <c r="I495" s="39">
        <v>7.9462500000000009</v>
      </c>
      <c r="J495" s="40"/>
      <c r="K495" s="75">
        <f t="shared" si="46"/>
        <v>0</v>
      </c>
      <c r="L495" s="41"/>
      <c r="N495" s="45" t="str">
        <f t="shared" si="42"/>
        <v>-</v>
      </c>
      <c r="O495" s="42" t="str">
        <f t="shared" si="47"/>
        <v>-</v>
      </c>
      <c r="P495" s="43" t="str">
        <f t="shared" si="43"/>
        <v>-</v>
      </c>
      <c r="Q495" s="46" t="str">
        <f t="shared" si="44"/>
        <v>-</v>
      </c>
      <c r="S495" s="46" t="str">
        <f t="shared" si="45"/>
        <v>-</v>
      </c>
    </row>
    <row r="496" spans="1:19" ht="15" x14ac:dyDescent="0.3">
      <c r="A496" s="74">
        <v>3598651</v>
      </c>
      <c r="B496" s="37">
        <v>36661</v>
      </c>
      <c r="C496" s="69">
        <v>76280366617</v>
      </c>
      <c r="D496" s="38" t="s">
        <v>658</v>
      </c>
      <c r="E496" s="64">
        <v>0.10296538400000001</v>
      </c>
      <c r="F496" s="70">
        <v>6</v>
      </c>
      <c r="G496" s="38" t="s">
        <v>659</v>
      </c>
      <c r="H496" s="66" t="s">
        <v>1258</v>
      </c>
      <c r="I496" s="39">
        <v>12.772500000000001</v>
      </c>
      <c r="J496" s="40"/>
      <c r="K496" s="75">
        <f t="shared" si="46"/>
        <v>0</v>
      </c>
      <c r="L496" s="41"/>
      <c r="N496" s="45" t="str">
        <f t="shared" si="42"/>
        <v>-</v>
      </c>
      <c r="O496" s="42" t="str">
        <f t="shared" si="47"/>
        <v>-</v>
      </c>
      <c r="P496" s="43" t="str">
        <f t="shared" si="43"/>
        <v>-</v>
      </c>
      <c r="Q496" s="46" t="str">
        <f t="shared" si="44"/>
        <v>-</v>
      </c>
      <c r="S496" s="46" t="str">
        <f t="shared" si="45"/>
        <v>-</v>
      </c>
    </row>
    <row r="497" spans="1:19" ht="15" x14ac:dyDescent="0.3">
      <c r="A497" s="74">
        <v>4737460</v>
      </c>
      <c r="B497" s="37">
        <v>36660</v>
      </c>
      <c r="C497" s="69">
        <v>76280366600</v>
      </c>
      <c r="D497" s="38" t="s">
        <v>658</v>
      </c>
      <c r="E497" s="64">
        <v>0.14929980679999999</v>
      </c>
      <c r="F497" s="70">
        <v>6</v>
      </c>
      <c r="G497" s="38" t="s">
        <v>180</v>
      </c>
      <c r="H497" s="66" t="s">
        <v>1258</v>
      </c>
      <c r="I497" s="39">
        <v>23.253750000000004</v>
      </c>
      <c r="J497" s="40"/>
      <c r="K497" s="75">
        <f t="shared" si="46"/>
        <v>0</v>
      </c>
      <c r="L497" s="41"/>
      <c r="N497" s="45" t="str">
        <f t="shared" si="42"/>
        <v>-</v>
      </c>
      <c r="O497" s="42" t="str">
        <f t="shared" si="47"/>
        <v>-</v>
      </c>
      <c r="P497" s="43" t="str">
        <f t="shared" si="43"/>
        <v>-</v>
      </c>
      <c r="Q497" s="46" t="str">
        <f t="shared" si="44"/>
        <v>-</v>
      </c>
      <c r="S497" s="46" t="str">
        <f t="shared" si="45"/>
        <v>-</v>
      </c>
    </row>
    <row r="498" spans="1:19" ht="15" x14ac:dyDescent="0.3">
      <c r="A498" s="74">
        <v>8046956</v>
      </c>
      <c r="B498" s="37">
        <v>12742</v>
      </c>
      <c r="C498" s="69">
        <v>76280127423</v>
      </c>
      <c r="D498" s="38" t="s">
        <v>661</v>
      </c>
      <c r="E498" s="64">
        <v>6.6927499599999996E-2</v>
      </c>
      <c r="F498" s="70">
        <v>12</v>
      </c>
      <c r="G498" s="38" t="s">
        <v>332</v>
      </c>
      <c r="H498" s="66" t="s">
        <v>1258</v>
      </c>
      <c r="I498" s="39">
        <v>5.1674999999999995</v>
      </c>
      <c r="J498" s="40"/>
      <c r="K498" s="75">
        <f t="shared" si="46"/>
        <v>0</v>
      </c>
      <c r="L498" s="41"/>
      <c r="N498" s="45" t="str">
        <f t="shared" si="42"/>
        <v>-</v>
      </c>
      <c r="O498" s="42" t="str">
        <f t="shared" si="47"/>
        <v>-</v>
      </c>
      <c r="P498" s="43" t="str">
        <f t="shared" si="43"/>
        <v>-</v>
      </c>
      <c r="Q498" s="46" t="str">
        <f t="shared" si="44"/>
        <v>-</v>
      </c>
      <c r="S498" s="46" t="str">
        <f t="shared" si="45"/>
        <v>-</v>
      </c>
    </row>
    <row r="499" spans="1:19" ht="15" x14ac:dyDescent="0.3">
      <c r="A499" s="74">
        <v>3941717</v>
      </c>
      <c r="B499" s="37">
        <v>12743</v>
      </c>
      <c r="C499" s="69">
        <v>76280127430</v>
      </c>
      <c r="D499" s="38" t="s">
        <v>661</v>
      </c>
      <c r="E499" s="64">
        <v>0.11841019160000001</v>
      </c>
      <c r="F499" s="70">
        <v>6</v>
      </c>
      <c r="G499" s="38" t="s">
        <v>373</v>
      </c>
      <c r="H499" s="66" t="s">
        <v>1258</v>
      </c>
      <c r="I499" s="39">
        <v>9.2624999999999993</v>
      </c>
      <c r="J499" s="40"/>
      <c r="K499" s="75">
        <f t="shared" si="46"/>
        <v>0</v>
      </c>
      <c r="L499" s="41"/>
      <c r="N499" s="45" t="str">
        <f t="shared" si="42"/>
        <v>-</v>
      </c>
      <c r="O499" s="42" t="str">
        <f t="shared" si="47"/>
        <v>-</v>
      </c>
      <c r="P499" s="43" t="str">
        <f t="shared" si="43"/>
        <v>-</v>
      </c>
      <c r="Q499" s="46" t="str">
        <f t="shared" si="44"/>
        <v>-</v>
      </c>
      <c r="S499" s="46" t="str">
        <f t="shared" si="45"/>
        <v>-</v>
      </c>
    </row>
    <row r="500" spans="1:19" ht="15" x14ac:dyDescent="0.3">
      <c r="A500" s="74">
        <v>3149446</v>
      </c>
      <c r="B500" s="37">
        <v>1154</v>
      </c>
      <c r="C500" s="69">
        <v>76280011548</v>
      </c>
      <c r="D500" s="38" t="s">
        <v>662</v>
      </c>
      <c r="E500" s="64">
        <v>9.7817114799999993E-2</v>
      </c>
      <c r="F500" s="70">
        <v>6</v>
      </c>
      <c r="G500" s="38" t="s">
        <v>663</v>
      </c>
      <c r="H500" s="66" t="s">
        <v>1258</v>
      </c>
      <c r="I500" s="39">
        <v>6.5812500000000007</v>
      </c>
      <c r="J500" s="40"/>
      <c r="K500" s="75">
        <f t="shared" si="46"/>
        <v>0</v>
      </c>
      <c r="L500" s="41"/>
      <c r="N500" s="45" t="str">
        <f t="shared" si="42"/>
        <v>-</v>
      </c>
      <c r="O500" s="42" t="str">
        <f t="shared" si="47"/>
        <v>-</v>
      </c>
      <c r="P500" s="43" t="str">
        <f t="shared" si="43"/>
        <v>-</v>
      </c>
      <c r="Q500" s="46" t="str">
        <f t="shared" si="44"/>
        <v>-</v>
      </c>
      <c r="S500" s="46" t="str">
        <f t="shared" si="45"/>
        <v>-</v>
      </c>
    </row>
    <row r="501" spans="1:19" ht="15" x14ac:dyDescent="0.3">
      <c r="A501" s="74">
        <v>5770541</v>
      </c>
      <c r="B501" s="37">
        <v>4351</v>
      </c>
      <c r="C501" s="69">
        <v>76280043518</v>
      </c>
      <c r="D501" s="38" t="s">
        <v>594</v>
      </c>
      <c r="E501" s="64">
        <v>5.6750000000000002E-2</v>
      </c>
      <c r="F501" s="70">
        <v>12</v>
      </c>
      <c r="G501" s="38" t="s">
        <v>666</v>
      </c>
      <c r="H501" s="66" t="s">
        <v>1258</v>
      </c>
      <c r="I501" s="39">
        <v>8.6287500000000001</v>
      </c>
      <c r="J501" s="40"/>
      <c r="K501" s="75">
        <f t="shared" si="46"/>
        <v>0</v>
      </c>
      <c r="L501" s="41"/>
      <c r="N501" s="45" t="str">
        <f t="shared" si="42"/>
        <v>-</v>
      </c>
      <c r="O501" s="42" t="str">
        <f t="shared" si="47"/>
        <v>-</v>
      </c>
      <c r="P501" s="43" t="str">
        <f t="shared" si="43"/>
        <v>-</v>
      </c>
      <c r="Q501" s="46" t="str">
        <f t="shared" si="44"/>
        <v>-</v>
      </c>
      <c r="S501" s="46" t="str">
        <f t="shared" si="45"/>
        <v>-</v>
      </c>
    </row>
    <row r="502" spans="1:19" ht="15" x14ac:dyDescent="0.3">
      <c r="A502" s="74">
        <v>9933970</v>
      </c>
      <c r="B502" s="37">
        <v>1312</v>
      </c>
      <c r="C502" s="69">
        <v>76280013122</v>
      </c>
      <c r="D502" s="38" t="s">
        <v>668</v>
      </c>
      <c r="E502" s="64">
        <v>6.1779230399999996E-2</v>
      </c>
      <c r="F502" s="70">
        <v>6</v>
      </c>
      <c r="G502" s="38" t="s">
        <v>669</v>
      </c>
      <c r="H502" s="66" t="s">
        <v>1258</v>
      </c>
      <c r="I502" s="39">
        <v>12.626250000000001</v>
      </c>
      <c r="J502" s="40"/>
      <c r="K502" s="75">
        <f t="shared" si="46"/>
        <v>0</v>
      </c>
      <c r="L502" s="41"/>
      <c r="N502" s="45" t="str">
        <f t="shared" si="42"/>
        <v>-</v>
      </c>
      <c r="O502" s="42" t="str">
        <f t="shared" si="47"/>
        <v>-</v>
      </c>
      <c r="P502" s="43" t="str">
        <f t="shared" si="43"/>
        <v>-</v>
      </c>
      <c r="Q502" s="46" t="str">
        <f t="shared" si="44"/>
        <v>-</v>
      </c>
      <c r="S502" s="46" t="str">
        <f t="shared" si="45"/>
        <v>-</v>
      </c>
    </row>
    <row r="503" spans="1:19" ht="15" x14ac:dyDescent="0.3">
      <c r="A503" s="74">
        <v>4076155</v>
      </c>
      <c r="B503" s="37">
        <v>1630</v>
      </c>
      <c r="C503" s="69">
        <v>76280016307</v>
      </c>
      <c r="D503" s="38" t="s">
        <v>670</v>
      </c>
      <c r="E503" s="64">
        <v>9.2668845599999994E-2</v>
      </c>
      <c r="F503" s="70">
        <v>6</v>
      </c>
      <c r="G503" s="38" t="s">
        <v>671</v>
      </c>
      <c r="H503" s="66" t="s">
        <v>1258</v>
      </c>
      <c r="I503" s="39">
        <v>7.2637499999999999</v>
      </c>
      <c r="J503" s="40"/>
      <c r="K503" s="75">
        <f t="shared" si="46"/>
        <v>0</v>
      </c>
      <c r="L503" s="41"/>
      <c r="N503" s="45" t="str">
        <f t="shared" si="42"/>
        <v>-</v>
      </c>
      <c r="O503" s="42" t="str">
        <f t="shared" si="47"/>
        <v>-</v>
      </c>
      <c r="P503" s="43" t="str">
        <f t="shared" si="43"/>
        <v>-</v>
      </c>
      <c r="Q503" s="46" t="str">
        <f t="shared" si="44"/>
        <v>-</v>
      </c>
      <c r="S503" s="46" t="str">
        <f t="shared" si="45"/>
        <v>-</v>
      </c>
    </row>
    <row r="504" spans="1:19" ht="15" x14ac:dyDescent="0.3">
      <c r="A504" s="74">
        <v>3296086</v>
      </c>
      <c r="B504" s="37">
        <v>44686</v>
      </c>
      <c r="C504" s="69">
        <v>76280446869</v>
      </c>
      <c r="D504" s="38" t="s">
        <v>675</v>
      </c>
      <c r="E504" s="64">
        <v>9.7817114799999993E-2</v>
      </c>
      <c r="F504" s="70">
        <v>12</v>
      </c>
      <c r="G504" s="38" t="s">
        <v>152</v>
      </c>
      <c r="H504" s="66" t="s">
        <v>1258</v>
      </c>
      <c r="I504" s="39">
        <v>16.77</v>
      </c>
      <c r="J504" s="40"/>
      <c r="K504" s="75">
        <f t="shared" si="46"/>
        <v>0</v>
      </c>
      <c r="L504" s="41"/>
      <c r="N504" s="45" t="str">
        <f t="shared" si="42"/>
        <v>-</v>
      </c>
      <c r="O504" s="42" t="str">
        <f t="shared" si="47"/>
        <v>-</v>
      </c>
      <c r="P504" s="43" t="str">
        <f t="shared" si="43"/>
        <v>-</v>
      </c>
      <c r="Q504" s="46" t="str">
        <f t="shared" si="44"/>
        <v>-</v>
      </c>
      <c r="S504" s="46" t="str">
        <f t="shared" si="45"/>
        <v>-</v>
      </c>
    </row>
    <row r="505" spans="1:19" ht="15" x14ac:dyDescent="0.3">
      <c r="A505" s="74">
        <v>6968601</v>
      </c>
      <c r="B505" s="37">
        <v>43546</v>
      </c>
      <c r="C505" s="69">
        <v>76280435467</v>
      </c>
      <c r="D505" s="38" t="s">
        <v>676</v>
      </c>
      <c r="E505" s="64">
        <v>5.6750000000000002E-2</v>
      </c>
      <c r="F505" s="70">
        <v>12</v>
      </c>
      <c r="G505" s="38" t="s">
        <v>129</v>
      </c>
      <c r="H505" s="66" t="s">
        <v>1258</v>
      </c>
      <c r="I505" s="39">
        <v>10.67625</v>
      </c>
      <c r="J505" s="40"/>
      <c r="K505" s="75">
        <f t="shared" si="46"/>
        <v>0</v>
      </c>
      <c r="L505" s="41"/>
      <c r="N505" s="45" t="str">
        <f t="shared" si="42"/>
        <v>-</v>
      </c>
      <c r="O505" s="42" t="str">
        <f t="shared" si="47"/>
        <v>-</v>
      </c>
      <c r="P505" s="43" t="str">
        <f t="shared" si="43"/>
        <v>-</v>
      </c>
      <c r="Q505" s="46" t="str">
        <f t="shared" si="44"/>
        <v>-</v>
      </c>
      <c r="S505" s="46" t="str">
        <f t="shared" si="45"/>
        <v>-</v>
      </c>
    </row>
    <row r="506" spans="1:19" ht="15" x14ac:dyDescent="0.3">
      <c r="A506" s="74">
        <v>6740819</v>
      </c>
      <c r="B506" s="37">
        <v>8363</v>
      </c>
      <c r="C506" s="69">
        <v>76280083637</v>
      </c>
      <c r="D506" s="38" t="s">
        <v>677</v>
      </c>
      <c r="E506" s="64">
        <v>7.7224037999999995E-2</v>
      </c>
      <c r="F506" s="70">
        <v>12</v>
      </c>
      <c r="G506" s="38" t="s">
        <v>34</v>
      </c>
      <c r="H506" s="66" t="s">
        <v>1258</v>
      </c>
      <c r="I506" s="39">
        <v>14.137500000000001</v>
      </c>
      <c r="J506" s="40"/>
      <c r="K506" s="75">
        <f t="shared" si="46"/>
        <v>0</v>
      </c>
      <c r="L506" s="41"/>
      <c r="N506" s="45" t="str">
        <f t="shared" si="42"/>
        <v>-</v>
      </c>
      <c r="O506" s="42" t="str">
        <f t="shared" si="47"/>
        <v>-</v>
      </c>
      <c r="P506" s="43" t="str">
        <f t="shared" si="43"/>
        <v>-</v>
      </c>
      <c r="Q506" s="46" t="str">
        <f t="shared" si="44"/>
        <v>-</v>
      </c>
      <c r="S506" s="46" t="str">
        <f t="shared" si="45"/>
        <v>-</v>
      </c>
    </row>
    <row r="507" spans="1:19" ht="15" x14ac:dyDescent="0.3">
      <c r="A507" s="74">
        <v>4248156</v>
      </c>
      <c r="B507" s="37">
        <v>1410</v>
      </c>
      <c r="C507" s="69">
        <v>76280014105</v>
      </c>
      <c r="D507" s="38" t="s">
        <v>678</v>
      </c>
      <c r="E507" s="64">
        <v>8.7520576400000008E-2</v>
      </c>
      <c r="F507" s="70">
        <v>6</v>
      </c>
      <c r="G507" s="38" t="s">
        <v>665</v>
      </c>
      <c r="H507" s="66" t="s">
        <v>1258</v>
      </c>
      <c r="I507" s="39">
        <v>6.2887500000000003</v>
      </c>
      <c r="J507" s="40"/>
      <c r="K507" s="75">
        <f t="shared" si="46"/>
        <v>0</v>
      </c>
      <c r="L507" s="41"/>
      <c r="N507" s="45" t="str">
        <f t="shared" si="42"/>
        <v>-</v>
      </c>
      <c r="O507" s="42" t="str">
        <f t="shared" si="47"/>
        <v>-</v>
      </c>
      <c r="P507" s="43" t="str">
        <f t="shared" si="43"/>
        <v>-</v>
      </c>
      <c r="Q507" s="46" t="str">
        <f t="shared" si="44"/>
        <v>-</v>
      </c>
      <c r="S507" s="46" t="str">
        <f t="shared" si="45"/>
        <v>-</v>
      </c>
    </row>
    <row r="508" spans="1:19" ht="15" x14ac:dyDescent="0.3">
      <c r="A508" s="74">
        <v>5237832</v>
      </c>
      <c r="B508" s="37">
        <v>5210</v>
      </c>
      <c r="C508" s="69">
        <v>76280052107</v>
      </c>
      <c r="D508" s="38" t="s">
        <v>680</v>
      </c>
      <c r="E508" s="64">
        <v>9.2668845599999994E-2</v>
      </c>
      <c r="F508" s="70">
        <v>12</v>
      </c>
      <c r="G508" s="38" t="s">
        <v>34</v>
      </c>
      <c r="H508" s="66" t="s">
        <v>1258</v>
      </c>
      <c r="I508" s="39">
        <v>11.553749999999999</v>
      </c>
      <c r="J508" s="40"/>
      <c r="K508" s="75">
        <f t="shared" si="46"/>
        <v>0</v>
      </c>
      <c r="L508" s="41"/>
      <c r="N508" s="45" t="str">
        <f t="shared" si="42"/>
        <v>-</v>
      </c>
      <c r="O508" s="42" t="str">
        <f t="shared" si="47"/>
        <v>-</v>
      </c>
      <c r="P508" s="43" t="str">
        <f t="shared" si="43"/>
        <v>-</v>
      </c>
      <c r="Q508" s="46" t="str">
        <f t="shared" si="44"/>
        <v>-</v>
      </c>
      <c r="S508" s="46" t="str">
        <f t="shared" si="45"/>
        <v>-</v>
      </c>
    </row>
    <row r="509" spans="1:19" ht="15" x14ac:dyDescent="0.3">
      <c r="A509" s="74">
        <v>3294632</v>
      </c>
      <c r="B509" s="37">
        <v>4327</v>
      </c>
      <c r="C509" s="69">
        <v>76280043273</v>
      </c>
      <c r="D509" s="38" t="s">
        <v>681</v>
      </c>
      <c r="E509" s="64">
        <v>8.7520576400000008E-2</v>
      </c>
      <c r="F509" s="70">
        <v>12</v>
      </c>
      <c r="G509" s="38" t="s">
        <v>200</v>
      </c>
      <c r="H509" s="66" t="s">
        <v>1258</v>
      </c>
      <c r="I509" s="39">
        <v>7.3125</v>
      </c>
      <c r="J509" s="40"/>
      <c r="K509" s="75">
        <f t="shared" si="46"/>
        <v>0</v>
      </c>
      <c r="L509" s="41"/>
      <c r="N509" s="45" t="str">
        <f t="shared" si="42"/>
        <v>-</v>
      </c>
      <c r="O509" s="42" t="str">
        <f t="shared" si="47"/>
        <v>-</v>
      </c>
      <c r="P509" s="43" t="str">
        <f t="shared" si="43"/>
        <v>-</v>
      </c>
      <c r="Q509" s="46" t="str">
        <f t="shared" si="44"/>
        <v>-</v>
      </c>
      <c r="S509" s="46" t="str">
        <f t="shared" si="45"/>
        <v>-</v>
      </c>
    </row>
    <row r="510" spans="1:19" ht="15" x14ac:dyDescent="0.3">
      <c r="A510" s="74">
        <v>6639876</v>
      </c>
      <c r="B510" s="37">
        <v>61009</v>
      </c>
      <c r="C510" s="69">
        <v>76280610093</v>
      </c>
      <c r="D510" s="38" t="s">
        <v>683</v>
      </c>
      <c r="E510" s="64">
        <v>0.19048596039999999</v>
      </c>
      <c r="F510" s="70">
        <v>6</v>
      </c>
      <c r="G510" s="38" t="s">
        <v>364</v>
      </c>
      <c r="H510" s="66" t="s">
        <v>1258</v>
      </c>
      <c r="I510" s="39">
        <v>21.7425</v>
      </c>
      <c r="J510" s="40"/>
      <c r="K510" s="75">
        <f t="shared" si="46"/>
        <v>0</v>
      </c>
      <c r="L510" s="41"/>
      <c r="N510" s="45" t="str">
        <f t="shared" si="42"/>
        <v>-</v>
      </c>
      <c r="O510" s="42" t="str">
        <f t="shared" si="47"/>
        <v>-</v>
      </c>
      <c r="P510" s="43" t="str">
        <f t="shared" si="43"/>
        <v>-</v>
      </c>
      <c r="Q510" s="46" t="str">
        <f t="shared" si="44"/>
        <v>-</v>
      </c>
      <c r="S510" s="46" t="str">
        <f t="shared" si="45"/>
        <v>-</v>
      </c>
    </row>
    <row r="511" spans="1:19" ht="15" x14ac:dyDescent="0.3">
      <c r="A511" s="74">
        <v>2153910</v>
      </c>
      <c r="B511" s="37">
        <v>1270</v>
      </c>
      <c r="C511" s="69">
        <v>76280012705</v>
      </c>
      <c r="D511" s="38" t="s">
        <v>688</v>
      </c>
      <c r="E511" s="64">
        <v>0.10811365319999999</v>
      </c>
      <c r="F511" s="70">
        <v>6</v>
      </c>
      <c r="G511" s="38" t="s">
        <v>689</v>
      </c>
      <c r="H511" s="66" t="s">
        <v>1258</v>
      </c>
      <c r="I511" s="39">
        <v>6.4350000000000005</v>
      </c>
      <c r="J511" s="40"/>
      <c r="K511" s="75">
        <f t="shared" si="46"/>
        <v>0</v>
      </c>
      <c r="L511" s="41"/>
      <c r="N511" s="45" t="str">
        <f t="shared" si="42"/>
        <v>-</v>
      </c>
      <c r="O511" s="42" t="str">
        <f t="shared" si="47"/>
        <v>-</v>
      </c>
      <c r="P511" s="43" t="str">
        <f t="shared" si="43"/>
        <v>-</v>
      </c>
      <c r="Q511" s="46" t="str">
        <f t="shared" si="44"/>
        <v>-</v>
      </c>
      <c r="S511" s="46" t="str">
        <f t="shared" si="45"/>
        <v>-</v>
      </c>
    </row>
    <row r="512" spans="1:19" ht="15" x14ac:dyDescent="0.3">
      <c r="A512" s="74">
        <v>4370792</v>
      </c>
      <c r="B512" s="37">
        <v>1271</v>
      </c>
      <c r="C512" s="69">
        <v>76280012712</v>
      </c>
      <c r="D512" s="38" t="s">
        <v>688</v>
      </c>
      <c r="E512" s="64">
        <v>0.18533769119999999</v>
      </c>
      <c r="F512" s="70">
        <v>6</v>
      </c>
      <c r="G512" s="38" t="s">
        <v>690</v>
      </c>
      <c r="H512" s="66" t="s">
        <v>1258</v>
      </c>
      <c r="I512" s="39">
        <v>10.383750000000001</v>
      </c>
      <c r="J512" s="40"/>
      <c r="K512" s="75">
        <f t="shared" si="46"/>
        <v>0</v>
      </c>
      <c r="L512" s="41"/>
      <c r="N512" s="45" t="str">
        <f t="shared" si="42"/>
        <v>-</v>
      </c>
      <c r="O512" s="42" t="str">
        <f t="shared" si="47"/>
        <v>-</v>
      </c>
      <c r="P512" s="43" t="str">
        <f t="shared" si="43"/>
        <v>-</v>
      </c>
      <c r="Q512" s="46" t="str">
        <f t="shared" si="44"/>
        <v>-</v>
      </c>
      <c r="S512" s="46" t="str">
        <f t="shared" si="45"/>
        <v>-</v>
      </c>
    </row>
    <row r="513" spans="1:19" ht="15" x14ac:dyDescent="0.3">
      <c r="A513" s="74">
        <v>8567380</v>
      </c>
      <c r="B513" s="37">
        <v>90396</v>
      </c>
      <c r="C513" s="69">
        <v>76280903966</v>
      </c>
      <c r="D513" s="38" t="s">
        <v>692</v>
      </c>
      <c r="E513" s="64">
        <v>5.6750000000000002E-2</v>
      </c>
      <c r="F513" s="70">
        <v>6</v>
      </c>
      <c r="G513" s="38" t="s">
        <v>135</v>
      </c>
      <c r="H513" s="66" t="s">
        <v>1258</v>
      </c>
      <c r="I513" s="39">
        <v>12.870000000000001</v>
      </c>
      <c r="J513" s="40"/>
      <c r="K513" s="75">
        <f t="shared" si="46"/>
        <v>0</v>
      </c>
      <c r="L513" s="41"/>
      <c r="N513" s="45" t="str">
        <f t="shared" si="42"/>
        <v>-</v>
      </c>
      <c r="O513" s="42" t="str">
        <f t="shared" si="47"/>
        <v>-</v>
      </c>
      <c r="P513" s="43" t="str">
        <f t="shared" si="43"/>
        <v>-</v>
      </c>
      <c r="Q513" s="46" t="str">
        <f t="shared" si="44"/>
        <v>-</v>
      </c>
      <c r="S513" s="46" t="str">
        <f t="shared" si="45"/>
        <v>-</v>
      </c>
    </row>
    <row r="514" spans="1:19" ht="15" x14ac:dyDescent="0.3">
      <c r="A514" s="74">
        <v>4245978</v>
      </c>
      <c r="B514" s="37">
        <v>4380</v>
      </c>
      <c r="C514" s="69">
        <v>76280043808</v>
      </c>
      <c r="D514" s="38" t="s">
        <v>477</v>
      </c>
      <c r="E514" s="64">
        <v>0.12355846079999999</v>
      </c>
      <c r="F514" s="70">
        <v>6</v>
      </c>
      <c r="G514" s="38" t="s">
        <v>207</v>
      </c>
      <c r="H514" s="66" t="s">
        <v>1258</v>
      </c>
      <c r="I514" s="39">
        <v>8.3362500000000015</v>
      </c>
      <c r="J514" s="40"/>
      <c r="K514" s="75">
        <f t="shared" si="46"/>
        <v>0</v>
      </c>
      <c r="L514" s="41"/>
      <c r="N514" s="45" t="str">
        <f t="shared" si="42"/>
        <v>-</v>
      </c>
      <c r="O514" s="42" t="str">
        <f t="shared" si="47"/>
        <v>-</v>
      </c>
      <c r="P514" s="43" t="str">
        <f t="shared" si="43"/>
        <v>-</v>
      </c>
      <c r="Q514" s="46" t="str">
        <f t="shared" si="44"/>
        <v>-</v>
      </c>
      <c r="S514" s="46" t="str">
        <f t="shared" si="45"/>
        <v>-</v>
      </c>
    </row>
    <row r="515" spans="1:19" ht="15" x14ac:dyDescent="0.3">
      <c r="A515" s="74">
        <v>8608308</v>
      </c>
      <c r="B515" s="37">
        <v>4381</v>
      </c>
      <c r="C515" s="69">
        <v>76280043815</v>
      </c>
      <c r="D515" s="38" t="s">
        <v>477</v>
      </c>
      <c r="E515" s="64">
        <v>0.24196865239999998</v>
      </c>
      <c r="F515" s="70">
        <v>6</v>
      </c>
      <c r="G515" s="38" t="s">
        <v>523</v>
      </c>
      <c r="H515" s="66" t="s">
        <v>1258</v>
      </c>
      <c r="I515" s="39">
        <v>18.135000000000002</v>
      </c>
      <c r="J515" s="40"/>
      <c r="K515" s="75">
        <f t="shared" si="46"/>
        <v>0</v>
      </c>
      <c r="L515" s="41"/>
      <c r="N515" s="45" t="str">
        <f t="shared" ref="N515:N578" si="48">IFERROR(IF($N$2*E515=0, "-", $N$2*E515), "-")</f>
        <v>-</v>
      </c>
      <c r="O515" s="42" t="str">
        <f t="shared" si="47"/>
        <v>-</v>
      </c>
      <c r="P515" s="43" t="str">
        <f t="shared" ref="P515:P578" si="49">IF(J515&gt;0,J515*E515, "-")</f>
        <v>-</v>
      </c>
      <c r="Q515" s="46" t="str">
        <f t="shared" ref="Q515:Q578" si="50">IFERROR(IF($N$2&gt;0, $N$2*P515, "-"), "-")</f>
        <v>-</v>
      </c>
      <c r="S515" s="46" t="str">
        <f t="shared" ref="S515:S578" si="51">IFERROR(IF(Q515+K515=0, "-", IF(Q515&gt;0, Q515+K515, "-")), "-")</f>
        <v>-</v>
      </c>
    </row>
    <row r="516" spans="1:19" ht="15" x14ac:dyDescent="0.3">
      <c r="A516" s="74">
        <v>6998827</v>
      </c>
      <c r="B516" s="37">
        <v>70971</v>
      </c>
      <c r="C516" s="69">
        <v>76280709711</v>
      </c>
      <c r="D516" s="38" t="s">
        <v>693</v>
      </c>
      <c r="E516" s="64">
        <v>0.27285826759999998</v>
      </c>
      <c r="F516" s="70">
        <v>6</v>
      </c>
      <c r="G516" s="38" t="s">
        <v>694</v>
      </c>
      <c r="H516" s="66" t="s">
        <v>1258</v>
      </c>
      <c r="I516" s="39">
        <v>17.55</v>
      </c>
      <c r="J516" s="40"/>
      <c r="K516" s="75">
        <f t="shared" ref="K516:K579" si="52">J516*I516</f>
        <v>0</v>
      </c>
      <c r="L516" s="41"/>
      <c r="N516" s="45" t="str">
        <f t="shared" si="48"/>
        <v>-</v>
      </c>
      <c r="O516" s="42" t="str">
        <f t="shared" ref="O516:O579" si="53">IFERROR(IF(N516&gt;0,I516+N516,"-"),"-")</f>
        <v>-</v>
      </c>
      <c r="P516" s="43" t="str">
        <f t="shared" si="49"/>
        <v>-</v>
      </c>
      <c r="Q516" s="46" t="str">
        <f t="shared" si="50"/>
        <v>-</v>
      </c>
      <c r="S516" s="46" t="str">
        <f t="shared" si="51"/>
        <v>-</v>
      </c>
    </row>
    <row r="517" spans="1:19" ht="15" x14ac:dyDescent="0.3">
      <c r="A517" s="74">
        <v>8186733</v>
      </c>
      <c r="B517" s="37">
        <v>19325</v>
      </c>
      <c r="C517" s="69">
        <v>76280193251</v>
      </c>
      <c r="D517" s="38" t="s">
        <v>696</v>
      </c>
      <c r="E517" s="64">
        <v>0.12355846079999999</v>
      </c>
      <c r="F517" s="70">
        <v>6</v>
      </c>
      <c r="G517" s="38" t="s">
        <v>34</v>
      </c>
      <c r="H517" s="66" t="s">
        <v>1258</v>
      </c>
      <c r="I517" s="39">
        <v>22.571249999999999</v>
      </c>
      <c r="J517" s="40"/>
      <c r="K517" s="75">
        <f t="shared" si="52"/>
        <v>0</v>
      </c>
      <c r="L517" s="41"/>
      <c r="N517" s="45" t="str">
        <f t="shared" si="48"/>
        <v>-</v>
      </c>
      <c r="O517" s="42" t="str">
        <f t="shared" si="53"/>
        <v>-</v>
      </c>
      <c r="P517" s="43" t="str">
        <f t="shared" si="49"/>
        <v>-</v>
      </c>
      <c r="Q517" s="46" t="str">
        <f t="shared" si="50"/>
        <v>-</v>
      </c>
      <c r="S517" s="46" t="str">
        <f t="shared" si="51"/>
        <v>-</v>
      </c>
    </row>
    <row r="518" spans="1:19" ht="15" x14ac:dyDescent="0.3">
      <c r="A518" s="74">
        <v>7578715</v>
      </c>
      <c r="B518" s="37">
        <v>77327</v>
      </c>
      <c r="C518" s="69">
        <v>76280773279</v>
      </c>
      <c r="D518" s="38" t="s">
        <v>698</v>
      </c>
      <c r="E518" s="64">
        <v>6.1779230399999996E-2</v>
      </c>
      <c r="F518" s="70">
        <v>6</v>
      </c>
      <c r="G518" s="38" t="s">
        <v>135</v>
      </c>
      <c r="H518" s="66" t="s">
        <v>1258</v>
      </c>
      <c r="I518" s="39">
        <v>16.13625</v>
      </c>
      <c r="J518" s="40"/>
      <c r="K518" s="75">
        <f t="shared" si="52"/>
        <v>0</v>
      </c>
      <c r="L518" s="41"/>
      <c r="N518" s="45" t="str">
        <f t="shared" si="48"/>
        <v>-</v>
      </c>
      <c r="O518" s="42" t="str">
        <f t="shared" si="53"/>
        <v>-</v>
      </c>
      <c r="P518" s="43" t="str">
        <f t="shared" si="49"/>
        <v>-</v>
      </c>
      <c r="Q518" s="46" t="str">
        <f t="shared" si="50"/>
        <v>-</v>
      </c>
      <c r="S518" s="46" t="str">
        <f t="shared" si="51"/>
        <v>-</v>
      </c>
    </row>
    <row r="519" spans="1:19" ht="15" x14ac:dyDescent="0.3">
      <c r="A519" s="74">
        <v>4646866</v>
      </c>
      <c r="B519" s="37">
        <v>93714</v>
      </c>
      <c r="C519" s="69">
        <v>76280937145</v>
      </c>
      <c r="D519" s="38" t="s">
        <v>702</v>
      </c>
      <c r="E519" s="64">
        <v>5.6750000000000002E-2</v>
      </c>
      <c r="F519" s="70">
        <v>6</v>
      </c>
      <c r="G519" s="38" t="s">
        <v>135</v>
      </c>
      <c r="H519" s="66" t="s">
        <v>1258</v>
      </c>
      <c r="I519" s="39">
        <v>23.107499999999998</v>
      </c>
      <c r="J519" s="40"/>
      <c r="K519" s="75">
        <f t="shared" si="52"/>
        <v>0</v>
      </c>
      <c r="L519" s="41"/>
      <c r="N519" s="45" t="str">
        <f t="shared" si="48"/>
        <v>-</v>
      </c>
      <c r="O519" s="42" t="str">
        <f t="shared" si="53"/>
        <v>-</v>
      </c>
      <c r="P519" s="43" t="str">
        <f t="shared" si="49"/>
        <v>-</v>
      </c>
      <c r="Q519" s="46" t="str">
        <f t="shared" si="50"/>
        <v>-</v>
      </c>
      <c r="S519" s="46" t="str">
        <f t="shared" si="51"/>
        <v>-</v>
      </c>
    </row>
    <row r="520" spans="1:19" ht="15" x14ac:dyDescent="0.3">
      <c r="A520" s="74">
        <v>5669503</v>
      </c>
      <c r="B520" s="37">
        <v>1660</v>
      </c>
      <c r="C520" s="69">
        <v>76280016604</v>
      </c>
      <c r="D520" s="38" t="s">
        <v>704</v>
      </c>
      <c r="E520" s="64">
        <v>8.7520576400000008E-2</v>
      </c>
      <c r="F520" s="70">
        <v>6</v>
      </c>
      <c r="G520" s="38" t="s">
        <v>409</v>
      </c>
      <c r="H520" s="66" t="s">
        <v>1258</v>
      </c>
      <c r="I520" s="39">
        <v>6.4350000000000005</v>
      </c>
      <c r="J520" s="40"/>
      <c r="K520" s="75">
        <f t="shared" si="52"/>
        <v>0</v>
      </c>
      <c r="L520" s="41"/>
      <c r="N520" s="45" t="str">
        <f t="shared" si="48"/>
        <v>-</v>
      </c>
      <c r="O520" s="42" t="str">
        <f t="shared" si="53"/>
        <v>-</v>
      </c>
      <c r="P520" s="43" t="str">
        <f t="shared" si="49"/>
        <v>-</v>
      </c>
      <c r="Q520" s="46" t="str">
        <f t="shared" si="50"/>
        <v>-</v>
      </c>
      <c r="S520" s="46" t="str">
        <f t="shared" si="51"/>
        <v>-</v>
      </c>
    </row>
    <row r="521" spans="1:19" ht="15" x14ac:dyDescent="0.3">
      <c r="A521" s="74">
        <v>9285277</v>
      </c>
      <c r="B521" s="37">
        <v>95379</v>
      </c>
      <c r="C521" s="69">
        <v>76280953794</v>
      </c>
      <c r="D521" s="38" t="s">
        <v>705</v>
      </c>
      <c r="E521" s="64">
        <v>8.7520576400000008E-2</v>
      </c>
      <c r="F521" s="70">
        <v>6</v>
      </c>
      <c r="G521" s="38" t="s">
        <v>152</v>
      </c>
      <c r="H521" s="66" t="s">
        <v>1258</v>
      </c>
      <c r="I521" s="39">
        <v>14.088750000000001</v>
      </c>
      <c r="J521" s="40"/>
      <c r="K521" s="75">
        <f t="shared" si="52"/>
        <v>0</v>
      </c>
      <c r="L521" s="41"/>
      <c r="N521" s="45" t="str">
        <f t="shared" si="48"/>
        <v>-</v>
      </c>
      <c r="O521" s="42" t="str">
        <f t="shared" si="53"/>
        <v>-</v>
      </c>
      <c r="P521" s="43" t="str">
        <f t="shared" si="49"/>
        <v>-</v>
      </c>
      <c r="Q521" s="46" t="str">
        <f t="shared" si="50"/>
        <v>-</v>
      </c>
      <c r="S521" s="46" t="str">
        <f t="shared" si="51"/>
        <v>-</v>
      </c>
    </row>
    <row r="522" spans="1:19" ht="15" x14ac:dyDescent="0.3">
      <c r="A522" s="74">
        <v>6512043</v>
      </c>
      <c r="B522" s="37">
        <v>3110</v>
      </c>
      <c r="C522" s="69">
        <v>76280031102</v>
      </c>
      <c r="D522" s="38" t="s">
        <v>706</v>
      </c>
      <c r="E522" s="64">
        <v>5.6750000000000002E-2</v>
      </c>
      <c r="F522" s="70">
        <v>6</v>
      </c>
      <c r="G522" s="38" t="s">
        <v>700</v>
      </c>
      <c r="H522" s="66" t="s">
        <v>1258</v>
      </c>
      <c r="I522" s="39">
        <v>12.967500000000001</v>
      </c>
      <c r="J522" s="40"/>
      <c r="K522" s="75">
        <f t="shared" si="52"/>
        <v>0</v>
      </c>
      <c r="L522" s="41"/>
      <c r="N522" s="45" t="str">
        <f t="shared" si="48"/>
        <v>-</v>
      </c>
      <c r="O522" s="42" t="str">
        <f t="shared" si="53"/>
        <v>-</v>
      </c>
      <c r="P522" s="43" t="str">
        <f t="shared" si="49"/>
        <v>-</v>
      </c>
      <c r="Q522" s="46" t="str">
        <f t="shared" si="50"/>
        <v>-</v>
      </c>
      <c r="S522" s="46" t="str">
        <f t="shared" si="51"/>
        <v>-</v>
      </c>
    </row>
    <row r="523" spans="1:19" ht="15" x14ac:dyDescent="0.3">
      <c r="A523" s="74">
        <v>3081456</v>
      </c>
      <c r="B523" s="37">
        <v>4364</v>
      </c>
      <c r="C523" s="69">
        <v>76280043648</v>
      </c>
      <c r="D523" s="38" t="s">
        <v>707</v>
      </c>
      <c r="E523" s="64">
        <v>0.15444807599999999</v>
      </c>
      <c r="F523" s="70">
        <v>6</v>
      </c>
      <c r="G523" s="38" t="s">
        <v>207</v>
      </c>
      <c r="H523" s="66" t="s">
        <v>1258</v>
      </c>
      <c r="I523" s="39">
        <v>16.087499999999999</v>
      </c>
      <c r="J523" s="40"/>
      <c r="K523" s="75">
        <f t="shared" si="52"/>
        <v>0</v>
      </c>
      <c r="L523" s="41"/>
      <c r="N523" s="45" t="str">
        <f t="shared" si="48"/>
        <v>-</v>
      </c>
      <c r="O523" s="42" t="str">
        <f t="shared" si="53"/>
        <v>-</v>
      </c>
      <c r="P523" s="43" t="str">
        <f t="shared" si="49"/>
        <v>-</v>
      </c>
      <c r="Q523" s="46" t="str">
        <f t="shared" si="50"/>
        <v>-</v>
      </c>
      <c r="S523" s="46" t="str">
        <f t="shared" si="51"/>
        <v>-</v>
      </c>
    </row>
    <row r="524" spans="1:19" ht="15" x14ac:dyDescent="0.3">
      <c r="A524" s="74">
        <v>4171713</v>
      </c>
      <c r="B524" s="37">
        <v>95578</v>
      </c>
      <c r="C524" s="69">
        <v>76280955781</v>
      </c>
      <c r="D524" s="38" t="s">
        <v>710</v>
      </c>
      <c r="E524" s="64">
        <v>8.1379500000000007E-2</v>
      </c>
      <c r="F524" s="70">
        <v>6</v>
      </c>
      <c r="G524" s="38" t="s">
        <v>34</v>
      </c>
      <c r="H524" s="66" t="s">
        <v>1258</v>
      </c>
      <c r="I524" s="39">
        <v>21.645</v>
      </c>
      <c r="J524" s="40"/>
      <c r="K524" s="75">
        <f t="shared" si="52"/>
        <v>0</v>
      </c>
      <c r="L524" s="41"/>
      <c r="N524" s="45" t="str">
        <f t="shared" si="48"/>
        <v>-</v>
      </c>
      <c r="O524" s="42" t="str">
        <f t="shared" si="53"/>
        <v>-</v>
      </c>
      <c r="P524" s="43" t="str">
        <f t="shared" si="49"/>
        <v>-</v>
      </c>
      <c r="Q524" s="46" t="str">
        <f t="shared" si="50"/>
        <v>-</v>
      </c>
      <c r="S524" s="46" t="str">
        <f t="shared" si="51"/>
        <v>-</v>
      </c>
    </row>
    <row r="525" spans="1:19" ht="15" x14ac:dyDescent="0.3">
      <c r="A525" s="74">
        <v>8278819</v>
      </c>
      <c r="B525" s="37">
        <v>1120</v>
      </c>
      <c r="C525" s="69">
        <v>76280011203</v>
      </c>
      <c r="D525" s="38" t="s">
        <v>711</v>
      </c>
      <c r="E525" s="64">
        <v>9.2668845599999994E-2</v>
      </c>
      <c r="F525" s="70">
        <v>6</v>
      </c>
      <c r="G525" s="38" t="s">
        <v>665</v>
      </c>
      <c r="H525" s="66" t="s">
        <v>1258</v>
      </c>
      <c r="I525" s="39">
        <v>5.8987499999999997</v>
      </c>
      <c r="J525" s="40"/>
      <c r="K525" s="75">
        <f t="shared" si="52"/>
        <v>0</v>
      </c>
      <c r="L525" s="41"/>
      <c r="N525" s="45" t="str">
        <f t="shared" si="48"/>
        <v>-</v>
      </c>
      <c r="O525" s="42" t="str">
        <f t="shared" si="53"/>
        <v>-</v>
      </c>
      <c r="P525" s="43" t="str">
        <f t="shared" si="49"/>
        <v>-</v>
      </c>
      <c r="Q525" s="46" t="str">
        <f t="shared" si="50"/>
        <v>-</v>
      </c>
      <c r="S525" s="46" t="str">
        <f t="shared" si="51"/>
        <v>-</v>
      </c>
    </row>
    <row r="526" spans="1:19" ht="15" x14ac:dyDescent="0.3">
      <c r="A526" s="74">
        <v>1394342</v>
      </c>
      <c r="B526" s="37">
        <v>3688</v>
      </c>
      <c r="C526" s="69">
        <v>76280036886</v>
      </c>
      <c r="D526" s="38" t="s">
        <v>714</v>
      </c>
      <c r="E526" s="64">
        <v>6.1779230399999996E-2</v>
      </c>
      <c r="F526" s="70">
        <v>6</v>
      </c>
      <c r="G526" s="38" t="s">
        <v>715</v>
      </c>
      <c r="H526" s="66" t="s">
        <v>1258</v>
      </c>
      <c r="I526" s="39">
        <v>25.008749999999999</v>
      </c>
      <c r="J526" s="40"/>
      <c r="K526" s="75">
        <f t="shared" si="52"/>
        <v>0</v>
      </c>
      <c r="L526" s="41"/>
      <c r="N526" s="45" t="str">
        <f t="shared" si="48"/>
        <v>-</v>
      </c>
      <c r="O526" s="42" t="str">
        <f t="shared" si="53"/>
        <v>-</v>
      </c>
      <c r="P526" s="43" t="str">
        <f t="shared" si="49"/>
        <v>-</v>
      </c>
      <c r="Q526" s="46" t="str">
        <f t="shared" si="50"/>
        <v>-</v>
      </c>
      <c r="S526" s="46" t="str">
        <f t="shared" si="51"/>
        <v>-</v>
      </c>
    </row>
    <row r="527" spans="1:19" ht="15" x14ac:dyDescent="0.3">
      <c r="A527" s="74">
        <v>3444125</v>
      </c>
      <c r="B527" s="37">
        <v>3956</v>
      </c>
      <c r="C527" s="69">
        <v>76280039566</v>
      </c>
      <c r="D527" s="38" t="s">
        <v>716</v>
      </c>
      <c r="E527" s="64">
        <v>5.6750000000000002E-2</v>
      </c>
      <c r="F527" s="70">
        <v>6</v>
      </c>
      <c r="G527" s="38" t="s">
        <v>717</v>
      </c>
      <c r="H527" s="66" t="s">
        <v>1258</v>
      </c>
      <c r="I527" s="39">
        <v>11.846250000000001</v>
      </c>
      <c r="J527" s="40"/>
      <c r="K527" s="75">
        <f t="shared" si="52"/>
        <v>0</v>
      </c>
      <c r="L527" s="41"/>
      <c r="N527" s="45" t="str">
        <f t="shared" si="48"/>
        <v>-</v>
      </c>
      <c r="O527" s="42" t="str">
        <f t="shared" si="53"/>
        <v>-</v>
      </c>
      <c r="P527" s="43" t="str">
        <f t="shared" si="49"/>
        <v>-</v>
      </c>
      <c r="Q527" s="46" t="str">
        <f t="shared" si="50"/>
        <v>-</v>
      </c>
      <c r="S527" s="46" t="str">
        <f t="shared" si="51"/>
        <v>-</v>
      </c>
    </row>
    <row r="528" spans="1:19" ht="15" x14ac:dyDescent="0.3">
      <c r="A528" s="74">
        <v>1235262</v>
      </c>
      <c r="B528" s="37">
        <v>10934</v>
      </c>
      <c r="C528" s="69">
        <v>76280109344</v>
      </c>
      <c r="D528" s="38" t="s">
        <v>159</v>
      </c>
      <c r="E528" s="64">
        <v>6.6927499599999996E-2</v>
      </c>
      <c r="F528" s="70">
        <v>6</v>
      </c>
      <c r="G528" s="38" t="s">
        <v>160</v>
      </c>
      <c r="H528" s="66" t="s">
        <v>1258</v>
      </c>
      <c r="I528" s="39">
        <v>15.161249999999999</v>
      </c>
      <c r="J528" s="40"/>
      <c r="K528" s="75">
        <f t="shared" si="52"/>
        <v>0</v>
      </c>
      <c r="L528" s="41"/>
      <c r="N528" s="45" t="str">
        <f t="shared" si="48"/>
        <v>-</v>
      </c>
      <c r="O528" s="42" t="str">
        <f t="shared" si="53"/>
        <v>-</v>
      </c>
      <c r="P528" s="43" t="str">
        <f t="shared" si="49"/>
        <v>-</v>
      </c>
      <c r="Q528" s="46" t="str">
        <f t="shared" si="50"/>
        <v>-</v>
      </c>
      <c r="S528" s="46" t="str">
        <f t="shared" si="51"/>
        <v>-</v>
      </c>
    </row>
    <row r="529" spans="1:19" ht="15" x14ac:dyDescent="0.3">
      <c r="A529" s="74">
        <v>7711705</v>
      </c>
      <c r="B529" s="37">
        <v>46936</v>
      </c>
      <c r="C529" s="69">
        <v>76280469363</v>
      </c>
      <c r="D529" s="38" t="s">
        <v>720</v>
      </c>
      <c r="E529" s="64">
        <v>7.6952999999999994E-2</v>
      </c>
      <c r="F529" s="70">
        <v>6</v>
      </c>
      <c r="G529" s="38" t="s">
        <v>34</v>
      </c>
      <c r="H529" s="66" t="s">
        <v>1258</v>
      </c>
      <c r="I529" s="39">
        <v>21.645</v>
      </c>
      <c r="J529" s="40"/>
      <c r="K529" s="75">
        <f t="shared" si="52"/>
        <v>0</v>
      </c>
      <c r="L529" s="41"/>
      <c r="N529" s="45" t="str">
        <f t="shared" si="48"/>
        <v>-</v>
      </c>
      <c r="O529" s="42" t="str">
        <f t="shared" si="53"/>
        <v>-</v>
      </c>
      <c r="P529" s="43" t="str">
        <f t="shared" si="49"/>
        <v>-</v>
      </c>
      <c r="Q529" s="46" t="str">
        <f t="shared" si="50"/>
        <v>-</v>
      </c>
      <c r="S529" s="46" t="str">
        <f t="shared" si="51"/>
        <v>-</v>
      </c>
    </row>
    <row r="530" spans="1:19" ht="15" x14ac:dyDescent="0.3">
      <c r="A530" s="74">
        <v>1380304</v>
      </c>
      <c r="B530" s="37">
        <v>14260</v>
      </c>
      <c r="C530" s="69">
        <v>76280142600</v>
      </c>
      <c r="D530" s="38" t="s">
        <v>721</v>
      </c>
      <c r="E530" s="64">
        <v>5.6750000000000002E-2</v>
      </c>
      <c r="F530" s="70">
        <v>6</v>
      </c>
      <c r="G530" s="38" t="s">
        <v>722</v>
      </c>
      <c r="H530" s="66" t="s">
        <v>1258</v>
      </c>
      <c r="I530" s="39">
        <v>6.0449999999999999</v>
      </c>
      <c r="J530" s="40"/>
      <c r="K530" s="75">
        <f t="shared" si="52"/>
        <v>0</v>
      </c>
      <c r="L530" s="41"/>
      <c r="N530" s="45" t="str">
        <f t="shared" si="48"/>
        <v>-</v>
      </c>
      <c r="O530" s="42" t="str">
        <f t="shared" si="53"/>
        <v>-</v>
      </c>
      <c r="P530" s="43" t="str">
        <f t="shared" si="49"/>
        <v>-</v>
      </c>
      <c r="Q530" s="46" t="str">
        <f t="shared" si="50"/>
        <v>-</v>
      </c>
      <c r="S530" s="46" t="str">
        <f t="shared" si="51"/>
        <v>-</v>
      </c>
    </row>
    <row r="531" spans="1:19" ht="15" x14ac:dyDescent="0.3">
      <c r="A531" s="74">
        <v>8595813</v>
      </c>
      <c r="B531" s="37">
        <v>38169</v>
      </c>
      <c r="C531" s="69">
        <v>76280381696</v>
      </c>
      <c r="D531" s="38" t="s">
        <v>724</v>
      </c>
      <c r="E531" s="64">
        <v>6.1779230399999996E-2</v>
      </c>
      <c r="F531" s="70">
        <v>6</v>
      </c>
      <c r="G531" s="38" t="s">
        <v>332</v>
      </c>
      <c r="H531" s="66" t="s">
        <v>1258</v>
      </c>
      <c r="I531" s="39">
        <v>20.962499999999999</v>
      </c>
      <c r="J531" s="40"/>
      <c r="K531" s="75">
        <f t="shared" si="52"/>
        <v>0</v>
      </c>
      <c r="L531" s="41"/>
      <c r="N531" s="45" t="str">
        <f t="shared" si="48"/>
        <v>-</v>
      </c>
      <c r="O531" s="42" t="str">
        <f t="shared" si="53"/>
        <v>-</v>
      </c>
      <c r="P531" s="43" t="str">
        <f t="shared" si="49"/>
        <v>-</v>
      </c>
      <c r="Q531" s="46" t="str">
        <f t="shared" si="50"/>
        <v>-</v>
      </c>
      <c r="S531" s="46" t="str">
        <f t="shared" si="51"/>
        <v>-</v>
      </c>
    </row>
    <row r="532" spans="1:19" ht="15" x14ac:dyDescent="0.3">
      <c r="A532" s="74">
        <v>5924579</v>
      </c>
      <c r="B532" s="37">
        <v>36044</v>
      </c>
      <c r="C532" s="69">
        <v>76280360448</v>
      </c>
      <c r="D532" s="38" t="s">
        <v>731</v>
      </c>
      <c r="E532" s="64">
        <v>8.0357999999999999E-2</v>
      </c>
      <c r="F532" s="70">
        <v>6</v>
      </c>
      <c r="G532" s="38" t="s">
        <v>34</v>
      </c>
      <c r="H532" s="66" t="s">
        <v>1258</v>
      </c>
      <c r="I532" s="39">
        <v>12.870000000000001</v>
      </c>
      <c r="J532" s="40"/>
      <c r="K532" s="75">
        <f t="shared" si="52"/>
        <v>0</v>
      </c>
      <c r="L532" s="41"/>
      <c r="N532" s="45" t="str">
        <f t="shared" si="48"/>
        <v>-</v>
      </c>
      <c r="O532" s="42" t="str">
        <f t="shared" si="53"/>
        <v>-</v>
      </c>
      <c r="P532" s="43" t="str">
        <f t="shared" si="49"/>
        <v>-</v>
      </c>
      <c r="Q532" s="46" t="str">
        <f t="shared" si="50"/>
        <v>-</v>
      </c>
      <c r="S532" s="46" t="str">
        <f t="shared" si="51"/>
        <v>-</v>
      </c>
    </row>
    <row r="533" spans="1:19" ht="15" x14ac:dyDescent="0.3">
      <c r="A533" s="74">
        <v>3030858</v>
      </c>
      <c r="B533" s="37">
        <v>8364</v>
      </c>
      <c r="C533" s="69">
        <v>76280083644</v>
      </c>
      <c r="D533" s="38" t="s">
        <v>736</v>
      </c>
      <c r="E533" s="64">
        <v>8.7520576400000008E-2</v>
      </c>
      <c r="F533" s="70">
        <v>12</v>
      </c>
      <c r="G533" s="38" t="s">
        <v>34</v>
      </c>
      <c r="H533" s="66" t="s">
        <v>1258</v>
      </c>
      <c r="I533" s="39">
        <v>9.75</v>
      </c>
      <c r="J533" s="40"/>
      <c r="K533" s="75">
        <f t="shared" si="52"/>
        <v>0</v>
      </c>
      <c r="L533" s="41"/>
      <c r="N533" s="45" t="str">
        <f t="shared" si="48"/>
        <v>-</v>
      </c>
      <c r="O533" s="42" t="str">
        <f t="shared" si="53"/>
        <v>-</v>
      </c>
      <c r="P533" s="43" t="str">
        <f t="shared" si="49"/>
        <v>-</v>
      </c>
      <c r="Q533" s="46" t="str">
        <f t="shared" si="50"/>
        <v>-</v>
      </c>
      <c r="S533" s="46" t="str">
        <f t="shared" si="51"/>
        <v>-</v>
      </c>
    </row>
    <row r="534" spans="1:19" ht="15" x14ac:dyDescent="0.3">
      <c r="A534" s="74">
        <v>5292986</v>
      </c>
      <c r="B534" s="37">
        <v>86213</v>
      </c>
      <c r="C534" s="69">
        <v>76280862133</v>
      </c>
      <c r="D534" s="38" t="s">
        <v>738</v>
      </c>
      <c r="E534" s="64">
        <v>6.1779230399999996E-2</v>
      </c>
      <c r="F534" s="70">
        <v>6</v>
      </c>
      <c r="G534" s="38" t="s">
        <v>135</v>
      </c>
      <c r="H534" s="66" t="s">
        <v>1258</v>
      </c>
      <c r="I534" s="39">
        <v>12.1875</v>
      </c>
      <c r="J534" s="40"/>
      <c r="K534" s="75">
        <f t="shared" si="52"/>
        <v>0</v>
      </c>
      <c r="L534" s="41"/>
      <c r="N534" s="45" t="str">
        <f t="shared" si="48"/>
        <v>-</v>
      </c>
      <c r="O534" s="42" t="str">
        <f t="shared" si="53"/>
        <v>-</v>
      </c>
      <c r="P534" s="43" t="str">
        <f t="shared" si="49"/>
        <v>-</v>
      </c>
      <c r="Q534" s="46" t="str">
        <f t="shared" si="50"/>
        <v>-</v>
      </c>
      <c r="S534" s="46" t="str">
        <f t="shared" si="51"/>
        <v>-</v>
      </c>
    </row>
    <row r="535" spans="1:19" ht="15" x14ac:dyDescent="0.3">
      <c r="A535" s="74">
        <v>6678550</v>
      </c>
      <c r="B535" s="37">
        <v>4180</v>
      </c>
      <c r="C535" s="69">
        <v>76280041804</v>
      </c>
      <c r="D535" s="38" t="s">
        <v>740</v>
      </c>
      <c r="E535" s="64">
        <v>5.6750000000000002E-2</v>
      </c>
      <c r="F535" s="70">
        <v>12</v>
      </c>
      <c r="G535" s="38" t="s">
        <v>741</v>
      </c>
      <c r="H535" s="66" t="s">
        <v>1258</v>
      </c>
      <c r="I535" s="39">
        <v>8.9699999999999989</v>
      </c>
      <c r="J535" s="40"/>
      <c r="K535" s="75">
        <f t="shared" si="52"/>
        <v>0</v>
      </c>
      <c r="L535" s="41"/>
      <c r="N535" s="45" t="str">
        <f t="shared" si="48"/>
        <v>-</v>
      </c>
      <c r="O535" s="42" t="str">
        <f t="shared" si="53"/>
        <v>-</v>
      </c>
      <c r="P535" s="43" t="str">
        <f t="shared" si="49"/>
        <v>-</v>
      </c>
      <c r="Q535" s="46" t="str">
        <f t="shared" si="50"/>
        <v>-</v>
      </c>
      <c r="S535" s="46" t="str">
        <f t="shared" si="51"/>
        <v>-</v>
      </c>
    </row>
    <row r="536" spans="1:19" ht="15" x14ac:dyDescent="0.3">
      <c r="A536" s="74">
        <v>3180937</v>
      </c>
      <c r="B536" s="37">
        <v>8130</v>
      </c>
      <c r="C536" s="69">
        <v>76280081305</v>
      </c>
      <c r="D536" s="38" t="s">
        <v>742</v>
      </c>
      <c r="E536" s="64">
        <v>9.7817114799999993E-2</v>
      </c>
      <c r="F536" s="70">
        <v>12</v>
      </c>
      <c r="G536" s="38" t="s">
        <v>743</v>
      </c>
      <c r="H536" s="66" t="s">
        <v>1258</v>
      </c>
      <c r="I536" s="39">
        <v>7.8974999999999991</v>
      </c>
      <c r="J536" s="40"/>
      <c r="K536" s="75">
        <f t="shared" si="52"/>
        <v>0</v>
      </c>
      <c r="L536" s="41"/>
      <c r="N536" s="45" t="str">
        <f t="shared" si="48"/>
        <v>-</v>
      </c>
      <c r="O536" s="42" t="str">
        <f t="shared" si="53"/>
        <v>-</v>
      </c>
      <c r="P536" s="43" t="str">
        <f t="shared" si="49"/>
        <v>-</v>
      </c>
      <c r="Q536" s="46" t="str">
        <f t="shared" si="50"/>
        <v>-</v>
      </c>
      <c r="S536" s="46" t="str">
        <f t="shared" si="51"/>
        <v>-</v>
      </c>
    </row>
    <row r="537" spans="1:19" ht="15" x14ac:dyDescent="0.3">
      <c r="A537" s="74">
        <v>7522156</v>
      </c>
      <c r="B537" s="37">
        <v>55962</v>
      </c>
      <c r="C537" s="69">
        <v>76280559620</v>
      </c>
      <c r="D537" s="38" t="s">
        <v>748</v>
      </c>
      <c r="E537" s="64">
        <v>0.10811365319999999</v>
      </c>
      <c r="F537" s="70">
        <v>12</v>
      </c>
      <c r="G537" s="38" t="s">
        <v>98</v>
      </c>
      <c r="H537" s="66" t="s">
        <v>1258</v>
      </c>
      <c r="I537" s="39">
        <v>6.5325000000000006</v>
      </c>
      <c r="J537" s="40"/>
      <c r="K537" s="75">
        <f t="shared" si="52"/>
        <v>0</v>
      </c>
      <c r="L537" s="41"/>
      <c r="N537" s="45" t="str">
        <f t="shared" si="48"/>
        <v>-</v>
      </c>
      <c r="O537" s="42" t="str">
        <f t="shared" si="53"/>
        <v>-</v>
      </c>
      <c r="P537" s="43" t="str">
        <f t="shared" si="49"/>
        <v>-</v>
      </c>
      <c r="Q537" s="46" t="str">
        <f t="shared" si="50"/>
        <v>-</v>
      </c>
      <c r="S537" s="46" t="str">
        <f t="shared" si="51"/>
        <v>-</v>
      </c>
    </row>
    <row r="538" spans="1:19" ht="15" x14ac:dyDescent="0.3">
      <c r="A538" s="74">
        <v>8330194</v>
      </c>
      <c r="B538" s="37">
        <v>61074</v>
      </c>
      <c r="C538" s="69">
        <v>76280610741</v>
      </c>
      <c r="D538" s="38" t="s">
        <v>748</v>
      </c>
      <c r="E538" s="64">
        <v>0.20078249880000001</v>
      </c>
      <c r="F538" s="70">
        <v>6</v>
      </c>
      <c r="G538" s="38" t="s">
        <v>417</v>
      </c>
      <c r="H538" s="66" t="s">
        <v>1258</v>
      </c>
      <c r="I538" s="39">
        <v>12.236250000000002</v>
      </c>
      <c r="J538" s="40"/>
      <c r="K538" s="75">
        <f t="shared" si="52"/>
        <v>0</v>
      </c>
      <c r="L538" s="41"/>
      <c r="N538" s="45" t="str">
        <f t="shared" si="48"/>
        <v>-</v>
      </c>
      <c r="O538" s="42" t="str">
        <f t="shared" si="53"/>
        <v>-</v>
      </c>
      <c r="P538" s="43" t="str">
        <f t="shared" si="49"/>
        <v>-</v>
      </c>
      <c r="Q538" s="46" t="str">
        <f t="shared" si="50"/>
        <v>-</v>
      </c>
      <c r="S538" s="46" t="str">
        <f t="shared" si="51"/>
        <v>-</v>
      </c>
    </row>
    <row r="539" spans="1:19" ht="15" x14ac:dyDescent="0.3">
      <c r="A539" s="74">
        <v>7269884</v>
      </c>
      <c r="B539" s="37">
        <v>16626</v>
      </c>
      <c r="C539" s="69">
        <v>76280166262</v>
      </c>
      <c r="D539" s="38" t="s">
        <v>748</v>
      </c>
      <c r="E539" s="64">
        <v>0.29859961359999998</v>
      </c>
      <c r="F539" s="70">
        <v>6</v>
      </c>
      <c r="G539" s="38" t="s">
        <v>749</v>
      </c>
      <c r="H539" s="66" t="s">
        <v>1258</v>
      </c>
      <c r="I539" s="39">
        <v>16.623750000000001</v>
      </c>
      <c r="J539" s="40"/>
      <c r="K539" s="75">
        <f t="shared" si="52"/>
        <v>0</v>
      </c>
      <c r="L539" s="41"/>
      <c r="N539" s="45" t="str">
        <f t="shared" si="48"/>
        <v>-</v>
      </c>
      <c r="O539" s="42" t="str">
        <f t="shared" si="53"/>
        <v>-</v>
      </c>
      <c r="P539" s="43" t="str">
        <f t="shared" si="49"/>
        <v>-</v>
      </c>
      <c r="Q539" s="46" t="str">
        <f t="shared" si="50"/>
        <v>-</v>
      </c>
      <c r="S539" s="46" t="str">
        <f t="shared" si="51"/>
        <v>-</v>
      </c>
    </row>
    <row r="540" spans="1:19" ht="15" x14ac:dyDescent="0.3">
      <c r="A540" s="74">
        <v>3382926</v>
      </c>
      <c r="B540" s="37">
        <v>120</v>
      </c>
      <c r="C540" s="69">
        <v>76280001204</v>
      </c>
      <c r="D540" s="38" t="s">
        <v>752</v>
      </c>
      <c r="E540" s="64">
        <v>9.2668845599999994E-2</v>
      </c>
      <c r="F540" s="70">
        <v>6</v>
      </c>
      <c r="G540" s="38" t="s">
        <v>167</v>
      </c>
      <c r="H540" s="66" t="s">
        <v>1258</v>
      </c>
      <c r="I540" s="39">
        <v>7.3125</v>
      </c>
      <c r="J540" s="40"/>
      <c r="K540" s="75">
        <f t="shared" si="52"/>
        <v>0</v>
      </c>
      <c r="L540" s="41"/>
      <c r="N540" s="45" t="str">
        <f t="shared" si="48"/>
        <v>-</v>
      </c>
      <c r="O540" s="42" t="str">
        <f t="shared" si="53"/>
        <v>-</v>
      </c>
      <c r="P540" s="43" t="str">
        <f t="shared" si="49"/>
        <v>-</v>
      </c>
      <c r="Q540" s="46" t="str">
        <f t="shared" si="50"/>
        <v>-</v>
      </c>
      <c r="S540" s="46" t="str">
        <f t="shared" si="51"/>
        <v>-</v>
      </c>
    </row>
    <row r="541" spans="1:19" ht="15" x14ac:dyDescent="0.3">
      <c r="A541" s="74">
        <v>6087343</v>
      </c>
      <c r="B541" s="37">
        <v>4352</v>
      </c>
      <c r="C541" s="69">
        <v>76280043525</v>
      </c>
      <c r="D541" s="38" t="s">
        <v>753</v>
      </c>
      <c r="E541" s="64">
        <v>9.2668845599999994E-2</v>
      </c>
      <c r="F541" s="70">
        <v>12</v>
      </c>
      <c r="G541" s="38" t="s">
        <v>754</v>
      </c>
      <c r="H541" s="66" t="s">
        <v>1258</v>
      </c>
      <c r="I541" s="39">
        <v>5.5575000000000001</v>
      </c>
      <c r="J541" s="40"/>
      <c r="K541" s="75">
        <f t="shared" si="52"/>
        <v>0</v>
      </c>
      <c r="L541" s="41"/>
      <c r="N541" s="45" t="str">
        <f t="shared" si="48"/>
        <v>-</v>
      </c>
      <c r="O541" s="42" t="str">
        <f t="shared" si="53"/>
        <v>-</v>
      </c>
      <c r="P541" s="43" t="str">
        <f t="shared" si="49"/>
        <v>-</v>
      </c>
      <c r="Q541" s="46" t="str">
        <f t="shared" si="50"/>
        <v>-</v>
      </c>
      <c r="S541" s="46" t="str">
        <f t="shared" si="51"/>
        <v>-</v>
      </c>
    </row>
    <row r="542" spans="1:19" ht="15" x14ac:dyDescent="0.3">
      <c r="A542" s="74">
        <v>1894966</v>
      </c>
      <c r="B542" s="37">
        <v>84652</v>
      </c>
      <c r="C542" s="69">
        <v>76280846522</v>
      </c>
      <c r="D542" s="38" t="s">
        <v>755</v>
      </c>
      <c r="E542" s="64">
        <v>5.6750000000000002E-2</v>
      </c>
      <c r="F542" s="70">
        <v>6</v>
      </c>
      <c r="G542" s="38" t="s">
        <v>756</v>
      </c>
      <c r="H542" s="66" t="s">
        <v>1258</v>
      </c>
      <c r="I542" s="39">
        <v>25.252500000000001</v>
      </c>
      <c r="J542" s="40"/>
      <c r="K542" s="75">
        <f t="shared" si="52"/>
        <v>0</v>
      </c>
      <c r="L542" s="41"/>
      <c r="N542" s="45" t="str">
        <f t="shared" si="48"/>
        <v>-</v>
      </c>
      <c r="O542" s="42" t="str">
        <f t="shared" si="53"/>
        <v>-</v>
      </c>
      <c r="P542" s="43" t="str">
        <f t="shared" si="49"/>
        <v>-</v>
      </c>
      <c r="Q542" s="46" t="str">
        <f t="shared" si="50"/>
        <v>-</v>
      </c>
      <c r="S542" s="46" t="str">
        <f t="shared" si="51"/>
        <v>-</v>
      </c>
    </row>
    <row r="543" spans="1:19" ht="15" x14ac:dyDescent="0.3">
      <c r="A543" s="74">
        <v>9908011</v>
      </c>
      <c r="B543" s="37">
        <v>84696</v>
      </c>
      <c r="C543" s="69">
        <v>76280846966</v>
      </c>
      <c r="D543" s="38" t="s">
        <v>757</v>
      </c>
      <c r="E543" s="64">
        <v>7.2075768800000009E-2</v>
      </c>
      <c r="F543" s="70">
        <v>6</v>
      </c>
      <c r="G543" s="38" t="s">
        <v>758</v>
      </c>
      <c r="H543" s="66" t="s">
        <v>1258</v>
      </c>
      <c r="I543" s="39">
        <v>15.55125</v>
      </c>
      <c r="J543" s="40"/>
      <c r="K543" s="75">
        <f t="shared" si="52"/>
        <v>0</v>
      </c>
      <c r="L543" s="41"/>
      <c r="N543" s="45" t="str">
        <f t="shared" si="48"/>
        <v>-</v>
      </c>
      <c r="O543" s="42" t="str">
        <f t="shared" si="53"/>
        <v>-</v>
      </c>
      <c r="P543" s="43" t="str">
        <f t="shared" si="49"/>
        <v>-</v>
      </c>
      <c r="Q543" s="46" t="str">
        <f t="shared" si="50"/>
        <v>-</v>
      </c>
      <c r="S543" s="46" t="str">
        <f t="shared" si="51"/>
        <v>-</v>
      </c>
    </row>
    <row r="544" spans="1:19" ht="15" x14ac:dyDescent="0.3">
      <c r="A544" s="74">
        <v>4435124</v>
      </c>
      <c r="B544" s="37">
        <v>3782</v>
      </c>
      <c r="C544" s="69">
        <v>76280037821</v>
      </c>
      <c r="D544" s="38" t="s">
        <v>762</v>
      </c>
      <c r="E544" s="64">
        <v>6.6927499599999996E-2</v>
      </c>
      <c r="F544" s="70">
        <v>6</v>
      </c>
      <c r="G544" s="38" t="s">
        <v>763</v>
      </c>
      <c r="H544" s="66" t="s">
        <v>1258</v>
      </c>
      <c r="I544" s="39">
        <v>12.285</v>
      </c>
      <c r="J544" s="40"/>
      <c r="K544" s="75">
        <f t="shared" si="52"/>
        <v>0</v>
      </c>
      <c r="L544" s="41"/>
      <c r="N544" s="45" t="str">
        <f t="shared" si="48"/>
        <v>-</v>
      </c>
      <c r="O544" s="42" t="str">
        <f t="shared" si="53"/>
        <v>-</v>
      </c>
      <c r="P544" s="43" t="str">
        <f t="shared" si="49"/>
        <v>-</v>
      </c>
      <c r="Q544" s="46" t="str">
        <f t="shared" si="50"/>
        <v>-</v>
      </c>
      <c r="S544" s="46" t="str">
        <f t="shared" si="51"/>
        <v>-</v>
      </c>
    </row>
    <row r="545" spans="1:19" ht="15" x14ac:dyDescent="0.3">
      <c r="A545" s="74">
        <v>4052896</v>
      </c>
      <c r="B545" s="37">
        <v>68520</v>
      </c>
      <c r="C545" s="69">
        <v>76280685206</v>
      </c>
      <c r="D545" s="38" t="s">
        <v>765</v>
      </c>
      <c r="E545" s="64">
        <v>5.6750000000000002E-2</v>
      </c>
      <c r="F545" s="70">
        <v>12</v>
      </c>
      <c r="G545" s="38" t="s">
        <v>96</v>
      </c>
      <c r="H545" s="66" t="s">
        <v>1258</v>
      </c>
      <c r="I545" s="39">
        <v>14.47875</v>
      </c>
      <c r="J545" s="40"/>
      <c r="K545" s="75">
        <f t="shared" si="52"/>
        <v>0</v>
      </c>
      <c r="L545" s="41"/>
      <c r="N545" s="45" t="str">
        <f t="shared" si="48"/>
        <v>-</v>
      </c>
      <c r="O545" s="42" t="str">
        <f t="shared" si="53"/>
        <v>-</v>
      </c>
      <c r="P545" s="43" t="str">
        <f t="shared" si="49"/>
        <v>-</v>
      </c>
      <c r="Q545" s="46" t="str">
        <f t="shared" si="50"/>
        <v>-</v>
      </c>
      <c r="S545" s="46" t="str">
        <f t="shared" si="51"/>
        <v>-</v>
      </c>
    </row>
    <row r="546" spans="1:19" ht="15" x14ac:dyDescent="0.3">
      <c r="A546" s="74">
        <v>2733031</v>
      </c>
      <c r="B546" s="37">
        <v>1600</v>
      </c>
      <c r="C546" s="69">
        <v>76280016000</v>
      </c>
      <c r="D546" s="38" t="s">
        <v>766</v>
      </c>
      <c r="E546" s="64">
        <v>9.2668845599999994E-2</v>
      </c>
      <c r="F546" s="70">
        <v>6</v>
      </c>
      <c r="G546" s="38" t="s">
        <v>767</v>
      </c>
      <c r="H546" s="66" t="s">
        <v>1258</v>
      </c>
      <c r="I546" s="39">
        <v>8.3849999999999998</v>
      </c>
      <c r="J546" s="40"/>
      <c r="K546" s="75">
        <f t="shared" si="52"/>
        <v>0</v>
      </c>
      <c r="L546" s="41"/>
      <c r="N546" s="45" t="str">
        <f t="shared" si="48"/>
        <v>-</v>
      </c>
      <c r="O546" s="42" t="str">
        <f t="shared" si="53"/>
        <v>-</v>
      </c>
      <c r="P546" s="43" t="str">
        <f t="shared" si="49"/>
        <v>-</v>
      </c>
      <c r="Q546" s="46" t="str">
        <f t="shared" si="50"/>
        <v>-</v>
      </c>
      <c r="S546" s="46" t="str">
        <f t="shared" si="51"/>
        <v>-</v>
      </c>
    </row>
    <row r="547" spans="1:19" ht="15" x14ac:dyDescent="0.3">
      <c r="A547" s="74">
        <v>2616892</v>
      </c>
      <c r="B547" s="37">
        <v>110</v>
      </c>
      <c r="C547" s="69">
        <v>76280001105</v>
      </c>
      <c r="D547" s="38" t="s">
        <v>768</v>
      </c>
      <c r="E547" s="64">
        <v>9.2668845599999994E-2</v>
      </c>
      <c r="F547" s="70">
        <v>6</v>
      </c>
      <c r="G547" s="38" t="s">
        <v>769</v>
      </c>
      <c r="H547" s="66" t="s">
        <v>1258</v>
      </c>
      <c r="I547" s="39">
        <v>5.2162500000000005</v>
      </c>
      <c r="J547" s="40"/>
      <c r="K547" s="75">
        <f t="shared" si="52"/>
        <v>0</v>
      </c>
      <c r="L547" s="41"/>
      <c r="N547" s="45" t="str">
        <f t="shared" si="48"/>
        <v>-</v>
      </c>
      <c r="O547" s="42" t="str">
        <f t="shared" si="53"/>
        <v>-</v>
      </c>
      <c r="P547" s="43" t="str">
        <f t="shared" si="49"/>
        <v>-</v>
      </c>
      <c r="Q547" s="46" t="str">
        <f t="shared" si="50"/>
        <v>-</v>
      </c>
      <c r="S547" s="46" t="str">
        <f t="shared" si="51"/>
        <v>-</v>
      </c>
    </row>
    <row r="548" spans="1:19" ht="15" x14ac:dyDescent="0.3">
      <c r="A548" s="74">
        <v>5596970</v>
      </c>
      <c r="B548" s="37">
        <v>83215</v>
      </c>
      <c r="C548" s="69">
        <v>76280832150</v>
      </c>
      <c r="D548" s="38" t="s">
        <v>772</v>
      </c>
      <c r="E548" s="64">
        <v>5.6750000000000002E-2</v>
      </c>
      <c r="F548" s="70">
        <v>12</v>
      </c>
      <c r="G548" s="38" t="s">
        <v>278</v>
      </c>
      <c r="H548" s="66" t="s">
        <v>1258</v>
      </c>
      <c r="I548" s="39">
        <v>11.456250000000001</v>
      </c>
      <c r="J548" s="40"/>
      <c r="K548" s="75">
        <f t="shared" si="52"/>
        <v>0</v>
      </c>
      <c r="L548" s="41"/>
      <c r="N548" s="45" t="str">
        <f t="shared" si="48"/>
        <v>-</v>
      </c>
      <c r="O548" s="42" t="str">
        <f t="shared" si="53"/>
        <v>-</v>
      </c>
      <c r="P548" s="43" t="str">
        <f t="shared" si="49"/>
        <v>-</v>
      </c>
      <c r="Q548" s="46" t="str">
        <f t="shared" si="50"/>
        <v>-</v>
      </c>
      <c r="S548" s="46" t="str">
        <f t="shared" si="51"/>
        <v>-</v>
      </c>
    </row>
    <row r="549" spans="1:19" ht="15" x14ac:dyDescent="0.3">
      <c r="A549" s="74">
        <v>3011338</v>
      </c>
      <c r="B549" s="37">
        <v>4843</v>
      </c>
      <c r="C549" s="69">
        <v>76280048438</v>
      </c>
      <c r="D549" s="38" t="s">
        <v>776</v>
      </c>
      <c r="E549" s="64">
        <v>7.2075768800000009E-2</v>
      </c>
      <c r="F549" s="70">
        <v>12</v>
      </c>
      <c r="G549" s="38" t="s">
        <v>98</v>
      </c>
      <c r="H549" s="66" t="s">
        <v>1258</v>
      </c>
      <c r="I549" s="39">
        <v>13.649999999999999</v>
      </c>
      <c r="J549" s="40"/>
      <c r="K549" s="75">
        <f t="shared" si="52"/>
        <v>0</v>
      </c>
      <c r="L549" s="41"/>
      <c r="N549" s="45" t="str">
        <f t="shared" si="48"/>
        <v>-</v>
      </c>
      <c r="O549" s="42" t="str">
        <f t="shared" si="53"/>
        <v>-</v>
      </c>
      <c r="P549" s="43" t="str">
        <f t="shared" si="49"/>
        <v>-</v>
      </c>
      <c r="Q549" s="46" t="str">
        <f t="shared" si="50"/>
        <v>-</v>
      </c>
      <c r="S549" s="46" t="str">
        <f t="shared" si="51"/>
        <v>-</v>
      </c>
    </row>
    <row r="550" spans="1:19" ht="15" x14ac:dyDescent="0.3">
      <c r="A550" s="74">
        <v>3636561</v>
      </c>
      <c r="B550" s="37">
        <v>64016</v>
      </c>
      <c r="C550" s="69">
        <v>76280640168</v>
      </c>
      <c r="D550" s="38" t="s">
        <v>777</v>
      </c>
      <c r="E550" s="64">
        <v>0.12870672999999999</v>
      </c>
      <c r="F550" s="70">
        <v>6</v>
      </c>
      <c r="G550" s="38" t="s">
        <v>34</v>
      </c>
      <c r="H550" s="66" t="s">
        <v>1258</v>
      </c>
      <c r="I550" s="39">
        <v>22.571249999999999</v>
      </c>
      <c r="J550" s="40"/>
      <c r="K550" s="75">
        <f t="shared" si="52"/>
        <v>0</v>
      </c>
      <c r="L550" s="41"/>
      <c r="N550" s="45" t="str">
        <f t="shared" si="48"/>
        <v>-</v>
      </c>
      <c r="O550" s="42" t="str">
        <f t="shared" si="53"/>
        <v>-</v>
      </c>
      <c r="P550" s="43" t="str">
        <f t="shared" si="49"/>
        <v>-</v>
      </c>
      <c r="Q550" s="46" t="str">
        <f t="shared" si="50"/>
        <v>-</v>
      </c>
      <c r="S550" s="46" t="str">
        <f t="shared" si="51"/>
        <v>-</v>
      </c>
    </row>
    <row r="551" spans="1:19" ht="15" x14ac:dyDescent="0.3">
      <c r="A551" s="74">
        <v>9204809</v>
      </c>
      <c r="B551" s="37">
        <v>97512</v>
      </c>
      <c r="C551" s="69">
        <v>76280975123</v>
      </c>
      <c r="D551" s="38" t="s">
        <v>782</v>
      </c>
      <c r="E551" s="64">
        <v>5.6750000000000002E-2</v>
      </c>
      <c r="F551" s="70">
        <v>12</v>
      </c>
      <c r="G551" s="38" t="s">
        <v>461</v>
      </c>
      <c r="H551" s="66" t="s">
        <v>1258</v>
      </c>
      <c r="I551" s="39">
        <v>12.577500000000001</v>
      </c>
      <c r="J551" s="40"/>
      <c r="K551" s="75">
        <f t="shared" si="52"/>
        <v>0</v>
      </c>
      <c r="L551" s="41"/>
      <c r="N551" s="45" t="str">
        <f t="shared" si="48"/>
        <v>-</v>
      </c>
      <c r="O551" s="42" t="str">
        <f t="shared" si="53"/>
        <v>-</v>
      </c>
      <c r="P551" s="43" t="str">
        <f t="shared" si="49"/>
        <v>-</v>
      </c>
      <c r="Q551" s="46" t="str">
        <f t="shared" si="50"/>
        <v>-</v>
      </c>
      <c r="S551" s="46" t="str">
        <f t="shared" si="51"/>
        <v>-</v>
      </c>
    </row>
    <row r="552" spans="1:19" ht="15" x14ac:dyDescent="0.3">
      <c r="A552" s="74">
        <v>2471880</v>
      </c>
      <c r="B552" s="37">
        <v>4291</v>
      </c>
      <c r="C552" s="69">
        <v>76280042917</v>
      </c>
      <c r="D552" s="38" t="s">
        <v>783</v>
      </c>
      <c r="E552" s="64">
        <v>0.13900326840000002</v>
      </c>
      <c r="F552" s="70">
        <v>6</v>
      </c>
      <c r="G552" s="38" t="s">
        <v>784</v>
      </c>
      <c r="H552" s="66" t="s">
        <v>1258</v>
      </c>
      <c r="I552" s="39">
        <v>13.016249999999999</v>
      </c>
      <c r="J552" s="40"/>
      <c r="K552" s="75">
        <f t="shared" si="52"/>
        <v>0</v>
      </c>
      <c r="L552" s="41"/>
      <c r="N552" s="45" t="str">
        <f t="shared" si="48"/>
        <v>-</v>
      </c>
      <c r="O552" s="42" t="str">
        <f t="shared" si="53"/>
        <v>-</v>
      </c>
      <c r="P552" s="43" t="str">
        <f t="shared" si="49"/>
        <v>-</v>
      </c>
      <c r="Q552" s="46" t="str">
        <f t="shared" si="50"/>
        <v>-</v>
      </c>
      <c r="S552" s="46" t="str">
        <f t="shared" si="51"/>
        <v>-</v>
      </c>
    </row>
    <row r="553" spans="1:19" ht="15" x14ac:dyDescent="0.3">
      <c r="A553" s="74">
        <v>1718834</v>
      </c>
      <c r="B553" s="37">
        <v>4898</v>
      </c>
      <c r="C553" s="69">
        <v>76280048988</v>
      </c>
      <c r="D553" s="38" t="s">
        <v>785</v>
      </c>
      <c r="E553" s="64">
        <v>0.13385499919999999</v>
      </c>
      <c r="F553" s="70">
        <v>6</v>
      </c>
      <c r="G553" s="38" t="s">
        <v>207</v>
      </c>
      <c r="H553" s="66" t="s">
        <v>1258</v>
      </c>
      <c r="I553" s="39">
        <v>10.188749999999999</v>
      </c>
      <c r="J553" s="40"/>
      <c r="K553" s="75">
        <f t="shared" si="52"/>
        <v>0</v>
      </c>
      <c r="L553" s="41"/>
      <c r="N553" s="45" t="str">
        <f t="shared" si="48"/>
        <v>-</v>
      </c>
      <c r="O553" s="42" t="str">
        <f t="shared" si="53"/>
        <v>-</v>
      </c>
      <c r="P553" s="43" t="str">
        <f t="shared" si="49"/>
        <v>-</v>
      </c>
      <c r="Q553" s="46" t="str">
        <f t="shared" si="50"/>
        <v>-</v>
      </c>
      <c r="S553" s="46" t="str">
        <f t="shared" si="51"/>
        <v>-</v>
      </c>
    </row>
    <row r="554" spans="1:19" ht="15" x14ac:dyDescent="0.3">
      <c r="A554" s="74">
        <v>3562069</v>
      </c>
      <c r="B554" s="37">
        <v>31624</v>
      </c>
      <c r="C554" s="69">
        <v>76280316247</v>
      </c>
      <c r="D554" s="38" t="s">
        <v>786</v>
      </c>
      <c r="E554" s="64">
        <v>8.2372307199999995E-2</v>
      </c>
      <c r="F554" s="70">
        <v>6</v>
      </c>
      <c r="G554" s="38" t="s">
        <v>576</v>
      </c>
      <c r="H554" s="66" t="s">
        <v>1258</v>
      </c>
      <c r="I554" s="39">
        <v>26.325000000000003</v>
      </c>
      <c r="J554" s="40"/>
      <c r="K554" s="75">
        <f t="shared" si="52"/>
        <v>0</v>
      </c>
      <c r="L554" s="41"/>
      <c r="N554" s="45" t="str">
        <f t="shared" si="48"/>
        <v>-</v>
      </c>
      <c r="O554" s="42" t="str">
        <f t="shared" si="53"/>
        <v>-</v>
      </c>
      <c r="P554" s="43" t="str">
        <f t="shared" si="49"/>
        <v>-</v>
      </c>
      <c r="Q554" s="46" t="str">
        <f t="shared" si="50"/>
        <v>-</v>
      </c>
      <c r="S554" s="46" t="str">
        <f t="shared" si="51"/>
        <v>-</v>
      </c>
    </row>
    <row r="555" spans="1:19" ht="15" x14ac:dyDescent="0.3">
      <c r="A555" s="74">
        <v>3830880</v>
      </c>
      <c r="B555" s="37">
        <v>4991</v>
      </c>
      <c r="C555" s="69">
        <v>76280049916</v>
      </c>
      <c r="D555" s="38" t="s">
        <v>789</v>
      </c>
      <c r="E555" s="64">
        <v>0.10296538400000001</v>
      </c>
      <c r="F555" s="70">
        <v>12</v>
      </c>
      <c r="G555" s="38" t="s">
        <v>207</v>
      </c>
      <c r="H555" s="66" t="s">
        <v>1258</v>
      </c>
      <c r="I555" s="39">
        <v>11.943750000000001</v>
      </c>
      <c r="J555" s="40"/>
      <c r="K555" s="75">
        <f t="shared" si="52"/>
        <v>0</v>
      </c>
      <c r="L555" s="41"/>
      <c r="N555" s="45" t="str">
        <f t="shared" si="48"/>
        <v>-</v>
      </c>
      <c r="O555" s="42" t="str">
        <f t="shared" si="53"/>
        <v>-</v>
      </c>
      <c r="P555" s="43" t="str">
        <f t="shared" si="49"/>
        <v>-</v>
      </c>
      <c r="Q555" s="46" t="str">
        <f t="shared" si="50"/>
        <v>-</v>
      </c>
      <c r="S555" s="46" t="str">
        <f t="shared" si="51"/>
        <v>-</v>
      </c>
    </row>
    <row r="556" spans="1:19" ht="15" x14ac:dyDescent="0.3">
      <c r="A556" s="74">
        <v>8174614</v>
      </c>
      <c r="B556" s="37">
        <v>4903</v>
      </c>
      <c r="C556" s="69">
        <v>76280049039</v>
      </c>
      <c r="D556" s="38" t="s">
        <v>790</v>
      </c>
      <c r="E556" s="64">
        <v>6.1779230399999996E-2</v>
      </c>
      <c r="F556" s="70">
        <v>12</v>
      </c>
      <c r="G556" s="38" t="s">
        <v>338</v>
      </c>
      <c r="H556" s="66" t="s">
        <v>1258</v>
      </c>
      <c r="I556" s="39">
        <v>11.26125</v>
      </c>
      <c r="J556" s="40"/>
      <c r="K556" s="75">
        <f t="shared" si="52"/>
        <v>0</v>
      </c>
      <c r="L556" s="41"/>
      <c r="N556" s="45" t="str">
        <f t="shared" si="48"/>
        <v>-</v>
      </c>
      <c r="O556" s="42" t="str">
        <f t="shared" si="53"/>
        <v>-</v>
      </c>
      <c r="P556" s="43" t="str">
        <f t="shared" si="49"/>
        <v>-</v>
      </c>
      <c r="Q556" s="46" t="str">
        <f t="shared" si="50"/>
        <v>-</v>
      </c>
      <c r="S556" s="46" t="str">
        <f t="shared" si="51"/>
        <v>-</v>
      </c>
    </row>
    <row r="557" spans="1:19" ht="15" x14ac:dyDescent="0.3">
      <c r="A557" s="74">
        <v>4157627</v>
      </c>
      <c r="B557" s="37">
        <v>11107</v>
      </c>
      <c r="C557" s="69">
        <v>76280111071</v>
      </c>
      <c r="D557" s="38" t="s">
        <v>791</v>
      </c>
      <c r="E557" s="64">
        <v>7.2075768800000009E-2</v>
      </c>
      <c r="F557" s="70">
        <v>6</v>
      </c>
      <c r="G557" s="38" t="s">
        <v>98</v>
      </c>
      <c r="H557" s="66" t="s">
        <v>1258</v>
      </c>
      <c r="I557" s="39">
        <v>17.745000000000001</v>
      </c>
      <c r="J557" s="40"/>
      <c r="K557" s="75">
        <f t="shared" si="52"/>
        <v>0</v>
      </c>
      <c r="L557" s="41"/>
      <c r="N557" s="45" t="str">
        <f t="shared" si="48"/>
        <v>-</v>
      </c>
      <c r="O557" s="42" t="str">
        <f t="shared" si="53"/>
        <v>-</v>
      </c>
      <c r="P557" s="43" t="str">
        <f t="shared" si="49"/>
        <v>-</v>
      </c>
      <c r="Q557" s="46" t="str">
        <f t="shared" si="50"/>
        <v>-</v>
      </c>
      <c r="S557" s="46" t="str">
        <f t="shared" si="51"/>
        <v>-</v>
      </c>
    </row>
    <row r="558" spans="1:19" ht="15" x14ac:dyDescent="0.3">
      <c r="A558" s="74">
        <v>7908191</v>
      </c>
      <c r="B558" s="37">
        <v>1555</v>
      </c>
      <c r="C558" s="69">
        <v>76280015553</v>
      </c>
      <c r="D558" s="38" t="s">
        <v>794</v>
      </c>
      <c r="E558" s="64">
        <v>0.10296538400000001</v>
      </c>
      <c r="F558" s="70">
        <v>6</v>
      </c>
      <c r="G558" s="38" t="s">
        <v>565</v>
      </c>
      <c r="H558" s="66" t="s">
        <v>1258</v>
      </c>
      <c r="I558" s="39">
        <v>9.0675000000000008</v>
      </c>
      <c r="J558" s="40"/>
      <c r="K558" s="75">
        <f t="shared" si="52"/>
        <v>0</v>
      </c>
      <c r="L558" s="41"/>
      <c r="N558" s="45" t="str">
        <f t="shared" si="48"/>
        <v>-</v>
      </c>
      <c r="O558" s="42" t="str">
        <f t="shared" si="53"/>
        <v>-</v>
      </c>
      <c r="P558" s="43" t="str">
        <f t="shared" si="49"/>
        <v>-</v>
      </c>
      <c r="Q558" s="46" t="str">
        <f t="shared" si="50"/>
        <v>-</v>
      </c>
      <c r="S558" s="46" t="str">
        <f t="shared" si="51"/>
        <v>-</v>
      </c>
    </row>
    <row r="559" spans="1:19" ht="15" x14ac:dyDescent="0.3">
      <c r="A559" s="74">
        <v>4270238</v>
      </c>
      <c r="B559" s="37">
        <v>3760</v>
      </c>
      <c r="C559" s="69">
        <v>76280037609</v>
      </c>
      <c r="D559" s="38" t="s">
        <v>798</v>
      </c>
      <c r="E559" s="64">
        <v>5.6750000000000002E-2</v>
      </c>
      <c r="F559" s="70">
        <v>6</v>
      </c>
      <c r="G559" s="38" t="s">
        <v>285</v>
      </c>
      <c r="H559" s="66" t="s">
        <v>1258</v>
      </c>
      <c r="I559" s="39">
        <v>15.941250000000002</v>
      </c>
      <c r="J559" s="40"/>
      <c r="K559" s="75">
        <f t="shared" si="52"/>
        <v>0</v>
      </c>
      <c r="L559" s="41"/>
      <c r="N559" s="45" t="str">
        <f t="shared" si="48"/>
        <v>-</v>
      </c>
      <c r="O559" s="42" t="str">
        <f t="shared" si="53"/>
        <v>-</v>
      </c>
      <c r="P559" s="43" t="str">
        <f t="shared" si="49"/>
        <v>-</v>
      </c>
      <c r="Q559" s="46" t="str">
        <f t="shared" si="50"/>
        <v>-</v>
      </c>
      <c r="S559" s="46" t="str">
        <f t="shared" si="51"/>
        <v>-</v>
      </c>
    </row>
    <row r="560" spans="1:19" ht="15" x14ac:dyDescent="0.3">
      <c r="A560" s="74">
        <v>2590170</v>
      </c>
      <c r="B560" s="37">
        <v>4577</v>
      </c>
      <c r="C560" s="69">
        <v>76280045772</v>
      </c>
      <c r="D560" s="38" t="s">
        <v>799</v>
      </c>
      <c r="E560" s="64">
        <v>6.1779230399999996E-2</v>
      </c>
      <c r="F560" s="70">
        <v>12</v>
      </c>
      <c r="G560" s="38" t="s">
        <v>610</v>
      </c>
      <c r="H560" s="66" t="s">
        <v>1258</v>
      </c>
      <c r="I560" s="39">
        <v>4.0950000000000006</v>
      </c>
      <c r="J560" s="40"/>
      <c r="K560" s="75">
        <f t="shared" si="52"/>
        <v>0</v>
      </c>
      <c r="L560" s="41"/>
      <c r="N560" s="45" t="str">
        <f t="shared" si="48"/>
        <v>-</v>
      </c>
      <c r="O560" s="42" t="str">
        <f t="shared" si="53"/>
        <v>-</v>
      </c>
      <c r="P560" s="43" t="str">
        <f t="shared" si="49"/>
        <v>-</v>
      </c>
      <c r="Q560" s="46" t="str">
        <f t="shared" si="50"/>
        <v>-</v>
      </c>
      <c r="S560" s="46" t="str">
        <f t="shared" si="51"/>
        <v>-</v>
      </c>
    </row>
    <row r="561" spans="1:19" ht="15" x14ac:dyDescent="0.3">
      <c r="A561" s="74">
        <v>3605292</v>
      </c>
      <c r="B561" s="37">
        <v>4212</v>
      </c>
      <c r="C561" s="69">
        <v>76280042122</v>
      </c>
      <c r="D561" s="38" t="s">
        <v>803</v>
      </c>
      <c r="E561" s="64">
        <v>6.1779230399999996E-2</v>
      </c>
      <c r="F561" s="70">
        <v>12</v>
      </c>
      <c r="G561" s="38" t="s">
        <v>102</v>
      </c>
      <c r="H561" s="66" t="s">
        <v>1258</v>
      </c>
      <c r="I561" s="39">
        <v>4.4362500000000002</v>
      </c>
      <c r="J561" s="40"/>
      <c r="K561" s="75">
        <f t="shared" si="52"/>
        <v>0</v>
      </c>
      <c r="L561" s="41"/>
      <c r="N561" s="45" t="str">
        <f t="shared" si="48"/>
        <v>-</v>
      </c>
      <c r="O561" s="42" t="str">
        <f t="shared" si="53"/>
        <v>-</v>
      </c>
      <c r="P561" s="43" t="str">
        <f t="shared" si="49"/>
        <v>-</v>
      </c>
      <c r="Q561" s="46" t="str">
        <f t="shared" si="50"/>
        <v>-</v>
      </c>
      <c r="S561" s="46" t="str">
        <f t="shared" si="51"/>
        <v>-</v>
      </c>
    </row>
    <row r="562" spans="1:19" ht="15" x14ac:dyDescent="0.3">
      <c r="A562" s="74">
        <v>5315800</v>
      </c>
      <c r="B562" s="37">
        <v>10619</v>
      </c>
      <c r="C562" s="69">
        <v>76280106190</v>
      </c>
      <c r="D562" s="38" t="s">
        <v>804</v>
      </c>
      <c r="E562" s="64">
        <v>5.6750000000000002E-2</v>
      </c>
      <c r="F562" s="70">
        <v>6</v>
      </c>
      <c r="G562" s="38" t="s">
        <v>805</v>
      </c>
      <c r="H562" s="66" t="s">
        <v>1258</v>
      </c>
      <c r="I562" s="39">
        <v>14.3325</v>
      </c>
      <c r="J562" s="40"/>
      <c r="K562" s="75">
        <f t="shared" si="52"/>
        <v>0</v>
      </c>
      <c r="L562" s="41"/>
      <c r="N562" s="45" t="str">
        <f t="shared" si="48"/>
        <v>-</v>
      </c>
      <c r="O562" s="42" t="str">
        <f t="shared" si="53"/>
        <v>-</v>
      </c>
      <c r="P562" s="43" t="str">
        <f t="shared" si="49"/>
        <v>-</v>
      </c>
      <c r="Q562" s="46" t="str">
        <f t="shared" si="50"/>
        <v>-</v>
      </c>
      <c r="S562" s="46" t="str">
        <f t="shared" si="51"/>
        <v>-</v>
      </c>
    </row>
    <row r="563" spans="1:19" ht="15" x14ac:dyDescent="0.3">
      <c r="A563" s="74">
        <v>2793625</v>
      </c>
      <c r="B563" s="37">
        <v>1365</v>
      </c>
      <c r="C563" s="69">
        <v>76280013658</v>
      </c>
      <c r="D563" s="38" t="s">
        <v>807</v>
      </c>
      <c r="E563" s="64">
        <v>0.10811365319999999</v>
      </c>
      <c r="F563" s="70">
        <v>6</v>
      </c>
      <c r="G563" s="38" t="s">
        <v>592</v>
      </c>
      <c r="H563" s="66" t="s">
        <v>1258</v>
      </c>
      <c r="I563" s="39">
        <v>5.5575000000000001</v>
      </c>
      <c r="J563" s="40"/>
      <c r="K563" s="75">
        <f t="shared" si="52"/>
        <v>0</v>
      </c>
      <c r="L563" s="41"/>
      <c r="N563" s="45" t="str">
        <f t="shared" si="48"/>
        <v>-</v>
      </c>
      <c r="O563" s="42" t="str">
        <f t="shared" si="53"/>
        <v>-</v>
      </c>
      <c r="P563" s="43" t="str">
        <f t="shared" si="49"/>
        <v>-</v>
      </c>
      <c r="Q563" s="46" t="str">
        <f t="shared" si="50"/>
        <v>-</v>
      </c>
      <c r="S563" s="46" t="str">
        <f t="shared" si="51"/>
        <v>-</v>
      </c>
    </row>
    <row r="564" spans="1:19" ht="15" x14ac:dyDescent="0.3">
      <c r="A564" s="74">
        <v>6148873</v>
      </c>
      <c r="B564" s="37">
        <v>59912</v>
      </c>
      <c r="C564" s="69">
        <v>76280599121</v>
      </c>
      <c r="D564" s="38" t="s">
        <v>808</v>
      </c>
      <c r="E564" s="64">
        <v>7.2075768800000009E-2</v>
      </c>
      <c r="F564" s="70">
        <v>12</v>
      </c>
      <c r="G564" s="38" t="s">
        <v>285</v>
      </c>
      <c r="H564" s="66" t="s">
        <v>1258</v>
      </c>
      <c r="I564" s="39">
        <v>20.28</v>
      </c>
      <c r="J564" s="40"/>
      <c r="K564" s="75">
        <f t="shared" si="52"/>
        <v>0</v>
      </c>
      <c r="L564" s="41"/>
      <c r="N564" s="45" t="str">
        <f t="shared" si="48"/>
        <v>-</v>
      </c>
      <c r="O564" s="42" t="str">
        <f t="shared" si="53"/>
        <v>-</v>
      </c>
      <c r="P564" s="43" t="str">
        <f t="shared" si="49"/>
        <v>-</v>
      </c>
      <c r="Q564" s="46" t="str">
        <f t="shared" si="50"/>
        <v>-</v>
      </c>
      <c r="S564" s="46" t="str">
        <f t="shared" si="51"/>
        <v>-</v>
      </c>
    </row>
    <row r="565" spans="1:19" ht="15" x14ac:dyDescent="0.3">
      <c r="A565" s="74">
        <v>9405329</v>
      </c>
      <c r="B565" s="37">
        <v>4534</v>
      </c>
      <c r="C565" s="69">
        <v>76280045345</v>
      </c>
      <c r="D565" s="38" t="s">
        <v>809</v>
      </c>
      <c r="E565" s="64">
        <v>0.16474461439999999</v>
      </c>
      <c r="F565" s="70">
        <v>6</v>
      </c>
      <c r="G565" s="38" t="s">
        <v>63</v>
      </c>
      <c r="H565" s="66" t="s">
        <v>1258</v>
      </c>
      <c r="I565" s="39">
        <v>6.8249999999999993</v>
      </c>
      <c r="J565" s="40"/>
      <c r="K565" s="75">
        <f t="shared" si="52"/>
        <v>0</v>
      </c>
      <c r="L565" s="41"/>
      <c r="N565" s="45" t="str">
        <f t="shared" si="48"/>
        <v>-</v>
      </c>
      <c r="O565" s="42" t="str">
        <f t="shared" si="53"/>
        <v>-</v>
      </c>
      <c r="P565" s="43" t="str">
        <f t="shared" si="49"/>
        <v>-</v>
      </c>
      <c r="Q565" s="46" t="str">
        <f t="shared" si="50"/>
        <v>-</v>
      </c>
      <c r="S565" s="46" t="str">
        <f t="shared" si="51"/>
        <v>-</v>
      </c>
    </row>
    <row r="566" spans="1:19" ht="15" x14ac:dyDescent="0.3">
      <c r="A566" s="74">
        <v>7819895</v>
      </c>
      <c r="B566" s="37">
        <v>4992</v>
      </c>
      <c r="C566" s="69">
        <v>76280049923</v>
      </c>
      <c r="D566" s="38" t="s">
        <v>782</v>
      </c>
      <c r="E566" s="64">
        <v>5.6750000000000002E-2</v>
      </c>
      <c r="F566" s="70">
        <v>6</v>
      </c>
      <c r="G566" s="38" t="s">
        <v>810</v>
      </c>
      <c r="H566" s="66" t="s">
        <v>1258</v>
      </c>
      <c r="I566" s="39">
        <v>17.842500000000001</v>
      </c>
      <c r="J566" s="40"/>
      <c r="K566" s="75">
        <f t="shared" si="52"/>
        <v>0</v>
      </c>
      <c r="L566" s="41"/>
      <c r="N566" s="45" t="str">
        <f t="shared" si="48"/>
        <v>-</v>
      </c>
      <c r="O566" s="42" t="str">
        <f t="shared" si="53"/>
        <v>-</v>
      </c>
      <c r="P566" s="43" t="str">
        <f t="shared" si="49"/>
        <v>-</v>
      </c>
      <c r="Q566" s="46" t="str">
        <f t="shared" si="50"/>
        <v>-</v>
      </c>
      <c r="S566" s="46" t="str">
        <f t="shared" si="51"/>
        <v>-</v>
      </c>
    </row>
    <row r="567" spans="1:19" ht="15" x14ac:dyDescent="0.3">
      <c r="A567" s="74">
        <v>9141763</v>
      </c>
      <c r="B567" s="37">
        <v>185</v>
      </c>
      <c r="C567" s="69">
        <v>76280001853</v>
      </c>
      <c r="D567" s="38" t="s">
        <v>814</v>
      </c>
      <c r="E567" s="64">
        <v>0.10296538400000001</v>
      </c>
      <c r="F567" s="70">
        <v>6</v>
      </c>
      <c r="G567" s="38" t="s">
        <v>565</v>
      </c>
      <c r="H567" s="66" t="s">
        <v>1258</v>
      </c>
      <c r="I567" s="39">
        <v>8.4337499999999999</v>
      </c>
      <c r="J567" s="40"/>
      <c r="K567" s="75">
        <f t="shared" si="52"/>
        <v>0</v>
      </c>
      <c r="L567" s="41"/>
      <c r="N567" s="45" t="str">
        <f t="shared" si="48"/>
        <v>-</v>
      </c>
      <c r="O567" s="42" t="str">
        <f t="shared" si="53"/>
        <v>-</v>
      </c>
      <c r="P567" s="43" t="str">
        <f t="shared" si="49"/>
        <v>-</v>
      </c>
      <c r="Q567" s="46" t="str">
        <f t="shared" si="50"/>
        <v>-</v>
      </c>
      <c r="S567" s="46" t="str">
        <f t="shared" si="51"/>
        <v>-</v>
      </c>
    </row>
    <row r="568" spans="1:19" ht="15" x14ac:dyDescent="0.3">
      <c r="A568" s="74">
        <v>9486441</v>
      </c>
      <c r="B568" s="37">
        <v>37590</v>
      </c>
      <c r="C568" s="69">
        <v>76280375909</v>
      </c>
      <c r="D568" s="38" t="s">
        <v>819</v>
      </c>
      <c r="E568" s="64">
        <v>6.1779230399999996E-2</v>
      </c>
      <c r="F568" s="70">
        <v>6</v>
      </c>
      <c r="G568" s="38" t="s">
        <v>659</v>
      </c>
      <c r="H568" s="66" t="s">
        <v>1258</v>
      </c>
      <c r="I568" s="39">
        <v>12.918750000000001</v>
      </c>
      <c r="J568" s="40"/>
      <c r="K568" s="75">
        <f t="shared" si="52"/>
        <v>0</v>
      </c>
      <c r="L568" s="41"/>
      <c r="N568" s="45" t="str">
        <f t="shared" si="48"/>
        <v>-</v>
      </c>
      <c r="O568" s="42" t="str">
        <f t="shared" si="53"/>
        <v>-</v>
      </c>
      <c r="P568" s="43" t="str">
        <f t="shared" si="49"/>
        <v>-</v>
      </c>
      <c r="Q568" s="46" t="str">
        <f t="shared" si="50"/>
        <v>-</v>
      </c>
      <c r="S568" s="46" t="str">
        <f t="shared" si="51"/>
        <v>-</v>
      </c>
    </row>
    <row r="569" spans="1:19" ht="15" x14ac:dyDescent="0.3">
      <c r="A569" s="74">
        <v>8655063</v>
      </c>
      <c r="B569" s="37">
        <v>4390</v>
      </c>
      <c r="C569" s="69">
        <v>76280043907</v>
      </c>
      <c r="D569" s="38" t="s">
        <v>820</v>
      </c>
      <c r="E569" s="64">
        <v>0.11841019160000001</v>
      </c>
      <c r="F569" s="70">
        <v>12</v>
      </c>
      <c r="G569" s="38" t="s">
        <v>207</v>
      </c>
      <c r="H569" s="66" t="s">
        <v>1258</v>
      </c>
      <c r="I569" s="39">
        <v>5.4112499999999999</v>
      </c>
      <c r="J569" s="40"/>
      <c r="K569" s="75">
        <f t="shared" si="52"/>
        <v>0</v>
      </c>
      <c r="L569" s="41"/>
      <c r="N569" s="45" t="str">
        <f t="shared" si="48"/>
        <v>-</v>
      </c>
      <c r="O569" s="42" t="str">
        <f t="shared" si="53"/>
        <v>-</v>
      </c>
      <c r="P569" s="43" t="str">
        <f t="shared" si="49"/>
        <v>-</v>
      </c>
      <c r="Q569" s="46" t="str">
        <f t="shared" si="50"/>
        <v>-</v>
      </c>
      <c r="S569" s="46" t="str">
        <f t="shared" si="51"/>
        <v>-</v>
      </c>
    </row>
    <row r="570" spans="1:19" ht="15" x14ac:dyDescent="0.3">
      <c r="A570" s="74">
        <v>1071793</v>
      </c>
      <c r="B570" s="37">
        <v>3603</v>
      </c>
      <c r="C570" s="69">
        <v>76280036039</v>
      </c>
      <c r="D570" s="38" t="s">
        <v>826</v>
      </c>
      <c r="E570" s="64">
        <v>5.6750000000000002E-2</v>
      </c>
      <c r="F570" s="70">
        <v>6</v>
      </c>
      <c r="G570" s="38" t="s">
        <v>827</v>
      </c>
      <c r="H570" s="66" t="s">
        <v>1258</v>
      </c>
      <c r="I570" s="39">
        <v>12.285</v>
      </c>
      <c r="J570" s="40"/>
      <c r="K570" s="75">
        <f t="shared" si="52"/>
        <v>0</v>
      </c>
      <c r="L570" s="41"/>
      <c r="N570" s="45" t="str">
        <f t="shared" si="48"/>
        <v>-</v>
      </c>
      <c r="O570" s="42" t="str">
        <f t="shared" si="53"/>
        <v>-</v>
      </c>
      <c r="P570" s="43" t="str">
        <f t="shared" si="49"/>
        <v>-</v>
      </c>
      <c r="Q570" s="46" t="str">
        <f t="shared" si="50"/>
        <v>-</v>
      </c>
      <c r="S570" s="46" t="str">
        <f t="shared" si="51"/>
        <v>-</v>
      </c>
    </row>
    <row r="571" spans="1:19" ht="15" x14ac:dyDescent="0.3">
      <c r="A571" s="74">
        <v>3690135</v>
      </c>
      <c r="B571" s="37">
        <v>41349</v>
      </c>
      <c r="C571" s="69">
        <v>76280413496</v>
      </c>
      <c r="D571" s="38" t="s">
        <v>829</v>
      </c>
      <c r="E571" s="64">
        <v>6.1779230399999996E-2</v>
      </c>
      <c r="F571" s="70">
        <v>6</v>
      </c>
      <c r="G571" s="38" t="s">
        <v>34</v>
      </c>
      <c r="H571" s="66" t="s">
        <v>1258</v>
      </c>
      <c r="I571" s="39">
        <v>17.160000000000004</v>
      </c>
      <c r="J571" s="40"/>
      <c r="K571" s="75">
        <f t="shared" si="52"/>
        <v>0</v>
      </c>
      <c r="L571" s="41"/>
      <c r="N571" s="45" t="str">
        <f t="shared" si="48"/>
        <v>-</v>
      </c>
      <c r="O571" s="42" t="str">
        <f t="shared" si="53"/>
        <v>-</v>
      </c>
      <c r="P571" s="43" t="str">
        <f t="shared" si="49"/>
        <v>-</v>
      </c>
      <c r="Q571" s="46" t="str">
        <f t="shared" si="50"/>
        <v>-</v>
      </c>
      <c r="S571" s="46" t="str">
        <f t="shared" si="51"/>
        <v>-</v>
      </c>
    </row>
    <row r="572" spans="1:19" ht="15" x14ac:dyDescent="0.3">
      <c r="A572" s="74">
        <v>6848028</v>
      </c>
      <c r="B572" s="37">
        <v>8930</v>
      </c>
      <c r="C572" s="69">
        <v>76280089301</v>
      </c>
      <c r="D572" s="38" t="s">
        <v>830</v>
      </c>
      <c r="E572" s="64">
        <v>0.10811365319999999</v>
      </c>
      <c r="F572" s="70">
        <v>12</v>
      </c>
      <c r="G572" s="38" t="s">
        <v>409</v>
      </c>
      <c r="H572" s="66" t="s">
        <v>1258</v>
      </c>
      <c r="I572" s="39">
        <v>12.04125</v>
      </c>
      <c r="J572" s="40"/>
      <c r="K572" s="75">
        <f t="shared" si="52"/>
        <v>0</v>
      </c>
      <c r="L572" s="41"/>
      <c r="N572" s="45" t="str">
        <f t="shared" si="48"/>
        <v>-</v>
      </c>
      <c r="O572" s="42" t="str">
        <f t="shared" si="53"/>
        <v>-</v>
      </c>
      <c r="P572" s="43" t="str">
        <f t="shared" si="49"/>
        <v>-</v>
      </c>
      <c r="Q572" s="46" t="str">
        <f t="shared" si="50"/>
        <v>-</v>
      </c>
      <c r="S572" s="46" t="str">
        <f t="shared" si="51"/>
        <v>-</v>
      </c>
    </row>
    <row r="573" spans="1:19" ht="15" x14ac:dyDescent="0.3">
      <c r="A573" s="74">
        <v>3626240</v>
      </c>
      <c r="B573" s="37">
        <v>3100</v>
      </c>
      <c r="C573" s="69">
        <v>76280031003</v>
      </c>
      <c r="D573" s="38" t="s">
        <v>706</v>
      </c>
      <c r="E573" s="64">
        <v>5.6750000000000002E-2</v>
      </c>
      <c r="F573" s="70">
        <v>6</v>
      </c>
      <c r="G573" s="38" t="s">
        <v>832</v>
      </c>
      <c r="H573" s="66" t="s">
        <v>1258</v>
      </c>
      <c r="I573" s="39">
        <v>10.919999999999998</v>
      </c>
      <c r="J573" s="40"/>
      <c r="K573" s="75">
        <f t="shared" si="52"/>
        <v>0</v>
      </c>
      <c r="L573" s="41"/>
      <c r="N573" s="45" t="str">
        <f t="shared" si="48"/>
        <v>-</v>
      </c>
      <c r="O573" s="42" t="str">
        <f t="shared" si="53"/>
        <v>-</v>
      </c>
      <c r="P573" s="43" t="str">
        <f t="shared" si="49"/>
        <v>-</v>
      </c>
      <c r="Q573" s="46" t="str">
        <f t="shared" si="50"/>
        <v>-</v>
      </c>
      <c r="S573" s="46" t="str">
        <f t="shared" si="51"/>
        <v>-</v>
      </c>
    </row>
    <row r="574" spans="1:19" ht="15" x14ac:dyDescent="0.3">
      <c r="A574" s="74">
        <v>7361183</v>
      </c>
      <c r="B574" s="37">
        <v>4579</v>
      </c>
      <c r="C574" s="69">
        <v>76280045796</v>
      </c>
      <c r="D574" s="38" t="s">
        <v>834</v>
      </c>
      <c r="E574" s="64">
        <v>0.20078249880000001</v>
      </c>
      <c r="F574" s="70">
        <v>6</v>
      </c>
      <c r="G574" s="38" t="s">
        <v>835</v>
      </c>
      <c r="H574" s="66" t="s">
        <v>1258</v>
      </c>
      <c r="I574" s="39">
        <v>14.9175</v>
      </c>
      <c r="J574" s="40"/>
      <c r="K574" s="75">
        <f t="shared" si="52"/>
        <v>0</v>
      </c>
      <c r="L574" s="41"/>
      <c r="N574" s="45" t="str">
        <f t="shared" si="48"/>
        <v>-</v>
      </c>
      <c r="O574" s="42" t="str">
        <f t="shared" si="53"/>
        <v>-</v>
      </c>
      <c r="P574" s="43" t="str">
        <f t="shared" si="49"/>
        <v>-</v>
      </c>
      <c r="Q574" s="46" t="str">
        <f t="shared" si="50"/>
        <v>-</v>
      </c>
      <c r="S574" s="46" t="str">
        <f t="shared" si="51"/>
        <v>-</v>
      </c>
    </row>
    <row r="575" spans="1:19" ht="15" x14ac:dyDescent="0.3">
      <c r="A575" s="74">
        <v>9909874</v>
      </c>
      <c r="B575" s="37">
        <v>1505</v>
      </c>
      <c r="C575" s="69">
        <v>76280015058</v>
      </c>
      <c r="D575" s="38" t="s">
        <v>839</v>
      </c>
      <c r="E575" s="64">
        <v>0.10811365319999999</v>
      </c>
      <c r="F575" s="70">
        <v>6</v>
      </c>
      <c r="G575" s="38" t="s">
        <v>282</v>
      </c>
      <c r="H575" s="66" t="s">
        <v>1258</v>
      </c>
      <c r="I575" s="39">
        <v>13.357499999999998</v>
      </c>
      <c r="J575" s="40"/>
      <c r="K575" s="75">
        <f t="shared" si="52"/>
        <v>0</v>
      </c>
      <c r="L575" s="41"/>
      <c r="N575" s="45" t="str">
        <f t="shared" si="48"/>
        <v>-</v>
      </c>
      <c r="O575" s="42" t="str">
        <f t="shared" si="53"/>
        <v>-</v>
      </c>
      <c r="P575" s="43" t="str">
        <f t="shared" si="49"/>
        <v>-</v>
      </c>
      <c r="Q575" s="46" t="str">
        <f t="shared" si="50"/>
        <v>-</v>
      </c>
      <c r="S575" s="46" t="str">
        <f t="shared" si="51"/>
        <v>-</v>
      </c>
    </row>
    <row r="576" spans="1:19" ht="15" x14ac:dyDescent="0.3">
      <c r="A576" s="74">
        <v>6567852</v>
      </c>
      <c r="B576" s="37">
        <v>1220</v>
      </c>
      <c r="C576" s="69">
        <v>76280012200</v>
      </c>
      <c r="D576" s="38" t="s">
        <v>840</v>
      </c>
      <c r="E576" s="64">
        <v>0.10296538400000001</v>
      </c>
      <c r="F576" s="70">
        <v>6</v>
      </c>
      <c r="G576" s="38" t="s">
        <v>615</v>
      </c>
      <c r="H576" s="66" t="s">
        <v>1258</v>
      </c>
      <c r="I576" s="39">
        <v>8.4824999999999982</v>
      </c>
      <c r="J576" s="40"/>
      <c r="K576" s="75">
        <f t="shared" si="52"/>
        <v>0</v>
      </c>
      <c r="L576" s="41"/>
      <c r="N576" s="45" t="str">
        <f t="shared" si="48"/>
        <v>-</v>
      </c>
      <c r="O576" s="42" t="str">
        <f t="shared" si="53"/>
        <v>-</v>
      </c>
      <c r="P576" s="43" t="str">
        <f t="shared" si="49"/>
        <v>-</v>
      </c>
      <c r="Q576" s="46" t="str">
        <f t="shared" si="50"/>
        <v>-</v>
      </c>
      <c r="S576" s="46" t="str">
        <f t="shared" si="51"/>
        <v>-</v>
      </c>
    </row>
    <row r="577" spans="1:19" ht="15" x14ac:dyDescent="0.3">
      <c r="A577" s="74">
        <v>1149986</v>
      </c>
      <c r="B577" s="37">
        <v>1290</v>
      </c>
      <c r="C577" s="69">
        <v>76280012903</v>
      </c>
      <c r="D577" s="38" t="s">
        <v>841</v>
      </c>
      <c r="E577" s="64">
        <v>9.7817114799999993E-2</v>
      </c>
      <c r="F577" s="70">
        <v>6</v>
      </c>
      <c r="G577" s="38" t="s">
        <v>842</v>
      </c>
      <c r="H577" s="66" t="s">
        <v>1258</v>
      </c>
      <c r="I577" s="39">
        <v>6.0449999999999999</v>
      </c>
      <c r="J577" s="40"/>
      <c r="K577" s="75">
        <f t="shared" si="52"/>
        <v>0</v>
      </c>
      <c r="L577" s="41"/>
      <c r="N577" s="45" t="str">
        <f t="shared" si="48"/>
        <v>-</v>
      </c>
      <c r="O577" s="42" t="str">
        <f t="shared" si="53"/>
        <v>-</v>
      </c>
      <c r="P577" s="43" t="str">
        <f t="shared" si="49"/>
        <v>-</v>
      </c>
      <c r="Q577" s="46" t="str">
        <f t="shared" si="50"/>
        <v>-</v>
      </c>
      <c r="S577" s="46" t="str">
        <f t="shared" si="51"/>
        <v>-</v>
      </c>
    </row>
    <row r="578" spans="1:19" ht="15" x14ac:dyDescent="0.3">
      <c r="A578" s="74">
        <v>9912015</v>
      </c>
      <c r="B578" s="37">
        <v>48947</v>
      </c>
      <c r="C578" s="69">
        <v>76280489477</v>
      </c>
      <c r="D578" s="38" t="s">
        <v>844</v>
      </c>
      <c r="E578" s="64">
        <v>8.2372307199999995E-2</v>
      </c>
      <c r="F578" s="70">
        <v>6</v>
      </c>
      <c r="G578" s="38" t="s">
        <v>717</v>
      </c>
      <c r="H578" s="66" t="s">
        <v>1258</v>
      </c>
      <c r="I578" s="39">
        <v>18.817500000000003</v>
      </c>
      <c r="J578" s="40"/>
      <c r="K578" s="75">
        <f t="shared" si="52"/>
        <v>0</v>
      </c>
      <c r="L578" s="41"/>
      <c r="N578" s="45" t="str">
        <f t="shared" si="48"/>
        <v>-</v>
      </c>
      <c r="O578" s="42" t="str">
        <f t="shared" si="53"/>
        <v>-</v>
      </c>
      <c r="P578" s="43" t="str">
        <f t="shared" si="49"/>
        <v>-</v>
      </c>
      <c r="Q578" s="46" t="str">
        <f t="shared" si="50"/>
        <v>-</v>
      </c>
      <c r="S578" s="46" t="str">
        <f t="shared" si="51"/>
        <v>-</v>
      </c>
    </row>
    <row r="579" spans="1:19" ht="15" x14ac:dyDescent="0.3">
      <c r="A579" s="74">
        <v>1413500</v>
      </c>
      <c r="B579" s="37">
        <v>4920</v>
      </c>
      <c r="C579" s="69">
        <v>76280049206</v>
      </c>
      <c r="D579" s="38" t="s">
        <v>846</v>
      </c>
      <c r="E579" s="64">
        <v>6.6927499599999996E-2</v>
      </c>
      <c r="F579" s="70">
        <v>12</v>
      </c>
      <c r="G579" s="38" t="s">
        <v>788</v>
      </c>
      <c r="H579" s="66" t="s">
        <v>1258</v>
      </c>
      <c r="I579" s="39">
        <v>5.7037499999999994</v>
      </c>
      <c r="J579" s="40"/>
      <c r="K579" s="75">
        <f t="shared" si="52"/>
        <v>0</v>
      </c>
      <c r="L579" s="41"/>
      <c r="N579" s="45" t="str">
        <f t="shared" ref="N579:N642" si="54">IFERROR(IF($N$2*E579=0, "-", $N$2*E579), "-")</f>
        <v>-</v>
      </c>
      <c r="O579" s="42" t="str">
        <f t="shared" si="53"/>
        <v>-</v>
      </c>
      <c r="P579" s="43" t="str">
        <f t="shared" ref="P579:P642" si="55">IF(J579&gt;0,J579*E579, "-")</f>
        <v>-</v>
      </c>
      <c r="Q579" s="46" t="str">
        <f t="shared" ref="Q579:Q642" si="56">IFERROR(IF($N$2&gt;0, $N$2*P579, "-"), "-")</f>
        <v>-</v>
      </c>
      <c r="S579" s="46" t="str">
        <f t="shared" ref="S579:S642" si="57">IFERROR(IF(Q579+K579=0, "-", IF(Q579&gt;0, Q579+K579, "-")), "-")</f>
        <v>-</v>
      </c>
    </row>
    <row r="580" spans="1:19" ht="15" x14ac:dyDescent="0.3">
      <c r="A580" s="74">
        <v>6832974</v>
      </c>
      <c r="B580" s="37">
        <v>4523</v>
      </c>
      <c r="C580" s="69">
        <v>76280045239</v>
      </c>
      <c r="D580" s="38" t="s">
        <v>848</v>
      </c>
      <c r="E580" s="64">
        <v>0.14929980679999999</v>
      </c>
      <c r="F580" s="70">
        <v>6</v>
      </c>
      <c r="G580" s="38" t="s">
        <v>63</v>
      </c>
      <c r="H580" s="66" t="s">
        <v>1258</v>
      </c>
      <c r="I580" s="39">
        <v>7.0687500000000005</v>
      </c>
      <c r="J580" s="40"/>
      <c r="K580" s="75">
        <f t="shared" ref="K580:K643" si="58">J580*I580</f>
        <v>0</v>
      </c>
      <c r="L580" s="41"/>
      <c r="N580" s="45" t="str">
        <f t="shared" si="54"/>
        <v>-</v>
      </c>
      <c r="O580" s="42" t="str">
        <f t="shared" ref="O580:O643" si="59">IFERROR(IF(N580&gt;0,I580+N580,"-"),"-")</f>
        <v>-</v>
      </c>
      <c r="P580" s="43" t="str">
        <f t="shared" si="55"/>
        <v>-</v>
      </c>
      <c r="Q580" s="46" t="str">
        <f t="shared" si="56"/>
        <v>-</v>
      </c>
      <c r="S580" s="46" t="str">
        <f t="shared" si="57"/>
        <v>-</v>
      </c>
    </row>
    <row r="581" spans="1:19" ht="15" x14ac:dyDescent="0.3">
      <c r="A581" s="74">
        <v>7571853</v>
      </c>
      <c r="B581" s="37">
        <v>14907</v>
      </c>
      <c r="C581" s="69">
        <v>76280149074</v>
      </c>
      <c r="D581" s="38" t="s">
        <v>851</v>
      </c>
      <c r="E581" s="64">
        <v>0.27285826759999998</v>
      </c>
      <c r="F581" s="70">
        <v>6</v>
      </c>
      <c r="G581" s="38" t="s">
        <v>852</v>
      </c>
      <c r="H581" s="66" t="s">
        <v>1258</v>
      </c>
      <c r="I581" s="39">
        <v>23.400000000000002</v>
      </c>
      <c r="J581" s="40"/>
      <c r="K581" s="75">
        <f t="shared" si="58"/>
        <v>0</v>
      </c>
      <c r="L581" s="41"/>
      <c r="N581" s="45" t="str">
        <f t="shared" si="54"/>
        <v>-</v>
      </c>
      <c r="O581" s="42" t="str">
        <f t="shared" si="59"/>
        <v>-</v>
      </c>
      <c r="P581" s="43" t="str">
        <f t="shared" si="55"/>
        <v>-</v>
      </c>
      <c r="Q581" s="46" t="str">
        <f t="shared" si="56"/>
        <v>-</v>
      </c>
      <c r="S581" s="46" t="str">
        <f t="shared" si="57"/>
        <v>-</v>
      </c>
    </row>
    <row r="582" spans="1:19" ht="15" x14ac:dyDescent="0.3">
      <c r="A582" s="74">
        <v>9459795</v>
      </c>
      <c r="B582" s="37">
        <v>4318</v>
      </c>
      <c r="C582" s="69">
        <v>76280043181</v>
      </c>
      <c r="D582" s="38" t="s">
        <v>857</v>
      </c>
      <c r="E582" s="64">
        <v>0.12355846079999999</v>
      </c>
      <c r="F582" s="70">
        <v>6</v>
      </c>
      <c r="G582" s="38" t="s">
        <v>154</v>
      </c>
      <c r="H582" s="66" t="s">
        <v>1258</v>
      </c>
      <c r="I582" s="39">
        <v>10.0425</v>
      </c>
      <c r="J582" s="40"/>
      <c r="K582" s="75">
        <f t="shared" si="58"/>
        <v>0</v>
      </c>
      <c r="L582" s="41"/>
      <c r="N582" s="45" t="str">
        <f t="shared" si="54"/>
        <v>-</v>
      </c>
      <c r="O582" s="42" t="str">
        <f t="shared" si="59"/>
        <v>-</v>
      </c>
      <c r="P582" s="43" t="str">
        <f t="shared" si="55"/>
        <v>-</v>
      </c>
      <c r="Q582" s="46" t="str">
        <f t="shared" si="56"/>
        <v>-</v>
      </c>
      <c r="S582" s="46" t="str">
        <f t="shared" si="57"/>
        <v>-</v>
      </c>
    </row>
    <row r="583" spans="1:19" ht="15" x14ac:dyDescent="0.3">
      <c r="A583" s="74">
        <v>7631956</v>
      </c>
      <c r="B583" s="37">
        <v>130</v>
      </c>
      <c r="C583" s="69">
        <v>76280001303</v>
      </c>
      <c r="D583" s="38" t="s">
        <v>860</v>
      </c>
      <c r="E583" s="64">
        <v>8.7520576400000008E-2</v>
      </c>
      <c r="F583" s="70">
        <v>6</v>
      </c>
      <c r="G583" s="38" t="s">
        <v>409</v>
      </c>
      <c r="H583" s="66" t="s">
        <v>1258</v>
      </c>
      <c r="I583" s="39">
        <v>6.9225000000000003</v>
      </c>
      <c r="J583" s="40"/>
      <c r="K583" s="75">
        <f t="shared" si="58"/>
        <v>0</v>
      </c>
      <c r="L583" s="41"/>
      <c r="N583" s="45" t="str">
        <f t="shared" si="54"/>
        <v>-</v>
      </c>
      <c r="O583" s="42" t="str">
        <f t="shared" si="59"/>
        <v>-</v>
      </c>
      <c r="P583" s="43" t="str">
        <f t="shared" si="55"/>
        <v>-</v>
      </c>
      <c r="Q583" s="46" t="str">
        <f t="shared" si="56"/>
        <v>-</v>
      </c>
      <c r="S583" s="46" t="str">
        <f t="shared" si="57"/>
        <v>-</v>
      </c>
    </row>
    <row r="584" spans="1:19" ht="15" x14ac:dyDescent="0.3">
      <c r="A584" s="74">
        <v>6239233</v>
      </c>
      <c r="B584" s="37">
        <v>13417</v>
      </c>
      <c r="C584" s="69">
        <v>76280134179</v>
      </c>
      <c r="D584" s="38" t="s">
        <v>860</v>
      </c>
      <c r="E584" s="64">
        <v>0.16989288359999999</v>
      </c>
      <c r="F584" s="70">
        <v>6</v>
      </c>
      <c r="G584" s="38" t="s">
        <v>60</v>
      </c>
      <c r="H584" s="66" t="s">
        <v>1258</v>
      </c>
      <c r="I584" s="39">
        <v>12.431249999999999</v>
      </c>
      <c r="J584" s="40"/>
      <c r="K584" s="75">
        <f t="shared" si="58"/>
        <v>0</v>
      </c>
      <c r="L584" s="41"/>
      <c r="N584" s="45" t="str">
        <f t="shared" si="54"/>
        <v>-</v>
      </c>
      <c r="O584" s="42" t="str">
        <f t="shared" si="59"/>
        <v>-</v>
      </c>
      <c r="P584" s="43" t="str">
        <f t="shared" si="55"/>
        <v>-</v>
      </c>
      <c r="Q584" s="46" t="str">
        <f t="shared" si="56"/>
        <v>-</v>
      </c>
      <c r="S584" s="46" t="str">
        <f t="shared" si="57"/>
        <v>-</v>
      </c>
    </row>
    <row r="585" spans="1:19" ht="15" x14ac:dyDescent="0.3">
      <c r="A585" s="74">
        <v>6852898</v>
      </c>
      <c r="B585" s="37">
        <v>43545</v>
      </c>
      <c r="C585" s="69">
        <v>76280435450</v>
      </c>
      <c r="D585" s="38" t="s">
        <v>796</v>
      </c>
      <c r="E585" s="64">
        <v>6.6927499599999996E-2</v>
      </c>
      <c r="F585" s="70">
        <v>12</v>
      </c>
      <c r="G585" s="38" t="s">
        <v>129</v>
      </c>
      <c r="H585" s="66" t="s">
        <v>1258</v>
      </c>
      <c r="I585" s="39">
        <v>10.09125</v>
      </c>
      <c r="J585" s="40"/>
      <c r="K585" s="75">
        <f t="shared" si="58"/>
        <v>0</v>
      </c>
      <c r="L585" s="41"/>
      <c r="N585" s="45" t="str">
        <f t="shared" si="54"/>
        <v>-</v>
      </c>
      <c r="O585" s="42" t="str">
        <f t="shared" si="59"/>
        <v>-</v>
      </c>
      <c r="P585" s="43" t="str">
        <f t="shared" si="55"/>
        <v>-</v>
      </c>
      <c r="Q585" s="46" t="str">
        <f t="shared" si="56"/>
        <v>-</v>
      </c>
      <c r="S585" s="46" t="str">
        <f t="shared" si="57"/>
        <v>-</v>
      </c>
    </row>
    <row r="586" spans="1:19" ht="15" x14ac:dyDescent="0.3">
      <c r="A586" s="74">
        <v>5623327</v>
      </c>
      <c r="B586" s="37">
        <v>4861</v>
      </c>
      <c r="C586" s="69">
        <v>76280048612</v>
      </c>
      <c r="D586" s="38" t="s">
        <v>865</v>
      </c>
      <c r="E586" s="64">
        <v>8.2372307199999995E-2</v>
      </c>
      <c r="F586" s="70">
        <v>12</v>
      </c>
      <c r="G586" s="38" t="s">
        <v>330</v>
      </c>
      <c r="H586" s="66" t="s">
        <v>1258</v>
      </c>
      <c r="I586" s="39">
        <v>7.8974999999999991</v>
      </c>
      <c r="J586" s="40"/>
      <c r="K586" s="75">
        <f t="shared" si="58"/>
        <v>0</v>
      </c>
      <c r="L586" s="41"/>
      <c r="N586" s="45" t="str">
        <f t="shared" si="54"/>
        <v>-</v>
      </c>
      <c r="O586" s="42" t="str">
        <f t="shared" si="59"/>
        <v>-</v>
      </c>
      <c r="P586" s="43" t="str">
        <f t="shared" si="55"/>
        <v>-</v>
      </c>
      <c r="Q586" s="46" t="str">
        <f t="shared" si="56"/>
        <v>-</v>
      </c>
      <c r="S586" s="46" t="str">
        <f t="shared" si="57"/>
        <v>-</v>
      </c>
    </row>
    <row r="587" spans="1:19" ht="15" x14ac:dyDescent="0.3">
      <c r="A587" s="74">
        <v>3908716</v>
      </c>
      <c r="B587" s="37">
        <v>55827</v>
      </c>
      <c r="C587" s="69">
        <v>76280558272</v>
      </c>
      <c r="D587" s="38" t="s">
        <v>868</v>
      </c>
      <c r="E587" s="64">
        <v>0.14929980679999999</v>
      </c>
      <c r="F587" s="70">
        <v>6</v>
      </c>
      <c r="G587" s="38" t="s">
        <v>63</v>
      </c>
      <c r="H587" s="66" t="s">
        <v>1258</v>
      </c>
      <c r="I587" s="39">
        <v>16.721249999999998</v>
      </c>
      <c r="J587" s="40"/>
      <c r="K587" s="75">
        <f t="shared" si="58"/>
        <v>0</v>
      </c>
      <c r="L587" s="41"/>
      <c r="N587" s="45" t="str">
        <f t="shared" si="54"/>
        <v>-</v>
      </c>
      <c r="O587" s="42" t="str">
        <f t="shared" si="59"/>
        <v>-</v>
      </c>
      <c r="P587" s="43" t="str">
        <f t="shared" si="55"/>
        <v>-</v>
      </c>
      <c r="Q587" s="46" t="str">
        <f t="shared" si="56"/>
        <v>-</v>
      </c>
      <c r="S587" s="46" t="str">
        <f t="shared" si="57"/>
        <v>-</v>
      </c>
    </row>
    <row r="588" spans="1:19" ht="15" x14ac:dyDescent="0.3">
      <c r="A588" s="74">
        <v>5904730</v>
      </c>
      <c r="B588" s="37">
        <v>8362</v>
      </c>
      <c r="C588" s="69">
        <v>76280083620</v>
      </c>
      <c r="D588" s="38" t="s">
        <v>871</v>
      </c>
      <c r="E588" s="64">
        <v>9.2668845599999994E-2</v>
      </c>
      <c r="F588" s="70">
        <v>12</v>
      </c>
      <c r="G588" s="38" t="s">
        <v>34</v>
      </c>
      <c r="H588" s="66" t="s">
        <v>1258</v>
      </c>
      <c r="I588" s="39">
        <v>7.8487500000000008</v>
      </c>
      <c r="J588" s="40"/>
      <c r="K588" s="75">
        <f t="shared" si="58"/>
        <v>0</v>
      </c>
      <c r="L588" s="41"/>
      <c r="N588" s="45" t="str">
        <f t="shared" si="54"/>
        <v>-</v>
      </c>
      <c r="O588" s="42" t="str">
        <f t="shared" si="59"/>
        <v>-</v>
      </c>
      <c r="P588" s="43" t="str">
        <f t="shared" si="55"/>
        <v>-</v>
      </c>
      <c r="Q588" s="46" t="str">
        <f t="shared" si="56"/>
        <v>-</v>
      </c>
      <c r="S588" s="46" t="str">
        <f t="shared" si="57"/>
        <v>-</v>
      </c>
    </row>
    <row r="589" spans="1:19" ht="15" x14ac:dyDescent="0.3">
      <c r="A589" s="74">
        <v>5856663</v>
      </c>
      <c r="B589" s="37">
        <v>3155</v>
      </c>
      <c r="C589" s="69">
        <v>76280031553</v>
      </c>
      <c r="D589" s="38" t="s">
        <v>873</v>
      </c>
      <c r="E589" s="64">
        <v>5.6750000000000002E-2</v>
      </c>
      <c r="F589" s="70">
        <v>6</v>
      </c>
      <c r="G589" s="38" t="s">
        <v>338</v>
      </c>
      <c r="H589" s="66" t="s">
        <v>1258</v>
      </c>
      <c r="I589" s="39">
        <v>11.456250000000001</v>
      </c>
      <c r="J589" s="40"/>
      <c r="K589" s="75">
        <f t="shared" si="58"/>
        <v>0</v>
      </c>
      <c r="L589" s="41"/>
      <c r="N589" s="45" t="str">
        <f t="shared" si="54"/>
        <v>-</v>
      </c>
      <c r="O589" s="42" t="str">
        <f t="shared" si="59"/>
        <v>-</v>
      </c>
      <c r="P589" s="43" t="str">
        <f t="shared" si="55"/>
        <v>-</v>
      </c>
      <c r="Q589" s="46" t="str">
        <f t="shared" si="56"/>
        <v>-</v>
      </c>
      <c r="S589" s="46" t="str">
        <f t="shared" si="57"/>
        <v>-</v>
      </c>
    </row>
    <row r="590" spans="1:19" ht="15" x14ac:dyDescent="0.3">
      <c r="A590" s="74">
        <v>9235358</v>
      </c>
      <c r="B590" s="37">
        <v>1330</v>
      </c>
      <c r="C590" s="69">
        <v>76280013306</v>
      </c>
      <c r="D590" s="38" t="s">
        <v>878</v>
      </c>
      <c r="E590" s="64">
        <v>9.7817114799999993E-2</v>
      </c>
      <c r="F590" s="70">
        <v>6</v>
      </c>
      <c r="G590" s="38" t="s">
        <v>665</v>
      </c>
      <c r="H590" s="66" t="s">
        <v>1258</v>
      </c>
      <c r="I590" s="39">
        <v>6.3862500000000004</v>
      </c>
      <c r="J590" s="40"/>
      <c r="K590" s="75">
        <f t="shared" si="58"/>
        <v>0</v>
      </c>
      <c r="L590" s="41"/>
      <c r="N590" s="45" t="str">
        <f t="shared" si="54"/>
        <v>-</v>
      </c>
      <c r="O590" s="42" t="str">
        <f t="shared" si="59"/>
        <v>-</v>
      </c>
      <c r="P590" s="43" t="str">
        <f t="shared" si="55"/>
        <v>-</v>
      </c>
      <c r="Q590" s="46" t="str">
        <f t="shared" si="56"/>
        <v>-</v>
      </c>
      <c r="S590" s="46" t="str">
        <f t="shared" si="57"/>
        <v>-</v>
      </c>
    </row>
    <row r="591" spans="1:19" ht="15" x14ac:dyDescent="0.3">
      <c r="A591" s="74">
        <v>2136084</v>
      </c>
      <c r="B591" s="37">
        <v>1239</v>
      </c>
      <c r="C591" s="69">
        <v>76280012392</v>
      </c>
      <c r="D591" s="38" t="s">
        <v>879</v>
      </c>
      <c r="E591" s="64">
        <v>0.13900326840000002</v>
      </c>
      <c r="F591" s="70">
        <v>6</v>
      </c>
      <c r="G591" s="38" t="s">
        <v>880</v>
      </c>
      <c r="H591" s="66" t="s">
        <v>1258</v>
      </c>
      <c r="I591" s="39">
        <v>12.675000000000001</v>
      </c>
      <c r="J591" s="40"/>
      <c r="K591" s="75">
        <f t="shared" si="58"/>
        <v>0</v>
      </c>
      <c r="L591" s="41"/>
      <c r="N591" s="45" t="str">
        <f t="shared" si="54"/>
        <v>-</v>
      </c>
      <c r="O591" s="42" t="str">
        <f t="shared" si="59"/>
        <v>-</v>
      </c>
      <c r="P591" s="43" t="str">
        <f t="shared" si="55"/>
        <v>-</v>
      </c>
      <c r="Q591" s="46" t="str">
        <f t="shared" si="56"/>
        <v>-</v>
      </c>
      <c r="S591" s="46" t="str">
        <f t="shared" si="57"/>
        <v>-</v>
      </c>
    </row>
    <row r="592" spans="1:19" ht="15" x14ac:dyDescent="0.3">
      <c r="A592" s="74">
        <v>1232762</v>
      </c>
      <c r="B592" s="37">
        <v>39904</v>
      </c>
      <c r="C592" s="69">
        <v>76280399042</v>
      </c>
      <c r="D592" s="38" t="s">
        <v>881</v>
      </c>
      <c r="E592" s="64">
        <v>6.6927499599999996E-2</v>
      </c>
      <c r="F592" s="70">
        <v>6</v>
      </c>
      <c r="G592" s="38" t="s">
        <v>332</v>
      </c>
      <c r="H592" s="66" t="s">
        <v>1258</v>
      </c>
      <c r="I592" s="39">
        <v>6.9225000000000003</v>
      </c>
      <c r="J592" s="40"/>
      <c r="K592" s="75">
        <f t="shared" si="58"/>
        <v>0</v>
      </c>
      <c r="L592" s="41"/>
      <c r="N592" s="45" t="str">
        <f t="shared" si="54"/>
        <v>-</v>
      </c>
      <c r="O592" s="42" t="str">
        <f t="shared" si="59"/>
        <v>-</v>
      </c>
      <c r="P592" s="43" t="str">
        <f t="shared" si="55"/>
        <v>-</v>
      </c>
      <c r="Q592" s="46" t="str">
        <f t="shared" si="56"/>
        <v>-</v>
      </c>
      <c r="S592" s="46" t="str">
        <f t="shared" si="57"/>
        <v>-</v>
      </c>
    </row>
    <row r="593" spans="1:19" ht="15" x14ac:dyDescent="0.3">
      <c r="A593" s="74">
        <v>3751706</v>
      </c>
      <c r="B593" s="37">
        <v>39911</v>
      </c>
      <c r="C593" s="69">
        <v>76280399110</v>
      </c>
      <c r="D593" s="38" t="s">
        <v>883</v>
      </c>
      <c r="E593" s="64">
        <v>6.1779230399999996E-2</v>
      </c>
      <c r="F593" s="70">
        <v>6</v>
      </c>
      <c r="G593" s="38" t="s">
        <v>884</v>
      </c>
      <c r="H593" s="66" t="s">
        <v>1258</v>
      </c>
      <c r="I593" s="39">
        <v>15.55125</v>
      </c>
      <c r="J593" s="40"/>
      <c r="K593" s="75">
        <f t="shared" si="58"/>
        <v>0</v>
      </c>
      <c r="L593" s="41"/>
      <c r="N593" s="45" t="str">
        <f t="shared" si="54"/>
        <v>-</v>
      </c>
      <c r="O593" s="42" t="str">
        <f t="shared" si="59"/>
        <v>-</v>
      </c>
      <c r="P593" s="43" t="str">
        <f t="shared" si="55"/>
        <v>-</v>
      </c>
      <c r="Q593" s="46" t="str">
        <f t="shared" si="56"/>
        <v>-</v>
      </c>
      <c r="S593" s="46" t="str">
        <f t="shared" si="57"/>
        <v>-</v>
      </c>
    </row>
    <row r="594" spans="1:19" ht="15" x14ac:dyDescent="0.3">
      <c r="A594" s="74">
        <v>7870975</v>
      </c>
      <c r="B594" s="37">
        <v>94612</v>
      </c>
      <c r="C594" s="69">
        <v>76280946123</v>
      </c>
      <c r="D594" s="38" t="s">
        <v>885</v>
      </c>
      <c r="E594" s="64">
        <v>7.7180000000000012E-2</v>
      </c>
      <c r="F594" s="70">
        <v>6</v>
      </c>
      <c r="G594" s="38" t="s">
        <v>886</v>
      </c>
      <c r="H594" s="66" t="s">
        <v>1258</v>
      </c>
      <c r="I594" s="39">
        <v>12.870000000000001</v>
      </c>
      <c r="J594" s="40"/>
      <c r="K594" s="75">
        <f t="shared" si="58"/>
        <v>0</v>
      </c>
      <c r="L594" s="41"/>
      <c r="N594" s="45" t="str">
        <f t="shared" si="54"/>
        <v>-</v>
      </c>
      <c r="O594" s="42" t="str">
        <f t="shared" si="59"/>
        <v>-</v>
      </c>
      <c r="P594" s="43" t="str">
        <f t="shared" si="55"/>
        <v>-</v>
      </c>
      <c r="Q594" s="46" t="str">
        <f t="shared" si="56"/>
        <v>-</v>
      </c>
      <c r="S594" s="46" t="str">
        <f t="shared" si="57"/>
        <v>-</v>
      </c>
    </row>
    <row r="595" spans="1:19" ht="15" x14ac:dyDescent="0.3">
      <c r="A595" s="74">
        <v>7456794</v>
      </c>
      <c r="B595" s="37">
        <v>170</v>
      </c>
      <c r="C595" s="69">
        <v>76280001709</v>
      </c>
      <c r="D595" s="38" t="s">
        <v>887</v>
      </c>
      <c r="E595" s="64">
        <v>0.10811365319999999</v>
      </c>
      <c r="F595" s="70">
        <v>6</v>
      </c>
      <c r="G595" s="38" t="s">
        <v>687</v>
      </c>
      <c r="H595" s="66" t="s">
        <v>1258</v>
      </c>
      <c r="I595" s="39">
        <v>7.8000000000000007</v>
      </c>
      <c r="J595" s="40"/>
      <c r="K595" s="75">
        <f t="shared" si="58"/>
        <v>0</v>
      </c>
      <c r="L595" s="41"/>
      <c r="N595" s="45" t="str">
        <f t="shared" si="54"/>
        <v>-</v>
      </c>
      <c r="O595" s="42" t="str">
        <f t="shared" si="59"/>
        <v>-</v>
      </c>
      <c r="P595" s="43" t="str">
        <f t="shared" si="55"/>
        <v>-</v>
      </c>
      <c r="Q595" s="46" t="str">
        <f t="shared" si="56"/>
        <v>-</v>
      </c>
      <c r="S595" s="46" t="str">
        <f t="shared" si="57"/>
        <v>-</v>
      </c>
    </row>
    <row r="596" spans="1:19" ht="15" x14ac:dyDescent="0.3">
      <c r="A596" s="74">
        <v>7774156</v>
      </c>
      <c r="B596" s="37">
        <v>47484</v>
      </c>
      <c r="C596" s="69">
        <v>76280474848</v>
      </c>
      <c r="D596" s="38" t="s">
        <v>888</v>
      </c>
      <c r="E596" s="64">
        <v>9.7817114799999993E-2</v>
      </c>
      <c r="F596" s="70">
        <v>12</v>
      </c>
      <c r="G596" s="38" t="s">
        <v>185</v>
      </c>
      <c r="H596" s="66" t="s">
        <v>1258</v>
      </c>
      <c r="I596" s="39">
        <v>7.2637499999999999</v>
      </c>
      <c r="J596" s="40"/>
      <c r="K596" s="75">
        <f t="shared" si="58"/>
        <v>0</v>
      </c>
      <c r="L596" s="41"/>
      <c r="N596" s="45" t="str">
        <f t="shared" si="54"/>
        <v>-</v>
      </c>
      <c r="O596" s="42" t="str">
        <f t="shared" si="59"/>
        <v>-</v>
      </c>
      <c r="P596" s="43" t="str">
        <f t="shared" si="55"/>
        <v>-</v>
      </c>
      <c r="Q596" s="46" t="str">
        <f t="shared" si="56"/>
        <v>-</v>
      </c>
      <c r="S596" s="46" t="str">
        <f t="shared" si="57"/>
        <v>-</v>
      </c>
    </row>
    <row r="597" spans="1:19" ht="15" x14ac:dyDescent="0.3">
      <c r="A597" s="74">
        <v>1401139</v>
      </c>
      <c r="B597" s="37">
        <v>39812</v>
      </c>
      <c r="C597" s="69">
        <v>76280398120</v>
      </c>
      <c r="D597" s="38" t="s">
        <v>889</v>
      </c>
      <c r="E597" s="64">
        <v>0.14929980679999999</v>
      </c>
      <c r="F597" s="70">
        <v>6</v>
      </c>
      <c r="G597" s="38" t="s">
        <v>63</v>
      </c>
      <c r="H597" s="66" t="s">
        <v>1258</v>
      </c>
      <c r="I597" s="39">
        <v>19.256250000000001</v>
      </c>
      <c r="J597" s="40"/>
      <c r="K597" s="75">
        <f t="shared" si="58"/>
        <v>0</v>
      </c>
      <c r="L597" s="41"/>
      <c r="N597" s="45" t="str">
        <f t="shared" si="54"/>
        <v>-</v>
      </c>
      <c r="O597" s="42" t="str">
        <f t="shared" si="59"/>
        <v>-</v>
      </c>
      <c r="P597" s="43" t="str">
        <f t="shared" si="55"/>
        <v>-</v>
      </c>
      <c r="Q597" s="46" t="str">
        <f t="shared" si="56"/>
        <v>-</v>
      </c>
      <c r="S597" s="46" t="str">
        <f t="shared" si="57"/>
        <v>-</v>
      </c>
    </row>
    <row r="598" spans="1:19" ht="15" x14ac:dyDescent="0.3">
      <c r="A598" s="74">
        <v>1754248</v>
      </c>
      <c r="B598" s="37">
        <v>3362</v>
      </c>
      <c r="C598" s="69">
        <v>76280033625</v>
      </c>
      <c r="D598" s="38" t="s">
        <v>890</v>
      </c>
      <c r="E598" s="64">
        <v>6.6927499599999996E-2</v>
      </c>
      <c r="F598" s="70">
        <v>6</v>
      </c>
      <c r="G598" s="38" t="s">
        <v>98</v>
      </c>
      <c r="H598" s="66" t="s">
        <v>1258</v>
      </c>
      <c r="I598" s="39">
        <v>16.087499999999999</v>
      </c>
      <c r="J598" s="40"/>
      <c r="K598" s="75">
        <f t="shared" si="58"/>
        <v>0</v>
      </c>
      <c r="L598" s="41"/>
      <c r="N598" s="45" t="str">
        <f t="shared" si="54"/>
        <v>-</v>
      </c>
      <c r="O598" s="42" t="str">
        <f t="shared" si="59"/>
        <v>-</v>
      </c>
      <c r="P598" s="43" t="str">
        <f t="shared" si="55"/>
        <v>-</v>
      </c>
      <c r="Q598" s="46" t="str">
        <f t="shared" si="56"/>
        <v>-</v>
      </c>
      <c r="S598" s="46" t="str">
        <f t="shared" si="57"/>
        <v>-</v>
      </c>
    </row>
    <row r="599" spans="1:19" ht="15" x14ac:dyDescent="0.3">
      <c r="A599" s="74">
        <v>1212041</v>
      </c>
      <c r="B599" s="37">
        <v>11607</v>
      </c>
      <c r="C599" s="69">
        <v>76280116076</v>
      </c>
      <c r="D599" s="38" t="s">
        <v>891</v>
      </c>
      <c r="E599" s="64">
        <v>9.2668845599999994E-2</v>
      </c>
      <c r="F599" s="70">
        <v>12</v>
      </c>
      <c r="G599" s="38" t="s">
        <v>892</v>
      </c>
      <c r="H599" s="66" t="s">
        <v>1258</v>
      </c>
      <c r="I599" s="39">
        <v>10.919999999999998</v>
      </c>
      <c r="J599" s="40"/>
      <c r="K599" s="75">
        <f t="shared" si="58"/>
        <v>0</v>
      </c>
      <c r="L599" s="41"/>
      <c r="N599" s="45" t="str">
        <f t="shared" si="54"/>
        <v>-</v>
      </c>
      <c r="O599" s="42" t="str">
        <f t="shared" si="59"/>
        <v>-</v>
      </c>
      <c r="P599" s="43" t="str">
        <f t="shared" si="55"/>
        <v>-</v>
      </c>
      <c r="Q599" s="46" t="str">
        <f t="shared" si="56"/>
        <v>-</v>
      </c>
      <c r="S599" s="46" t="str">
        <f t="shared" si="57"/>
        <v>-</v>
      </c>
    </row>
    <row r="600" spans="1:19" ht="15" x14ac:dyDescent="0.3">
      <c r="A600" s="74">
        <v>3391104</v>
      </c>
      <c r="B600" s="37">
        <v>3070</v>
      </c>
      <c r="C600" s="69">
        <v>76280030709</v>
      </c>
      <c r="D600" s="38" t="s">
        <v>897</v>
      </c>
      <c r="E600" s="64">
        <v>5.6750000000000002E-2</v>
      </c>
      <c r="F600" s="70">
        <v>6</v>
      </c>
      <c r="G600" s="38" t="s">
        <v>461</v>
      </c>
      <c r="H600" s="66" t="s">
        <v>1258</v>
      </c>
      <c r="I600" s="39">
        <v>7.1662499999999998</v>
      </c>
      <c r="J600" s="40"/>
      <c r="K600" s="75">
        <f t="shared" si="58"/>
        <v>0</v>
      </c>
      <c r="L600" s="41"/>
      <c r="N600" s="45" t="str">
        <f t="shared" si="54"/>
        <v>-</v>
      </c>
      <c r="O600" s="42" t="str">
        <f t="shared" si="59"/>
        <v>-</v>
      </c>
      <c r="P600" s="43" t="str">
        <f t="shared" si="55"/>
        <v>-</v>
      </c>
      <c r="Q600" s="46" t="str">
        <f t="shared" si="56"/>
        <v>-</v>
      </c>
      <c r="S600" s="46" t="str">
        <f t="shared" si="57"/>
        <v>-</v>
      </c>
    </row>
    <row r="601" spans="1:19" ht="15" x14ac:dyDescent="0.3">
      <c r="A601" s="74">
        <v>3173776</v>
      </c>
      <c r="B601" s="37">
        <v>11663</v>
      </c>
      <c r="C601" s="69">
        <v>76280116632</v>
      </c>
      <c r="D601" s="38" t="s">
        <v>898</v>
      </c>
      <c r="E601" s="64">
        <v>5.6750000000000002E-2</v>
      </c>
      <c r="F601" s="70">
        <v>6</v>
      </c>
      <c r="G601" s="38" t="s">
        <v>98</v>
      </c>
      <c r="H601" s="66" t="s">
        <v>1258</v>
      </c>
      <c r="I601" s="39">
        <v>6.2887500000000003</v>
      </c>
      <c r="J601" s="40"/>
      <c r="K601" s="75">
        <f t="shared" si="58"/>
        <v>0</v>
      </c>
      <c r="L601" s="41"/>
      <c r="N601" s="45" t="str">
        <f t="shared" si="54"/>
        <v>-</v>
      </c>
      <c r="O601" s="42" t="str">
        <f t="shared" si="59"/>
        <v>-</v>
      </c>
      <c r="P601" s="43" t="str">
        <f t="shared" si="55"/>
        <v>-</v>
      </c>
      <c r="Q601" s="46" t="str">
        <f t="shared" si="56"/>
        <v>-</v>
      </c>
      <c r="S601" s="46" t="str">
        <f t="shared" si="57"/>
        <v>-</v>
      </c>
    </row>
    <row r="602" spans="1:19" ht="15" x14ac:dyDescent="0.3">
      <c r="A602" s="74">
        <v>9223296</v>
      </c>
      <c r="B602" s="37">
        <v>12719</v>
      </c>
      <c r="C602" s="69">
        <v>76280127195</v>
      </c>
      <c r="D602" s="38" t="s">
        <v>419</v>
      </c>
      <c r="E602" s="64">
        <v>8.2372307199999995E-2</v>
      </c>
      <c r="F602" s="70">
        <v>12</v>
      </c>
      <c r="G602" s="38" t="s">
        <v>433</v>
      </c>
      <c r="H602" s="66" t="s">
        <v>1258</v>
      </c>
      <c r="I602" s="39">
        <v>11.505000000000001</v>
      </c>
      <c r="J602" s="40"/>
      <c r="K602" s="75">
        <f t="shared" si="58"/>
        <v>0</v>
      </c>
      <c r="L602" s="41"/>
      <c r="N602" s="45" t="str">
        <f t="shared" si="54"/>
        <v>-</v>
      </c>
      <c r="O602" s="42" t="str">
        <f t="shared" si="59"/>
        <v>-</v>
      </c>
      <c r="P602" s="43" t="str">
        <f t="shared" si="55"/>
        <v>-</v>
      </c>
      <c r="Q602" s="46" t="str">
        <f t="shared" si="56"/>
        <v>-</v>
      </c>
      <c r="S602" s="46" t="str">
        <f t="shared" si="57"/>
        <v>-</v>
      </c>
    </row>
    <row r="603" spans="1:19" ht="15" x14ac:dyDescent="0.3">
      <c r="A603" s="74">
        <v>5916347</v>
      </c>
      <c r="B603" s="37">
        <v>3115</v>
      </c>
      <c r="C603" s="69">
        <v>76280031157</v>
      </c>
      <c r="D603" s="38" t="s">
        <v>904</v>
      </c>
      <c r="E603" s="64">
        <v>5.6750000000000002E-2</v>
      </c>
      <c r="F603" s="70">
        <v>6</v>
      </c>
      <c r="G603" s="38" t="s">
        <v>862</v>
      </c>
      <c r="H603" s="66" t="s">
        <v>1258</v>
      </c>
      <c r="I603" s="39">
        <v>20.572500000000002</v>
      </c>
      <c r="J603" s="40"/>
      <c r="K603" s="75">
        <f t="shared" si="58"/>
        <v>0</v>
      </c>
      <c r="L603" s="41"/>
      <c r="N603" s="45" t="str">
        <f t="shared" si="54"/>
        <v>-</v>
      </c>
      <c r="O603" s="42" t="str">
        <f t="shared" si="59"/>
        <v>-</v>
      </c>
      <c r="P603" s="43" t="str">
        <f t="shared" si="55"/>
        <v>-</v>
      </c>
      <c r="Q603" s="46" t="str">
        <f t="shared" si="56"/>
        <v>-</v>
      </c>
      <c r="S603" s="46" t="str">
        <f t="shared" si="57"/>
        <v>-</v>
      </c>
    </row>
    <row r="604" spans="1:19" ht="15" x14ac:dyDescent="0.3">
      <c r="A604" s="74">
        <v>9030590</v>
      </c>
      <c r="B604" s="37">
        <v>4950</v>
      </c>
      <c r="C604" s="69">
        <v>76280049503</v>
      </c>
      <c r="D604" s="38" t="s">
        <v>905</v>
      </c>
      <c r="E604" s="64">
        <v>5.6750000000000002E-2</v>
      </c>
      <c r="F604" s="70">
        <v>12</v>
      </c>
      <c r="G604" s="38" t="s">
        <v>338</v>
      </c>
      <c r="H604" s="66" t="s">
        <v>1258</v>
      </c>
      <c r="I604" s="39">
        <v>5.6550000000000002</v>
      </c>
      <c r="J604" s="40"/>
      <c r="K604" s="75">
        <f t="shared" si="58"/>
        <v>0</v>
      </c>
      <c r="L604" s="41"/>
      <c r="N604" s="45" t="str">
        <f t="shared" si="54"/>
        <v>-</v>
      </c>
      <c r="O604" s="42" t="str">
        <f t="shared" si="59"/>
        <v>-</v>
      </c>
      <c r="P604" s="43" t="str">
        <f t="shared" si="55"/>
        <v>-</v>
      </c>
      <c r="Q604" s="46" t="str">
        <f t="shared" si="56"/>
        <v>-</v>
      </c>
      <c r="S604" s="46" t="str">
        <f t="shared" si="57"/>
        <v>-</v>
      </c>
    </row>
    <row r="605" spans="1:19" ht="15" x14ac:dyDescent="0.3">
      <c r="A605" s="74">
        <v>8571915</v>
      </c>
      <c r="B605" s="37">
        <v>4791</v>
      </c>
      <c r="C605" s="69">
        <v>76280047912</v>
      </c>
      <c r="D605" s="38" t="s">
        <v>907</v>
      </c>
      <c r="E605" s="64">
        <v>0.13385499919999999</v>
      </c>
      <c r="F605" s="70">
        <v>6</v>
      </c>
      <c r="G605" s="38" t="s">
        <v>364</v>
      </c>
      <c r="H605" s="66" t="s">
        <v>1258</v>
      </c>
      <c r="I605" s="39">
        <v>11.115</v>
      </c>
      <c r="J605" s="40"/>
      <c r="K605" s="75">
        <f t="shared" si="58"/>
        <v>0</v>
      </c>
      <c r="L605" s="41"/>
      <c r="N605" s="45" t="str">
        <f t="shared" si="54"/>
        <v>-</v>
      </c>
      <c r="O605" s="42" t="str">
        <f t="shared" si="59"/>
        <v>-</v>
      </c>
      <c r="P605" s="43" t="str">
        <f t="shared" si="55"/>
        <v>-</v>
      </c>
      <c r="Q605" s="46" t="str">
        <f t="shared" si="56"/>
        <v>-</v>
      </c>
      <c r="S605" s="46" t="str">
        <f t="shared" si="57"/>
        <v>-</v>
      </c>
    </row>
    <row r="606" spans="1:19" ht="15" x14ac:dyDescent="0.3">
      <c r="A606" s="74">
        <v>8722404</v>
      </c>
      <c r="B606" s="37">
        <v>28246</v>
      </c>
      <c r="C606" s="69">
        <v>76280282467</v>
      </c>
      <c r="D606" s="38" t="s">
        <v>911</v>
      </c>
      <c r="E606" s="64">
        <v>5.6750000000000002E-2</v>
      </c>
      <c r="F606" s="70">
        <v>6</v>
      </c>
      <c r="G606" s="38" t="s">
        <v>572</v>
      </c>
      <c r="H606" s="66" t="s">
        <v>1258</v>
      </c>
      <c r="I606" s="39">
        <v>17.403750000000002</v>
      </c>
      <c r="J606" s="40"/>
      <c r="K606" s="75">
        <f t="shared" si="58"/>
        <v>0</v>
      </c>
      <c r="L606" s="41"/>
      <c r="N606" s="45" t="str">
        <f t="shared" si="54"/>
        <v>-</v>
      </c>
      <c r="O606" s="42" t="str">
        <f t="shared" si="59"/>
        <v>-</v>
      </c>
      <c r="P606" s="43" t="str">
        <f t="shared" si="55"/>
        <v>-</v>
      </c>
      <c r="Q606" s="46" t="str">
        <f t="shared" si="56"/>
        <v>-</v>
      </c>
      <c r="S606" s="46" t="str">
        <f t="shared" si="57"/>
        <v>-</v>
      </c>
    </row>
    <row r="607" spans="1:19" ht="15" x14ac:dyDescent="0.3">
      <c r="A607" s="74">
        <v>8547281</v>
      </c>
      <c r="B607" s="37">
        <v>8319</v>
      </c>
      <c r="C607" s="69">
        <v>76280083194</v>
      </c>
      <c r="D607" s="38" t="s">
        <v>915</v>
      </c>
      <c r="E607" s="64">
        <v>5.6750000000000002E-2</v>
      </c>
      <c r="F607" s="70">
        <v>6</v>
      </c>
      <c r="G607" s="38" t="s">
        <v>185</v>
      </c>
      <c r="H607" s="66" t="s">
        <v>1258</v>
      </c>
      <c r="I607" s="39">
        <v>19.89</v>
      </c>
      <c r="J607" s="40"/>
      <c r="K607" s="75">
        <f t="shared" si="58"/>
        <v>0</v>
      </c>
      <c r="L607" s="41"/>
      <c r="N607" s="45" t="str">
        <f t="shared" si="54"/>
        <v>-</v>
      </c>
      <c r="O607" s="42" t="str">
        <f t="shared" si="59"/>
        <v>-</v>
      </c>
      <c r="P607" s="43" t="str">
        <f t="shared" si="55"/>
        <v>-</v>
      </c>
      <c r="Q607" s="46" t="str">
        <f t="shared" si="56"/>
        <v>-</v>
      </c>
      <c r="S607" s="46" t="str">
        <f t="shared" si="57"/>
        <v>-</v>
      </c>
    </row>
    <row r="608" spans="1:19" ht="15" x14ac:dyDescent="0.3">
      <c r="A608" s="74">
        <v>1427976</v>
      </c>
      <c r="B608" s="37">
        <v>1620</v>
      </c>
      <c r="C608" s="69">
        <v>76280016208</v>
      </c>
      <c r="D608" s="38" t="s">
        <v>919</v>
      </c>
      <c r="E608" s="64">
        <v>9.7817114799999993E-2</v>
      </c>
      <c r="F608" s="70">
        <v>6</v>
      </c>
      <c r="G608" s="38" t="s">
        <v>920</v>
      </c>
      <c r="H608" s="66" t="s">
        <v>1258</v>
      </c>
      <c r="I608" s="39">
        <v>6.4350000000000005</v>
      </c>
      <c r="J608" s="40"/>
      <c r="K608" s="75">
        <f t="shared" si="58"/>
        <v>0</v>
      </c>
      <c r="L608" s="41"/>
      <c r="N608" s="45" t="str">
        <f t="shared" si="54"/>
        <v>-</v>
      </c>
      <c r="O608" s="42" t="str">
        <f t="shared" si="59"/>
        <v>-</v>
      </c>
      <c r="P608" s="43" t="str">
        <f t="shared" si="55"/>
        <v>-</v>
      </c>
      <c r="Q608" s="46" t="str">
        <f t="shared" si="56"/>
        <v>-</v>
      </c>
      <c r="S608" s="46" t="str">
        <f t="shared" si="57"/>
        <v>-</v>
      </c>
    </row>
    <row r="609" spans="1:19" ht="15" x14ac:dyDescent="0.3">
      <c r="A609" s="74">
        <v>6102154</v>
      </c>
      <c r="B609" s="37">
        <v>1480</v>
      </c>
      <c r="C609" s="69">
        <v>76280014808</v>
      </c>
      <c r="D609" s="38" t="s">
        <v>921</v>
      </c>
      <c r="E609" s="64">
        <v>8.2372307199999995E-2</v>
      </c>
      <c r="F609" s="70">
        <v>6</v>
      </c>
      <c r="G609" s="38" t="s">
        <v>922</v>
      </c>
      <c r="H609" s="66" t="s">
        <v>1258</v>
      </c>
      <c r="I609" s="39">
        <v>6.1425000000000001</v>
      </c>
      <c r="J609" s="40"/>
      <c r="K609" s="75">
        <f t="shared" si="58"/>
        <v>0</v>
      </c>
      <c r="L609" s="41"/>
      <c r="N609" s="45" t="str">
        <f t="shared" si="54"/>
        <v>-</v>
      </c>
      <c r="O609" s="42" t="str">
        <f t="shared" si="59"/>
        <v>-</v>
      </c>
      <c r="P609" s="43" t="str">
        <f t="shared" si="55"/>
        <v>-</v>
      </c>
      <c r="Q609" s="46" t="str">
        <f t="shared" si="56"/>
        <v>-</v>
      </c>
      <c r="S609" s="46" t="str">
        <f t="shared" si="57"/>
        <v>-</v>
      </c>
    </row>
    <row r="610" spans="1:19" ht="15" x14ac:dyDescent="0.3">
      <c r="A610" s="74">
        <v>9582598</v>
      </c>
      <c r="B610" s="37">
        <v>1690</v>
      </c>
      <c r="C610" s="69">
        <v>76280016901</v>
      </c>
      <c r="D610" s="38" t="s">
        <v>927</v>
      </c>
      <c r="E610" s="64">
        <v>7.7224037999999995E-2</v>
      </c>
      <c r="F610" s="70">
        <v>6</v>
      </c>
      <c r="G610" s="38" t="s">
        <v>928</v>
      </c>
      <c r="H610" s="66" t="s">
        <v>1258</v>
      </c>
      <c r="I610" s="39">
        <v>6.5325000000000006</v>
      </c>
      <c r="J610" s="40"/>
      <c r="K610" s="75">
        <f t="shared" si="58"/>
        <v>0</v>
      </c>
      <c r="L610" s="41"/>
      <c r="N610" s="45" t="str">
        <f t="shared" si="54"/>
        <v>-</v>
      </c>
      <c r="O610" s="42" t="str">
        <f t="shared" si="59"/>
        <v>-</v>
      </c>
      <c r="P610" s="43" t="str">
        <f t="shared" si="55"/>
        <v>-</v>
      </c>
      <c r="Q610" s="46" t="str">
        <f t="shared" si="56"/>
        <v>-</v>
      </c>
      <c r="S610" s="46" t="str">
        <f t="shared" si="57"/>
        <v>-</v>
      </c>
    </row>
    <row r="611" spans="1:19" ht="15" x14ac:dyDescent="0.3">
      <c r="A611" s="74">
        <v>2062875</v>
      </c>
      <c r="B611" s="37">
        <v>13064</v>
      </c>
      <c r="C611" s="69">
        <v>76280130645</v>
      </c>
      <c r="D611" s="38" t="s">
        <v>930</v>
      </c>
      <c r="E611" s="64">
        <v>5.6750000000000002E-2</v>
      </c>
      <c r="F611" s="70">
        <v>12</v>
      </c>
      <c r="G611" s="38" t="s">
        <v>338</v>
      </c>
      <c r="H611" s="66" t="s">
        <v>1258</v>
      </c>
      <c r="I611" s="39">
        <v>8.2875000000000014</v>
      </c>
      <c r="J611" s="40"/>
      <c r="K611" s="75">
        <f t="shared" si="58"/>
        <v>0</v>
      </c>
      <c r="L611" s="41"/>
      <c r="N611" s="45" t="str">
        <f t="shared" si="54"/>
        <v>-</v>
      </c>
      <c r="O611" s="42" t="str">
        <f t="shared" si="59"/>
        <v>-</v>
      </c>
      <c r="P611" s="43" t="str">
        <f t="shared" si="55"/>
        <v>-</v>
      </c>
      <c r="Q611" s="46" t="str">
        <f t="shared" si="56"/>
        <v>-</v>
      </c>
      <c r="S611" s="46" t="str">
        <f t="shared" si="57"/>
        <v>-</v>
      </c>
    </row>
    <row r="612" spans="1:19" ht="15" x14ac:dyDescent="0.3">
      <c r="A612" s="74">
        <v>5452641</v>
      </c>
      <c r="B612" s="37">
        <v>1321</v>
      </c>
      <c r="C612" s="69">
        <v>76280013214</v>
      </c>
      <c r="D612" s="38" t="s">
        <v>931</v>
      </c>
      <c r="E612" s="64">
        <v>0.13385499919999999</v>
      </c>
      <c r="F612" s="70">
        <v>6</v>
      </c>
      <c r="G612" s="38" t="s">
        <v>282</v>
      </c>
      <c r="H612" s="66" t="s">
        <v>1258</v>
      </c>
      <c r="I612" s="39">
        <v>10.383750000000001</v>
      </c>
      <c r="J612" s="40"/>
      <c r="K612" s="75">
        <f t="shared" si="58"/>
        <v>0</v>
      </c>
      <c r="L612" s="41"/>
      <c r="N612" s="45" t="str">
        <f t="shared" si="54"/>
        <v>-</v>
      </c>
      <c r="O612" s="42" t="str">
        <f t="shared" si="59"/>
        <v>-</v>
      </c>
      <c r="P612" s="43" t="str">
        <f t="shared" si="55"/>
        <v>-</v>
      </c>
      <c r="Q612" s="46" t="str">
        <f t="shared" si="56"/>
        <v>-</v>
      </c>
      <c r="S612" s="46" t="str">
        <f t="shared" si="57"/>
        <v>-</v>
      </c>
    </row>
    <row r="613" spans="1:19" ht="15" x14ac:dyDescent="0.3">
      <c r="A613" s="74">
        <v>3097804</v>
      </c>
      <c r="B613" s="37">
        <v>1280</v>
      </c>
      <c r="C613" s="69">
        <v>76280012804</v>
      </c>
      <c r="D613" s="38" t="s">
        <v>933</v>
      </c>
      <c r="E613" s="64">
        <v>0.10811365319999999</v>
      </c>
      <c r="F613" s="70">
        <v>6</v>
      </c>
      <c r="G613" s="38" t="s">
        <v>934</v>
      </c>
      <c r="H613" s="66" t="s">
        <v>1258</v>
      </c>
      <c r="I613" s="39">
        <v>7.0687500000000005</v>
      </c>
      <c r="J613" s="40"/>
      <c r="K613" s="75">
        <f t="shared" si="58"/>
        <v>0</v>
      </c>
      <c r="L613" s="41"/>
      <c r="N613" s="45" t="str">
        <f t="shared" si="54"/>
        <v>-</v>
      </c>
      <c r="O613" s="42" t="str">
        <f t="shared" si="59"/>
        <v>-</v>
      </c>
      <c r="P613" s="43" t="str">
        <f t="shared" si="55"/>
        <v>-</v>
      </c>
      <c r="Q613" s="46" t="str">
        <f t="shared" si="56"/>
        <v>-</v>
      </c>
      <c r="S613" s="46" t="str">
        <f t="shared" si="57"/>
        <v>-</v>
      </c>
    </row>
    <row r="614" spans="1:19" ht="15" x14ac:dyDescent="0.3">
      <c r="A614" s="74">
        <v>9193691</v>
      </c>
      <c r="B614" s="37">
        <v>2260</v>
      </c>
      <c r="C614" s="69">
        <v>76280022605</v>
      </c>
      <c r="D614" s="38" t="s">
        <v>935</v>
      </c>
      <c r="E614" s="64">
        <v>9.7817114799999993E-2</v>
      </c>
      <c r="F614" s="70">
        <v>6</v>
      </c>
      <c r="G614" s="38" t="s">
        <v>154</v>
      </c>
      <c r="H614" s="66" t="s">
        <v>1258</v>
      </c>
      <c r="I614" s="39">
        <v>6.8249999999999993</v>
      </c>
      <c r="J614" s="40"/>
      <c r="K614" s="75">
        <f t="shared" si="58"/>
        <v>0</v>
      </c>
      <c r="L614" s="41"/>
      <c r="N614" s="45" t="str">
        <f t="shared" si="54"/>
        <v>-</v>
      </c>
      <c r="O614" s="42" t="str">
        <f t="shared" si="59"/>
        <v>-</v>
      </c>
      <c r="P614" s="43" t="str">
        <f t="shared" si="55"/>
        <v>-</v>
      </c>
      <c r="Q614" s="46" t="str">
        <f t="shared" si="56"/>
        <v>-</v>
      </c>
      <c r="S614" s="46" t="str">
        <f t="shared" si="57"/>
        <v>-</v>
      </c>
    </row>
    <row r="615" spans="1:19" ht="15" x14ac:dyDescent="0.3">
      <c r="A615" s="74">
        <v>1442153</v>
      </c>
      <c r="B615" s="37">
        <v>17404</v>
      </c>
      <c r="C615" s="69">
        <v>76280174045</v>
      </c>
      <c r="D615" s="38" t="s">
        <v>936</v>
      </c>
      <c r="E615" s="64">
        <v>0.12355846079999999</v>
      </c>
      <c r="F615" s="70">
        <v>6</v>
      </c>
      <c r="G615" s="38" t="s">
        <v>937</v>
      </c>
      <c r="H615" s="66" t="s">
        <v>1258</v>
      </c>
      <c r="I615" s="39">
        <v>12.918750000000001</v>
      </c>
      <c r="J615" s="40"/>
      <c r="K615" s="75">
        <f t="shared" si="58"/>
        <v>0</v>
      </c>
      <c r="L615" s="41"/>
      <c r="N615" s="45" t="str">
        <f t="shared" si="54"/>
        <v>-</v>
      </c>
      <c r="O615" s="42" t="str">
        <f t="shared" si="59"/>
        <v>-</v>
      </c>
      <c r="P615" s="43" t="str">
        <f t="shared" si="55"/>
        <v>-</v>
      </c>
      <c r="Q615" s="46" t="str">
        <f t="shared" si="56"/>
        <v>-</v>
      </c>
      <c r="S615" s="46" t="str">
        <f t="shared" si="57"/>
        <v>-</v>
      </c>
    </row>
    <row r="616" spans="1:19" ht="15" x14ac:dyDescent="0.3">
      <c r="A616" s="74">
        <v>8691137</v>
      </c>
      <c r="B616" s="37">
        <v>1553</v>
      </c>
      <c r="C616" s="69">
        <v>76280015539</v>
      </c>
      <c r="D616" s="38" t="s">
        <v>940</v>
      </c>
      <c r="E616" s="64">
        <v>7.7224037999999995E-2</v>
      </c>
      <c r="F616" s="70">
        <v>6</v>
      </c>
      <c r="G616" s="38" t="s">
        <v>941</v>
      </c>
      <c r="H616" s="66" t="s">
        <v>1258</v>
      </c>
      <c r="I616" s="39">
        <v>7.4587500000000002</v>
      </c>
      <c r="J616" s="40"/>
      <c r="K616" s="75">
        <f t="shared" si="58"/>
        <v>0</v>
      </c>
      <c r="L616" s="41"/>
      <c r="N616" s="45" t="str">
        <f t="shared" si="54"/>
        <v>-</v>
      </c>
      <c r="O616" s="42" t="str">
        <f t="shared" si="59"/>
        <v>-</v>
      </c>
      <c r="P616" s="43" t="str">
        <f t="shared" si="55"/>
        <v>-</v>
      </c>
      <c r="Q616" s="46" t="str">
        <f t="shared" si="56"/>
        <v>-</v>
      </c>
      <c r="S616" s="46" t="str">
        <f t="shared" si="57"/>
        <v>-</v>
      </c>
    </row>
    <row r="617" spans="1:19" ht="15" x14ac:dyDescent="0.3">
      <c r="A617" s="74">
        <v>1618392</v>
      </c>
      <c r="B617" s="37">
        <v>26169</v>
      </c>
      <c r="C617" s="69">
        <v>76280261691</v>
      </c>
      <c r="D617" s="38" t="s">
        <v>945</v>
      </c>
      <c r="E617" s="64">
        <v>5.6750000000000002E-2</v>
      </c>
      <c r="F617" s="70">
        <v>6</v>
      </c>
      <c r="G617" s="38" t="s">
        <v>461</v>
      </c>
      <c r="H617" s="66" t="s">
        <v>1258</v>
      </c>
      <c r="I617" s="39">
        <v>17.355</v>
      </c>
      <c r="J617" s="40"/>
      <c r="K617" s="75">
        <f t="shared" si="58"/>
        <v>0</v>
      </c>
      <c r="L617" s="41"/>
      <c r="N617" s="45" t="str">
        <f t="shared" si="54"/>
        <v>-</v>
      </c>
      <c r="O617" s="42" t="str">
        <f t="shared" si="59"/>
        <v>-</v>
      </c>
      <c r="P617" s="43" t="str">
        <f t="shared" si="55"/>
        <v>-</v>
      </c>
      <c r="Q617" s="46" t="str">
        <f t="shared" si="56"/>
        <v>-</v>
      </c>
      <c r="S617" s="46" t="str">
        <f t="shared" si="57"/>
        <v>-</v>
      </c>
    </row>
    <row r="618" spans="1:19" ht="15" x14ac:dyDescent="0.3">
      <c r="A618" s="74">
        <v>2375947</v>
      </c>
      <c r="B618" s="37">
        <v>4772</v>
      </c>
      <c r="C618" s="69">
        <v>76280047721</v>
      </c>
      <c r="D618" s="38" t="s">
        <v>952</v>
      </c>
      <c r="E618" s="64">
        <v>0.20078249880000001</v>
      </c>
      <c r="F618" s="70">
        <v>6</v>
      </c>
      <c r="G618" s="38" t="s">
        <v>364</v>
      </c>
      <c r="H618" s="66" t="s">
        <v>1258</v>
      </c>
      <c r="I618" s="39">
        <v>14.9175</v>
      </c>
      <c r="J618" s="40"/>
      <c r="K618" s="75">
        <f t="shared" si="58"/>
        <v>0</v>
      </c>
      <c r="L618" s="41"/>
      <c r="N618" s="45" t="str">
        <f t="shared" si="54"/>
        <v>-</v>
      </c>
      <c r="O618" s="42" t="str">
        <f t="shared" si="59"/>
        <v>-</v>
      </c>
      <c r="P618" s="43" t="str">
        <f t="shared" si="55"/>
        <v>-</v>
      </c>
      <c r="Q618" s="46" t="str">
        <f t="shared" si="56"/>
        <v>-</v>
      </c>
      <c r="S618" s="46" t="str">
        <f t="shared" si="57"/>
        <v>-</v>
      </c>
    </row>
    <row r="619" spans="1:19" ht="15" x14ac:dyDescent="0.3">
      <c r="A619" s="74">
        <v>4385244</v>
      </c>
      <c r="B619" s="37">
        <v>97050</v>
      </c>
      <c r="C619" s="69">
        <v>76280970500</v>
      </c>
      <c r="D619" s="38" t="s">
        <v>954</v>
      </c>
      <c r="E619" s="64">
        <v>7.2075768800000009E-2</v>
      </c>
      <c r="F619" s="70">
        <v>6</v>
      </c>
      <c r="G619" s="38" t="s">
        <v>135</v>
      </c>
      <c r="H619" s="66" t="s">
        <v>1258</v>
      </c>
      <c r="I619" s="39">
        <v>18.524999999999999</v>
      </c>
      <c r="J619" s="40"/>
      <c r="K619" s="75">
        <f t="shared" si="58"/>
        <v>0</v>
      </c>
      <c r="L619" s="41"/>
      <c r="N619" s="45" t="str">
        <f t="shared" si="54"/>
        <v>-</v>
      </c>
      <c r="O619" s="42" t="str">
        <f t="shared" si="59"/>
        <v>-</v>
      </c>
      <c r="P619" s="43" t="str">
        <f t="shared" si="55"/>
        <v>-</v>
      </c>
      <c r="Q619" s="46" t="str">
        <f t="shared" si="56"/>
        <v>-</v>
      </c>
      <c r="S619" s="46" t="str">
        <f t="shared" si="57"/>
        <v>-</v>
      </c>
    </row>
    <row r="620" spans="1:19" ht="15" x14ac:dyDescent="0.3">
      <c r="A620" s="74">
        <v>2004055</v>
      </c>
      <c r="B620" s="37">
        <v>1510</v>
      </c>
      <c r="C620" s="69">
        <v>76280015102</v>
      </c>
      <c r="D620" s="38" t="s">
        <v>955</v>
      </c>
      <c r="E620" s="64">
        <v>0.10811365319999999</v>
      </c>
      <c r="F620" s="70">
        <v>6</v>
      </c>
      <c r="G620" s="38" t="s">
        <v>592</v>
      </c>
      <c r="H620" s="66" t="s">
        <v>1258</v>
      </c>
      <c r="I620" s="39">
        <v>6.7275000000000009</v>
      </c>
      <c r="J620" s="40"/>
      <c r="K620" s="75">
        <f t="shared" si="58"/>
        <v>0</v>
      </c>
      <c r="L620" s="41"/>
      <c r="N620" s="45" t="str">
        <f t="shared" si="54"/>
        <v>-</v>
      </c>
      <c r="O620" s="42" t="str">
        <f t="shared" si="59"/>
        <v>-</v>
      </c>
      <c r="P620" s="43" t="str">
        <f t="shared" si="55"/>
        <v>-</v>
      </c>
      <c r="Q620" s="46" t="str">
        <f t="shared" si="56"/>
        <v>-</v>
      </c>
      <c r="S620" s="46" t="str">
        <f t="shared" si="57"/>
        <v>-</v>
      </c>
    </row>
    <row r="621" spans="1:19" ht="15" x14ac:dyDescent="0.3">
      <c r="A621" s="74">
        <v>1748012</v>
      </c>
      <c r="B621" s="37">
        <v>79338</v>
      </c>
      <c r="C621" s="69">
        <v>76280793383</v>
      </c>
      <c r="D621" s="38" t="s">
        <v>956</v>
      </c>
      <c r="E621" s="64">
        <v>0.26770999839999998</v>
      </c>
      <c r="F621" s="70">
        <v>6</v>
      </c>
      <c r="G621" s="38" t="s">
        <v>957</v>
      </c>
      <c r="H621" s="66" t="s">
        <v>1258</v>
      </c>
      <c r="I621" s="39">
        <v>14.625</v>
      </c>
      <c r="J621" s="40"/>
      <c r="K621" s="75">
        <f t="shared" si="58"/>
        <v>0</v>
      </c>
      <c r="L621" s="41"/>
      <c r="N621" s="45" t="str">
        <f t="shared" si="54"/>
        <v>-</v>
      </c>
      <c r="O621" s="42" t="str">
        <f t="shared" si="59"/>
        <v>-</v>
      </c>
      <c r="P621" s="43" t="str">
        <f t="shared" si="55"/>
        <v>-</v>
      </c>
      <c r="Q621" s="46" t="str">
        <f t="shared" si="56"/>
        <v>-</v>
      </c>
      <c r="S621" s="46" t="str">
        <f t="shared" si="57"/>
        <v>-</v>
      </c>
    </row>
    <row r="622" spans="1:19" ht="15" x14ac:dyDescent="0.3">
      <c r="A622" s="74">
        <v>1115046</v>
      </c>
      <c r="B622" s="37">
        <v>37591</v>
      </c>
      <c r="C622" s="69">
        <v>76280375916</v>
      </c>
      <c r="D622" s="38" t="s">
        <v>959</v>
      </c>
      <c r="E622" s="64">
        <v>9.7817114799999993E-2</v>
      </c>
      <c r="F622" s="70">
        <v>6</v>
      </c>
      <c r="G622" s="38" t="s">
        <v>63</v>
      </c>
      <c r="H622" s="66" t="s">
        <v>1258</v>
      </c>
      <c r="I622" s="39">
        <v>22.083750000000002</v>
      </c>
      <c r="J622" s="40"/>
      <c r="K622" s="75">
        <f t="shared" si="58"/>
        <v>0</v>
      </c>
      <c r="L622" s="41"/>
      <c r="N622" s="45" t="str">
        <f t="shared" si="54"/>
        <v>-</v>
      </c>
      <c r="O622" s="42" t="str">
        <f t="shared" si="59"/>
        <v>-</v>
      </c>
      <c r="P622" s="43" t="str">
        <f t="shared" si="55"/>
        <v>-</v>
      </c>
      <c r="Q622" s="46" t="str">
        <f t="shared" si="56"/>
        <v>-</v>
      </c>
      <c r="S622" s="46" t="str">
        <f t="shared" si="57"/>
        <v>-</v>
      </c>
    </row>
    <row r="623" spans="1:19" ht="15" x14ac:dyDescent="0.3">
      <c r="A623" s="74">
        <v>3532303</v>
      </c>
      <c r="B623" s="37">
        <v>3075</v>
      </c>
      <c r="C623" s="69">
        <v>76280030754</v>
      </c>
      <c r="D623" s="38" t="s">
        <v>960</v>
      </c>
      <c r="E623" s="64">
        <v>6.6927499599999996E-2</v>
      </c>
      <c r="F623" s="70">
        <v>6</v>
      </c>
      <c r="G623" s="38" t="s">
        <v>648</v>
      </c>
      <c r="H623" s="66" t="s">
        <v>1258</v>
      </c>
      <c r="I623" s="39">
        <v>11.797499999999999</v>
      </c>
      <c r="J623" s="40"/>
      <c r="K623" s="75">
        <f t="shared" si="58"/>
        <v>0</v>
      </c>
      <c r="L623" s="41"/>
      <c r="N623" s="45" t="str">
        <f t="shared" si="54"/>
        <v>-</v>
      </c>
      <c r="O623" s="42" t="str">
        <f t="shared" si="59"/>
        <v>-</v>
      </c>
      <c r="P623" s="43" t="str">
        <f t="shared" si="55"/>
        <v>-</v>
      </c>
      <c r="Q623" s="46" t="str">
        <f t="shared" si="56"/>
        <v>-</v>
      </c>
      <c r="S623" s="46" t="str">
        <f t="shared" si="57"/>
        <v>-</v>
      </c>
    </row>
    <row r="624" spans="1:19" ht="15" x14ac:dyDescent="0.3">
      <c r="A624" s="74">
        <v>6951080</v>
      </c>
      <c r="B624" s="37">
        <v>10615</v>
      </c>
      <c r="C624" s="69">
        <v>76280106152</v>
      </c>
      <c r="D624" s="38" t="s">
        <v>961</v>
      </c>
      <c r="E624" s="64">
        <v>0.10296538400000001</v>
      </c>
      <c r="F624" s="70">
        <v>12</v>
      </c>
      <c r="G624" s="38" t="s">
        <v>962</v>
      </c>
      <c r="H624" s="66" t="s">
        <v>1258</v>
      </c>
      <c r="I624" s="39">
        <v>13.211250000000001</v>
      </c>
      <c r="J624" s="40"/>
      <c r="K624" s="75">
        <f t="shared" si="58"/>
        <v>0</v>
      </c>
      <c r="L624" s="41"/>
      <c r="N624" s="45" t="str">
        <f t="shared" si="54"/>
        <v>-</v>
      </c>
      <c r="O624" s="42" t="str">
        <f t="shared" si="59"/>
        <v>-</v>
      </c>
      <c r="P624" s="43" t="str">
        <f t="shared" si="55"/>
        <v>-</v>
      </c>
      <c r="Q624" s="46" t="str">
        <f t="shared" si="56"/>
        <v>-</v>
      </c>
      <c r="S624" s="46" t="str">
        <f t="shared" si="57"/>
        <v>-</v>
      </c>
    </row>
    <row r="625" spans="1:19" ht="15" x14ac:dyDescent="0.3">
      <c r="A625" s="74">
        <v>4700045</v>
      </c>
      <c r="B625" s="37">
        <v>1331</v>
      </c>
      <c r="C625" s="69">
        <v>76280013313</v>
      </c>
      <c r="D625" s="38" t="s">
        <v>966</v>
      </c>
      <c r="E625" s="64">
        <v>9.7817114799999993E-2</v>
      </c>
      <c r="F625" s="70">
        <v>6</v>
      </c>
      <c r="G625" s="38" t="s">
        <v>665</v>
      </c>
      <c r="H625" s="66" t="s">
        <v>1258</v>
      </c>
      <c r="I625" s="39">
        <v>6.63</v>
      </c>
      <c r="J625" s="40"/>
      <c r="K625" s="75">
        <f t="shared" si="58"/>
        <v>0</v>
      </c>
      <c r="L625" s="41"/>
      <c r="N625" s="45" t="str">
        <f t="shared" si="54"/>
        <v>-</v>
      </c>
      <c r="O625" s="42" t="str">
        <f t="shared" si="59"/>
        <v>-</v>
      </c>
      <c r="P625" s="43" t="str">
        <f t="shared" si="55"/>
        <v>-</v>
      </c>
      <c r="Q625" s="46" t="str">
        <f t="shared" si="56"/>
        <v>-</v>
      </c>
      <c r="S625" s="46" t="str">
        <f t="shared" si="57"/>
        <v>-</v>
      </c>
    </row>
    <row r="626" spans="1:19" ht="15" x14ac:dyDescent="0.3">
      <c r="A626" s="74">
        <v>3220121</v>
      </c>
      <c r="B626" s="37">
        <v>22770</v>
      </c>
      <c r="C626" s="69">
        <v>76280227703</v>
      </c>
      <c r="D626" s="38" t="s">
        <v>972</v>
      </c>
      <c r="E626" s="64">
        <v>7.2075768800000009E-2</v>
      </c>
      <c r="F626" s="70">
        <v>6</v>
      </c>
      <c r="G626" s="38" t="s">
        <v>98</v>
      </c>
      <c r="H626" s="66" t="s">
        <v>1258</v>
      </c>
      <c r="I626" s="39">
        <v>8.8237500000000004</v>
      </c>
      <c r="J626" s="40"/>
      <c r="K626" s="75">
        <f t="shared" si="58"/>
        <v>0</v>
      </c>
      <c r="L626" s="41"/>
      <c r="N626" s="45" t="str">
        <f t="shared" si="54"/>
        <v>-</v>
      </c>
      <c r="O626" s="42" t="str">
        <f t="shared" si="59"/>
        <v>-</v>
      </c>
      <c r="P626" s="43" t="str">
        <f t="shared" si="55"/>
        <v>-</v>
      </c>
      <c r="Q626" s="46" t="str">
        <f t="shared" si="56"/>
        <v>-</v>
      </c>
      <c r="S626" s="46" t="str">
        <f t="shared" si="57"/>
        <v>-</v>
      </c>
    </row>
    <row r="627" spans="1:19" ht="15" x14ac:dyDescent="0.3">
      <c r="A627" s="74">
        <v>8134094</v>
      </c>
      <c r="B627" s="37">
        <v>2140</v>
      </c>
      <c r="C627" s="69">
        <v>76280021400</v>
      </c>
      <c r="D627" s="38" t="s">
        <v>974</v>
      </c>
      <c r="E627" s="64">
        <v>9.2668845599999994E-2</v>
      </c>
      <c r="F627" s="70">
        <v>6</v>
      </c>
      <c r="G627" s="38" t="s">
        <v>154</v>
      </c>
      <c r="H627" s="66" t="s">
        <v>1258</v>
      </c>
      <c r="I627" s="39">
        <v>5.6550000000000002</v>
      </c>
      <c r="J627" s="40"/>
      <c r="K627" s="75">
        <f t="shared" si="58"/>
        <v>0</v>
      </c>
      <c r="L627" s="41"/>
      <c r="N627" s="45" t="str">
        <f t="shared" si="54"/>
        <v>-</v>
      </c>
      <c r="O627" s="42" t="str">
        <f t="shared" si="59"/>
        <v>-</v>
      </c>
      <c r="P627" s="43" t="str">
        <f t="shared" si="55"/>
        <v>-</v>
      </c>
      <c r="Q627" s="46" t="str">
        <f t="shared" si="56"/>
        <v>-</v>
      </c>
      <c r="S627" s="46" t="str">
        <f t="shared" si="57"/>
        <v>-</v>
      </c>
    </row>
    <row r="628" spans="1:19" ht="15" x14ac:dyDescent="0.3">
      <c r="A628" s="74">
        <v>8784446</v>
      </c>
      <c r="B628" s="37">
        <v>8520</v>
      </c>
      <c r="C628" s="69">
        <v>76280085204</v>
      </c>
      <c r="D628" s="38" t="s">
        <v>891</v>
      </c>
      <c r="E628" s="64">
        <v>7.7224037999999995E-2</v>
      </c>
      <c r="F628" s="70">
        <v>12</v>
      </c>
      <c r="G628" s="38" t="s">
        <v>185</v>
      </c>
      <c r="H628" s="66" t="s">
        <v>1258</v>
      </c>
      <c r="I628" s="39">
        <v>11.26125</v>
      </c>
      <c r="J628" s="40"/>
      <c r="K628" s="75">
        <f t="shared" si="58"/>
        <v>0</v>
      </c>
      <c r="L628" s="41"/>
      <c r="N628" s="45" t="str">
        <f t="shared" si="54"/>
        <v>-</v>
      </c>
      <c r="O628" s="42" t="str">
        <f t="shared" si="59"/>
        <v>-</v>
      </c>
      <c r="P628" s="43" t="str">
        <f t="shared" si="55"/>
        <v>-</v>
      </c>
      <c r="Q628" s="46" t="str">
        <f t="shared" si="56"/>
        <v>-</v>
      </c>
      <c r="S628" s="46" t="str">
        <f t="shared" si="57"/>
        <v>-</v>
      </c>
    </row>
    <row r="629" spans="1:19" ht="15" x14ac:dyDescent="0.3">
      <c r="A629" s="74">
        <v>9305182</v>
      </c>
      <c r="B629" s="37">
        <v>79645</v>
      </c>
      <c r="C629" s="69">
        <v>76280796452</v>
      </c>
      <c r="D629" s="38" t="s">
        <v>744</v>
      </c>
      <c r="E629" s="64">
        <v>5.6750000000000002E-2</v>
      </c>
      <c r="F629" s="70">
        <v>12</v>
      </c>
      <c r="G629" s="38" t="s">
        <v>978</v>
      </c>
      <c r="H629" s="66" t="s">
        <v>1258</v>
      </c>
      <c r="I629" s="39">
        <v>5.5087500000000009</v>
      </c>
      <c r="J629" s="40"/>
      <c r="K629" s="75">
        <f t="shared" si="58"/>
        <v>0</v>
      </c>
      <c r="L629" s="41"/>
      <c r="N629" s="45" t="str">
        <f t="shared" si="54"/>
        <v>-</v>
      </c>
      <c r="O629" s="42" t="str">
        <f t="shared" si="59"/>
        <v>-</v>
      </c>
      <c r="P629" s="43" t="str">
        <f t="shared" si="55"/>
        <v>-</v>
      </c>
      <c r="Q629" s="46" t="str">
        <f t="shared" si="56"/>
        <v>-</v>
      </c>
      <c r="S629" s="46" t="str">
        <f t="shared" si="57"/>
        <v>-</v>
      </c>
    </row>
    <row r="630" spans="1:19" ht="15" x14ac:dyDescent="0.3">
      <c r="A630" s="74">
        <v>1953431</v>
      </c>
      <c r="B630" s="37">
        <v>4794</v>
      </c>
      <c r="C630" s="69">
        <v>76280047943</v>
      </c>
      <c r="D630" s="38" t="s">
        <v>981</v>
      </c>
      <c r="E630" s="64">
        <v>0.10296538400000001</v>
      </c>
      <c r="F630" s="70">
        <v>6</v>
      </c>
      <c r="G630" s="38" t="s">
        <v>63</v>
      </c>
      <c r="H630" s="66" t="s">
        <v>1258</v>
      </c>
      <c r="I630" s="39">
        <v>11.16375</v>
      </c>
      <c r="J630" s="40"/>
      <c r="K630" s="75">
        <f t="shared" si="58"/>
        <v>0</v>
      </c>
      <c r="L630" s="41"/>
      <c r="N630" s="45" t="str">
        <f t="shared" si="54"/>
        <v>-</v>
      </c>
      <c r="O630" s="42" t="str">
        <f t="shared" si="59"/>
        <v>-</v>
      </c>
      <c r="P630" s="43" t="str">
        <f t="shared" si="55"/>
        <v>-</v>
      </c>
      <c r="Q630" s="46" t="str">
        <f t="shared" si="56"/>
        <v>-</v>
      </c>
      <c r="S630" s="46" t="str">
        <f t="shared" si="57"/>
        <v>-</v>
      </c>
    </row>
    <row r="631" spans="1:19" ht="15" x14ac:dyDescent="0.3">
      <c r="A631" s="74">
        <v>2014920</v>
      </c>
      <c r="B631" s="37">
        <v>836</v>
      </c>
      <c r="C631" s="69">
        <v>76280008364</v>
      </c>
      <c r="D631" s="38" t="s">
        <v>984</v>
      </c>
      <c r="E631" s="64">
        <v>0.10296538400000001</v>
      </c>
      <c r="F631" s="70">
        <v>12</v>
      </c>
      <c r="G631" s="38" t="s">
        <v>400</v>
      </c>
      <c r="H631" s="66" t="s">
        <v>1258</v>
      </c>
      <c r="I631" s="39">
        <v>14.283750000000001</v>
      </c>
      <c r="J631" s="40"/>
      <c r="K631" s="75">
        <f t="shared" si="58"/>
        <v>0</v>
      </c>
      <c r="L631" s="41"/>
      <c r="N631" s="45" t="str">
        <f t="shared" si="54"/>
        <v>-</v>
      </c>
      <c r="O631" s="42" t="str">
        <f t="shared" si="59"/>
        <v>-</v>
      </c>
      <c r="P631" s="43" t="str">
        <f t="shared" si="55"/>
        <v>-</v>
      </c>
      <c r="Q631" s="46" t="str">
        <f t="shared" si="56"/>
        <v>-</v>
      </c>
      <c r="S631" s="46" t="str">
        <f t="shared" si="57"/>
        <v>-</v>
      </c>
    </row>
    <row r="632" spans="1:19" ht="15" x14ac:dyDescent="0.3">
      <c r="A632" s="74">
        <v>4931587</v>
      </c>
      <c r="B632" s="37">
        <v>36738</v>
      </c>
      <c r="C632" s="69">
        <v>76280367386</v>
      </c>
      <c r="D632" s="38" t="s">
        <v>988</v>
      </c>
      <c r="E632" s="64">
        <v>7.2075768800000009E-2</v>
      </c>
      <c r="F632" s="70">
        <v>6</v>
      </c>
      <c r="G632" s="38" t="s">
        <v>490</v>
      </c>
      <c r="H632" s="66" t="s">
        <v>1258</v>
      </c>
      <c r="I632" s="39">
        <v>16.623750000000001</v>
      </c>
      <c r="J632" s="40"/>
      <c r="K632" s="75">
        <f t="shared" si="58"/>
        <v>0</v>
      </c>
      <c r="L632" s="41"/>
      <c r="N632" s="45" t="str">
        <f t="shared" si="54"/>
        <v>-</v>
      </c>
      <c r="O632" s="42" t="str">
        <f t="shared" si="59"/>
        <v>-</v>
      </c>
      <c r="P632" s="43" t="str">
        <f t="shared" si="55"/>
        <v>-</v>
      </c>
      <c r="Q632" s="46" t="str">
        <f t="shared" si="56"/>
        <v>-</v>
      </c>
      <c r="S632" s="46" t="str">
        <f t="shared" si="57"/>
        <v>-</v>
      </c>
    </row>
    <row r="633" spans="1:19" ht="15" x14ac:dyDescent="0.3">
      <c r="A633" s="74">
        <v>5036394</v>
      </c>
      <c r="B633" s="37">
        <v>17398</v>
      </c>
      <c r="C633" s="69">
        <v>76280173987</v>
      </c>
      <c r="D633" s="38" t="s">
        <v>993</v>
      </c>
      <c r="E633" s="64">
        <v>6.6927499599999996E-2</v>
      </c>
      <c r="F633" s="70">
        <v>6</v>
      </c>
      <c r="G633" s="38" t="s">
        <v>185</v>
      </c>
      <c r="H633" s="66" t="s">
        <v>1258</v>
      </c>
      <c r="I633" s="39">
        <v>8.3849999999999998</v>
      </c>
      <c r="J633" s="40"/>
      <c r="K633" s="75">
        <f t="shared" si="58"/>
        <v>0</v>
      </c>
      <c r="L633" s="41"/>
      <c r="N633" s="45" t="str">
        <f t="shared" si="54"/>
        <v>-</v>
      </c>
      <c r="O633" s="42" t="str">
        <f t="shared" si="59"/>
        <v>-</v>
      </c>
      <c r="P633" s="43" t="str">
        <f t="shared" si="55"/>
        <v>-</v>
      </c>
      <c r="Q633" s="46" t="str">
        <f t="shared" si="56"/>
        <v>-</v>
      </c>
      <c r="S633" s="46" t="str">
        <f t="shared" si="57"/>
        <v>-</v>
      </c>
    </row>
    <row r="634" spans="1:19" ht="15" x14ac:dyDescent="0.3">
      <c r="A634" s="74">
        <v>6285677</v>
      </c>
      <c r="B634" s="37">
        <v>36510</v>
      </c>
      <c r="C634" s="69">
        <v>76280365108</v>
      </c>
      <c r="D634" s="38" t="s">
        <v>998</v>
      </c>
      <c r="E634" s="64">
        <v>6.6927499599999996E-2</v>
      </c>
      <c r="F634" s="70">
        <v>6</v>
      </c>
      <c r="G634" s="38" t="s">
        <v>999</v>
      </c>
      <c r="H634" s="66" t="s">
        <v>1258</v>
      </c>
      <c r="I634" s="39">
        <v>26.568750000000001</v>
      </c>
      <c r="J634" s="40"/>
      <c r="K634" s="75">
        <f t="shared" si="58"/>
        <v>0</v>
      </c>
      <c r="L634" s="41"/>
      <c r="N634" s="45" t="str">
        <f t="shared" si="54"/>
        <v>-</v>
      </c>
      <c r="O634" s="42" t="str">
        <f t="shared" si="59"/>
        <v>-</v>
      </c>
      <c r="P634" s="43" t="str">
        <f t="shared" si="55"/>
        <v>-</v>
      </c>
      <c r="Q634" s="46" t="str">
        <f t="shared" si="56"/>
        <v>-</v>
      </c>
      <c r="S634" s="46" t="str">
        <f t="shared" si="57"/>
        <v>-</v>
      </c>
    </row>
    <row r="635" spans="1:19" ht="15" x14ac:dyDescent="0.3">
      <c r="A635" s="74">
        <v>2699505</v>
      </c>
      <c r="B635" s="37">
        <v>4126</v>
      </c>
      <c r="C635" s="69">
        <v>76280041262</v>
      </c>
      <c r="D635" s="38" t="s">
        <v>1002</v>
      </c>
      <c r="E635" s="64">
        <v>5.6750000000000002E-2</v>
      </c>
      <c r="F635" s="70">
        <v>6</v>
      </c>
      <c r="G635" s="38" t="s">
        <v>177</v>
      </c>
      <c r="H635" s="66" t="s">
        <v>1258</v>
      </c>
      <c r="I635" s="39">
        <v>18.08625</v>
      </c>
      <c r="J635" s="40"/>
      <c r="K635" s="75">
        <f t="shared" si="58"/>
        <v>0</v>
      </c>
      <c r="L635" s="41"/>
      <c r="N635" s="45" t="str">
        <f t="shared" si="54"/>
        <v>-</v>
      </c>
      <c r="O635" s="42" t="str">
        <f t="shared" si="59"/>
        <v>-</v>
      </c>
      <c r="P635" s="43" t="str">
        <f t="shared" si="55"/>
        <v>-</v>
      </c>
      <c r="Q635" s="46" t="str">
        <f t="shared" si="56"/>
        <v>-</v>
      </c>
      <c r="S635" s="46" t="str">
        <f t="shared" si="57"/>
        <v>-</v>
      </c>
    </row>
    <row r="636" spans="1:19" ht="15" x14ac:dyDescent="0.3">
      <c r="A636" s="74">
        <v>9575442</v>
      </c>
      <c r="B636" s="37">
        <v>9010</v>
      </c>
      <c r="C636" s="69">
        <v>76280090109</v>
      </c>
      <c r="D636" s="38" t="s">
        <v>1005</v>
      </c>
      <c r="E636" s="64">
        <v>5.6750000000000002E-2</v>
      </c>
      <c r="F636" s="70">
        <v>6</v>
      </c>
      <c r="G636" s="38" t="s">
        <v>160</v>
      </c>
      <c r="H636" s="66" t="s">
        <v>1258</v>
      </c>
      <c r="I636" s="39">
        <v>10.432500000000001</v>
      </c>
      <c r="J636" s="40"/>
      <c r="K636" s="75">
        <f t="shared" si="58"/>
        <v>0</v>
      </c>
      <c r="L636" s="41"/>
      <c r="N636" s="45" t="str">
        <f t="shared" si="54"/>
        <v>-</v>
      </c>
      <c r="O636" s="42" t="str">
        <f t="shared" si="59"/>
        <v>-</v>
      </c>
      <c r="P636" s="43" t="str">
        <f t="shared" si="55"/>
        <v>-</v>
      </c>
      <c r="Q636" s="46" t="str">
        <f t="shared" si="56"/>
        <v>-</v>
      </c>
      <c r="S636" s="46" t="str">
        <f t="shared" si="57"/>
        <v>-</v>
      </c>
    </row>
    <row r="637" spans="1:19" ht="15" x14ac:dyDescent="0.3">
      <c r="A637" s="74">
        <v>4992283</v>
      </c>
      <c r="B637" s="37">
        <v>1378</v>
      </c>
      <c r="C637" s="69">
        <v>76280013788</v>
      </c>
      <c r="D637" s="38" t="s">
        <v>1010</v>
      </c>
      <c r="E637" s="64">
        <v>0.10811365319999999</v>
      </c>
      <c r="F637" s="70">
        <v>6</v>
      </c>
      <c r="G637" s="38" t="s">
        <v>282</v>
      </c>
      <c r="H637" s="66" t="s">
        <v>1258</v>
      </c>
      <c r="I637" s="39">
        <v>13.601249999999999</v>
      </c>
      <c r="J637" s="40"/>
      <c r="K637" s="75">
        <f t="shared" si="58"/>
        <v>0</v>
      </c>
      <c r="L637" s="41"/>
      <c r="N637" s="45" t="str">
        <f t="shared" si="54"/>
        <v>-</v>
      </c>
      <c r="O637" s="42" t="str">
        <f t="shared" si="59"/>
        <v>-</v>
      </c>
      <c r="P637" s="43" t="str">
        <f t="shared" si="55"/>
        <v>-</v>
      </c>
      <c r="Q637" s="46" t="str">
        <f t="shared" si="56"/>
        <v>-</v>
      </c>
      <c r="S637" s="46" t="str">
        <f t="shared" si="57"/>
        <v>-</v>
      </c>
    </row>
    <row r="638" spans="1:19" ht="15" x14ac:dyDescent="0.3">
      <c r="A638" s="74">
        <v>6552047</v>
      </c>
      <c r="B638" s="37">
        <v>3797</v>
      </c>
      <c r="C638" s="69">
        <v>76280037975</v>
      </c>
      <c r="D638" s="38" t="s">
        <v>1011</v>
      </c>
      <c r="E638" s="64">
        <v>7.2075768800000009E-2</v>
      </c>
      <c r="F638" s="70">
        <v>6</v>
      </c>
      <c r="G638" s="38" t="s">
        <v>626</v>
      </c>
      <c r="H638" s="66" t="s">
        <v>1258</v>
      </c>
      <c r="I638" s="39">
        <v>12.33375</v>
      </c>
      <c r="J638" s="40"/>
      <c r="K638" s="75">
        <f t="shared" si="58"/>
        <v>0</v>
      </c>
      <c r="L638" s="41"/>
      <c r="N638" s="45" t="str">
        <f t="shared" si="54"/>
        <v>-</v>
      </c>
      <c r="O638" s="42" t="str">
        <f t="shared" si="59"/>
        <v>-</v>
      </c>
      <c r="P638" s="43" t="str">
        <f t="shared" si="55"/>
        <v>-</v>
      </c>
      <c r="Q638" s="46" t="str">
        <f t="shared" si="56"/>
        <v>-</v>
      </c>
      <c r="S638" s="46" t="str">
        <f t="shared" si="57"/>
        <v>-</v>
      </c>
    </row>
    <row r="639" spans="1:19" ht="15" x14ac:dyDescent="0.3">
      <c r="A639" s="74">
        <v>9831751</v>
      </c>
      <c r="B639" s="37">
        <v>1560</v>
      </c>
      <c r="C639" s="69">
        <v>76280015607</v>
      </c>
      <c r="D639" s="38" t="s">
        <v>1013</v>
      </c>
      <c r="E639" s="64">
        <v>8.7520576400000008E-2</v>
      </c>
      <c r="F639" s="70">
        <v>6</v>
      </c>
      <c r="G639" s="38" t="s">
        <v>870</v>
      </c>
      <c r="H639" s="66" t="s">
        <v>1258</v>
      </c>
      <c r="I639" s="39">
        <v>9.7987500000000018</v>
      </c>
      <c r="J639" s="40"/>
      <c r="K639" s="75">
        <f t="shared" si="58"/>
        <v>0</v>
      </c>
      <c r="L639" s="41"/>
      <c r="N639" s="45" t="str">
        <f t="shared" si="54"/>
        <v>-</v>
      </c>
      <c r="O639" s="42" t="str">
        <f t="shared" si="59"/>
        <v>-</v>
      </c>
      <c r="P639" s="43" t="str">
        <f t="shared" si="55"/>
        <v>-</v>
      </c>
      <c r="Q639" s="46" t="str">
        <f t="shared" si="56"/>
        <v>-</v>
      </c>
      <c r="S639" s="46" t="str">
        <f t="shared" si="57"/>
        <v>-</v>
      </c>
    </row>
    <row r="640" spans="1:19" ht="15" x14ac:dyDescent="0.3">
      <c r="A640" s="74">
        <v>8090433</v>
      </c>
      <c r="B640" s="37">
        <v>8379</v>
      </c>
      <c r="C640" s="69">
        <v>76280083798</v>
      </c>
      <c r="D640" s="38" t="s">
        <v>1014</v>
      </c>
      <c r="E640" s="64">
        <v>6.6927499599999996E-2</v>
      </c>
      <c r="F640" s="70">
        <v>6</v>
      </c>
      <c r="G640" s="38" t="s">
        <v>34</v>
      </c>
      <c r="H640" s="66" t="s">
        <v>1258</v>
      </c>
      <c r="I640" s="39">
        <v>16.8675</v>
      </c>
      <c r="J640" s="40"/>
      <c r="K640" s="75">
        <f t="shared" si="58"/>
        <v>0</v>
      </c>
      <c r="L640" s="41"/>
      <c r="N640" s="45" t="str">
        <f t="shared" si="54"/>
        <v>-</v>
      </c>
      <c r="O640" s="42" t="str">
        <f t="shared" si="59"/>
        <v>-</v>
      </c>
      <c r="P640" s="43" t="str">
        <f t="shared" si="55"/>
        <v>-</v>
      </c>
      <c r="Q640" s="46" t="str">
        <f t="shared" si="56"/>
        <v>-</v>
      </c>
      <c r="S640" s="46" t="str">
        <f t="shared" si="57"/>
        <v>-</v>
      </c>
    </row>
    <row r="641" spans="1:19" ht="15" x14ac:dyDescent="0.3">
      <c r="A641" s="74">
        <v>9984591</v>
      </c>
      <c r="B641" s="37">
        <v>11992</v>
      </c>
      <c r="C641" s="69">
        <v>76280119923</v>
      </c>
      <c r="D641" s="38" t="s">
        <v>1015</v>
      </c>
      <c r="E641" s="64">
        <v>9.2668845599999994E-2</v>
      </c>
      <c r="F641" s="70">
        <v>6</v>
      </c>
      <c r="G641" s="38" t="s">
        <v>870</v>
      </c>
      <c r="H641" s="66" t="s">
        <v>1258</v>
      </c>
      <c r="I641" s="39">
        <v>8.9699999999999989</v>
      </c>
      <c r="J641" s="40"/>
      <c r="K641" s="75">
        <f t="shared" si="58"/>
        <v>0</v>
      </c>
      <c r="L641" s="41"/>
      <c r="N641" s="45" t="str">
        <f t="shared" si="54"/>
        <v>-</v>
      </c>
      <c r="O641" s="42" t="str">
        <f t="shared" si="59"/>
        <v>-</v>
      </c>
      <c r="P641" s="43" t="str">
        <f t="shared" si="55"/>
        <v>-</v>
      </c>
      <c r="Q641" s="46" t="str">
        <f t="shared" si="56"/>
        <v>-</v>
      </c>
      <c r="S641" s="46" t="str">
        <f t="shared" si="57"/>
        <v>-</v>
      </c>
    </row>
    <row r="642" spans="1:19" ht="15" x14ac:dyDescent="0.3">
      <c r="A642" s="74">
        <v>4871844</v>
      </c>
      <c r="B642" s="37">
        <v>73176</v>
      </c>
      <c r="C642" s="69">
        <v>76280731767</v>
      </c>
      <c r="D642" s="38" t="s">
        <v>1016</v>
      </c>
      <c r="E642" s="64">
        <v>9.2668845599999994E-2</v>
      </c>
      <c r="F642" s="70">
        <v>6</v>
      </c>
      <c r="G642" s="38" t="s">
        <v>1017</v>
      </c>
      <c r="H642" s="66" t="s">
        <v>1258</v>
      </c>
      <c r="I642" s="39">
        <v>10.627500000000001</v>
      </c>
      <c r="J642" s="40"/>
      <c r="K642" s="75">
        <f t="shared" si="58"/>
        <v>0</v>
      </c>
      <c r="L642" s="41"/>
      <c r="N642" s="45" t="str">
        <f t="shared" si="54"/>
        <v>-</v>
      </c>
      <c r="O642" s="42" t="str">
        <f t="shared" si="59"/>
        <v>-</v>
      </c>
      <c r="P642" s="43" t="str">
        <f t="shared" si="55"/>
        <v>-</v>
      </c>
      <c r="Q642" s="46" t="str">
        <f t="shared" si="56"/>
        <v>-</v>
      </c>
      <c r="S642" s="46" t="str">
        <f t="shared" si="57"/>
        <v>-</v>
      </c>
    </row>
    <row r="643" spans="1:19" ht="15" x14ac:dyDescent="0.3">
      <c r="A643" s="74">
        <v>1807741</v>
      </c>
      <c r="B643" s="37">
        <v>57114</v>
      </c>
      <c r="C643" s="69">
        <v>76280571141</v>
      </c>
      <c r="D643" s="38" t="s">
        <v>1018</v>
      </c>
      <c r="E643" s="64">
        <v>9.2668845599999994E-2</v>
      </c>
      <c r="F643" s="70">
        <v>6</v>
      </c>
      <c r="G643" s="38" t="s">
        <v>135</v>
      </c>
      <c r="H643" s="66" t="s">
        <v>1258</v>
      </c>
      <c r="I643" s="39">
        <v>18.524999999999999</v>
      </c>
      <c r="J643" s="40"/>
      <c r="K643" s="75">
        <f t="shared" si="58"/>
        <v>0</v>
      </c>
      <c r="L643" s="41"/>
      <c r="N643" s="45" t="str">
        <f t="shared" ref="N643:N706" si="60">IFERROR(IF($N$2*E643=0, "-", $N$2*E643), "-")</f>
        <v>-</v>
      </c>
      <c r="O643" s="42" t="str">
        <f t="shared" si="59"/>
        <v>-</v>
      </c>
      <c r="P643" s="43" t="str">
        <f t="shared" ref="P643:P706" si="61">IF(J643&gt;0,J643*E643, "-")</f>
        <v>-</v>
      </c>
      <c r="Q643" s="46" t="str">
        <f t="shared" ref="Q643:Q706" si="62">IFERROR(IF($N$2&gt;0, $N$2*P643, "-"), "-")</f>
        <v>-</v>
      </c>
      <c r="S643" s="46" t="str">
        <f t="shared" ref="S643:S706" si="63">IFERROR(IF(Q643+K643=0, "-", IF(Q643&gt;0, Q643+K643, "-")), "-")</f>
        <v>-</v>
      </c>
    </row>
    <row r="644" spans="1:19" ht="15" x14ac:dyDescent="0.3">
      <c r="A644" s="74">
        <v>6542059</v>
      </c>
      <c r="B644" s="37">
        <v>4370</v>
      </c>
      <c r="C644" s="69">
        <v>76280043709</v>
      </c>
      <c r="D644" s="38" t="s">
        <v>477</v>
      </c>
      <c r="E644" s="64">
        <v>7.2075768800000009E-2</v>
      </c>
      <c r="F644" s="70">
        <v>12</v>
      </c>
      <c r="G644" s="38" t="s">
        <v>240</v>
      </c>
      <c r="H644" s="66" t="s">
        <v>1258</v>
      </c>
      <c r="I644" s="39">
        <v>5.8500000000000005</v>
      </c>
      <c r="J644" s="40"/>
      <c r="K644" s="75">
        <f t="shared" ref="K644:K707" si="64">J644*I644</f>
        <v>0</v>
      </c>
      <c r="L644" s="41"/>
      <c r="N644" s="45" t="str">
        <f t="shared" si="60"/>
        <v>-</v>
      </c>
      <c r="O644" s="42" t="str">
        <f t="shared" ref="O644:O707" si="65">IFERROR(IF(N644&gt;0,I644+N644,"-"),"-")</f>
        <v>-</v>
      </c>
      <c r="P644" s="43" t="str">
        <f t="shared" si="61"/>
        <v>-</v>
      </c>
      <c r="Q644" s="46" t="str">
        <f t="shared" si="62"/>
        <v>-</v>
      </c>
      <c r="S644" s="46" t="str">
        <f t="shared" si="63"/>
        <v>-</v>
      </c>
    </row>
    <row r="645" spans="1:19" ht="15" x14ac:dyDescent="0.3">
      <c r="A645" s="74">
        <v>5412888</v>
      </c>
      <c r="B645" s="37">
        <v>38170</v>
      </c>
      <c r="C645" s="69">
        <v>76280381702</v>
      </c>
      <c r="D645" s="38" t="s">
        <v>1019</v>
      </c>
      <c r="E645" s="64">
        <v>7.7224037999999995E-2</v>
      </c>
      <c r="F645" s="70">
        <v>6</v>
      </c>
      <c r="G645" s="38" t="s">
        <v>1020</v>
      </c>
      <c r="H645" s="66" t="s">
        <v>1258</v>
      </c>
      <c r="I645" s="39">
        <v>9.1650000000000009</v>
      </c>
      <c r="J645" s="40"/>
      <c r="K645" s="75">
        <f t="shared" si="64"/>
        <v>0</v>
      </c>
      <c r="L645" s="41"/>
      <c r="N645" s="45" t="str">
        <f t="shared" si="60"/>
        <v>-</v>
      </c>
      <c r="O645" s="42" t="str">
        <f t="shared" si="65"/>
        <v>-</v>
      </c>
      <c r="P645" s="43" t="str">
        <f t="shared" si="61"/>
        <v>-</v>
      </c>
      <c r="Q645" s="46" t="str">
        <f t="shared" si="62"/>
        <v>-</v>
      </c>
      <c r="S645" s="46" t="str">
        <f t="shared" si="63"/>
        <v>-</v>
      </c>
    </row>
    <row r="646" spans="1:19" ht="15" x14ac:dyDescent="0.3">
      <c r="A646" s="74">
        <v>6139281</v>
      </c>
      <c r="B646" s="37">
        <v>57786</v>
      </c>
      <c r="C646" s="69">
        <v>76280577860</v>
      </c>
      <c r="D646" s="38" t="s">
        <v>1021</v>
      </c>
      <c r="E646" s="64">
        <v>5.6750000000000002E-2</v>
      </c>
      <c r="F646" s="70">
        <v>6</v>
      </c>
      <c r="G646" s="38" t="s">
        <v>135</v>
      </c>
      <c r="H646" s="66" t="s">
        <v>1258</v>
      </c>
      <c r="I646" s="39">
        <v>11.115</v>
      </c>
      <c r="J646" s="40"/>
      <c r="K646" s="75">
        <f t="shared" si="64"/>
        <v>0</v>
      </c>
      <c r="L646" s="41"/>
      <c r="N646" s="45" t="str">
        <f t="shared" si="60"/>
        <v>-</v>
      </c>
      <c r="O646" s="42" t="str">
        <f t="shared" si="65"/>
        <v>-</v>
      </c>
      <c r="P646" s="43" t="str">
        <f t="shared" si="61"/>
        <v>-</v>
      </c>
      <c r="Q646" s="46" t="str">
        <f t="shared" si="62"/>
        <v>-</v>
      </c>
      <c r="S646" s="46" t="str">
        <f t="shared" si="63"/>
        <v>-</v>
      </c>
    </row>
    <row r="647" spans="1:19" ht="15" x14ac:dyDescent="0.3">
      <c r="A647" s="74">
        <v>6608782</v>
      </c>
      <c r="B647" s="37">
        <v>874</v>
      </c>
      <c r="C647" s="69">
        <v>76280008746</v>
      </c>
      <c r="D647" s="38" t="s">
        <v>1023</v>
      </c>
      <c r="E647" s="64">
        <v>5.6750000000000002E-2</v>
      </c>
      <c r="F647" s="70">
        <v>6</v>
      </c>
      <c r="G647" s="38" t="s">
        <v>461</v>
      </c>
      <c r="H647" s="66" t="s">
        <v>1258</v>
      </c>
      <c r="I647" s="39">
        <v>10.939500000000002</v>
      </c>
      <c r="J647" s="40"/>
      <c r="K647" s="75">
        <f t="shared" si="64"/>
        <v>0</v>
      </c>
      <c r="L647" s="41"/>
      <c r="N647" s="45" t="str">
        <f t="shared" si="60"/>
        <v>-</v>
      </c>
      <c r="O647" s="42" t="str">
        <f t="shared" si="65"/>
        <v>-</v>
      </c>
      <c r="P647" s="43" t="str">
        <f t="shared" si="61"/>
        <v>-</v>
      </c>
      <c r="Q647" s="46" t="str">
        <f t="shared" si="62"/>
        <v>-</v>
      </c>
      <c r="S647" s="46" t="str">
        <f t="shared" si="63"/>
        <v>-</v>
      </c>
    </row>
    <row r="648" spans="1:19" ht="15" x14ac:dyDescent="0.3">
      <c r="A648" s="74">
        <v>8378606</v>
      </c>
      <c r="B648" s="37">
        <v>25103</v>
      </c>
      <c r="C648" s="69">
        <v>76280251036</v>
      </c>
      <c r="D648" s="38" t="s">
        <v>1025</v>
      </c>
      <c r="E648" s="64">
        <v>0.13385499919999999</v>
      </c>
      <c r="F648" s="70">
        <v>6</v>
      </c>
      <c r="G648" s="38" t="s">
        <v>1026</v>
      </c>
      <c r="H648" s="66" t="s">
        <v>1258</v>
      </c>
      <c r="I648" s="39">
        <v>18.963750000000001</v>
      </c>
      <c r="J648" s="40"/>
      <c r="K648" s="75">
        <f t="shared" si="64"/>
        <v>0</v>
      </c>
      <c r="L648" s="41"/>
      <c r="N648" s="45" t="str">
        <f t="shared" si="60"/>
        <v>-</v>
      </c>
      <c r="O648" s="42" t="str">
        <f t="shared" si="65"/>
        <v>-</v>
      </c>
      <c r="P648" s="43" t="str">
        <f t="shared" si="61"/>
        <v>-</v>
      </c>
      <c r="Q648" s="46" t="str">
        <f t="shared" si="62"/>
        <v>-</v>
      </c>
      <c r="S648" s="46" t="str">
        <f t="shared" si="63"/>
        <v>-</v>
      </c>
    </row>
    <row r="649" spans="1:19" ht="15" x14ac:dyDescent="0.3">
      <c r="A649" s="74">
        <v>2664921</v>
      </c>
      <c r="B649" s="37">
        <v>3690</v>
      </c>
      <c r="C649" s="69">
        <v>76280036909</v>
      </c>
      <c r="D649" s="38" t="s">
        <v>1027</v>
      </c>
      <c r="E649" s="64">
        <v>6.1779230399999996E-2</v>
      </c>
      <c r="F649" s="70">
        <v>6</v>
      </c>
      <c r="G649" s="38" t="s">
        <v>1028</v>
      </c>
      <c r="H649" s="66" t="s">
        <v>1258</v>
      </c>
      <c r="I649" s="39">
        <v>13.11375</v>
      </c>
      <c r="J649" s="40"/>
      <c r="K649" s="75">
        <f t="shared" si="64"/>
        <v>0</v>
      </c>
      <c r="L649" s="41"/>
      <c r="N649" s="45" t="str">
        <f t="shared" si="60"/>
        <v>-</v>
      </c>
      <c r="O649" s="42" t="str">
        <f t="shared" si="65"/>
        <v>-</v>
      </c>
      <c r="P649" s="43" t="str">
        <f t="shared" si="61"/>
        <v>-</v>
      </c>
      <c r="Q649" s="46" t="str">
        <f t="shared" si="62"/>
        <v>-</v>
      </c>
      <c r="S649" s="46" t="str">
        <f t="shared" si="63"/>
        <v>-</v>
      </c>
    </row>
    <row r="650" spans="1:19" ht="15" x14ac:dyDescent="0.3">
      <c r="A650" s="74">
        <v>2873137</v>
      </c>
      <c r="B650" s="37">
        <v>45794</v>
      </c>
      <c r="C650" s="69">
        <v>76280457940</v>
      </c>
      <c r="D650" s="38" t="s">
        <v>1029</v>
      </c>
      <c r="E650" s="64">
        <v>0.23682038320000001</v>
      </c>
      <c r="F650" s="70">
        <v>6</v>
      </c>
      <c r="G650" s="38" t="s">
        <v>290</v>
      </c>
      <c r="H650" s="66" t="s">
        <v>1258</v>
      </c>
      <c r="I650" s="39">
        <v>11.2125</v>
      </c>
      <c r="J650" s="40"/>
      <c r="K650" s="75">
        <f t="shared" si="64"/>
        <v>0</v>
      </c>
      <c r="L650" s="41"/>
      <c r="N650" s="45" t="str">
        <f t="shared" si="60"/>
        <v>-</v>
      </c>
      <c r="O650" s="42" t="str">
        <f t="shared" si="65"/>
        <v>-</v>
      </c>
      <c r="P650" s="43" t="str">
        <f t="shared" si="61"/>
        <v>-</v>
      </c>
      <c r="Q650" s="46" t="str">
        <f t="shared" si="62"/>
        <v>-</v>
      </c>
      <c r="S650" s="46" t="str">
        <f t="shared" si="63"/>
        <v>-</v>
      </c>
    </row>
    <row r="651" spans="1:19" ht="15" x14ac:dyDescent="0.3">
      <c r="A651" s="74">
        <v>8688276</v>
      </c>
      <c r="B651" s="37">
        <v>50787</v>
      </c>
      <c r="C651" s="69">
        <v>76280507874</v>
      </c>
      <c r="D651" s="38" t="s">
        <v>1031</v>
      </c>
      <c r="E651" s="64">
        <v>7.2075768800000009E-2</v>
      </c>
      <c r="F651" s="70">
        <v>6</v>
      </c>
      <c r="G651" s="38" t="s">
        <v>135</v>
      </c>
      <c r="H651" s="66" t="s">
        <v>1258</v>
      </c>
      <c r="I651" s="39">
        <v>12.33375</v>
      </c>
      <c r="J651" s="40"/>
      <c r="K651" s="75">
        <f t="shared" si="64"/>
        <v>0</v>
      </c>
      <c r="L651" s="41"/>
      <c r="N651" s="45" t="str">
        <f t="shared" si="60"/>
        <v>-</v>
      </c>
      <c r="O651" s="42" t="str">
        <f t="shared" si="65"/>
        <v>-</v>
      </c>
      <c r="P651" s="43" t="str">
        <f t="shared" si="61"/>
        <v>-</v>
      </c>
      <c r="Q651" s="46" t="str">
        <f t="shared" si="62"/>
        <v>-</v>
      </c>
      <c r="S651" s="46" t="str">
        <f t="shared" si="63"/>
        <v>-</v>
      </c>
    </row>
    <row r="652" spans="1:19" ht="15" x14ac:dyDescent="0.3">
      <c r="A652" s="74">
        <v>7461212</v>
      </c>
      <c r="B652" s="37">
        <v>1370</v>
      </c>
      <c r="C652" s="69">
        <v>76280013702</v>
      </c>
      <c r="D652" s="38" t="s">
        <v>1032</v>
      </c>
      <c r="E652" s="64">
        <v>9.2668845599999994E-2</v>
      </c>
      <c r="F652" s="70">
        <v>6</v>
      </c>
      <c r="G652" s="38" t="s">
        <v>665</v>
      </c>
      <c r="H652" s="66" t="s">
        <v>1258</v>
      </c>
      <c r="I652" s="39">
        <v>6.1912499999999993</v>
      </c>
      <c r="J652" s="40"/>
      <c r="K652" s="75">
        <f t="shared" si="64"/>
        <v>0</v>
      </c>
      <c r="L652" s="41"/>
      <c r="N652" s="45" t="str">
        <f t="shared" si="60"/>
        <v>-</v>
      </c>
      <c r="O652" s="42" t="str">
        <f t="shared" si="65"/>
        <v>-</v>
      </c>
      <c r="P652" s="43" t="str">
        <f t="shared" si="61"/>
        <v>-</v>
      </c>
      <c r="Q652" s="46" t="str">
        <f t="shared" si="62"/>
        <v>-</v>
      </c>
      <c r="S652" s="46" t="str">
        <f t="shared" si="63"/>
        <v>-</v>
      </c>
    </row>
    <row r="653" spans="1:19" ht="15" x14ac:dyDescent="0.3">
      <c r="A653" s="74">
        <v>1417326</v>
      </c>
      <c r="B653" s="37">
        <v>36665</v>
      </c>
      <c r="C653" s="69">
        <v>76280366655</v>
      </c>
      <c r="D653" s="38" t="s">
        <v>1038</v>
      </c>
      <c r="E653" s="64">
        <v>5.6750000000000002E-2</v>
      </c>
      <c r="F653" s="70">
        <v>6</v>
      </c>
      <c r="G653" s="38" t="s">
        <v>160</v>
      </c>
      <c r="H653" s="66" t="s">
        <v>1258</v>
      </c>
      <c r="I653" s="39">
        <v>12.772500000000001</v>
      </c>
      <c r="J653" s="40"/>
      <c r="K653" s="75">
        <f t="shared" si="64"/>
        <v>0</v>
      </c>
      <c r="L653" s="41"/>
      <c r="N653" s="45" t="str">
        <f t="shared" si="60"/>
        <v>-</v>
      </c>
      <c r="O653" s="42" t="str">
        <f t="shared" si="65"/>
        <v>-</v>
      </c>
      <c r="P653" s="43" t="str">
        <f t="shared" si="61"/>
        <v>-</v>
      </c>
      <c r="Q653" s="46" t="str">
        <f t="shared" si="62"/>
        <v>-</v>
      </c>
      <c r="S653" s="46" t="str">
        <f t="shared" si="63"/>
        <v>-</v>
      </c>
    </row>
    <row r="654" spans="1:19" ht="15" x14ac:dyDescent="0.3">
      <c r="A654" s="74">
        <v>3192691</v>
      </c>
      <c r="B654" s="37">
        <v>10348</v>
      </c>
      <c r="C654" s="69">
        <v>76280103489</v>
      </c>
      <c r="D654" s="38" t="s">
        <v>1039</v>
      </c>
      <c r="E654" s="64">
        <v>7.7224037999999995E-2</v>
      </c>
      <c r="F654" s="70">
        <v>6</v>
      </c>
      <c r="G654" s="38" t="s">
        <v>1040</v>
      </c>
      <c r="H654" s="66" t="s">
        <v>1258</v>
      </c>
      <c r="I654" s="39">
        <v>13.26</v>
      </c>
      <c r="J654" s="40"/>
      <c r="K654" s="75">
        <f t="shared" si="64"/>
        <v>0</v>
      </c>
      <c r="L654" s="41"/>
      <c r="N654" s="45" t="str">
        <f t="shared" si="60"/>
        <v>-</v>
      </c>
      <c r="O654" s="42" t="str">
        <f t="shared" si="65"/>
        <v>-</v>
      </c>
      <c r="P654" s="43" t="str">
        <f t="shared" si="61"/>
        <v>-</v>
      </c>
      <c r="Q654" s="46" t="str">
        <f t="shared" si="62"/>
        <v>-</v>
      </c>
      <c r="S654" s="46" t="str">
        <f t="shared" si="63"/>
        <v>-</v>
      </c>
    </row>
    <row r="655" spans="1:19" ht="15" x14ac:dyDescent="0.3">
      <c r="A655" s="74">
        <v>2090104</v>
      </c>
      <c r="B655" s="37">
        <v>240</v>
      </c>
      <c r="C655" s="69">
        <v>76280002409</v>
      </c>
      <c r="D655" s="38" t="s">
        <v>1044</v>
      </c>
      <c r="E655" s="64">
        <v>9.2668845599999994E-2</v>
      </c>
      <c r="F655" s="70">
        <v>6</v>
      </c>
      <c r="G655" s="38" t="s">
        <v>154</v>
      </c>
      <c r="H655" s="66" t="s">
        <v>1258</v>
      </c>
      <c r="I655" s="39">
        <v>6.7762500000000001</v>
      </c>
      <c r="J655" s="40"/>
      <c r="K655" s="75">
        <f t="shared" si="64"/>
        <v>0</v>
      </c>
      <c r="L655" s="41"/>
      <c r="N655" s="45" t="str">
        <f t="shared" si="60"/>
        <v>-</v>
      </c>
      <c r="O655" s="42" t="str">
        <f t="shared" si="65"/>
        <v>-</v>
      </c>
      <c r="P655" s="43" t="str">
        <f t="shared" si="61"/>
        <v>-</v>
      </c>
      <c r="Q655" s="46" t="str">
        <f t="shared" si="62"/>
        <v>-</v>
      </c>
      <c r="S655" s="46" t="str">
        <f t="shared" si="63"/>
        <v>-</v>
      </c>
    </row>
    <row r="656" spans="1:19" ht="15" x14ac:dyDescent="0.3">
      <c r="A656" s="74">
        <v>2603254</v>
      </c>
      <c r="B656" s="37">
        <v>1235</v>
      </c>
      <c r="C656" s="69">
        <v>76280012354</v>
      </c>
      <c r="D656" s="38" t="s">
        <v>1051</v>
      </c>
      <c r="E656" s="64">
        <v>0.10296538400000001</v>
      </c>
      <c r="F656" s="70">
        <v>6</v>
      </c>
      <c r="G656" s="38" t="s">
        <v>592</v>
      </c>
      <c r="H656" s="66" t="s">
        <v>1258</v>
      </c>
      <c r="I656" s="39">
        <v>9.6037499999999998</v>
      </c>
      <c r="J656" s="40"/>
      <c r="K656" s="75">
        <f t="shared" si="64"/>
        <v>0</v>
      </c>
      <c r="L656" s="41"/>
      <c r="N656" s="45" t="str">
        <f t="shared" si="60"/>
        <v>-</v>
      </c>
      <c r="O656" s="42" t="str">
        <f t="shared" si="65"/>
        <v>-</v>
      </c>
      <c r="P656" s="43" t="str">
        <f t="shared" si="61"/>
        <v>-</v>
      </c>
      <c r="Q656" s="46" t="str">
        <f t="shared" si="62"/>
        <v>-</v>
      </c>
      <c r="S656" s="46" t="str">
        <f t="shared" si="63"/>
        <v>-</v>
      </c>
    </row>
    <row r="657" spans="1:19" ht="15" x14ac:dyDescent="0.3">
      <c r="A657" s="74">
        <v>6443690</v>
      </c>
      <c r="B657" s="37">
        <v>59840</v>
      </c>
      <c r="C657" s="69">
        <v>76280598407</v>
      </c>
      <c r="D657" s="38" t="s">
        <v>1052</v>
      </c>
      <c r="E657" s="64">
        <v>7.2075768800000009E-2</v>
      </c>
      <c r="F657" s="70">
        <v>6</v>
      </c>
      <c r="G657" s="38" t="s">
        <v>98</v>
      </c>
      <c r="H657" s="66" t="s">
        <v>1258</v>
      </c>
      <c r="I657" s="39">
        <v>18.622500000000002</v>
      </c>
      <c r="J657" s="40"/>
      <c r="K657" s="75">
        <f t="shared" si="64"/>
        <v>0</v>
      </c>
      <c r="L657" s="41"/>
      <c r="N657" s="45" t="str">
        <f t="shared" si="60"/>
        <v>-</v>
      </c>
      <c r="O657" s="42" t="str">
        <f t="shared" si="65"/>
        <v>-</v>
      </c>
      <c r="P657" s="43" t="str">
        <f t="shared" si="61"/>
        <v>-</v>
      </c>
      <c r="Q657" s="46" t="str">
        <f t="shared" si="62"/>
        <v>-</v>
      </c>
      <c r="S657" s="46" t="str">
        <f t="shared" si="63"/>
        <v>-</v>
      </c>
    </row>
    <row r="658" spans="1:19" ht="15" x14ac:dyDescent="0.3">
      <c r="A658" s="74">
        <v>4475421</v>
      </c>
      <c r="B658" s="37">
        <v>3687</v>
      </c>
      <c r="C658" s="69">
        <v>76280036879</v>
      </c>
      <c r="D658" s="38" t="s">
        <v>1053</v>
      </c>
      <c r="E658" s="64">
        <v>6.1779230399999996E-2</v>
      </c>
      <c r="F658" s="70">
        <v>6</v>
      </c>
      <c r="G658" s="38" t="s">
        <v>648</v>
      </c>
      <c r="H658" s="66" t="s">
        <v>1258</v>
      </c>
      <c r="I658" s="39">
        <v>13.5525</v>
      </c>
      <c r="J658" s="40"/>
      <c r="K658" s="75">
        <f t="shared" si="64"/>
        <v>0</v>
      </c>
      <c r="L658" s="41"/>
      <c r="N658" s="45" t="str">
        <f t="shared" si="60"/>
        <v>-</v>
      </c>
      <c r="O658" s="42" t="str">
        <f t="shared" si="65"/>
        <v>-</v>
      </c>
      <c r="P658" s="43" t="str">
        <f t="shared" si="61"/>
        <v>-</v>
      </c>
      <c r="Q658" s="46" t="str">
        <f t="shared" si="62"/>
        <v>-</v>
      </c>
      <c r="S658" s="46" t="str">
        <f t="shared" si="63"/>
        <v>-</v>
      </c>
    </row>
    <row r="659" spans="1:19" ht="15" x14ac:dyDescent="0.3">
      <c r="A659" s="74">
        <v>2701348</v>
      </c>
      <c r="B659" s="37">
        <v>4321</v>
      </c>
      <c r="C659" s="69">
        <v>76280043211</v>
      </c>
      <c r="D659" s="38" t="s">
        <v>1055</v>
      </c>
      <c r="E659" s="64">
        <v>0.11326192240000001</v>
      </c>
      <c r="F659" s="70">
        <v>12</v>
      </c>
      <c r="G659" s="38" t="s">
        <v>154</v>
      </c>
      <c r="H659" s="66" t="s">
        <v>1258</v>
      </c>
      <c r="I659" s="39">
        <v>10.530000000000001</v>
      </c>
      <c r="J659" s="40"/>
      <c r="K659" s="75">
        <f t="shared" si="64"/>
        <v>0</v>
      </c>
      <c r="L659" s="41"/>
      <c r="N659" s="45" t="str">
        <f t="shared" si="60"/>
        <v>-</v>
      </c>
      <c r="O659" s="42" t="str">
        <f t="shared" si="65"/>
        <v>-</v>
      </c>
      <c r="P659" s="43" t="str">
        <f t="shared" si="61"/>
        <v>-</v>
      </c>
      <c r="Q659" s="46" t="str">
        <f t="shared" si="62"/>
        <v>-</v>
      </c>
      <c r="S659" s="46" t="str">
        <f t="shared" si="63"/>
        <v>-</v>
      </c>
    </row>
    <row r="660" spans="1:19" ht="15" x14ac:dyDescent="0.3">
      <c r="A660" s="74">
        <v>4657453</v>
      </c>
      <c r="B660" s="37">
        <v>73799</v>
      </c>
      <c r="C660" s="69">
        <v>76280737998</v>
      </c>
      <c r="D660" s="38" t="s">
        <v>1058</v>
      </c>
      <c r="E660" s="64">
        <v>9.2668845599999994E-2</v>
      </c>
      <c r="F660" s="70">
        <v>6</v>
      </c>
      <c r="G660" s="38" t="s">
        <v>34</v>
      </c>
      <c r="H660" s="66" t="s">
        <v>1258</v>
      </c>
      <c r="I660" s="39">
        <v>25.837500000000002</v>
      </c>
      <c r="J660" s="40"/>
      <c r="K660" s="75">
        <f t="shared" si="64"/>
        <v>0</v>
      </c>
      <c r="L660" s="41"/>
      <c r="N660" s="45" t="str">
        <f t="shared" si="60"/>
        <v>-</v>
      </c>
      <c r="O660" s="42" t="str">
        <f t="shared" si="65"/>
        <v>-</v>
      </c>
      <c r="P660" s="43" t="str">
        <f t="shared" si="61"/>
        <v>-</v>
      </c>
      <c r="Q660" s="46" t="str">
        <f t="shared" si="62"/>
        <v>-</v>
      </c>
      <c r="S660" s="46" t="str">
        <f t="shared" si="63"/>
        <v>-</v>
      </c>
    </row>
    <row r="661" spans="1:19" ht="15" x14ac:dyDescent="0.3">
      <c r="A661" s="74">
        <v>4711823</v>
      </c>
      <c r="B661" s="37">
        <v>37695</v>
      </c>
      <c r="C661" s="69">
        <v>76280376951</v>
      </c>
      <c r="D661" s="38" t="s">
        <v>1060</v>
      </c>
      <c r="E661" s="64">
        <v>5.6750000000000002E-2</v>
      </c>
      <c r="F661" s="70">
        <v>6</v>
      </c>
      <c r="G661" s="38" t="s">
        <v>160</v>
      </c>
      <c r="H661" s="66" t="s">
        <v>1258</v>
      </c>
      <c r="I661" s="39">
        <v>10.0425</v>
      </c>
      <c r="J661" s="40"/>
      <c r="K661" s="75">
        <f t="shared" si="64"/>
        <v>0</v>
      </c>
      <c r="L661" s="41"/>
      <c r="N661" s="45" t="str">
        <f t="shared" si="60"/>
        <v>-</v>
      </c>
      <c r="O661" s="42" t="str">
        <f t="shared" si="65"/>
        <v>-</v>
      </c>
      <c r="P661" s="43" t="str">
        <f t="shared" si="61"/>
        <v>-</v>
      </c>
      <c r="Q661" s="46" t="str">
        <f t="shared" si="62"/>
        <v>-</v>
      </c>
      <c r="S661" s="46" t="str">
        <f t="shared" si="63"/>
        <v>-</v>
      </c>
    </row>
    <row r="662" spans="1:19" ht="15" x14ac:dyDescent="0.3">
      <c r="A662" s="74">
        <v>8953670</v>
      </c>
      <c r="B662" s="37">
        <v>1385</v>
      </c>
      <c r="C662" s="69">
        <v>76280013856</v>
      </c>
      <c r="D662" s="38" t="s">
        <v>1061</v>
      </c>
      <c r="E662" s="64">
        <v>8.2372307199999995E-2</v>
      </c>
      <c r="F662" s="70">
        <v>6</v>
      </c>
      <c r="G662" s="38" t="s">
        <v>914</v>
      </c>
      <c r="H662" s="66" t="s">
        <v>1258</v>
      </c>
      <c r="I662" s="39">
        <v>9.3112500000000011</v>
      </c>
      <c r="J662" s="40"/>
      <c r="K662" s="75">
        <f t="shared" si="64"/>
        <v>0</v>
      </c>
      <c r="L662" s="41"/>
      <c r="N662" s="45" t="str">
        <f t="shared" si="60"/>
        <v>-</v>
      </c>
      <c r="O662" s="42" t="str">
        <f t="shared" si="65"/>
        <v>-</v>
      </c>
      <c r="P662" s="43" t="str">
        <f t="shared" si="61"/>
        <v>-</v>
      </c>
      <c r="Q662" s="46" t="str">
        <f t="shared" si="62"/>
        <v>-</v>
      </c>
      <c r="S662" s="46" t="str">
        <f t="shared" si="63"/>
        <v>-</v>
      </c>
    </row>
    <row r="663" spans="1:19" ht="15" x14ac:dyDescent="0.3">
      <c r="A663" s="74">
        <v>9558244</v>
      </c>
      <c r="B663" s="37">
        <v>4971</v>
      </c>
      <c r="C663" s="69">
        <v>76280049718</v>
      </c>
      <c r="D663" s="38" t="s">
        <v>1065</v>
      </c>
      <c r="E663" s="64">
        <v>7.2075768800000009E-2</v>
      </c>
      <c r="F663" s="70">
        <v>12</v>
      </c>
      <c r="G663" s="38" t="s">
        <v>98</v>
      </c>
      <c r="H663" s="66" t="s">
        <v>1258</v>
      </c>
      <c r="I663" s="39">
        <v>9.5550000000000015</v>
      </c>
      <c r="J663" s="40"/>
      <c r="K663" s="75">
        <f t="shared" si="64"/>
        <v>0</v>
      </c>
      <c r="L663" s="41"/>
      <c r="N663" s="45" t="str">
        <f t="shared" si="60"/>
        <v>-</v>
      </c>
      <c r="O663" s="42" t="str">
        <f t="shared" si="65"/>
        <v>-</v>
      </c>
      <c r="P663" s="43" t="str">
        <f t="shared" si="61"/>
        <v>-</v>
      </c>
      <c r="Q663" s="46" t="str">
        <f t="shared" si="62"/>
        <v>-</v>
      </c>
      <c r="S663" s="46" t="str">
        <f t="shared" si="63"/>
        <v>-</v>
      </c>
    </row>
    <row r="664" spans="1:19" ht="15" x14ac:dyDescent="0.3">
      <c r="A664" s="74">
        <v>3429149</v>
      </c>
      <c r="B664" s="37">
        <v>55058</v>
      </c>
      <c r="C664" s="69">
        <v>76280550580</v>
      </c>
      <c r="D664" s="38" t="s">
        <v>1068</v>
      </c>
      <c r="E664" s="64">
        <v>7.2075768800000009E-2</v>
      </c>
      <c r="F664" s="70">
        <v>6</v>
      </c>
      <c r="G664" s="38" t="s">
        <v>98</v>
      </c>
      <c r="H664" s="66" t="s">
        <v>1258</v>
      </c>
      <c r="I664" s="39">
        <v>15.941250000000002</v>
      </c>
      <c r="J664" s="40"/>
      <c r="K664" s="75">
        <f t="shared" si="64"/>
        <v>0</v>
      </c>
      <c r="L664" s="41"/>
      <c r="N664" s="45" t="str">
        <f t="shared" si="60"/>
        <v>-</v>
      </c>
      <c r="O664" s="42" t="str">
        <f t="shared" si="65"/>
        <v>-</v>
      </c>
      <c r="P664" s="43" t="str">
        <f t="shared" si="61"/>
        <v>-</v>
      </c>
      <c r="Q664" s="46" t="str">
        <f t="shared" si="62"/>
        <v>-</v>
      </c>
      <c r="S664" s="46" t="str">
        <f t="shared" si="63"/>
        <v>-</v>
      </c>
    </row>
    <row r="665" spans="1:19" ht="15" x14ac:dyDescent="0.3">
      <c r="A665" s="74">
        <v>5349835</v>
      </c>
      <c r="B665" s="37">
        <v>3205</v>
      </c>
      <c r="C665" s="69">
        <v>76280032055</v>
      </c>
      <c r="D665" s="38" t="s">
        <v>1073</v>
      </c>
      <c r="E665" s="64">
        <v>5.6750000000000002E-2</v>
      </c>
      <c r="F665" s="70">
        <v>6</v>
      </c>
      <c r="G665" s="38" t="s">
        <v>461</v>
      </c>
      <c r="H665" s="66" t="s">
        <v>1258</v>
      </c>
      <c r="I665" s="39">
        <v>8.4824999999999982</v>
      </c>
      <c r="J665" s="40"/>
      <c r="K665" s="75">
        <f t="shared" si="64"/>
        <v>0</v>
      </c>
      <c r="L665" s="41"/>
      <c r="N665" s="45" t="str">
        <f t="shared" si="60"/>
        <v>-</v>
      </c>
      <c r="O665" s="42" t="str">
        <f t="shared" si="65"/>
        <v>-</v>
      </c>
      <c r="P665" s="43" t="str">
        <f t="shared" si="61"/>
        <v>-</v>
      </c>
      <c r="Q665" s="46" t="str">
        <f t="shared" si="62"/>
        <v>-</v>
      </c>
      <c r="S665" s="46" t="str">
        <f t="shared" si="63"/>
        <v>-</v>
      </c>
    </row>
    <row r="666" spans="1:19" ht="15" x14ac:dyDescent="0.3">
      <c r="A666" s="74">
        <v>8414322</v>
      </c>
      <c r="B666" s="37">
        <v>1405</v>
      </c>
      <c r="C666" s="69">
        <v>76280014051</v>
      </c>
      <c r="D666" s="38" t="s">
        <v>1074</v>
      </c>
      <c r="E666" s="64">
        <v>9.7817114799999993E-2</v>
      </c>
      <c r="F666" s="70">
        <v>6</v>
      </c>
      <c r="G666" s="38" t="s">
        <v>920</v>
      </c>
      <c r="H666" s="66" t="s">
        <v>1258</v>
      </c>
      <c r="I666" s="39">
        <v>6.63</v>
      </c>
      <c r="J666" s="40"/>
      <c r="K666" s="75">
        <f t="shared" si="64"/>
        <v>0</v>
      </c>
      <c r="L666" s="41"/>
      <c r="N666" s="45" t="str">
        <f t="shared" si="60"/>
        <v>-</v>
      </c>
      <c r="O666" s="42" t="str">
        <f t="shared" si="65"/>
        <v>-</v>
      </c>
      <c r="P666" s="43" t="str">
        <f t="shared" si="61"/>
        <v>-</v>
      </c>
      <c r="Q666" s="46" t="str">
        <f t="shared" si="62"/>
        <v>-</v>
      </c>
      <c r="S666" s="46" t="str">
        <f t="shared" si="63"/>
        <v>-</v>
      </c>
    </row>
    <row r="667" spans="1:19" ht="15" x14ac:dyDescent="0.3">
      <c r="A667" s="74">
        <v>3929090</v>
      </c>
      <c r="B667" s="37">
        <v>32596</v>
      </c>
      <c r="C667" s="69">
        <v>76280325966</v>
      </c>
      <c r="D667" s="38" t="s">
        <v>1075</v>
      </c>
      <c r="E667" s="64">
        <v>8.2372307199999995E-2</v>
      </c>
      <c r="F667" s="70">
        <v>6</v>
      </c>
      <c r="G667" s="38" t="s">
        <v>1076</v>
      </c>
      <c r="H667" s="66" t="s">
        <v>1258</v>
      </c>
      <c r="I667" s="39">
        <v>17.0625</v>
      </c>
      <c r="J667" s="40"/>
      <c r="K667" s="75">
        <f t="shared" si="64"/>
        <v>0</v>
      </c>
      <c r="L667" s="41"/>
      <c r="N667" s="45" t="str">
        <f t="shared" si="60"/>
        <v>-</v>
      </c>
      <c r="O667" s="42" t="str">
        <f t="shared" si="65"/>
        <v>-</v>
      </c>
      <c r="P667" s="43" t="str">
        <f t="shared" si="61"/>
        <v>-</v>
      </c>
      <c r="Q667" s="46" t="str">
        <f t="shared" si="62"/>
        <v>-</v>
      </c>
      <c r="S667" s="46" t="str">
        <f t="shared" si="63"/>
        <v>-</v>
      </c>
    </row>
    <row r="668" spans="1:19" ht="15" x14ac:dyDescent="0.3">
      <c r="A668" s="74">
        <v>8610811</v>
      </c>
      <c r="B668" s="37">
        <v>48945</v>
      </c>
      <c r="C668" s="69">
        <v>76280489453</v>
      </c>
      <c r="D668" s="38" t="s">
        <v>1077</v>
      </c>
      <c r="E668" s="64">
        <v>6.6927499599999996E-2</v>
      </c>
      <c r="F668" s="70">
        <v>6</v>
      </c>
      <c r="G668" s="38" t="s">
        <v>135</v>
      </c>
      <c r="H668" s="66" t="s">
        <v>1258</v>
      </c>
      <c r="I668" s="39">
        <v>19.5</v>
      </c>
      <c r="J668" s="40"/>
      <c r="K668" s="75">
        <f t="shared" si="64"/>
        <v>0</v>
      </c>
      <c r="L668" s="41"/>
      <c r="N668" s="45" t="str">
        <f t="shared" si="60"/>
        <v>-</v>
      </c>
      <c r="O668" s="42" t="str">
        <f t="shared" si="65"/>
        <v>-</v>
      </c>
      <c r="P668" s="43" t="str">
        <f t="shared" si="61"/>
        <v>-</v>
      </c>
      <c r="Q668" s="46" t="str">
        <f t="shared" si="62"/>
        <v>-</v>
      </c>
      <c r="S668" s="46" t="str">
        <f t="shared" si="63"/>
        <v>-</v>
      </c>
    </row>
    <row r="669" spans="1:19" ht="15" x14ac:dyDescent="0.3">
      <c r="A669" s="74">
        <v>1550516</v>
      </c>
      <c r="B669" s="37">
        <v>57895</v>
      </c>
      <c r="C669" s="69">
        <v>76280578959</v>
      </c>
      <c r="D669" s="38" t="s">
        <v>132</v>
      </c>
      <c r="E669" s="64">
        <v>6.1779230399999996E-2</v>
      </c>
      <c r="F669" s="70">
        <v>12</v>
      </c>
      <c r="G669" s="38" t="s">
        <v>202</v>
      </c>
      <c r="H669" s="66" t="s">
        <v>1258</v>
      </c>
      <c r="I669" s="39">
        <v>10.432500000000001</v>
      </c>
      <c r="J669" s="40"/>
      <c r="K669" s="75">
        <f t="shared" si="64"/>
        <v>0</v>
      </c>
      <c r="L669" s="41"/>
      <c r="N669" s="45" t="str">
        <f t="shared" si="60"/>
        <v>-</v>
      </c>
      <c r="O669" s="42" t="str">
        <f t="shared" si="65"/>
        <v>-</v>
      </c>
      <c r="P669" s="43" t="str">
        <f t="shared" si="61"/>
        <v>-</v>
      </c>
      <c r="Q669" s="46" t="str">
        <f t="shared" si="62"/>
        <v>-</v>
      </c>
      <c r="S669" s="46" t="str">
        <f t="shared" si="63"/>
        <v>-</v>
      </c>
    </row>
    <row r="670" spans="1:19" ht="15" x14ac:dyDescent="0.3">
      <c r="A670" s="74">
        <v>1994763</v>
      </c>
      <c r="B670" s="37">
        <v>2300</v>
      </c>
      <c r="C670" s="69">
        <v>76280023008</v>
      </c>
      <c r="D670" s="38" t="s">
        <v>1084</v>
      </c>
      <c r="E670" s="64">
        <v>8.7520576400000008E-2</v>
      </c>
      <c r="F670" s="70">
        <v>6</v>
      </c>
      <c r="G670" s="38" t="s">
        <v>154</v>
      </c>
      <c r="H670" s="66" t="s">
        <v>1258</v>
      </c>
      <c r="I670" s="39">
        <v>6.4837500000000006</v>
      </c>
      <c r="J670" s="40"/>
      <c r="K670" s="75">
        <f t="shared" si="64"/>
        <v>0</v>
      </c>
      <c r="L670" s="41"/>
      <c r="N670" s="45" t="str">
        <f t="shared" si="60"/>
        <v>-</v>
      </c>
      <c r="O670" s="42" t="str">
        <f t="shared" si="65"/>
        <v>-</v>
      </c>
      <c r="P670" s="43" t="str">
        <f t="shared" si="61"/>
        <v>-</v>
      </c>
      <c r="Q670" s="46" t="str">
        <f t="shared" si="62"/>
        <v>-</v>
      </c>
      <c r="S670" s="46" t="str">
        <f t="shared" si="63"/>
        <v>-</v>
      </c>
    </row>
    <row r="671" spans="1:19" ht="15" x14ac:dyDescent="0.3">
      <c r="A671" s="74">
        <v>6747951</v>
      </c>
      <c r="B671" s="37">
        <v>77193</v>
      </c>
      <c r="C671" s="69">
        <v>76280771930</v>
      </c>
      <c r="D671" s="38" t="s">
        <v>1088</v>
      </c>
      <c r="E671" s="64">
        <v>7.2075768800000009E-2</v>
      </c>
      <c r="F671" s="70">
        <v>6</v>
      </c>
      <c r="G671" s="38" t="s">
        <v>98</v>
      </c>
      <c r="H671" s="66" t="s">
        <v>1258</v>
      </c>
      <c r="I671" s="39">
        <v>19.012500000000003</v>
      </c>
      <c r="J671" s="40"/>
      <c r="K671" s="75">
        <f t="shared" si="64"/>
        <v>0</v>
      </c>
      <c r="L671" s="41"/>
      <c r="N671" s="45" t="str">
        <f t="shared" si="60"/>
        <v>-</v>
      </c>
      <c r="O671" s="42" t="str">
        <f t="shared" si="65"/>
        <v>-</v>
      </c>
      <c r="P671" s="43" t="str">
        <f t="shared" si="61"/>
        <v>-</v>
      </c>
      <c r="Q671" s="46" t="str">
        <f t="shared" si="62"/>
        <v>-</v>
      </c>
      <c r="S671" s="46" t="str">
        <f t="shared" si="63"/>
        <v>-</v>
      </c>
    </row>
    <row r="672" spans="1:19" ht="15" x14ac:dyDescent="0.3">
      <c r="A672" s="74">
        <v>5738463</v>
      </c>
      <c r="B672" s="37">
        <v>1199</v>
      </c>
      <c r="C672" s="69">
        <v>76280011999</v>
      </c>
      <c r="D672" s="38" t="s">
        <v>1090</v>
      </c>
      <c r="E672" s="64">
        <v>0.10811365319999999</v>
      </c>
      <c r="F672" s="70">
        <v>6</v>
      </c>
      <c r="G672" s="38" t="s">
        <v>622</v>
      </c>
      <c r="H672" s="66" t="s">
        <v>1258</v>
      </c>
      <c r="I672" s="39">
        <v>15.405000000000001</v>
      </c>
      <c r="J672" s="40"/>
      <c r="K672" s="75">
        <f t="shared" si="64"/>
        <v>0</v>
      </c>
      <c r="L672" s="41"/>
      <c r="N672" s="45" t="str">
        <f t="shared" si="60"/>
        <v>-</v>
      </c>
      <c r="O672" s="42" t="str">
        <f t="shared" si="65"/>
        <v>-</v>
      </c>
      <c r="P672" s="43" t="str">
        <f t="shared" si="61"/>
        <v>-</v>
      </c>
      <c r="Q672" s="46" t="str">
        <f t="shared" si="62"/>
        <v>-</v>
      </c>
      <c r="S672" s="46" t="str">
        <f t="shared" si="63"/>
        <v>-</v>
      </c>
    </row>
    <row r="673" spans="1:19" ht="15" x14ac:dyDescent="0.3">
      <c r="A673" s="74">
        <v>7045061</v>
      </c>
      <c r="B673" s="37">
        <v>2330</v>
      </c>
      <c r="C673" s="69">
        <v>76280023305</v>
      </c>
      <c r="D673" s="38" t="s">
        <v>1092</v>
      </c>
      <c r="E673" s="64">
        <v>9.2668845599999994E-2</v>
      </c>
      <c r="F673" s="70">
        <v>6</v>
      </c>
      <c r="G673" s="38" t="s">
        <v>154</v>
      </c>
      <c r="H673" s="66" t="s">
        <v>1258</v>
      </c>
      <c r="I673" s="39">
        <v>6.6787499999999991</v>
      </c>
      <c r="J673" s="40"/>
      <c r="K673" s="75">
        <f t="shared" si="64"/>
        <v>0</v>
      </c>
      <c r="L673" s="41"/>
      <c r="N673" s="45" t="str">
        <f t="shared" si="60"/>
        <v>-</v>
      </c>
      <c r="O673" s="42" t="str">
        <f t="shared" si="65"/>
        <v>-</v>
      </c>
      <c r="P673" s="43" t="str">
        <f t="shared" si="61"/>
        <v>-</v>
      </c>
      <c r="Q673" s="46" t="str">
        <f t="shared" si="62"/>
        <v>-</v>
      </c>
      <c r="S673" s="46" t="str">
        <f t="shared" si="63"/>
        <v>-</v>
      </c>
    </row>
    <row r="674" spans="1:19" ht="15" x14ac:dyDescent="0.3">
      <c r="A674" s="74">
        <v>6107667</v>
      </c>
      <c r="B674" s="37">
        <v>123</v>
      </c>
      <c r="C674" s="69">
        <v>76280001235</v>
      </c>
      <c r="D674" s="38" t="s">
        <v>1093</v>
      </c>
      <c r="E674" s="64">
        <v>9.2668845599999994E-2</v>
      </c>
      <c r="F674" s="70">
        <v>6</v>
      </c>
      <c r="G674" s="38" t="s">
        <v>1094</v>
      </c>
      <c r="H674" s="66" t="s">
        <v>1258</v>
      </c>
      <c r="I674" s="39">
        <v>10.334999999999999</v>
      </c>
      <c r="J674" s="40"/>
      <c r="K674" s="75">
        <f t="shared" si="64"/>
        <v>0</v>
      </c>
      <c r="L674" s="41"/>
      <c r="N674" s="45" t="str">
        <f t="shared" si="60"/>
        <v>-</v>
      </c>
      <c r="O674" s="42" t="str">
        <f t="shared" si="65"/>
        <v>-</v>
      </c>
      <c r="P674" s="43" t="str">
        <f t="shared" si="61"/>
        <v>-</v>
      </c>
      <c r="Q674" s="46" t="str">
        <f t="shared" si="62"/>
        <v>-</v>
      </c>
      <c r="S674" s="46" t="str">
        <f t="shared" si="63"/>
        <v>-</v>
      </c>
    </row>
    <row r="675" spans="1:19" ht="15" x14ac:dyDescent="0.3">
      <c r="A675" s="74">
        <v>7747465</v>
      </c>
      <c r="B675" s="37">
        <v>11266</v>
      </c>
      <c r="C675" s="69">
        <v>76280112665</v>
      </c>
      <c r="D675" s="38" t="s">
        <v>1095</v>
      </c>
      <c r="E675" s="64">
        <v>6.1779230399999996E-2</v>
      </c>
      <c r="F675" s="70">
        <v>12</v>
      </c>
      <c r="G675" s="38" t="s">
        <v>1096</v>
      </c>
      <c r="H675" s="66" t="s">
        <v>1258</v>
      </c>
      <c r="I675" s="39">
        <v>4.8262499999999999</v>
      </c>
      <c r="J675" s="40"/>
      <c r="K675" s="75">
        <f t="shared" si="64"/>
        <v>0</v>
      </c>
      <c r="L675" s="41"/>
      <c r="N675" s="45" t="str">
        <f t="shared" si="60"/>
        <v>-</v>
      </c>
      <c r="O675" s="42" t="str">
        <f t="shared" si="65"/>
        <v>-</v>
      </c>
      <c r="P675" s="43" t="str">
        <f t="shared" si="61"/>
        <v>-</v>
      </c>
      <c r="Q675" s="46" t="str">
        <f t="shared" si="62"/>
        <v>-</v>
      </c>
      <c r="S675" s="46" t="str">
        <f t="shared" si="63"/>
        <v>-</v>
      </c>
    </row>
    <row r="676" spans="1:19" ht="15" x14ac:dyDescent="0.3">
      <c r="A676" s="74">
        <v>4536064</v>
      </c>
      <c r="B676" s="37">
        <v>76138</v>
      </c>
      <c r="C676" s="69">
        <v>76280761382</v>
      </c>
      <c r="D676" s="38" t="s">
        <v>1099</v>
      </c>
      <c r="E676" s="64">
        <v>9.7817114799999993E-2</v>
      </c>
      <c r="F676" s="70">
        <v>6</v>
      </c>
      <c r="G676" s="38" t="s">
        <v>34</v>
      </c>
      <c r="H676" s="66" t="s">
        <v>1258</v>
      </c>
      <c r="I676" s="39">
        <v>24.326250000000002</v>
      </c>
      <c r="J676" s="40"/>
      <c r="K676" s="75">
        <f t="shared" si="64"/>
        <v>0</v>
      </c>
      <c r="L676" s="41"/>
      <c r="N676" s="45" t="str">
        <f t="shared" si="60"/>
        <v>-</v>
      </c>
      <c r="O676" s="42" t="str">
        <f t="shared" si="65"/>
        <v>-</v>
      </c>
      <c r="P676" s="43" t="str">
        <f t="shared" si="61"/>
        <v>-</v>
      </c>
      <c r="Q676" s="46" t="str">
        <f t="shared" si="62"/>
        <v>-</v>
      </c>
      <c r="S676" s="46" t="str">
        <f t="shared" si="63"/>
        <v>-</v>
      </c>
    </row>
    <row r="677" spans="1:19" ht="15" x14ac:dyDescent="0.3">
      <c r="A677" s="74">
        <v>3211469</v>
      </c>
      <c r="B677" s="37">
        <v>27858</v>
      </c>
      <c r="C677" s="69">
        <v>76280278583</v>
      </c>
      <c r="D677" s="38" t="s">
        <v>1097</v>
      </c>
      <c r="E677" s="64">
        <v>5.6750000000000002E-2</v>
      </c>
      <c r="F677" s="70">
        <v>6</v>
      </c>
      <c r="G677" s="38" t="s">
        <v>1100</v>
      </c>
      <c r="H677" s="66" t="s">
        <v>1258</v>
      </c>
      <c r="I677" s="39">
        <v>7.3125</v>
      </c>
      <c r="J677" s="40"/>
      <c r="K677" s="75">
        <f t="shared" si="64"/>
        <v>0</v>
      </c>
      <c r="L677" s="41"/>
      <c r="N677" s="45" t="str">
        <f t="shared" si="60"/>
        <v>-</v>
      </c>
      <c r="O677" s="42" t="str">
        <f t="shared" si="65"/>
        <v>-</v>
      </c>
      <c r="P677" s="43" t="str">
        <f t="shared" si="61"/>
        <v>-</v>
      </c>
      <c r="Q677" s="46" t="str">
        <f t="shared" si="62"/>
        <v>-</v>
      </c>
      <c r="S677" s="46" t="str">
        <f t="shared" si="63"/>
        <v>-</v>
      </c>
    </row>
    <row r="678" spans="1:19" ht="15" x14ac:dyDescent="0.3">
      <c r="A678" s="74">
        <v>1385484</v>
      </c>
      <c r="B678" s="37">
        <v>68267</v>
      </c>
      <c r="C678" s="69">
        <v>76280682670</v>
      </c>
      <c r="D678" s="38" t="s">
        <v>1101</v>
      </c>
      <c r="E678" s="64">
        <v>8.2372307199999995E-2</v>
      </c>
      <c r="F678" s="70">
        <v>12</v>
      </c>
      <c r="G678" s="38" t="s">
        <v>34</v>
      </c>
      <c r="H678" s="66" t="s">
        <v>1258</v>
      </c>
      <c r="I678" s="39">
        <v>13.845000000000001</v>
      </c>
      <c r="J678" s="40"/>
      <c r="K678" s="75">
        <f t="shared" si="64"/>
        <v>0</v>
      </c>
      <c r="L678" s="41"/>
      <c r="N678" s="45" t="str">
        <f t="shared" si="60"/>
        <v>-</v>
      </c>
      <c r="O678" s="42" t="str">
        <f t="shared" si="65"/>
        <v>-</v>
      </c>
      <c r="P678" s="43" t="str">
        <f t="shared" si="61"/>
        <v>-</v>
      </c>
      <c r="Q678" s="46" t="str">
        <f t="shared" si="62"/>
        <v>-</v>
      </c>
      <c r="S678" s="46" t="str">
        <f t="shared" si="63"/>
        <v>-</v>
      </c>
    </row>
    <row r="679" spans="1:19" ht="15" x14ac:dyDescent="0.3">
      <c r="A679" s="74">
        <v>1225027</v>
      </c>
      <c r="B679" s="37">
        <v>55688</v>
      </c>
      <c r="C679" s="69">
        <v>76280556889</v>
      </c>
      <c r="D679" s="38" t="s">
        <v>1107</v>
      </c>
      <c r="E679" s="64">
        <v>9.7817114799999993E-2</v>
      </c>
      <c r="F679" s="70">
        <v>6</v>
      </c>
      <c r="G679" s="38" t="s">
        <v>1108</v>
      </c>
      <c r="H679" s="66" t="s">
        <v>1258</v>
      </c>
      <c r="I679" s="39">
        <v>33.637500000000003</v>
      </c>
      <c r="J679" s="40"/>
      <c r="K679" s="75">
        <f t="shared" si="64"/>
        <v>0</v>
      </c>
      <c r="L679" s="41"/>
      <c r="N679" s="45" t="str">
        <f t="shared" si="60"/>
        <v>-</v>
      </c>
      <c r="O679" s="42" t="str">
        <f t="shared" si="65"/>
        <v>-</v>
      </c>
      <c r="P679" s="43" t="str">
        <f t="shared" si="61"/>
        <v>-</v>
      </c>
      <c r="Q679" s="46" t="str">
        <f t="shared" si="62"/>
        <v>-</v>
      </c>
      <c r="S679" s="46" t="str">
        <f t="shared" si="63"/>
        <v>-</v>
      </c>
    </row>
    <row r="680" spans="1:19" ht="15" x14ac:dyDescent="0.3">
      <c r="A680" s="74">
        <v>9932441</v>
      </c>
      <c r="B680" s="37">
        <v>90847</v>
      </c>
      <c r="C680" s="69">
        <v>76280908473</v>
      </c>
      <c r="D680" s="38" t="s">
        <v>1111</v>
      </c>
      <c r="E680" s="64">
        <v>7.2075768800000009E-2</v>
      </c>
      <c r="F680" s="70">
        <v>6</v>
      </c>
      <c r="G680" s="38" t="s">
        <v>98</v>
      </c>
      <c r="H680" s="66" t="s">
        <v>1258</v>
      </c>
      <c r="I680" s="39">
        <v>17.98875</v>
      </c>
      <c r="J680" s="40"/>
      <c r="K680" s="75">
        <f t="shared" si="64"/>
        <v>0</v>
      </c>
      <c r="L680" s="41"/>
      <c r="N680" s="45" t="str">
        <f t="shared" si="60"/>
        <v>-</v>
      </c>
      <c r="O680" s="42" t="str">
        <f t="shared" si="65"/>
        <v>-</v>
      </c>
      <c r="P680" s="43" t="str">
        <f t="shared" si="61"/>
        <v>-</v>
      </c>
      <c r="Q680" s="46" t="str">
        <f t="shared" si="62"/>
        <v>-</v>
      </c>
      <c r="S680" s="46" t="str">
        <f t="shared" si="63"/>
        <v>-</v>
      </c>
    </row>
    <row r="681" spans="1:19" ht="15" x14ac:dyDescent="0.3">
      <c r="A681" s="74">
        <v>9402834</v>
      </c>
      <c r="B681" s="37">
        <v>37697</v>
      </c>
      <c r="C681" s="69">
        <v>76280376975</v>
      </c>
      <c r="D681" s="38" t="s">
        <v>1114</v>
      </c>
      <c r="E681" s="64">
        <v>6.6927499599999996E-2</v>
      </c>
      <c r="F681" s="70">
        <v>6</v>
      </c>
      <c r="G681" s="38" t="s">
        <v>1115</v>
      </c>
      <c r="H681" s="66" t="s">
        <v>1258</v>
      </c>
      <c r="I681" s="39">
        <v>12.626250000000001</v>
      </c>
      <c r="J681" s="40"/>
      <c r="K681" s="75">
        <f t="shared" si="64"/>
        <v>0</v>
      </c>
      <c r="L681" s="41"/>
      <c r="N681" s="45" t="str">
        <f t="shared" si="60"/>
        <v>-</v>
      </c>
      <c r="O681" s="42" t="str">
        <f t="shared" si="65"/>
        <v>-</v>
      </c>
      <c r="P681" s="43" t="str">
        <f t="shared" si="61"/>
        <v>-</v>
      </c>
      <c r="Q681" s="46" t="str">
        <f t="shared" si="62"/>
        <v>-</v>
      </c>
      <c r="S681" s="46" t="str">
        <f t="shared" si="63"/>
        <v>-</v>
      </c>
    </row>
    <row r="682" spans="1:19" ht="15" x14ac:dyDescent="0.3">
      <c r="A682" s="74">
        <v>9470210</v>
      </c>
      <c r="B682" s="37">
        <v>32064</v>
      </c>
      <c r="C682" s="69">
        <v>76280320640</v>
      </c>
      <c r="D682" s="38" t="s">
        <v>1121</v>
      </c>
      <c r="E682" s="64">
        <v>8.2372307199999995E-2</v>
      </c>
      <c r="F682" s="70">
        <v>6</v>
      </c>
      <c r="G682" s="38" t="s">
        <v>652</v>
      </c>
      <c r="H682" s="66" t="s">
        <v>1258</v>
      </c>
      <c r="I682" s="39">
        <v>18.57375</v>
      </c>
      <c r="J682" s="40"/>
      <c r="K682" s="75">
        <f t="shared" si="64"/>
        <v>0</v>
      </c>
      <c r="L682" s="41"/>
      <c r="N682" s="45" t="str">
        <f t="shared" si="60"/>
        <v>-</v>
      </c>
      <c r="O682" s="42" t="str">
        <f t="shared" si="65"/>
        <v>-</v>
      </c>
      <c r="P682" s="43" t="str">
        <f t="shared" si="61"/>
        <v>-</v>
      </c>
      <c r="Q682" s="46" t="str">
        <f t="shared" si="62"/>
        <v>-</v>
      </c>
      <c r="S682" s="46" t="str">
        <f t="shared" si="63"/>
        <v>-</v>
      </c>
    </row>
    <row r="683" spans="1:19" ht="15" x14ac:dyDescent="0.3">
      <c r="A683" s="74">
        <v>6241522</v>
      </c>
      <c r="B683" s="37">
        <v>27475</v>
      </c>
      <c r="C683" s="69">
        <v>76280274752</v>
      </c>
      <c r="D683" s="38" t="s">
        <v>1122</v>
      </c>
      <c r="E683" s="64">
        <v>0.10296538400000001</v>
      </c>
      <c r="F683" s="70">
        <v>6</v>
      </c>
      <c r="G683" s="38" t="s">
        <v>34</v>
      </c>
      <c r="H683" s="66" t="s">
        <v>1258</v>
      </c>
      <c r="I683" s="39">
        <v>13.50375</v>
      </c>
      <c r="J683" s="40"/>
      <c r="K683" s="75">
        <f t="shared" si="64"/>
        <v>0</v>
      </c>
      <c r="L683" s="41"/>
      <c r="N683" s="45" t="str">
        <f t="shared" si="60"/>
        <v>-</v>
      </c>
      <c r="O683" s="42" t="str">
        <f t="shared" si="65"/>
        <v>-</v>
      </c>
      <c r="P683" s="43" t="str">
        <f t="shared" si="61"/>
        <v>-</v>
      </c>
      <c r="Q683" s="46" t="str">
        <f t="shared" si="62"/>
        <v>-</v>
      </c>
      <c r="S683" s="46" t="str">
        <f t="shared" si="63"/>
        <v>-</v>
      </c>
    </row>
    <row r="684" spans="1:19" ht="15" x14ac:dyDescent="0.3">
      <c r="A684" s="74">
        <v>9548164</v>
      </c>
      <c r="B684" s="37">
        <v>11104</v>
      </c>
      <c r="C684" s="69">
        <v>76280111040</v>
      </c>
      <c r="D684" s="38" t="s">
        <v>1132</v>
      </c>
      <c r="E684" s="64">
        <v>5.6750000000000002E-2</v>
      </c>
      <c r="F684" s="70">
        <v>6</v>
      </c>
      <c r="G684" s="38" t="s">
        <v>185</v>
      </c>
      <c r="H684" s="66" t="s">
        <v>1258</v>
      </c>
      <c r="I684" s="39">
        <v>8.2875000000000014</v>
      </c>
      <c r="J684" s="40"/>
      <c r="K684" s="75">
        <f t="shared" si="64"/>
        <v>0</v>
      </c>
      <c r="L684" s="41"/>
      <c r="N684" s="45" t="str">
        <f t="shared" si="60"/>
        <v>-</v>
      </c>
      <c r="O684" s="42" t="str">
        <f t="shared" si="65"/>
        <v>-</v>
      </c>
      <c r="P684" s="43" t="str">
        <f t="shared" si="61"/>
        <v>-</v>
      </c>
      <c r="Q684" s="46" t="str">
        <f t="shared" si="62"/>
        <v>-</v>
      </c>
      <c r="S684" s="46" t="str">
        <f t="shared" si="63"/>
        <v>-</v>
      </c>
    </row>
    <row r="685" spans="1:19" ht="15" x14ac:dyDescent="0.3">
      <c r="A685" s="74">
        <v>7435529</v>
      </c>
      <c r="B685" s="37">
        <v>1310</v>
      </c>
      <c r="C685" s="69">
        <v>76280013108</v>
      </c>
      <c r="D685" s="38" t="s">
        <v>1133</v>
      </c>
      <c r="E685" s="64">
        <v>6.1779230399999996E-2</v>
      </c>
      <c r="F685" s="70">
        <v>6</v>
      </c>
      <c r="G685" s="38" t="s">
        <v>1134</v>
      </c>
      <c r="H685" s="66" t="s">
        <v>1258</v>
      </c>
      <c r="I685" s="39">
        <v>16.672500000000003</v>
      </c>
      <c r="J685" s="40"/>
      <c r="K685" s="75">
        <f t="shared" si="64"/>
        <v>0</v>
      </c>
      <c r="L685" s="41"/>
      <c r="N685" s="45" t="str">
        <f t="shared" si="60"/>
        <v>-</v>
      </c>
      <c r="O685" s="42" t="str">
        <f t="shared" si="65"/>
        <v>-</v>
      </c>
      <c r="P685" s="43" t="str">
        <f t="shared" si="61"/>
        <v>-</v>
      </c>
      <c r="Q685" s="46" t="str">
        <f t="shared" si="62"/>
        <v>-</v>
      </c>
      <c r="S685" s="46" t="str">
        <f t="shared" si="63"/>
        <v>-</v>
      </c>
    </row>
    <row r="686" spans="1:19" ht="15" x14ac:dyDescent="0.3">
      <c r="A686" s="74">
        <v>7937221</v>
      </c>
      <c r="B686" s="37">
        <v>1580</v>
      </c>
      <c r="C686" s="69">
        <v>76280015805</v>
      </c>
      <c r="D686" s="38" t="s">
        <v>1135</v>
      </c>
      <c r="E686" s="64">
        <v>0.10811365319999999</v>
      </c>
      <c r="F686" s="70">
        <v>6</v>
      </c>
      <c r="G686" s="38" t="s">
        <v>282</v>
      </c>
      <c r="H686" s="66" t="s">
        <v>1258</v>
      </c>
      <c r="I686" s="39">
        <v>13.649999999999999</v>
      </c>
      <c r="J686" s="40"/>
      <c r="K686" s="75">
        <f t="shared" si="64"/>
        <v>0</v>
      </c>
      <c r="L686" s="41"/>
      <c r="N686" s="45" t="str">
        <f t="shared" si="60"/>
        <v>-</v>
      </c>
      <c r="O686" s="42" t="str">
        <f t="shared" si="65"/>
        <v>-</v>
      </c>
      <c r="P686" s="43" t="str">
        <f t="shared" si="61"/>
        <v>-</v>
      </c>
      <c r="Q686" s="46" t="str">
        <f t="shared" si="62"/>
        <v>-</v>
      </c>
      <c r="S686" s="46" t="str">
        <f t="shared" si="63"/>
        <v>-</v>
      </c>
    </row>
    <row r="687" spans="1:19" ht="15" x14ac:dyDescent="0.3">
      <c r="A687" s="74">
        <v>7992932</v>
      </c>
      <c r="B687" s="37">
        <v>62562</v>
      </c>
      <c r="C687" s="69">
        <v>76280625622</v>
      </c>
      <c r="D687" s="38" t="s">
        <v>1137</v>
      </c>
      <c r="E687" s="64">
        <v>7.2075768800000009E-2</v>
      </c>
      <c r="F687" s="70">
        <v>6</v>
      </c>
      <c r="G687" s="38" t="s">
        <v>98</v>
      </c>
      <c r="H687" s="66" t="s">
        <v>1258</v>
      </c>
      <c r="I687" s="39">
        <v>10.67625</v>
      </c>
      <c r="J687" s="40"/>
      <c r="K687" s="75">
        <f t="shared" si="64"/>
        <v>0</v>
      </c>
      <c r="L687" s="41"/>
      <c r="N687" s="45" t="str">
        <f t="shared" si="60"/>
        <v>-</v>
      </c>
      <c r="O687" s="42" t="str">
        <f t="shared" si="65"/>
        <v>-</v>
      </c>
      <c r="P687" s="43" t="str">
        <f t="shared" si="61"/>
        <v>-</v>
      </c>
      <c r="Q687" s="46" t="str">
        <f t="shared" si="62"/>
        <v>-</v>
      </c>
      <c r="S687" s="46" t="str">
        <f t="shared" si="63"/>
        <v>-</v>
      </c>
    </row>
    <row r="688" spans="1:19" ht="15" x14ac:dyDescent="0.3">
      <c r="A688" s="74">
        <v>7043023</v>
      </c>
      <c r="B688" s="37">
        <v>11808</v>
      </c>
      <c r="C688" s="69">
        <v>76280118087</v>
      </c>
      <c r="D688" s="38" t="s">
        <v>1148</v>
      </c>
      <c r="E688" s="64">
        <v>9.2668845599999994E-2</v>
      </c>
      <c r="F688" s="70">
        <v>6</v>
      </c>
      <c r="G688" s="38" t="s">
        <v>781</v>
      </c>
      <c r="H688" s="66" t="s">
        <v>1258</v>
      </c>
      <c r="I688" s="39">
        <v>10.432500000000001</v>
      </c>
      <c r="J688" s="40"/>
      <c r="K688" s="75">
        <f t="shared" si="64"/>
        <v>0</v>
      </c>
      <c r="L688" s="41"/>
      <c r="N688" s="45" t="str">
        <f t="shared" si="60"/>
        <v>-</v>
      </c>
      <c r="O688" s="42" t="str">
        <f t="shared" si="65"/>
        <v>-</v>
      </c>
      <c r="P688" s="43" t="str">
        <f t="shared" si="61"/>
        <v>-</v>
      </c>
      <c r="Q688" s="46" t="str">
        <f t="shared" si="62"/>
        <v>-</v>
      </c>
      <c r="S688" s="46" t="str">
        <f t="shared" si="63"/>
        <v>-</v>
      </c>
    </row>
    <row r="689" spans="1:19" ht="15" x14ac:dyDescent="0.3">
      <c r="A689" s="74">
        <v>6596696</v>
      </c>
      <c r="B689" s="37">
        <v>3407</v>
      </c>
      <c r="C689" s="69">
        <v>76280034073</v>
      </c>
      <c r="D689" s="38" t="s">
        <v>1149</v>
      </c>
      <c r="E689" s="64">
        <v>0.11841019160000001</v>
      </c>
      <c r="F689" s="70">
        <v>6</v>
      </c>
      <c r="G689" s="38" t="s">
        <v>659</v>
      </c>
      <c r="H689" s="66" t="s">
        <v>1258</v>
      </c>
      <c r="I689" s="39">
        <v>8.3849999999999998</v>
      </c>
      <c r="J689" s="40"/>
      <c r="K689" s="75">
        <f t="shared" si="64"/>
        <v>0</v>
      </c>
      <c r="L689" s="41"/>
      <c r="N689" s="45" t="str">
        <f t="shared" si="60"/>
        <v>-</v>
      </c>
      <c r="O689" s="42" t="str">
        <f t="shared" si="65"/>
        <v>-</v>
      </c>
      <c r="P689" s="43" t="str">
        <f t="shared" si="61"/>
        <v>-</v>
      </c>
      <c r="Q689" s="46" t="str">
        <f t="shared" si="62"/>
        <v>-</v>
      </c>
      <c r="S689" s="46" t="str">
        <f t="shared" si="63"/>
        <v>-</v>
      </c>
    </row>
    <row r="690" spans="1:19" ht="15" x14ac:dyDescent="0.3">
      <c r="A690" s="74">
        <v>2991592</v>
      </c>
      <c r="B690" s="37">
        <v>11752</v>
      </c>
      <c r="C690" s="69">
        <v>76280117523</v>
      </c>
      <c r="D690" s="38" t="s">
        <v>1150</v>
      </c>
      <c r="E690" s="64">
        <v>5.6750000000000002E-2</v>
      </c>
      <c r="F690" s="70">
        <v>12</v>
      </c>
      <c r="G690" s="38" t="s">
        <v>34</v>
      </c>
      <c r="H690" s="66" t="s">
        <v>1258</v>
      </c>
      <c r="I690" s="39">
        <v>13.50375</v>
      </c>
      <c r="J690" s="40"/>
      <c r="K690" s="75">
        <f t="shared" si="64"/>
        <v>0</v>
      </c>
      <c r="L690" s="41"/>
      <c r="N690" s="45" t="str">
        <f t="shared" si="60"/>
        <v>-</v>
      </c>
      <c r="O690" s="42" t="str">
        <f t="shared" si="65"/>
        <v>-</v>
      </c>
      <c r="P690" s="43" t="str">
        <f t="shared" si="61"/>
        <v>-</v>
      </c>
      <c r="Q690" s="46" t="str">
        <f t="shared" si="62"/>
        <v>-</v>
      </c>
      <c r="S690" s="46" t="str">
        <f t="shared" si="63"/>
        <v>-</v>
      </c>
    </row>
    <row r="691" spans="1:19" ht="15" x14ac:dyDescent="0.3">
      <c r="A691" s="74">
        <v>7979928</v>
      </c>
      <c r="B691" s="37">
        <v>35588</v>
      </c>
      <c r="C691" s="69">
        <v>76280355888</v>
      </c>
      <c r="D691" s="38" t="s">
        <v>1163</v>
      </c>
      <c r="E691" s="64">
        <v>8.7520576400000008E-2</v>
      </c>
      <c r="F691" s="70">
        <v>6</v>
      </c>
      <c r="G691" s="38" t="s">
        <v>63</v>
      </c>
      <c r="H691" s="66" t="s">
        <v>1258</v>
      </c>
      <c r="I691" s="39">
        <v>14.625</v>
      </c>
      <c r="J691" s="40"/>
      <c r="K691" s="75">
        <f t="shared" si="64"/>
        <v>0</v>
      </c>
      <c r="L691" s="41"/>
      <c r="N691" s="45" t="str">
        <f t="shared" si="60"/>
        <v>-</v>
      </c>
      <c r="O691" s="42" t="str">
        <f t="shared" si="65"/>
        <v>-</v>
      </c>
      <c r="P691" s="43" t="str">
        <f t="shared" si="61"/>
        <v>-</v>
      </c>
      <c r="Q691" s="46" t="str">
        <f t="shared" si="62"/>
        <v>-</v>
      </c>
      <c r="S691" s="46" t="str">
        <f t="shared" si="63"/>
        <v>-</v>
      </c>
    </row>
    <row r="692" spans="1:19" ht="15" x14ac:dyDescent="0.3">
      <c r="A692" s="74">
        <v>5821933</v>
      </c>
      <c r="B692" s="37">
        <v>52747</v>
      </c>
      <c r="C692" s="69">
        <v>76280527476</v>
      </c>
      <c r="D692" s="38" t="s">
        <v>1164</v>
      </c>
      <c r="E692" s="64">
        <v>5.6750000000000002E-2</v>
      </c>
      <c r="F692" s="70">
        <v>6</v>
      </c>
      <c r="G692" s="38" t="s">
        <v>1165</v>
      </c>
      <c r="H692" s="66" t="s">
        <v>1258</v>
      </c>
      <c r="I692" s="39">
        <v>14.381250000000001</v>
      </c>
      <c r="J692" s="40"/>
      <c r="K692" s="75">
        <f t="shared" si="64"/>
        <v>0</v>
      </c>
      <c r="L692" s="41"/>
      <c r="N692" s="45" t="str">
        <f t="shared" si="60"/>
        <v>-</v>
      </c>
      <c r="O692" s="42" t="str">
        <f t="shared" si="65"/>
        <v>-</v>
      </c>
      <c r="P692" s="43" t="str">
        <f t="shared" si="61"/>
        <v>-</v>
      </c>
      <c r="Q692" s="46" t="str">
        <f t="shared" si="62"/>
        <v>-</v>
      </c>
      <c r="S692" s="46" t="str">
        <f t="shared" si="63"/>
        <v>-</v>
      </c>
    </row>
    <row r="693" spans="1:19" ht="15" x14ac:dyDescent="0.3">
      <c r="A693" s="74">
        <v>2314061</v>
      </c>
      <c r="B693" s="37">
        <v>15379</v>
      </c>
      <c r="C693" s="69">
        <v>76280153798</v>
      </c>
      <c r="D693" s="38" t="s">
        <v>1172</v>
      </c>
      <c r="E693" s="64">
        <v>7.2075768800000009E-2</v>
      </c>
      <c r="F693" s="70">
        <v>6</v>
      </c>
      <c r="G693" s="38" t="s">
        <v>490</v>
      </c>
      <c r="H693" s="66" t="s">
        <v>1258</v>
      </c>
      <c r="I693" s="39">
        <v>18.135000000000002</v>
      </c>
      <c r="J693" s="40"/>
      <c r="K693" s="75">
        <f t="shared" si="64"/>
        <v>0</v>
      </c>
      <c r="L693" s="41"/>
      <c r="N693" s="45" t="str">
        <f t="shared" si="60"/>
        <v>-</v>
      </c>
      <c r="O693" s="42" t="str">
        <f t="shared" si="65"/>
        <v>-</v>
      </c>
      <c r="P693" s="43" t="str">
        <f t="shared" si="61"/>
        <v>-</v>
      </c>
      <c r="Q693" s="46" t="str">
        <f t="shared" si="62"/>
        <v>-</v>
      </c>
      <c r="S693" s="46" t="str">
        <f t="shared" si="63"/>
        <v>-</v>
      </c>
    </row>
    <row r="694" spans="1:19" ht="15" x14ac:dyDescent="0.3">
      <c r="A694" s="74">
        <v>4126536</v>
      </c>
      <c r="B694" s="37">
        <v>36662</v>
      </c>
      <c r="C694" s="69">
        <v>76280366624</v>
      </c>
      <c r="D694" s="38" t="s">
        <v>1174</v>
      </c>
      <c r="E694" s="64">
        <v>6.6927499599999996E-2</v>
      </c>
      <c r="F694" s="70">
        <v>6</v>
      </c>
      <c r="G694" s="38" t="s">
        <v>978</v>
      </c>
      <c r="H694" s="66" t="s">
        <v>1258</v>
      </c>
      <c r="I694" s="39">
        <v>14.088750000000001</v>
      </c>
      <c r="J694" s="40"/>
      <c r="K694" s="75">
        <f t="shared" si="64"/>
        <v>0</v>
      </c>
      <c r="L694" s="41"/>
      <c r="N694" s="45" t="str">
        <f t="shared" si="60"/>
        <v>-</v>
      </c>
      <c r="O694" s="42" t="str">
        <f t="shared" si="65"/>
        <v>-</v>
      </c>
      <c r="P694" s="43" t="str">
        <f t="shared" si="61"/>
        <v>-</v>
      </c>
      <c r="Q694" s="46" t="str">
        <f t="shared" si="62"/>
        <v>-</v>
      </c>
      <c r="S694" s="46" t="str">
        <f t="shared" si="63"/>
        <v>-</v>
      </c>
    </row>
    <row r="695" spans="1:19" ht="15" x14ac:dyDescent="0.3">
      <c r="A695" s="74">
        <v>5554167</v>
      </c>
      <c r="B695" s="37">
        <v>29257</v>
      </c>
      <c r="C695" s="69">
        <v>76280292572</v>
      </c>
      <c r="D695" s="38" t="s">
        <v>1179</v>
      </c>
      <c r="E695" s="64">
        <v>6.6927499599999996E-2</v>
      </c>
      <c r="F695" s="70">
        <v>6</v>
      </c>
      <c r="G695" s="38" t="s">
        <v>1180</v>
      </c>
      <c r="H695" s="66" t="s">
        <v>1258</v>
      </c>
      <c r="I695" s="39">
        <v>33.637500000000003</v>
      </c>
      <c r="J695" s="40"/>
      <c r="K695" s="75">
        <f t="shared" si="64"/>
        <v>0</v>
      </c>
      <c r="L695" s="41"/>
      <c r="N695" s="45" t="str">
        <f t="shared" si="60"/>
        <v>-</v>
      </c>
      <c r="O695" s="42" t="str">
        <f t="shared" si="65"/>
        <v>-</v>
      </c>
      <c r="P695" s="43" t="str">
        <f t="shared" si="61"/>
        <v>-</v>
      </c>
      <c r="Q695" s="46" t="str">
        <f t="shared" si="62"/>
        <v>-</v>
      </c>
      <c r="S695" s="46" t="str">
        <f t="shared" si="63"/>
        <v>-</v>
      </c>
    </row>
    <row r="696" spans="1:19" ht="15" x14ac:dyDescent="0.3">
      <c r="A696" s="74">
        <v>2718133</v>
      </c>
      <c r="B696" s="37">
        <v>2380</v>
      </c>
      <c r="C696" s="69">
        <v>76280023800</v>
      </c>
      <c r="D696" s="38" t="s">
        <v>1184</v>
      </c>
      <c r="E696" s="64">
        <v>9.2668845599999994E-2</v>
      </c>
      <c r="F696" s="70">
        <v>6</v>
      </c>
      <c r="G696" s="38" t="s">
        <v>154</v>
      </c>
      <c r="H696" s="66" t="s">
        <v>1258</v>
      </c>
      <c r="I696" s="39">
        <v>6.7275000000000009</v>
      </c>
      <c r="J696" s="40"/>
      <c r="K696" s="75">
        <f t="shared" si="64"/>
        <v>0</v>
      </c>
      <c r="L696" s="41"/>
      <c r="N696" s="45" t="str">
        <f t="shared" si="60"/>
        <v>-</v>
      </c>
      <c r="O696" s="42" t="str">
        <f t="shared" si="65"/>
        <v>-</v>
      </c>
      <c r="P696" s="43" t="str">
        <f t="shared" si="61"/>
        <v>-</v>
      </c>
      <c r="Q696" s="46" t="str">
        <f t="shared" si="62"/>
        <v>-</v>
      </c>
      <c r="S696" s="46" t="str">
        <f t="shared" si="63"/>
        <v>-</v>
      </c>
    </row>
    <row r="697" spans="1:19" ht="15" x14ac:dyDescent="0.3">
      <c r="A697" s="74">
        <v>7722508</v>
      </c>
      <c r="B697" s="37">
        <v>29337</v>
      </c>
      <c r="C697" s="69">
        <v>76280293371</v>
      </c>
      <c r="D697" s="38" t="s">
        <v>792</v>
      </c>
      <c r="E697" s="64">
        <v>6.6927499599999996E-2</v>
      </c>
      <c r="F697" s="70">
        <v>12</v>
      </c>
      <c r="G697" s="38" t="s">
        <v>894</v>
      </c>
      <c r="H697" s="66" t="s">
        <v>1258</v>
      </c>
      <c r="I697" s="39">
        <v>13.893750000000001</v>
      </c>
      <c r="J697" s="40"/>
      <c r="K697" s="75">
        <f t="shared" si="64"/>
        <v>0</v>
      </c>
      <c r="L697" s="41"/>
      <c r="N697" s="45" t="str">
        <f t="shared" si="60"/>
        <v>-</v>
      </c>
      <c r="O697" s="42" t="str">
        <f t="shared" si="65"/>
        <v>-</v>
      </c>
      <c r="P697" s="43" t="str">
        <f t="shared" si="61"/>
        <v>-</v>
      </c>
      <c r="Q697" s="46" t="str">
        <f t="shared" si="62"/>
        <v>-</v>
      </c>
      <c r="S697" s="46" t="str">
        <f t="shared" si="63"/>
        <v>-</v>
      </c>
    </row>
    <row r="698" spans="1:19" ht="15" x14ac:dyDescent="0.3">
      <c r="A698" s="74">
        <v>3673304</v>
      </c>
      <c r="B698" s="37">
        <v>879</v>
      </c>
      <c r="C698" s="69">
        <v>76280008791</v>
      </c>
      <c r="D698" s="38" t="s">
        <v>1189</v>
      </c>
      <c r="E698" s="64">
        <v>6.6927499599999996E-2</v>
      </c>
      <c r="F698" s="70">
        <v>12</v>
      </c>
      <c r="G698" s="38" t="s">
        <v>177</v>
      </c>
      <c r="H698" s="66" t="s">
        <v>1258</v>
      </c>
      <c r="I698" s="39">
        <v>9.8962500000000002</v>
      </c>
      <c r="J698" s="40"/>
      <c r="K698" s="75">
        <f t="shared" si="64"/>
        <v>0</v>
      </c>
      <c r="L698" s="41"/>
      <c r="N698" s="45" t="str">
        <f t="shared" si="60"/>
        <v>-</v>
      </c>
      <c r="O698" s="42" t="str">
        <f t="shared" si="65"/>
        <v>-</v>
      </c>
      <c r="P698" s="43" t="str">
        <f t="shared" si="61"/>
        <v>-</v>
      </c>
      <c r="Q698" s="46" t="str">
        <f t="shared" si="62"/>
        <v>-</v>
      </c>
      <c r="S698" s="46" t="str">
        <f t="shared" si="63"/>
        <v>-</v>
      </c>
    </row>
    <row r="699" spans="1:19" ht="15" x14ac:dyDescent="0.3">
      <c r="A699" s="74">
        <v>2801811</v>
      </c>
      <c r="B699" s="37">
        <v>4880</v>
      </c>
      <c r="C699" s="69">
        <v>76280048803</v>
      </c>
      <c r="D699" s="38" t="s">
        <v>1190</v>
      </c>
      <c r="E699" s="64">
        <v>8.2372307199999995E-2</v>
      </c>
      <c r="F699" s="70">
        <v>12</v>
      </c>
      <c r="G699" s="38" t="s">
        <v>1191</v>
      </c>
      <c r="H699" s="66" t="s">
        <v>1258</v>
      </c>
      <c r="I699" s="39">
        <v>9.5550000000000015</v>
      </c>
      <c r="J699" s="40"/>
      <c r="K699" s="75">
        <f t="shared" si="64"/>
        <v>0</v>
      </c>
      <c r="L699" s="41"/>
      <c r="N699" s="45" t="str">
        <f t="shared" si="60"/>
        <v>-</v>
      </c>
      <c r="O699" s="42" t="str">
        <f t="shared" si="65"/>
        <v>-</v>
      </c>
      <c r="P699" s="43" t="str">
        <f t="shared" si="61"/>
        <v>-</v>
      </c>
      <c r="Q699" s="46" t="str">
        <f t="shared" si="62"/>
        <v>-</v>
      </c>
      <c r="S699" s="46" t="str">
        <f t="shared" si="63"/>
        <v>-</v>
      </c>
    </row>
    <row r="700" spans="1:19" ht="15" x14ac:dyDescent="0.3">
      <c r="A700" s="74">
        <v>3527477</v>
      </c>
      <c r="B700" s="37">
        <v>1242</v>
      </c>
      <c r="C700" s="69">
        <v>76280012422</v>
      </c>
      <c r="D700" s="38" t="s">
        <v>1194</v>
      </c>
      <c r="E700" s="64">
        <v>8.7520576400000008E-2</v>
      </c>
      <c r="F700" s="70">
        <v>6</v>
      </c>
      <c r="G700" s="38" t="s">
        <v>735</v>
      </c>
      <c r="H700" s="66" t="s">
        <v>1258</v>
      </c>
      <c r="I700" s="39">
        <v>9.9450000000000003</v>
      </c>
      <c r="J700" s="40"/>
      <c r="K700" s="75">
        <f t="shared" si="64"/>
        <v>0</v>
      </c>
      <c r="L700" s="41"/>
      <c r="N700" s="45" t="str">
        <f t="shared" si="60"/>
        <v>-</v>
      </c>
      <c r="O700" s="42" t="str">
        <f t="shared" si="65"/>
        <v>-</v>
      </c>
      <c r="P700" s="43" t="str">
        <f t="shared" si="61"/>
        <v>-</v>
      </c>
      <c r="Q700" s="46" t="str">
        <f t="shared" si="62"/>
        <v>-</v>
      </c>
      <c r="S700" s="46" t="str">
        <f t="shared" si="63"/>
        <v>-</v>
      </c>
    </row>
    <row r="701" spans="1:19" ht="15" x14ac:dyDescent="0.3">
      <c r="A701" s="74">
        <v>8194800</v>
      </c>
      <c r="B701" s="37">
        <v>834</v>
      </c>
      <c r="C701" s="69">
        <v>76280008340</v>
      </c>
      <c r="D701" s="38" t="s">
        <v>1200</v>
      </c>
      <c r="E701" s="64">
        <v>0.11326192240000001</v>
      </c>
      <c r="F701" s="70">
        <v>12</v>
      </c>
      <c r="G701" s="38" t="s">
        <v>446</v>
      </c>
      <c r="H701" s="66" t="s">
        <v>1258</v>
      </c>
      <c r="I701" s="39">
        <v>12.918750000000001</v>
      </c>
      <c r="J701" s="40"/>
      <c r="K701" s="75">
        <f t="shared" si="64"/>
        <v>0</v>
      </c>
      <c r="L701" s="41"/>
      <c r="N701" s="45" t="str">
        <f t="shared" si="60"/>
        <v>-</v>
      </c>
      <c r="O701" s="42" t="str">
        <f t="shared" si="65"/>
        <v>-</v>
      </c>
      <c r="P701" s="43" t="str">
        <f t="shared" si="61"/>
        <v>-</v>
      </c>
      <c r="Q701" s="46" t="str">
        <f t="shared" si="62"/>
        <v>-</v>
      </c>
      <c r="S701" s="46" t="str">
        <f t="shared" si="63"/>
        <v>-</v>
      </c>
    </row>
    <row r="702" spans="1:19" ht="15" x14ac:dyDescent="0.3">
      <c r="A702" s="74">
        <v>5456237</v>
      </c>
      <c r="B702" s="37">
        <v>66054</v>
      </c>
      <c r="C702" s="69">
        <v>76280660548</v>
      </c>
      <c r="D702" s="38" t="s">
        <v>1207</v>
      </c>
      <c r="E702" s="64">
        <v>5.6750000000000002E-2</v>
      </c>
      <c r="F702" s="70">
        <v>6</v>
      </c>
      <c r="G702" s="38" t="s">
        <v>338</v>
      </c>
      <c r="H702" s="66" t="s">
        <v>1258</v>
      </c>
      <c r="I702" s="39">
        <v>16.233750000000001</v>
      </c>
      <c r="J702" s="40"/>
      <c r="K702" s="75">
        <f t="shared" si="64"/>
        <v>0</v>
      </c>
      <c r="L702" s="41"/>
      <c r="N702" s="45" t="str">
        <f t="shared" si="60"/>
        <v>-</v>
      </c>
      <c r="O702" s="42" t="str">
        <f t="shared" si="65"/>
        <v>-</v>
      </c>
      <c r="P702" s="43" t="str">
        <f t="shared" si="61"/>
        <v>-</v>
      </c>
      <c r="Q702" s="46" t="str">
        <f t="shared" si="62"/>
        <v>-</v>
      </c>
      <c r="S702" s="46" t="str">
        <f t="shared" si="63"/>
        <v>-</v>
      </c>
    </row>
    <row r="703" spans="1:19" ht="15" x14ac:dyDescent="0.3">
      <c r="A703" s="74">
        <v>8950297</v>
      </c>
      <c r="B703" s="37">
        <v>39908</v>
      </c>
      <c r="C703" s="69">
        <v>76280399080</v>
      </c>
      <c r="D703" s="38" t="s">
        <v>1208</v>
      </c>
      <c r="E703" s="64">
        <v>6.6927499599999996E-2</v>
      </c>
      <c r="F703" s="70">
        <v>6</v>
      </c>
      <c r="G703" s="38" t="s">
        <v>884</v>
      </c>
      <c r="H703" s="66" t="s">
        <v>1258</v>
      </c>
      <c r="I703" s="39">
        <v>12.528750000000002</v>
      </c>
      <c r="J703" s="40"/>
      <c r="K703" s="75">
        <f t="shared" si="64"/>
        <v>0</v>
      </c>
      <c r="L703" s="41"/>
      <c r="N703" s="45" t="str">
        <f t="shared" si="60"/>
        <v>-</v>
      </c>
      <c r="O703" s="42" t="str">
        <f t="shared" si="65"/>
        <v>-</v>
      </c>
      <c r="P703" s="43" t="str">
        <f t="shared" si="61"/>
        <v>-</v>
      </c>
      <c r="Q703" s="46" t="str">
        <f t="shared" si="62"/>
        <v>-</v>
      </c>
      <c r="S703" s="46" t="str">
        <f t="shared" si="63"/>
        <v>-</v>
      </c>
    </row>
    <row r="704" spans="1:19" ht="15" x14ac:dyDescent="0.3">
      <c r="A704" s="74">
        <v>4553606</v>
      </c>
      <c r="B704" s="37">
        <v>60043</v>
      </c>
      <c r="C704" s="69">
        <v>76280600438</v>
      </c>
      <c r="D704" s="38" t="s">
        <v>1210</v>
      </c>
      <c r="E704" s="64">
        <v>9.2668845599999994E-2</v>
      </c>
      <c r="F704" s="70">
        <v>6</v>
      </c>
      <c r="G704" s="38" t="s">
        <v>63</v>
      </c>
      <c r="H704" s="66" t="s">
        <v>1258</v>
      </c>
      <c r="I704" s="39">
        <v>17.647500000000001</v>
      </c>
      <c r="J704" s="40"/>
      <c r="K704" s="75">
        <f t="shared" si="64"/>
        <v>0</v>
      </c>
      <c r="L704" s="41"/>
      <c r="N704" s="45" t="str">
        <f t="shared" si="60"/>
        <v>-</v>
      </c>
      <c r="O704" s="42" t="str">
        <f t="shared" si="65"/>
        <v>-</v>
      </c>
      <c r="P704" s="43" t="str">
        <f t="shared" si="61"/>
        <v>-</v>
      </c>
      <c r="Q704" s="46" t="str">
        <f t="shared" si="62"/>
        <v>-</v>
      </c>
      <c r="S704" s="46" t="str">
        <f t="shared" si="63"/>
        <v>-</v>
      </c>
    </row>
    <row r="705" spans="1:19" ht="15" x14ac:dyDescent="0.3">
      <c r="A705" s="74">
        <v>9456252</v>
      </c>
      <c r="B705" s="37">
        <v>61360</v>
      </c>
      <c r="C705" s="69">
        <v>76280613605</v>
      </c>
      <c r="D705" s="38" t="s">
        <v>1223</v>
      </c>
      <c r="E705" s="64">
        <v>0.13385499919999999</v>
      </c>
      <c r="F705" s="70">
        <v>6</v>
      </c>
      <c r="G705" s="38" t="s">
        <v>63</v>
      </c>
      <c r="H705" s="66" t="s">
        <v>1258</v>
      </c>
      <c r="I705" s="39">
        <v>17.0625</v>
      </c>
      <c r="J705" s="40"/>
      <c r="K705" s="75">
        <f t="shared" si="64"/>
        <v>0</v>
      </c>
      <c r="L705" s="41"/>
      <c r="N705" s="45" t="str">
        <f t="shared" si="60"/>
        <v>-</v>
      </c>
      <c r="O705" s="42" t="str">
        <f t="shared" si="65"/>
        <v>-</v>
      </c>
      <c r="P705" s="43" t="str">
        <f t="shared" si="61"/>
        <v>-</v>
      </c>
      <c r="Q705" s="46" t="str">
        <f t="shared" si="62"/>
        <v>-</v>
      </c>
      <c r="S705" s="46" t="str">
        <f t="shared" si="63"/>
        <v>-</v>
      </c>
    </row>
    <row r="706" spans="1:19" ht="15" x14ac:dyDescent="0.3">
      <c r="A706" s="74">
        <v>3171924</v>
      </c>
      <c r="B706" s="37">
        <v>33092</v>
      </c>
      <c r="C706" s="69">
        <v>76280330922</v>
      </c>
      <c r="D706" s="38" t="s">
        <v>1229</v>
      </c>
      <c r="E706" s="64">
        <v>5.6750000000000002E-2</v>
      </c>
      <c r="F706" s="70">
        <v>6</v>
      </c>
      <c r="G706" s="38" t="s">
        <v>995</v>
      </c>
      <c r="H706" s="66" t="s">
        <v>1258</v>
      </c>
      <c r="I706" s="39">
        <v>16.087499999999999</v>
      </c>
      <c r="J706" s="40"/>
      <c r="K706" s="75">
        <f t="shared" si="64"/>
        <v>0</v>
      </c>
      <c r="L706" s="41"/>
      <c r="N706" s="45" t="str">
        <f t="shared" si="60"/>
        <v>-</v>
      </c>
      <c r="O706" s="42" t="str">
        <f t="shared" si="65"/>
        <v>-</v>
      </c>
      <c r="P706" s="43" t="str">
        <f t="shared" si="61"/>
        <v>-</v>
      </c>
      <c r="Q706" s="46" t="str">
        <f t="shared" si="62"/>
        <v>-</v>
      </c>
      <c r="S706" s="46" t="str">
        <f t="shared" si="63"/>
        <v>-</v>
      </c>
    </row>
    <row r="707" spans="1:19" ht="15" x14ac:dyDescent="0.3">
      <c r="A707" s="74">
        <v>7824919</v>
      </c>
      <c r="B707" s="37">
        <v>8861</v>
      </c>
      <c r="C707" s="69">
        <v>76280088618</v>
      </c>
      <c r="D707" s="38" t="s">
        <v>1230</v>
      </c>
      <c r="E707" s="64">
        <v>5.6750000000000002E-2</v>
      </c>
      <c r="F707" s="70">
        <v>12</v>
      </c>
      <c r="G707" s="38" t="s">
        <v>135</v>
      </c>
      <c r="H707" s="66" t="s">
        <v>1258</v>
      </c>
      <c r="I707" s="39">
        <v>12.577500000000001</v>
      </c>
      <c r="J707" s="40"/>
      <c r="K707" s="75">
        <f t="shared" si="64"/>
        <v>0</v>
      </c>
      <c r="L707" s="41"/>
      <c r="N707" s="45" t="str">
        <f t="shared" ref="N707:N770" si="66">IFERROR(IF($N$2*E707=0, "-", $N$2*E707), "-")</f>
        <v>-</v>
      </c>
      <c r="O707" s="42" t="str">
        <f t="shared" si="65"/>
        <v>-</v>
      </c>
      <c r="P707" s="43" t="str">
        <f t="shared" ref="P707:P770" si="67">IF(J707&gt;0,J707*E707, "-")</f>
        <v>-</v>
      </c>
      <c r="Q707" s="46" t="str">
        <f t="shared" ref="Q707:Q770" si="68">IFERROR(IF($N$2&gt;0, $N$2*P707, "-"), "-")</f>
        <v>-</v>
      </c>
      <c r="S707" s="46" t="str">
        <f t="shared" ref="S707:S770" si="69">IFERROR(IF(Q707+K707=0, "-", IF(Q707&gt;0, Q707+K707, "-")), "-")</f>
        <v>-</v>
      </c>
    </row>
    <row r="708" spans="1:19" ht="15" x14ac:dyDescent="0.3">
      <c r="A708" s="74">
        <v>8541587</v>
      </c>
      <c r="B708" s="37">
        <v>77447</v>
      </c>
      <c r="C708" s="69">
        <v>76280774474</v>
      </c>
      <c r="D708" s="38" t="s">
        <v>1002</v>
      </c>
      <c r="E708" s="64">
        <v>5.6750000000000002E-2</v>
      </c>
      <c r="F708" s="70">
        <v>6</v>
      </c>
      <c r="G708" s="38" t="s">
        <v>1152</v>
      </c>
      <c r="H708" s="66" t="s">
        <v>1258</v>
      </c>
      <c r="I708" s="39">
        <v>19.5</v>
      </c>
      <c r="J708" s="40"/>
      <c r="K708" s="75">
        <f t="shared" ref="K708:K771" si="70">J708*I708</f>
        <v>0</v>
      </c>
      <c r="L708" s="41"/>
      <c r="N708" s="45" t="str">
        <f t="shared" si="66"/>
        <v>-</v>
      </c>
      <c r="O708" s="42" t="str">
        <f t="shared" ref="O708:O771" si="71">IFERROR(IF(N708&gt;0,I708+N708,"-"),"-")</f>
        <v>-</v>
      </c>
      <c r="P708" s="43" t="str">
        <f t="shared" si="67"/>
        <v>-</v>
      </c>
      <c r="Q708" s="46" t="str">
        <f t="shared" si="68"/>
        <v>-</v>
      </c>
      <c r="S708" s="46" t="str">
        <f t="shared" si="69"/>
        <v>-</v>
      </c>
    </row>
    <row r="709" spans="1:19" ht="15" x14ac:dyDescent="0.3">
      <c r="A709" s="74">
        <v>6646412</v>
      </c>
      <c r="B709" s="37">
        <v>10709</v>
      </c>
      <c r="C709" s="69">
        <v>76280107098</v>
      </c>
      <c r="D709" s="38" t="s">
        <v>1236</v>
      </c>
      <c r="E709" s="64">
        <v>5.6750000000000002E-2</v>
      </c>
      <c r="F709" s="70">
        <v>6</v>
      </c>
      <c r="G709" s="38" t="s">
        <v>461</v>
      </c>
      <c r="H709" s="66" t="s">
        <v>1258</v>
      </c>
      <c r="I709" s="39">
        <v>19.158749999999998</v>
      </c>
      <c r="J709" s="40"/>
      <c r="K709" s="75">
        <f t="shared" si="70"/>
        <v>0</v>
      </c>
      <c r="L709" s="41"/>
      <c r="N709" s="45" t="str">
        <f t="shared" si="66"/>
        <v>-</v>
      </c>
      <c r="O709" s="42" t="str">
        <f t="shared" si="71"/>
        <v>-</v>
      </c>
      <c r="P709" s="43" t="str">
        <f t="shared" si="67"/>
        <v>-</v>
      </c>
      <c r="Q709" s="46" t="str">
        <f t="shared" si="68"/>
        <v>-</v>
      </c>
      <c r="S709" s="46" t="str">
        <f t="shared" si="69"/>
        <v>-</v>
      </c>
    </row>
    <row r="710" spans="1:19" ht="15" x14ac:dyDescent="0.3">
      <c r="A710" s="74">
        <v>6837982</v>
      </c>
      <c r="B710" s="37">
        <v>4441</v>
      </c>
      <c r="C710" s="69">
        <v>76280044416</v>
      </c>
      <c r="D710" s="38" t="s">
        <v>488</v>
      </c>
      <c r="E710" s="64">
        <v>0.45304768960000003</v>
      </c>
      <c r="F710" s="70">
        <v>6</v>
      </c>
      <c r="G710" s="38" t="s">
        <v>118</v>
      </c>
      <c r="H710" s="66" t="s">
        <v>1258</v>
      </c>
      <c r="I710" s="39">
        <v>19.5</v>
      </c>
      <c r="J710" s="40"/>
      <c r="K710" s="75">
        <f t="shared" si="70"/>
        <v>0</v>
      </c>
      <c r="L710" s="41"/>
      <c r="N710" s="45" t="str">
        <f t="shared" si="66"/>
        <v>-</v>
      </c>
      <c r="O710" s="42" t="str">
        <f t="shared" si="71"/>
        <v>-</v>
      </c>
      <c r="P710" s="43" t="str">
        <f t="shared" si="67"/>
        <v>-</v>
      </c>
      <c r="Q710" s="46" t="str">
        <f t="shared" si="68"/>
        <v>-</v>
      </c>
      <c r="S710" s="46" t="str">
        <f t="shared" si="69"/>
        <v>-</v>
      </c>
    </row>
    <row r="711" spans="1:19" ht="15" x14ac:dyDescent="0.3">
      <c r="A711" s="74">
        <v>1844191</v>
      </c>
      <c r="B711" s="37">
        <v>4671</v>
      </c>
      <c r="C711" s="69">
        <v>76280046717</v>
      </c>
      <c r="D711" s="38" t="s">
        <v>491</v>
      </c>
      <c r="E711" s="64">
        <v>0.18533769119999999</v>
      </c>
      <c r="F711" s="70">
        <v>6</v>
      </c>
      <c r="G711" s="38" t="s">
        <v>492</v>
      </c>
      <c r="H711" s="66" t="s">
        <v>1258</v>
      </c>
      <c r="I711" s="39">
        <v>8.2875000000000014</v>
      </c>
      <c r="J711" s="40"/>
      <c r="K711" s="75">
        <f t="shared" si="70"/>
        <v>0</v>
      </c>
      <c r="L711" s="41"/>
      <c r="N711" s="45" t="str">
        <f t="shared" si="66"/>
        <v>-</v>
      </c>
      <c r="O711" s="42" t="str">
        <f t="shared" si="71"/>
        <v>-</v>
      </c>
      <c r="P711" s="43" t="str">
        <f t="shared" si="67"/>
        <v>-</v>
      </c>
      <c r="Q711" s="46" t="str">
        <f t="shared" si="68"/>
        <v>-</v>
      </c>
      <c r="S711" s="46" t="str">
        <f t="shared" si="69"/>
        <v>-</v>
      </c>
    </row>
    <row r="712" spans="1:19" ht="15" x14ac:dyDescent="0.3">
      <c r="A712" s="74">
        <v>4385324</v>
      </c>
      <c r="B712" s="37">
        <v>4451</v>
      </c>
      <c r="C712" s="69">
        <v>76280044515</v>
      </c>
      <c r="D712" s="38" t="s">
        <v>503</v>
      </c>
      <c r="E712" s="64">
        <v>0.40156499760000003</v>
      </c>
      <c r="F712" s="70">
        <v>6</v>
      </c>
      <c r="G712" s="38" t="s">
        <v>118</v>
      </c>
      <c r="H712" s="66" t="s">
        <v>1258</v>
      </c>
      <c r="I712" s="39">
        <v>19.548750000000002</v>
      </c>
      <c r="J712" s="40"/>
      <c r="K712" s="75">
        <f t="shared" si="70"/>
        <v>0</v>
      </c>
      <c r="L712" s="41"/>
      <c r="N712" s="45" t="str">
        <f t="shared" si="66"/>
        <v>-</v>
      </c>
      <c r="O712" s="42" t="str">
        <f t="shared" si="71"/>
        <v>-</v>
      </c>
      <c r="P712" s="43" t="str">
        <f t="shared" si="67"/>
        <v>-</v>
      </c>
      <c r="Q712" s="46" t="str">
        <f t="shared" si="68"/>
        <v>-</v>
      </c>
      <c r="S712" s="46" t="str">
        <f t="shared" si="69"/>
        <v>-</v>
      </c>
    </row>
    <row r="713" spans="1:19" ht="15" x14ac:dyDescent="0.3">
      <c r="A713" s="74">
        <v>7484263</v>
      </c>
      <c r="B713" s="37">
        <v>866</v>
      </c>
      <c r="C713" s="69">
        <v>76280008661</v>
      </c>
      <c r="D713" s="38" t="s">
        <v>227</v>
      </c>
      <c r="E713" s="64">
        <v>0.25741345999999998</v>
      </c>
      <c r="F713" s="70">
        <v>6</v>
      </c>
      <c r="G713" s="38" t="s">
        <v>507</v>
      </c>
      <c r="H713" s="66" t="s">
        <v>1258</v>
      </c>
      <c r="I713" s="39">
        <v>12.382499999999999</v>
      </c>
      <c r="J713" s="40"/>
      <c r="K713" s="75">
        <f t="shared" si="70"/>
        <v>0</v>
      </c>
      <c r="L713" s="41"/>
      <c r="N713" s="45" t="str">
        <f t="shared" si="66"/>
        <v>-</v>
      </c>
      <c r="O713" s="42" t="str">
        <f t="shared" si="71"/>
        <v>-</v>
      </c>
      <c r="P713" s="43" t="str">
        <f t="shared" si="67"/>
        <v>-</v>
      </c>
      <c r="Q713" s="46" t="str">
        <f t="shared" si="68"/>
        <v>-</v>
      </c>
      <c r="S713" s="46" t="str">
        <f t="shared" si="69"/>
        <v>-</v>
      </c>
    </row>
    <row r="714" spans="1:19" ht="15" x14ac:dyDescent="0.3">
      <c r="A714" s="74">
        <v>3691513</v>
      </c>
      <c r="B714" s="37">
        <v>49300</v>
      </c>
      <c r="C714" s="69">
        <v>76280493009</v>
      </c>
      <c r="D714" s="38" t="s">
        <v>510</v>
      </c>
      <c r="E714" s="64">
        <v>0.12355846079999999</v>
      </c>
      <c r="F714" s="70">
        <v>6</v>
      </c>
      <c r="G714" s="38" t="s">
        <v>512</v>
      </c>
      <c r="H714" s="66" t="s">
        <v>1258</v>
      </c>
      <c r="I714" s="39">
        <v>19.012500000000003</v>
      </c>
      <c r="J714" s="40"/>
      <c r="K714" s="75">
        <f t="shared" si="70"/>
        <v>0</v>
      </c>
      <c r="L714" s="41"/>
      <c r="N714" s="45" t="str">
        <f t="shared" si="66"/>
        <v>-</v>
      </c>
      <c r="O714" s="42" t="str">
        <f t="shared" si="71"/>
        <v>-</v>
      </c>
      <c r="P714" s="43" t="str">
        <f t="shared" si="67"/>
        <v>-</v>
      </c>
      <c r="Q714" s="46" t="str">
        <f t="shared" si="68"/>
        <v>-</v>
      </c>
      <c r="S714" s="46" t="str">
        <f t="shared" si="69"/>
        <v>-</v>
      </c>
    </row>
    <row r="715" spans="1:19" ht="15" x14ac:dyDescent="0.3">
      <c r="A715" s="74">
        <v>2707062</v>
      </c>
      <c r="B715" s="37">
        <v>13176</v>
      </c>
      <c r="C715" s="69">
        <v>76280131765</v>
      </c>
      <c r="D715" s="38" t="s">
        <v>514</v>
      </c>
      <c r="E715" s="64">
        <v>0.37582365159999997</v>
      </c>
      <c r="F715" s="70">
        <v>6</v>
      </c>
      <c r="G715" s="38" t="s">
        <v>291</v>
      </c>
      <c r="H715" s="66" t="s">
        <v>1258</v>
      </c>
      <c r="I715" s="39">
        <v>13.845000000000001</v>
      </c>
      <c r="J715" s="40"/>
      <c r="K715" s="75">
        <f t="shared" si="70"/>
        <v>0</v>
      </c>
      <c r="L715" s="41"/>
      <c r="N715" s="45" t="str">
        <f t="shared" si="66"/>
        <v>-</v>
      </c>
      <c r="O715" s="42" t="str">
        <f t="shared" si="71"/>
        <v>-</v>
      </c>
      <c r="P715" s="43" t="str">
        <f t="shared" si="67"/>
        <v>-</v>
      </c>
      <c r="Q715" s="46" t="str">
        <f t="shared" si="68"/>
        <v>-</v>
      </c>
      <c r="S715" s="46" t="str">
        <f t="shared" si="69"/>
        <v>-</v>
      </c>
    </row>
    <row r="716" spans="1:19" ht="15" x14ac:dyDescent="0.3">
      <c r="A716" s="74">
        <v>3130551</v>
      </c>
      <c r="B716" s="37">
        <v>4467</v>
      </c>
      <c r="C716" s="69">
        <v>76280044676</v>
      </c>
      <c r="D716" s="38" t="s">
        <v>520</v>
      </c>
      <c r="E716" s="64">
        <v>0.21107903719999999</v>
      </c>
      <c r="F716" s="70">
        <v>6</v>
      </c>
      <c r="G716" s="38" t="s">
        <v>364</v>
      </c>
      <c r="H716" s="66" t="s">
        <v>1258</v>
      </c>
      <c r="I716" s="39">
        <v>21.9375</v>
      </c>
      <c r="J716" s="40"/>
      <c r="K716" s="75">
        <f t="shared" si="70"/>
        <v>0</v>
      </c>
      <c r="L716" s="41"/>
      <c r="N716" s="45" t="str">
        <f t="shared" si="66"/>
        <v>-</v>
      </c>
      <c r="O716" s="42" t="str">
        <f t="shared" si="71"/>
        <v>-</v>
      </c>
      <c r="P716" s="43" t="str">
        <f t="shared" si="67"/>
        <v>-</v>
      </c>
      <c r="Q716" s="46" t="str">
        <f t="shared" si="68"/>
        <v>-</v>
      </c>
      <c r="S716" s="46" t="str">
        <f t="shared" si="69"/>
        <v>-</v>
      </c>
    </row>
    <row r="717" spans="1:19" ht="15" x14ac:dyDescent="0.3">
      <c r="A717" s="74">
        <v>5482355</v>
      </c>
      <c r="B717" s="37">
        <v>4401</v>
      </c>
      <c r="C717" s="69">
        <v>76280044010</v>
      </c>
      <c r="D717" s="38" t="s">
        <v>503</v>
      </c>
      <c r="E717" s="64">
        <v>0.28315480600000004</v>
      </c>
      <c r="F717" s="70">
        <v>6</v>
      </c>
      <c r="G717" s="38" t="s">
        <v>523</v>
      </c>
      <c r="H717" s="66" t="s">
        <v>1258</v>
      </c>
      <c r="I717" s="39">
        <v>13.942499999999999</v>
      </c>
      <c r="J717" s="40"/>
      <c r="K717" s="75">
        <f t="shared" si="70"/>
        <v>0</v>
      </c>
      <c r="L717" s="41"/>
      <c r="N717" s="45" t="str">
        <f t="shared" si="66"/>
        <v>-</v>
      </c>
      <c r="O717" s="42" t="str">
        <f t="shared" si="71"/>
        <v>-</v>
      </c>
      <c r="P717" s="43" t="str">
        <f t="shared" si="67"/>
        <v>-</v>
      </c>
      <c r="Q717" s="46" t="str">
        <f t="shared" si="68"/>
        <v>-</v>
      </c>
      <c r="S717" s="46" t="str">
        <f t="shared" si="69"/>
        <v>-</v>
      </c>
    </row>
    <row r="718" spans="1:19" ht="15" x14ac:dyDescent="0.3">
      <c r="A718" s="74">
        <v>2926506</v>
      </c>
      <c r="B718" s="37">
        <v>47312</v>
      </c>
      <c r="C718" s="69">
        <v>76280473124</v>
      </c>
      <c r="D718" s="38" t="s">
        <v>530</v>
      </c>
      <c r="E718" s="64">
        <v>0.28830307520000004</v>
      </c>
      <c r="F718" s="70">
        <v>6</v>
      </c>
      <c r="G718" s="38" t="s">
        <v>64</v>
      </c>
      <c r="H718" s="66" t="s">
        <v>1258</v>
      </c>
      <c r="I718" s="39">
        <v>28.421249999999997</v>
      </c>
      <c r="J718" s="40"/>
      <c r="K718" s="75">
        <f t="shared" si="70"/>
        <v>0</v>
      </c>
      <c r="L718" s="41"/>
      <c r="N718" s="45" t="str">
        <f t="shared" si="66"/>
        <v>-</v>
      </c>
      <c r="O718" s="42" t="str">
        <f t="shared" si="71"/>
        <v>-</v>
      </c>
      <c r="P718" s="43" t="str">
        <f t="shared" si="67"/>
        <v>-</v>
      </c>
      <c r="Q718" s="46" t="str">
        <f t="shared" si="68"/>
        <v>-</v>
      </c>
      <c r="S718" s="46" t="str">
        <f t="shared" si="69"/>
        <v>-</v>
      </c>
    </row>
    <row r="719" spans="1:19" ht="15" x14ac:dyDescent="0.3">
      <c r="A719" s="74">
        <v>9911648</v>
      </c>
      <c r="B719" s="37">
        <v>4730</v>
      </c>
      <c r="C719" s="69">
        <v>76280047301</v>
      </c>
      <c r="D719" s="38" t="s">
        <v>530</v>
      </c>
      <c r="E719" s="64">
        <v>9.2668845599999994E-2</v>
      </c>
      <c r="F719" s="70">
        <v>12</v>
      </c>
      <c r="G719" s="38" t="s">
        <v>34</v>
      </c>
      <c r="H719" s="66" t="s">
        <v>1258</v>
      </c>
      <c r="I719" s="39">
        <v>11.358750000000001</v>
      </c>
      <c r="J719" s="40"/>
      <c r="K719" s="75">
        <f t="shared" si="70"/>
        <v>0</v>
      </c>
      <c r="L719" s="41"/>
      <c r="N719" s="45" t="str">
        <f t="shared" si="66"/>
        <v>-</v>
      </c>
      <c r="O719" s="42" t="str">
        <f t="shared" si="71"/>
        <v>-</v>
      </c>
      <c r="P719" s="43" t="str">
        <f t="shared" si="67"/>
        <v>-</v>
      </c>
      <c r="Q719" s="46" t="str">
        <f t="shared" si="68"/>
        <v>-</v>
      </c>
      <c r="S719" s="46" t="str">
        <f t="shared" si="69"/>
        <v>-</v>
      </c>
    </row>
    <row r="720" spans="1:19" ht="15" x14ac:dyDescent="0.3">
      <c r="A720" s="74">
        <v>6692295</v>
      </c>
      <c r="B720" s="37">
        <v>8422</v>
      </c>
      <c r="C720" s="69">
        <v>76280084221</v>
      </c>
      <c r="D720" s="38" t="s">
        <v>533</v>
      </c>
      <c r="E720" s="64">
        <v>0.20593076800000001</v>
      </c>
      <c r="F720" s="70">
        <v>6</v>
      </c>
      <c r="G720" s="38" t="s">
        <v>60</v>
      </c>
      <c r="H720" s="66" t="s">
        <v>1258</v>
      </c>
      <c r="I720" s="39">
        <v>24.375</v>
      </c>
      <c r="J720" s="40"/>
      <c r="K720" s="75">
        <f t="shared" si="70"/>
        <v>0</v>
      </c>
      <c r="L720" s="41"/>
      <c r="N720" s="45" t="str">
        <f t="shared" si="66"/>
        <v>-</v>
      </c>
      <c r="O720" s="42" t="str">
        <f t="shared" si="71"/>
        <v>-</v>
      </c>
      <c r="P720" s="43" t="str">
        <f t="shared" si="67"/>
        <v>-</v>
      </c>
      <c r="Q720" s="46" t="str">
        <f t="shared" si="68"/>
        <v>-</v>
      </c>
      <c r="S720" s="46" t="str">
        <f t="shared" si="69"/>
        <v>-</v>
      </c>
    </row>
    <row r="721" spans="1:19" ht="15" x14ac:dyDescent="0.3">
      <c r="A721" s="74">
        <v>8038700</v>
      </c>
      <c r="B721" s="37">
        <v>46212</v>
      </c>
      <c r="C721" s="69">
        <v>76280462128</v>
      </c>
      <c r="D721" s="38" t="s">
        <v>539</v>
      </c>
      <c r="E721" s="64">
        <v>0.11841019160000001</v>
      </c>
      <c r="F721" s="70">
        <v>6</v>
      </c>
      <c r="G721" s="38" t="s">
        <v>64</v>
      </c>
      <c r="H721" s="66" t="s">
        <v>1258</v>
      </c>
      <c r="I721" s="39">
        <v>8.7750000000000004</v>
      </c>
      <c r="J721" s="40"/>
      <c r="K721" s="75">
        <f t="shared" si="70"/>
        <v>0</v>
      </c>
      <c r="L721" s="41"/>
      <c r="N721" s="45" t="str">
        <f t="shared" si="66"/>
        <v>-</v>
      </c>
      <c r="O721" s="42" t="str">
        <f t="shared" si="71"/>
        <v>-</v>
      </c>
      <c r="P721" s="43" t="str">
        <f t="shared" si="67"/>
        <v>-</v>
      </c>
      <c r="Q721" s="46" t="str">
        <f t="shared" si="68"/>
        <v>-</v>
      </c>
      <c r="S721" s="46" t="str">
        <f t="shared" si="69"/>
        <v>-</v>
      </c>
    </row>
    <row r="722" spans="1:19" ht="15" x14ac:dyDescent="0.3">
      <c r="A722" s="74">
        <v>5812095</v>
      </c>
      <c r="B722" s="37">
        <v>8138</v>
      </c>
      <c r="C722" s="69">
        <v>76280081381</v>
      </c>
      <c r="D722" s="38" t="s">
        <v>554</v>
      </c>
      <c r="E722" s="64">
        <v>0.23167211400000001</v>
      </c>
      <c r="F722" s="70">
        <v>6</v>
      </c>
      <c r="G722" s="38" t="s">
        <v>64</v>
      </c>
      <c r="H722" s="66" t="s">
        <v>1258</v>
      </c>
      <c r="I722" s="39">
        <v>18.963750000000001</v>
      </c>
      <c r="J722" s="40"/>
      <c r="K722" s="75">
        <f t="shared" si="70"/>
        <v>0</v>
      </c>
      <c r="L722" s="41"/>
      <c r="N722" s="45" t="str">
        <f t="shared" si="66"/>
        <v>-</v>
      </c>
      <c r="O722" s="42" t="str">
        <f t="shared" si="71"/>
        <v>-</v>
      </c>
      <c r="P722" s="43" t="str">
        <f t="shared" si="67"/>
        <v>-</v>
      </c>
      <c r="Q722" s="46" t="str">
        <f t="shared" si="68"/>
        <v>-</v>
      </c>
      <c r="S722" s="46" t="str">
        <f t="shared" si="69"/>
        <v>-</v>
      </c>
    </row>
    <row r="723" spans="1:19" ht="15" x14ac:dyDescent="0.3">
      <c r="A723" s="74">
        <v>2424175</v>
      </c>
      <c r="B723" s="37">
        <v>62553</v>
      </c>
      <c r="C723" s="69">
        <v>76280625530</v>
      </c>
      <c r="D723" s="38" t="s">
        <v>555</v>
      </c>
      <c r="E723" s="64">
        <v>0.91639191759999994</v>
      </c>
      <c r="F723" s="70">
        <v>1</v>
      </c>
      <c r="G723" s="38" t="s">
        <v>556</v>
      </c>
      <c r="H723" s="66" t="s">
        <v>1258</v>
      </c>
      <c r="I723" s="39">
        <v>64.935000000000002</v>
      </c>
      <c r="J723" s="40"/>
      <c r="K723" s="75">
        <f t="shared" si="70"/>
        <v>0</v>
      </c>
      <c r="L723" s="41"/>
      <c r="N723" s="45" t="str">
        <f t="shared" si="66"/>
        <v>-</v>
      </c>
      <c r="O723" s="42" t="str">
        <f t="shared" si="71"/>
        <v>-</v>
      </c>
      <c r="P723" s="43" t="str">
        <f t="shared" si="67"/>
        <v>-</v>
      </c>
      <c r="Q723" s="46" t="str">
        <f t="shared" si="68"/>
        <v>-</v>
      </c>
      <c r="S723" s="46" t="str">
        <f t="shared" si="69"/>
        <v>-</v>
      </c>
    </row>
    <row r="724" spans="1:19" ht="15" x14ac:dyDescent="0.3">
      <c r="A724" s="74">
        <v>9639276</v>
      </c>
      <c r="B724" s="37">
        <v>1552</v>
      </c>
      <c r="C724" s="69">
        <v>76280015522</v>
      </c>
      <c r="D724" s="38" t="s">
        <v>564</v>
      </c>
      <c r="E724" s="64">
        <v>0.33463749799999992</v>
      </c>
      <c r="F724" s="70">
        <v>6</v>
      </c>
      <c r="G724" s="38" t="s">
        <v>567</v>
      </c>
      <c r="H724" s="66" t="s">
        <v>1258</v>
      </c>
      <c r="I724" s="39">
        <v>26.276250000000005</v>
      </c>
      <c r="J724" s="40"/>
      <c r="K724" s="75">
        <f t="shared" si="70"/>
        <v>0</v>
      </c>
      <c r="L724" s="41"/>
      <c r="N724" s="45" t="str">
        <f t="shared" si="66"/>
        <v>-</v>
      </c>
      <c r="O724" s="42" t="str">
        <f t="shared" si="71"/>
        <v>-</v>
      </c>
      <c r="P724" s="43" t="str">
        <f t="shared" si="67"/>
        <v>-</v>
      </c>
      <c r="Q724" s="46" t="str">
        <f t="shared" si="68"/>
        <v>-</v>
      </c>
      <c r="S724" s="46" t="str">
        <f t="shared" si="69"/>
        <v>-</v>
      </c>
    </row>
    <row r="725" spans="1:19" ht="15" x14ac:dyDescent="0.3">
      <c r="A725" s="74">
        <v>1384493</v>
      </c>
      <c r="B725" s="37">
        <v>8101</v>
      </c>
      <c r="C725" s="69">
        <v>76280081015</v>
      </c>
      <c r="D725" s="38" t="s">
        <v>568</v>
      </c>
      <c r="E725" s="64">
        <v>0.14415153760000002</v>
      </c>
      <c r="F725" s="70">
        <v>6</v>
      </c>
      <c r="G725" s="38" t="s">
        <v>569</v>
      </c>
      <c r="H725" s="66" t="s">
        <v>1258</v>
      </c>
      <c r="I725" s="39">
        <v>11.553749999999999</v>
      </c>
      <c r="J725" s="40"/>
      <c r="K725" s="75">
        <f t="shared" si="70"/>
        <v>0</v>
      </c>
      <c r="L725" s="41"/>
      <c r="N725" s="45" t="str">
        <f t="shared" si="66"/>
        <v>-</v>
      </c>
      <c r="O725" s="42" t="str">
        <f t="shared" si="71"/>
        <v>-</v>
      </c>
      <c r="P725" s="43" t="str">
        <f t="shared" si="67"/>
        <v>-</v>
      </c>
      <c r="Q725" s="46" t="str">
        <f t="shared" si="68"/>
        <v>-</v>
      </c>
      <c r="S725" s="46" t="str">
        <f t="shared" si="69"/>
        <v>-</v>
      </c>
    </row>
    <row r="726" spans="1:19" ht="15" x14ac:dyDescent="0.3">
      <c r="A726" s="74">
        <v>7092340</v>
      </c>
      <c r="B726" s="37">
        <v>18662</v>
      </c>
      <c r="C726" s="69">
        <v>76280186628</v>
      </c>
      <c r="D726" s="38" t="s">
        <v>575</v>
      </c>
      <c r="E726" s="64">
        <v>6.6927499599999996E-2</v>
      </c>
      <c r="F726" s="70">
        <v>6</v>
      </c>
      <c r="G726" s="38" t="s">
        <v>576</v>
      </c>
      <c r="H726" s="66" t="s">
        <v>1258</v>
      </c>
      <c r="I726" s="39">
        <v>19.841250000000002</v>
      </c>
      <c r="J726" s="40"/>
      <c r="K726" s="75">
        <f t="shared" si="70"/>
        <v>0</v>
      </c>
      <c r="L726" s="41"/>
      <c r="N726" s="45" t="str">
        <f t="shared" si="66"/>
        <v>-</v>
      </c>
      <c r="O726" s="42" t="str">
        <f t="shared" si="71"/>
        <v>-</v>
      </c>
      <c r="P726" s="43" t="str">
        <f t="shared" si="67"/>
        <v>-</v>
      </c>
      <c r="Q726" s="46" t="str">
        <f t="shared" si="68"/>
        <v>-</v>
      </c>
      <c r="S726" s="46" t="str">
        <f t="shared" si="69"/>
        <v>-</v>
      </c>
    </row>
    <row r="727" spans="1:19" ht="15" x14ac:dyDescent="0.3">
      <c r="A727" s="74">
        <v>8994200</v>
      </c>
      <c r="B727" s="37">
        <v>448</v>
      </c>
      <c r="C727" s="69">
        <v>76280004489</v>
      </c>
      <c r="D727" s="38" t="s">
        <v>585</v>
      </c>
      <c r="E727" s="64">
        <v>0.14415153760000002</v>
      </c>
      <c r="F727" s="70">
        <v>6</v>
      </c>
      <c r="G727" s="38" t="s">
        <v>405</v>
      </c>
      <c r="H727" s="66" t="s">
        <v>1258</v>
      </c>
      <c r="I727" s="39">
        <v>17.98875</v>
      </c>
      <c r="J727" s="40"/>
      <c r="K727" s="75">
        <f t="shared" si="70"/>
        <v>0</v>
      </c>
      <c r="L727" s="41"/>
      <c r="N727" s="45" t="str">
        <f t="shared" si="66"/>
        <v>-</v>
      </c>
      <c r="O727" s="42" t="str">
        <f t="shared" si="71"/>
        <v>-</v>
      </c>
      <c r="P727" s="43" t="str">
        <f t="shared" si="67"/>
        <v>-</v>
      </c>
      <c r="Q727" s="46" t="str">
        <f t="shared" si="68"/>
        <v>-</v>
      </c>
      <c r="S727" s="46" t="str">
        <f t="shared" si="69"/>
        <v>-</v>
      </c>
    </row>
    <row r="728" spans="1:19" ht="15" x14ac:dyDescent="0.3">
      <c r="A728" s="74">
        <v>2310454</v>
      </c>
      <c r="B728" s="37">
        <v>4421</v>
      </c>
      <c r="C728" s="69">
        <v>76280044218</v>
      </c>
      <c r="D728" s="38" t="s">
        <v>587</v>
      </c>
      <c r="E728" s="64">
        <v>0.36037884399999998</v>
      </c>
      <c r="F728" s="70">
        <v>6</v>
      </c>
      <c r="G728" s="38" t="s">
        <v>523</v>
      </c>
      <c r="H728" s="66" t="s">
        <v>1258</v>
      </c>
      <c r="I728" s="39">
        <v>15.258750000000003</v>
      </c>
      <c r="J728" s="40"/>
      <c r="K728" s="75">
        <f t="shared" si="70"/>
        <v>0</v>
      </c>
      <c r="L728" s="41"/>
      <c r="N728" s="45" t="str">
        <f t="shared" si="66"/>
        <v>-</v>
      </c>
      <c r="O728" s="42" t="str">
        <f t="shared" si="71"/>
        <v>-</v>
      </c>
      <c r="P728" s="43" t="str">
        <f t="shared" si="67"/>
        <v>-</v>
      </c>
      <c r="Q728" s="46" t="str">
        <f t="shared" si="68"/>
        <v>-</v>
      </c>
      <c r="S728" s="46" t="str">
        <f t="shared" si="69"/>
        <v>-</v>
      </c>
    </row>
    <row r="729" spans="1:19" ht="15" x14ac:dyDescent="0.3">
      <c r="A729" s="74">
        <v>1404433</v>
      </c>
      <c r="B729" s="37">
        <v>1301</v>
      </c>
      <c r="C729" s="69">
        <v>76280013016</v>
      </c>
      <c r="D729" s="38" t="s">
        <v>591</v>
      </c>
      <c r="E729" s="64">
        <v>0.16989288359999999</v>
      </c>
      <c r="F729" s="70">
        <v>6</v>
      </c>
      <c r="G729" s="38" t="s">
        <v>593</v>
      </c>
      <c r="H729" s="66" t="s">
        <v>1258</v>
      </c>
      <c r="I729" s="39">
        <v>10.8225</v>
      </c>
      <c r="J729" s="40"/>
      <c r="K729" s="75">
        <f t="shared" si="70"/>
        <v>0</v>
      </c>
      <c r="L729" s="41"/>
      <c r="N729" s="45" t="str">
        <f t="shared" si="66"/>
        <v>-</v>
      </c>
      <c r="O729" s="42" t="str">
        <f t="shared" si="71"/>
        <v>-</v>
      </c>
      <c r="P729" s="43" t="str">
        <f t="shared" si="67"/>
        <v>-</v>
      </c>
      <c r="Q729" s="46" t="str">
        <f t="shared" si="68"/>
        <v>-</v>
      </c>
      <c r="S729" s="46" t="str">
        <f t="shared" si="69"/>
        <v>-</v>
      </c>
    </row>
    <row r="730" spans="1:19" ht="15" x14ac:dyDescent="0.3">
      <c r="A730" s="74">
        <v>1824526</v>
      </c>
      <c r="B730" s="37">
        <v>61690</v>
      </c>
      <c r="C730" s="69">
        <v>76280616903</v>
      </c>
      <c r="D730" s="38" t="s">
        <v>607</v>
      </c>
      <c r="E730" s="64">
        <v>0.12870672999999999</v>
      </c>
      <c r="F730" s="70">
        <v>6</v>
      </c>
      <c r="G730" s="38" t="s">
        <v>34</v>
      </c>
      <c r="H730" s="66" t="s">
        <v>1258</v>
      </c>
      <c r="I730" s="39">
        <v>22.571249999999999</v>
      </c>
      <c r="J730" s="40"/>
      <c r="K730" s="75">
        <f t="shared" si="70"/>
        <v>0</v>
      </c>
      <c r="L730" s="41"/>
      <c r="N730" s="45" t="str">
        <f t="shared" si="66"/>
        <v>-</v>
      </c>
      <c r="O730" s="42" t="str">
        <f t="shared" si="71"/>
        <v>-</v>
      </c>
      <c r="P730" s="43" t="str">
        <f t="shared" si="67"/>
        <v>-</v>
      </c>
      <c r="Q730" s="46" t="str">
        <f t="shared" si="68"/>
        <v>-</v>
      </c>
      <c r="S730" s="46" t="str">
        <f t="shared" si="69"/>
        <v>-</v>
      </c>
    </row>
    <row r="731" spans="1:19" ht="15" x14ac:dyDescent="0.3">
      <c r="A731" s="74">
        <v>1118384</v>
      </c>
      <c r="B731" s="37">
        <v>15483</v>
      </c>
      <c r="C731" s="69">
        <v>76280154832</v>
      </c>
      <c r="D731" s="38" t="s">
        <v>608</v>
      </c>
      <c r="E731" s="64">
        <v>0.18018942199999999</v>
      </c>
      <c r="F731" s="70">
        <v>6</v>
      </c>
      <c r="G731" s="38" t="s">
        <v>364</v>
      </c>
      <c r="H731" s="66" t="s">
        <v>1258</v>
      </c>
      <c r="I731" s="39">
        <v>32.223749999999995</v>
      </c>
      <c r="J731" s="40"/>
      <c r="K731" s="75">
        <f t="shared" si="70"/>
        <v>0</v>
      </c>
      <c r="L731" s="41"/>
      <c r="N731" s="45" t="str">
        <f t="shared" si="66"/>
        <v>-</v>
      </c>
      <c r="O731" s="42" t="str">
        <f t="shared" si="71"/>
        <v>-</v>
      </c>
      <c r="P731" s="43" t="str">
        <f t="shared" si="67"/>
        <v>-</v>
      </c>
      <c r="Q731" s="46" t="str">
        <f t="shared" si="68"/>
        <v>-</v>
      </c>
      <c r="S731" s="46" t="str">
        <f t="shared" si="69"/>
        <v>-</v>
      </c>
    </row>
    <row r="732" spans="1:19" ht="15" x14ac:dyDescent="0.3">
      <c r="A732" s="74">
        <v>5665410</v>
      </c>
      <c r="B732" s="37">
        <v>1341</v>
      </c>
      <c r="C732" s="69">
        <v>76280013412</v>
      </c>
      <c r="D732" s="38" t="s">
        <v>613</v>
      </c>
      <c r="E732" s="64">
        <v>0.16989288359999999</v>
      </c>
      <c r="F732" s="70">
        <v>6</v>
      </c>
      <c r="G732" s="38" t="s">
        <v>614</v>
      </c>
      <c r="H732" s="66" t="s">
        <v>1258</v>
      </c>
      <c r="I732" s="39">
        <v>11.017500000000002</v>
      </c>
      <c r="J732" s="40"/>
      <c r="K732" s="75">
        <f t="shared" si="70"/>
        <v>0</v>
      </c>
      <c r="L732" s="41"/>
      <c r="N732" s="45" t="str">
        <f t="shared" si="66"/>
        <v>-</v>
      </c>
      <c r="O732" s="42" t="str">
        <f t="shared" si="71"/>
        <v>-</v>
      </c>
      <c r="P732" s="43" t="str">
        <f t="shared" si="67"/>
        <v>-</v>
      </c>
      <c r="Q732" s="46" t="str">
        <f t="shared" si="68"/>
        <v>-</v>
      </c>
      <c r="S732" s="46" t="str">
        <f t="shared" si="69"/>
        <v>-</v>
      </c>
    </row>
    <row r="733" spans="1:19" ht="15" x14ac:dyDescent="0.3">
      <c r="A733" s="74">
        <v>1544001</v>
      </c>
      <c r="B733" s="37">
        <v>4531</v>
      </c>
      <c r="C733" s="69">
        <v>76280045314</v>
      </c>
      <c r="D733" s="38" t="s">
        <v>616</v>
      </c>
      <c r="E733" s="64">
        <v>0.30889615199999998</v>
      </c>
      <c r="F733" s="70">
        <v>6</v>
      </c>
      <c r="G733" s="38" t="s">
        <v>64</v>
      </c>
      <c r="H733" s="66" t="s">
        <v>1258</v>
      </c>
      <c r="I733" s="39">
        <v>10.578749999999999</v>
      </c>
      <c r="J733" s="40"/>
      <c r="K733" s="75">
        <f t="shared" si="70"/>
        <v>0</v>
      </c>
      <c r="L733" s="41"/>
      <c r="N733" s="45" t="str">
        <f t="shared" si="66"/>
        <v>-</v>
      </c>
      <c r="O733" s="42" t="str">
        <f t="shared" si="71"/>
        <v>-</v>
      </c>
      <c r="P733" s="43" t="str">
        <f t="shared" si="67"/>
        <v>-</v>
      </c>
      <c r="Q733" s="46" t="str">
        <f t="shared" si="68"/>
        <v>-</v>
      </c>
      <c r="S733" s="46" t="str">
        <f t="shared" si="69"/>
        <v>-</v>
      </c>
    </row>
    <row r="734" spans="1:19" ht="15" x14ac:dyDescent="0.3">
      <c r="A734" s="74">
        <v>5004160</v>
      </c>
      <c r="B734" s="37">
        <v>45891</v>
      </c>
      <c r="C734" s="69">
        <v>76280458916</v>
      </c>
      <c r="D734" s="38" t="s">
        <v>609</v>
      </c>
      <c r="E734" s="64">
        <v>0.11841019160000001</v>
      </c>
      <c r="F734" s="70">
        <v>12</v>
      </c>
      <c r="G734" s="38" t="s">
        <v>619</v>
      </c>
      <c r="H734" s="66" t="s">
        <v>1258</v>
      </c>
      <c r="I734" s="39">
        <v>9.75</v>
      </c>
      <c r="J734" s="40"/>
      <c r="K734" s="75">
        <f t="shared" si="70"/>
        <v>0</v>
      </c>
      <c r="L734" s="41"/>
      <c r="N734" s="45" t="str">
        <f t="shared" si="66"/>
        <v>-</v>
      </c>
      <c r="O734" s="42" t="str">
        <f t="shared" si="71"/>
        <v>-</v>
      </c>
      <c r="P734" s="43" t="str">
        <f t="shared" si="67"/>
        <v>-</v>
      </c>
      <c r="Q734" s="46" t="str">
        <f t="shared" si="68"/>
        <v>-</v>
      </c>
      <c r="S734" s="46" t="str">
        <f t="shared" si="69"/>
        <v>-</v>
      </c>
    </row>
    <row r="735" spans="1:19" ht="15" x14ac:dyDescent="0.3">
      <c r="A735" s="74">
        <v>5736507</v>
      </c>
      <c r="B735" s="37">
        <v>44905</v>
      </c>
      <c r="C735" s="69">
        <v>76280449051</v>
      </c>
      <c r="D735" s="38" t="s">
        <v>635</v>
      </c>
      <c r="E735" s="64">
        <v>0.42215807439999997</v>
      </c>
      <c r="F735" s="70">
        <v>6</v>
      </c>
      <c r="G735" s="38" t="s">
        <v>636</v>
      </c>
      <c r="H735" s="66" t="s">
        <v>1258</v>
      </c>
      <c r="I735" s="39">
        <v>10.188749999999999</v>
      </c>
      <c r="J735" s="40"/>
      <c r="K735" s="75">
        <f t="shared" si="70"/>
        <v>0</v>
      </c>
      <c r="L735" s="41"/>
      <c r="N735" s="45" t="str">
        <f t="shared" si="66"/>
        <v>-</v>
      </c>
      <c r="O735" s="42" t="str">
        <f t="shared" si="71"/>
        <v>-</v>
      </c>
      <c r="P735" s="43" t="str">
        <f t="shared" si="67"/>
        <v>-</v>
      </c>
      <c r="Q735" s="46" t="str">
        <f t="shared" si="68"/>
        <v>-</v>
      </c>
      <c r="S735" s="46" t="str">
        <f t="shared" si="69"/>
        <v>-</v>
      </c>
    </row>
    <row r="736" spans="1:19" ht="15" x14ac:dyDescent="0.3">
      <c r="A736" s="74">
        <v>3029914</v>
      </c>
      <c r="B736" s="37">
        <v>8396</v>
      </c>
      <c r="C736" s="69">
        <v>76280083965</v>
      </c>
      <c r="D736" s="38" t="s">
        <v>533</v>
      </c>
      <c r="E736" s="64">
        <v>8.7520576400000008E-2</v>
      </c>
      <c r="F736" s="70">
        <v>6</v>
      </c>
      <c r="G736" s="38" t="s">
        <v>637</v>
      </c>
      <c r="H736" s="66" t="s">
        <v>1258</v>
      </c>
      <c r="I736" s="39">
        <v>12.1875</v>
      </c>
      <c r="J736" s="40"/>
      <c r="K736" s="75">
        <f t="shared" si="70"/>
        <v>0</v>
      </c>
      <c r="L736" s="41"/>
      <c r="N736" s="45" t="str">
        <f t="shared" si="66"/>
        <v>-</v>
      </c>
      <c r="O736" s="42" t="str">
        <f t="shared" si="71"/>
        <v>-</v>
      </c>
      <c r="P736" s="43" t="str">
        <f t="shared" si="67"/>
        <v>-</v>
      </c>
      <c r="Q736" s="46" t="str">
        <f t="shared" si="68"/>
        <v>-</v>
      </c>
      <c r="S736" s="46" t="str">
        <f t="shared" si="69"/>
        <v>-</v>
      </c>
    </row>
    <row r="737" spans="1:19" ht="15" x14ac:dyDescent="0.3">
      <c r="A737" s="74">
        <v>9932528</v>
      </c>
      <c r="B737" s="37">
        <v>19285</v>
      </c>
      <c r="C737" s="69">
        <v>76280192858</v>
      </c>
      <c r="D737" s="38" t="s">
        <v>638</v>
      </c>
      <c r="E737" s="64">
        <v>0.12870672999999999</v>
      </c>
      <c r="F737" s="70">
        <v>6</v>
      </c>
      <c r="G737" s="38" t="s">
        <v>639</v>
      </c>
      <c r="H737" s="66" t="s">
        <v>1258</v>
      </c>
      <c r="I737" s="39">
        <v>8.8725000000000005</v>
      </c>
      <c r="J737" s="40"/>
      <c r="K737" s="75">
        <f t="shared" si="70"/>
        <v>0</v>
      </c>
      <c r="L737" s="41"/>
      <c r="N737" s="45" t="str">
        <f t="shared" si="66"/>
        <v>-</v>
      </c>
      <c r="O737" s="42" t="str">
        <f t="shared" si="71"/>
        <v>-</v>
      </c>
      <c r="P737" s="43" t="str">
        <f t="shared" si="67"/>
        <v>-</v>
      </c>
      <c r="Q737" s="46" t="str">
        <f t="shared" si="68"/>
        <v>-</v>
      </c>
      <c r="S737" s="46" t="str">
        <f t="shared" si="69"/>
        <v>-</v>
      </c>
    </row>
    <row r="738" spans="1:19" ht="15" x14ac:dyDescent="0.3">
      <c r="A738" s="74">
        <v>5935006</v>
      </c>
      <c r="B738" s="37">
        <v>83218</v>
      </c>
      <c r="C738" s="69">
        <v>76280832181</v>
      </c>
      <c r="D738" s="38" t="s">
        <v>640</v>
      </c>
      <c r="E738" s="64">
        <v>6.6927499599999996E-2</v>
      </c>
      <c r="F738" s="70">
        <v>6</v>
      </c>
      <c r="G738" s="38" t="s">
        <v>642</v>
      </c>
      <c r="H738" s="66" t="s">
        <v>1258</v>
      </c>
      <c r="I738" s="39">
        <v>34.905000000000001</v>
      </c>
      <c r="J738" s="40"/>
      <c r="K738" s="75">
        <f t="shared" si="70"/>
        <v>0</v>
      </c>
      <c r="L738" s="41"/>
      <c r="N738" s="45" t="str">
        <f t="shared" si="66"/>
        <v>-</v>
      </c>
      <c r="O738" s="42" t="str">
        <f t="shared" si="71"/>
        <v>-</v>
      </c>
      <c r="P738" s="43" t="str">
        <f t="shared" si="67"/>
        <v>-</v>
      </c>
      <c r="Q738" s="46" t="str">
        <f t="shared" si="68"/>
        <v>-</v>
      </c>
      <c r="S738" s="46" t="str">
        <f t="shared" si="69"/>
        <v>-</v>
      </c>
    </row>
    <row r="739" spans="1:19" ht="15" x14ac:dyDescent="0.3">
      <c r="A739" s="74">
        <v>9138688</v>
      </c>
      <c r="B739" s="37">
        <v>3355</v>
      </c>
      <c r="C739" s="69">
        <v>76280033557</v>
      </c>
      <c r="D739" s="38" t="s">
        <v>643</v>
      </c>
      <c r="E739" s="64">
        <v>8.2372307199999995E-2</v>
      </c>
      <c r="F739" s="70">
        <v>6</v>
      </c>
      <c r="G739" s="38" t="s">
        <v>644</v>
      </c>
      <c r="H739" s="66" t="s">
        <v>1258</v>
      </c>
      <c r="I739" s="39">
        <v>12.918750000000001</v>
      </c>
      <c r="J739" s="40"/>
      <c r="K739" s="75">
        <f t="shared" si="70"/>
        <v>0</v>
      </c>
      <c r="L739" s="41"/>
      <c r="N739" s="45" t="str">
        <f t="shared" si="66"/>
        <v>-</v>
      </c>
      <c r="O739" s="42" t="str">
        <f t="shared" si="71"/>
        <v>-</v>
      </c>
      <c r="P739" s="43" t="str">
        <f t="shared" si="67"/>
        <v>-</v>
      </c>
      <c r="Q739" s="46" t="str">
        <f t="shared" si="68"/>
        <v>-</v>
      </c>
      <c r="S739" s="46" t="str">
        <f t="shared" si="69"/>
        <v>-</v>
      </c>
    </row>
    <row r="740" spans="1:19" ht="15" x14ac:dyDescent="0.3">
      <c r="A740" s="74">
        <v>7228520</v>
      </c>
      <c r="B740" s="37">
        <v>4169</v>
      </c>
      <c r="C740" s="69">
        <v>76280041699</v>
      </c>
      <c r="D740" s="38" t="s">
        <v>650</v>
      </c>
      <c r="E740" s="64">
        <v>0.25741345999999998</v>
      </c>
      <c r="F740" s="70">
        <v>6</v>
      </c>
      <c r="G740" s="38" t="s">
        <v>651</v>
      </c>
      <c r="H740" s="66" t="s">
        <v>1258</v>
      </c>
      <c r="I740" s="39">
        <v>17.647500000000001</v>
      </c>
      <c r="J740" s="40"/>
      <c r="K740" s="75">
        <f t="shared" si="70"/>
        <v>0</v>
      </c>
      <c r="L740" s="41"/>
      <c r="N740" s="45" t="str">
        <f t="shared" si="66"/>
        <v>-</v>
      </c>
      <c r="O740" s="42" t="str">
        <f t="shared" si="71"/>
        <v>-</v>
      </c>
      <c r="P740" s="43" t="str">
        <f t="shared" si="67"/>
        <v>-</v>
      </c>
      <c r="Q740" s="46" t="str">
        <f t="shared" si="68"/>
        <v>-</v>
      </c>
      <c r="S740" s="46" t="str">
        <f t="shared" si="69"/>
        <v>-</v>
      </c>
    </row>
    <row r="741" spans="1:19" ht="15" x14ac:dyDescent="0.3">
      <c r="A741" s="74">
        <v>2722168</v>
      </c>
      <c r="B741" s="37">
        <v>3758</v>
      </c>
      <c r="C741" s="69">
        <v>76280037586</v>
      </c>
      <c r="D741" s="38" t="s">
        <v>653</v>
      </c>
      <c r="E741" s="64">
        <v>0.13385499919999999</v>
      </c>
      <c r="F741" s="70">
        <v>6</v>
      </c>
      <c r="G741" s="38" t="s">
        <v>364</v>
      </c>
      <c r="H741" s="66" t="s">
        <v>1258</v>
      </c>
      <c r="I741" s="39">
        <v>16.428750000000001</v>
      </c>
      <c r="J741" s="40"/>
      <c r="K741" s="75">
        <f t="shared" si="70"/>
        <v>0</v>
      </c>
      <c r="L741" s="41"/>
      <c r="N741" s="45" t="str">
        <f t="shared" si="66"/>
        <v>-</v>
      </c>
      <c r="O741" s="42" t="str">
        <f t="shared" si="71"/>
        <v>-</v>
      </c>
      <c r="P741" s="43" t="str">
        <f t="shared" si="67"/>
        <v>-</v>
      </c>
      <c r="Q741" s="46" t="str">
        <f t="shared" si="68"/>
        <v>-</v>
      </c>
      <c r="S741" s="46" t="str">
        <f t="shared" si="69"/>
        <v>-</v>
      </c>
    </row>
    <row r="742" spans="1:19" ht="15" x14ac:dyDescent="0.3">
      <c r="A742" s="74">
        <v>8409016</v>
      </c>
      <c r="B742" s="37">
        <v>37583</v>
      </c>
      <c r="C742" s="69">
        <v>76280375831</v>
      </c>
      <c r="D742" s="38" t="s">
        <v>653</v>
      </c>
      <c r="E742" s="64">
        <v>0.25741345999999998</v>
      </c>
      <c r="F742" s="70">
        <v>6</v>
      </c>
      <c r="G742" s="38" t="s">
        <v>551</v>
      </c>
      <c r="H742" s="66" t="s">
        <v>1258</v>
      </c>
      <c r="I742" s="39">
        <v>29.981250000000003</v>
      </c>
      <c r="J742" s="40"/>
      <c r="K742" s="75">
        <f t="shared" si="70"/>
        <v>0</v>
      </c>
      <c r="L742" s="41"/>
      <c r="N742" s="45" t="str">
        <f t="shared" si="66"/>
        <v>-</v>
      </c>
      <c r="O742" s="42" t="str">
        <f t="shared" si="71"/>
        <v>-</v>
      </c>
      <c r="P742" s="43" t="str">
        <f t="shared" si="67"/>
        <v>-</v>
      </c>
      <c r="Q742" s="46" t="str">
        <f t="shared" si="68"/>
        <v>-</v>
      </c>
      <c r="S742" s="46" t="str">
        <f t="shared" si="69"/>
        <v>-</v>
      </c>
    </row>
    <row r="743" spans="1:19" ht="15" x14ac:dyDescent="0.3">
      <c r="A743" s="74">
        <v>4468296</v>
      </c>
      <c r="B743" s="37">
        <v>12155</v>
      </c>
      <c r="C743" s="69">
        <v>76280121551</v>
      </c>
      <c r="D743" s="38" t="s">
        <v>654</v>
      </c>
      <c r="E743" s="64">
        <v>0.11841019160000001</v>
      </c>
      <c r="F743" s="70">
        <v>6</v>
      </c>
      <c r="G743" s="38" t="s">
        <v>63</v>
      </c>
      <c r="H743" s="66" t="s">
        <v>1258</v>
      </c>
      <c r="I743" s="39">
        <v>22.473750000000003</v>
      </c>
      <c r="J743" s="40"/>
      <c r="K743" s="75">
        <f t="shared" si="70"/>
        <v>0</v>
      </c>
      <c r="L743" s="41"/>
      <c r="N743" s="45" t="str">
        <f t="shared" si="66"/>
        <v>-</v>
      </c>
      <c r="O743" s="42" t="str">
        <f t="shared" si="71"/>
        <v>-</v>
      </c>
      <c r="P743" s="43" t="str">
        <f t="shared" si="67"/>
        <v>-</v>
      </c>
      <c r="Q743" s="46" t="str">
        <f t="shared" si="68"/>
        <v>-</v>
      </c>
      <c r="S743" s="46" t="str">
        <f t="shared" si="69"/>
        <v>-</v>
      </c>
    </row>
    <row r="744" spans="1:19" ht="15" x14ac:dyDescent="0.3">
      <c r="A744" s="74">
        <v>7064771</v>
      </c>
      <c r="B744" s="37">
        <v>8892</v>
      </c>
      <c r="C744" s="69">
        <v>76280088922</v>
      </c>
      <c r="D744" s="38" t="s">
        <v>654</v>
      </c>
      <c r="E744" s="64">
        <v>8.7520576400000008E-2</v>
      </c>
      <c r="F744" s="70">
        <v>6</v>
      </c>
      <c r="G744" s="38" t="s">
        <v>34</v>
      </c>
      <c r="H744" s="66" t="s">
        <v>1258</v>
      </c>
      <c r="I744" s="39">
        <v>15.746249999999998</v>
      </c>
      <c r="J744" s="40"/>
      <c r="K744" s="75">
        <f t="shared" si="70"/>
        <v>0</v>
      </c>
      <c r="L744" s="41"/>
      <c r="N744" s="45" t="str">
        <f t="shared" si="66"/>
        <v>-</v>
      </c>
      <c r="O744" s="42" t="str">
        <f t="shared" si="71"/>
        <v>-</v>
      </c>
      <c r="P744" s="43" t="str">
        <f t="shared" si="67"/>
        <v>-</v>
      </c>
      <c r="Q744" s="46" t="str">
        <f t="shared" si="68"/>
        <v>-</v>
      </c>
      <c r="S744" s="46" t="str">
        <f t="shared" si="69"/>
        <v>-</v>
      </c>
    </row>
    <row r="745" spans="1:19" ht="15" x14ac:dyDescent="0.3">
      <c r="A745" s="74">
        <v>1389577</v>
      </c>
      <c r="B745" s="37">
        <v>4454</v>
      </c>
      <c r="C745" s="69">
        <v>76280044546</v>
      </c>
      <c r="D745" s="38" t="s">
        <v>503</v>
      </c>
      <c r="E745" s="64">
        <v>0.39126845919999997</v>
      </c>
      <c r="F745" s="70">
        <v>6</v>
      </c>
      <c r="G745" s="38" t="s">
        <v>118</v>
      </c>
      <c r="H745" s="66" t="s">
        <v>1258</v>
      </c>
      <c r="I745" s="39">
        <v>19.5</v>
      </c>
      <c r="J745" s="40"/>
      <c r="K745" s="75">
        <f t="shared" si="70"/>
        <v>0</v>
      </c>
      <c r="L745" s="41"/>
      <c r="N745" s="45" t="str">
        <f t="shared" si="66"/>
        <v>-</v>
      </c>
      <c r="O745" s="42" t="str">
        <f t="shared" si="71"/>
        <v>-</v>
      </c>
      <c r="P745" s="43" t="str">
        <f t="shared" si="67"/>
        <v>-</v>
      </c>
      <c r="Q745" s="46" t="str">
        <f t="shared" si="68"/>
        <v>-</v>
      </c>
      <c r="S745" s="46" t="str">
        <f t="shared" si="69"/>
        <v>-</v>
      </c>
    </row>
    <row r="746" spans="1:19" ht="15" x14ac:dyDescent="0.3">
      <c r="A746" s="74">
        <v>8231861</v>
      </c>
      <c r="B746" s="37">
        <v>4661</v>
      </c>
      <c r="C746" s="69">
        <v>76280046618</v>
      </c>
      <c r="D746" s="38" t="s">
        <v>660</v>
      </c>
      <c r="E746" s="64">
        <v>0.19048596039999999</v>
      </c>
      <c r="F746" s="70">
        <v>6</v>
      </c>
      <c r="G746" s="38" t="s">
        <v>492</v>
      </c>
      <c r="H746" s="66" t="s">
        <v>1258</v>
      </c>
      <c r="I746" s="39">
        <v>10.237500000000001</v>
      </c>
      <c r="J746" s="40"/>
      <c r="K746" s="75">
        <f t="shared" si="70"/>
        <v>0</v>
      </c>
      <c r="L746" s="41"/>
      <c r="N746" s="45" t="str">
        <f t="shared" si="66"/>
        <v>-</v>
      </c>
      <c r="O746" s="42" t="str">
        <f t="shared" si="71"/>
        <v>-</v>
      </c>
      <c r="P746" s="43" t="str">
        <f t="shared" si="67"/>
        <v>-</v>
      </c>
      <c r="Q746" s="46" t="str">
        <f t="shared" si="68"/>
        <v>-</v>
      </c>
      <c r="S746" s="46" t="str">
        <f t="shared" si="69"/>
        <v>-</v>
      </c>
    </row>
    <row r="747" spans="1:19" ht="15" x14ac:dyDescent="0.3">
      <c r="A747" s="74">
        <v>3874633</v>
      </c>
      <c r="B747" s="37">
        <v>4660</v>
      </c>
      <c r="C747" s="69">
        <v>76280046601</v>
      </c>
      <c r="D747" s="38" t="s">
        <v>660</v>
      </c>
      <c r="E747" s="64">
        <v>0.10296538400000001</v>
      </c>
      <c r="F747" s="70">
        <v>12</v>
      </c>
      <c r="G747" s="38" t="s">
        <v>143</v>
      </c>
      <c r="H747" s="66" t="s">
        <v>1258</v>
      </c>
      <c r="I747" s="39">
        <v>5.6550000000000002</v>
      </c>
      <c r="J747" s="40"/>
      <c r="K747" s="75">
        <f t="shared" si="70"/>
        <v>0</v>
      </c>
      <c r="L747" s="41"/>
      <c r="N747" s="45" t="str">
        <f t="shared" si="66"/>
        <v>-</v>
      </c>
      <c r="O747" s="42" t="str">
        <f t="shared" si="71"/>
        <v>-</v>
      </c>
      <c r="P747" s="43" t="str">
        <f t="shared" si="67"/>
        <v>-</v>
      </c>
      <c r="Q747" s="46" t="str">
        <f t="shared" si="68"/>
        <v>-</v>
      </c>
      <c r="S747" s="46" t="str">
        <f t="shared" si="69"/>
        <v>-</v>
      </c>
    </row>
    <row r="748" spans="1:19" ht="15" x14ac:dyDescent="0.3">
      <c r="A748" s="74">
        <v>7295761</v>
      </c>
      <c r="B748" s="37">
        <v>1134</v>
      </c>
      <c r="C748" s="69">
        <v>76280011340</v>
      </c>
      <c r="D748" s="38" t="s">
        <v>664</v>
      </c>
      <c r="E748" s="64">
        <v>9.2668845599999994E-2</v>
      </c>
      <c r="F748" s="70">
        <v>6</v>
      </c>
      <c r="G748" s="38" t="s">
        <v>665</v>
      </c>
      <c r="H748" s="66" t="s">
        <v>1258</v>
      </c>
      <c r="I748" s="39">
        <v>8.1412499999999994</v>
      </c>
      <c r="J748" s="40"/>
      <c r="K748" s="75">
        <f t="shared" si="70"/>
        <v>0</v>
      </c>
      <c r="L748" s="41"/>
      <c r="N748" s="45" t="str">
        <f t="shared" si="66"/>
        <v>-</v>
      </c>
      <c r="O748" s="42" t="str">
        <f t="shared" si="71"/>
        <v>-</v>
      </c>
      <c r="P748" s="43" t="str">
        <f t="shared" si="67"/>
        <v>-</v>
      </c>
      <c r="Q748" s="46" t="str">
        <f t="shared" si="68"/>
        <v>-</v>
      </c>
      <c r="S748" s="46" t="str">
        <f t="shared" si="69"/>
        <v>-</v>
      </c>
    </row>
    <row r="749" spans="1:19" ht="15" x14ac:dyDescent="0.3">
      <c r="A749" s="74">
        <v>3294593</v>
      </c>
      <c r="B749" s="37">
        <v>13125</v>
      </c>
      <c r="C749" s="69">
        <v>76280131253</v>
      </c>
      <c r="D749" s="38" t="s">
        <v>668</v>
      </c>
      <c r="E749" s="64">
        <v>0.10296538400000001</v>
      </c>
      <c r="F749" s="70">
        <v>6</v>
      </c>
      <c r="G749" s="38" t="s">
        <v>592</v>
      </c>
      <c r="H749" s="66" t="s">
        <v>1258</v>
      </c>
      <c r="I749" s="39">
        <v>22.083750000000002</v>
      </c>
      <c r="J749" s="40"/>
      <c r="K749" s="75">
        <f t="shared" si="70"/>
        <v>0</v>
      </c>
      <c r="L749" s="41"/>
      <c r="N749" s="45" t="str">
        <f t="shared" si="66"/>
        <v>-</v>
      </c>
      <c r="O749" s="42" t="str">
        <f t="shared" si="71"/>
        <v>-</v>
      </c>
      <c r="P749" s="43" t="str">
        <f t="shared" si="67"/>
        <v>-</v>
      </c>
      <c r="Q749" s="46" t="str">
        <f t="shared" si="68"/>
        <v>-</v>
      </c>
      <c r="S749" s="46" t="str">
        <f t="shared" si="69"/>
        <v>-</v>
      </c>
    </row>
    <row r="750" spans="1:19" ht="15" x14ac:dyDescent="0.3">
      <c r="A750" s="74">
        <v>5567766</v>
      </c>
      <c r="B750" s="37">
        <v>4527</v>
      </c>
      <c r="C750" s="69">
        <v>76280045277</v>
      </c>
      <c r="D750" s="38" t="s">
        <v>672</v>
      </c>
      <c r="E750" s="64">
        <v>0.29345134440000004</v>
      </c>
      <c r="F750" s="70">
        <v>6</v>
      </c>
      <c r="G750" s="38" t="s">
        <v>64</v>
      </c>
      <c r="H750" s="66" t="s">
        <v>1258</v>
      </c>
      <c r="I750" s="39">
        <v>13.40625</v>
      </c>
      <c r="J750" s="40"/>
      <c r="K750" s="75">
        <f t="shared" si="70"/>
        <v>0</v>
      </c>
      <c r="L750" s="41"/>
      <c r="N750" s="45" t="str">
        <f t="shared" si="66"/>
        <v>-</v>
      </c>
      <c r="O750" s="42" t="str">
        <f t="shared" si="71"/>
        <v>-</v>
      </c>
      <c r="P750" s="43" t="str">
        <f t="shared" si="67"/>
        <v>-</v>
      </c>
      <c r="Q750" s="46" t="str">
        <f t="shared" si="68"/>
        <v>-</v>
      </c>
      <c r="S750" s="46" t="str">
        <f t="shared" si="69"/>
        <v>-</v>
      </c>
    </row>
    <row r="751" spans="1:19" ht="15" x14ac:dyDescent="0.3">
      <c r="A751" s="74">
        <v>8122184</v>
      </c>
      <c r="B751" s="37">
        <v>13175</v>
      </c>
      <c r="C751" s="69">
        <v>76280131758</v>
      </c>
      <c r="D751" s="38" t="s">
        <v>673</v>
      </c>
      <c r="E751" s="64">
        <v>0.53027172759999996</v>
      </c>
      <c r="F751" s="70">
        <v>6</v>
      </c>
      <c r="G751" s="38" t="s">
        <v>674</v>
      </c>
      <c r="H751" s="66" t="s">
        <v>1258</v>
      </c>
      <c r="I751" s="39">
        <v>24.57</v>
      </c>
      <c r="J751" s="40"/>
      <c r="K751" s="75">
        <f t="shared" si="70"/>
        <v>0</v>
      </c>
      <c r="L751" s="41"/>
      <c r="N751" s="45" t="str">
        <f t="shared" si="66"/>
        <v>-</v>
      </c>
      <c r="O751" s="42" t="str">
        <f t="shared" si="71"/>
        <v>-</v>
      </c>
      <c r="P751" s="43" t="str">
        <f t="shared" si="67"/>
        <v>-</v>
      </c>
      <c r="Q751" s="46" t="str">
        <f t="shared" si="68"/>
        <v>-</v>
      </c>
      <c r="S751" s="46" t="str">
        <f t="shared" si="69"/>
        <v>-</v>
      </c>
    </row>
    <row r="752" spans="1:19" ht="15" x14ac:dyDescent="0.3">
      <c r="A752" s="74">
        <v>7988964</v>
      </c>
      <c r="B752" s="37">
        <v>4526</v>
      </c>
      <c r="C752" s="69">
        <v>76280045260</v>
      </c>
      <c r="D752" s="38" t="s">
        <v>673</v>
      </c>
      <c r="E752" s="64">
        <v>0.14415153760000002</v>
      </c>
      <c r="F752" s="70">
        <v>6</v>
      </c>
      <c r="G752" s="38" t="s">
        <v>63</v>
      </c>
      <c r="H752" s="66" t="s">
        <v>1258</v>
      </c>
      <c r="I752" s="39">
        <v>7.3612500000000001</v>
      </c>
      <c r="J752" s="40"/>
      <c r="K752" s="75">
        <f t="shared" si="70"/>
        <v>0</v>
      </c>
      <c r="L752" s="41"/>
      <c r="N752" s="45" t="str">
        <f t="shared" si="66"/>
        <v>-</v>
      </c>
      <c r="O752" s="42" t="str">
        <f t="shared" si="71"/>
        <v>-</v>
      </c>
      <c r="P752" s="43" t="str">
        <f t="shared" si="67"/>
        <v>-</v>
      </c>
      <c r="Q752" s="46" t="str">
        <f t="shared" si="68"/>
        <v>-</v>
      </c>
      <c r="S752" s="46" t="str">
        <f t="shared" si="69"/>
        <v>-</v>
      </c>
    </row>
    <row r="753" spans="1:19" ht="15" x14ac:dyDescent="0.3">
      <c r="A753" s="74">
        <v>9023371</v>
      </c>
      <c r="B753" s="37">
        <v>1412</v>
      </c>
      <c r="C753" s="69">
        <v>76280014129</v>
      </c>
      <c r="D753" s="38" t="s">
        <v>678</v>
      </c>
      <c r="E753" s="64">
        <v>0.14929980679999999</v>
      </c>
      <c r="F753" s="70">
        <v>6</v>
      </c>
      <c r="G753" s="38" t="s">
        <v>679</v>
      </c>
      <c r="H753" s="66" t="s">
        <v>1258</v>
      </c>
      <c r="I753" s="39">
        <v>10.96875</v>
      </c>
      <c r="J753" s="40"/>
      <c r="K753" s="75">
        <f t="shared" si="70"/>
        <v>0</v>
      </c>
      <c r="L753" s="41"/>
      <c r="N753" s="45" t="str">
        <f t="shared" si="66"/>
        <v>-</v>
      </c>
      <c r="O753" s="42" t="str">
        <f t="shared" si="71"/>
        <v>-</v>
      </c>
      <c r="P753" s="43" t="str">
        <f t="shared" si="67"/>
        <v>-</v>
      </c>
      <c r="Q753" s="46" t="str">
        <f t="shared" si="68"/>
        <v>-</v>
      </c>
      <c r="S753" s="46" t="str">
        <f t="shared" si="69"/>
        <v>-</v>
      </c>
    </row>
    <row r="754" spans="1:19" ht="15" x14ac:dyDescent="0.3">
      <c r="A754" s="74">
        <v>4738316</v>
      </c>
      <c r="B754" s="37">
        <v>8102</v>
      </c>
      <c r="C754" s="69">
        <v>76280081022</v>
      </c>
      <c r="D754" s="38" t="s">
        <v>684</v>
      </c>
      <c r="E754" s="64">
        <v>8.2372307199999995E-2</v>
      </c>
      <c r="F754" s="70">
        <v>6</v>
      </c>
      <c r="G754" s="38" t="s">
        <v>570</v>
      </c>
      <c r="H754" s="66" t="s">
        <v>1258</v>
      </c>
      <c r="I754" s="39">
        <v>9.1650000000000009</v>
      </c>
      <c r="J754" s="40"/>
      <c r="K754" s="75">
        <f t="shared" si="70"/>
        <v>0</v>
      </c>
      <c r="L754" s="41"/>
      <c r="N754" s="45" t="str">
        <f t="shared" si="66"/>
        <v>-</v>
      </c>
      <c r="O754" s="42" t="str">
        <f t="shared" si="71"/>
        <v>-</v>
      </c>
      <c r="P754" s="43" t="str">
        <f t="shared" si="67"/>
        <v>-</v>
      </c>
      <c r="Q754" s="46" t="str">
        <f t="shared" si="68"/>
        <v>-</v>
      </c>
      <c r="S754" s="46" t="str">
        <f t="shared" si="69"/>
        <v>-</v>
      </c>
    </row>
    <row r="755" spans="1:19" ht="15" x14ac:dyDescent="0.3">
      <c r="A755" s="74">
        <v>5014210</v>
      </c>
      <c r="B755" s="37">
        <v>4910</v>
      </c>
      <c r="C755" s="69">
        <v>76280049107</v>
      </c>
      <c r="D755" s="38" t="s">
        <v>685</v>
      </c>
      <c r="E755" s="64">
        <v>5.6750000000000002E-2</v>
      </c>
      <c r="F755" s="70">
        <v>12</v>
      </c>
      <c r="G755" s="38" t="s">
        <v>338</v>
      </c>
      <c r="H755" s="66" t="s">
        <v>1258</v>
      </c>
      <c r="I755" s="39">
        <v>5.9962500000000007</v>
      </c>
      <c r="J755" s="40"/>
      <c r="K755" s="75">
        <f t="shared" si="70"/>
        <v>0</v>
      </c>
      <c r="L755" s="41"/>
      <c r="N755" s="45" t="str">
        <f t="shared" si="66"/>
        <v>-</v>
      </c>
      <c r="O755" s="42" t="str">
        <f t="shared" si="71"/>
        <v>-</v>
      </c>
      <c r="P755" s="43" t="str">
        <f t="shared" si="67"/>
        <v>-</v>
      </c>
      <c r="Q755" s="46" t="str">
        <f t="shared" si="68"/>
        <v>-</v>
      </c>
      <c r="S755" s="46" t="str">
        <f t="shared" si="69"/>
        <v>-</v>
      </c>
    </row>
    <row r="756" spans="1:19" ht="15" x14ac:dyDescent="0.3">
      <c r="A756" s="74">
        <v>5427774</v>
      </c>
      <c r="B756" s="37">
        <v>19300</v>
      </c>
      <c r="C756" s="69">
        <v>76280193008</v>
      </c>
      <c r="D756" s="38" t="s">
        <v>686</v>
      </c>
      <c r="E756" s="64">
        <v>9.7817114799999993E-2</v>
      </c>
      <c r="F756" s="70">
        <v>6</v>
      </c>
      <c r="G756" s="38" t="s">
        <v>687</v>
      </c>
      <c r="H756" s="66" t="s">
        <v>1258</v>
      </c>
      <c r="I756" s="39">
        <v>8.6287500000000001</v>
      </c>
      <c r="J756" s="40"/>
      <c r="K756" s="75">
        <f t="shared" si="70"/>
        <v>0</v>
      </c>
      <c r="L756" s="41"/>
      <c r="N756" s="45" t="str">
        <f t="shared" si="66"/>
        <v>-</v>
      </c>
      <c r="O756" s="42" t="str">
        <f t="shared" si="71"/>
        <v>-</v>
      </c>
      <c r="P756" s="43" t="str">
        <f t="shared" si="67"/>
        <v>-</v>
      </c>
      <c r="Q756" s="46" t="str">
        <f t="shared" si="68"/>
        <v>-</v>
      </c>
      <c r="S756" s="46" t="str">
        <f t="shared" si="69"/>
        <v>-</v>
      </c>
    </row>
    <row r="757" spans="1:19" ht="15" x14ac:dyDescent="0.3">
      <c r="A757" s="74">
        <v>8976747</v>
      </c>
      <c r="B757" s="37">
        <v>88289</v>
      </c>
      <c r="C757" s="69">
        <v>76280882896</v>
      </c>
      <c r="D757" s="38" t="s">
        <v>691</v>
      </c>
      <c r="E757" s="64">
        <v>0.12355846079999999</v>
      </c>
      <c r="F757" s="70">
        <v>6</v>
      </c>
      <c r="G757" s="38" t="s">
        <v>34</v>
      </c>
      <c r="H757" s="66" t="s">
        <v>1258</v>
      </c>
      <c r="I757" s="39">
        <v>22.571249999999999</v>
      </c>
      <c r="J757" s="40"/>
      <c r="K757" s="75">
        <f t="shared" si="70"/>
        <v>0</v>
      </c>
      <c r="L757" s="41"/>
      <c r="N757" s="45" t="str">
        <f t="shared" si="66"/>
        <v>-</v>
      </c>
      <c r="O757" s="42" t="str">
        <f t="shared" si="71"/>
        <v>-</v>
      </c>
      <c r="P757" s="43" t="str">
        <f t="shared" si="67"/>
        <v>-</v>
      </c>
      <c r="Q757" s="46" t="str">
        <f t="shared" si="68"/>
        <v>-</v>
      </c>
      <c r="S757" s="46" t="str">
        <f t="shared" si="69"/>
        <v>-</v>
      </c>
    </row>
    <row r="758" spans="1:19" ht="15" x14ac:dyDescent="0.3">
      <c r="A758" s="74">
        <v>1465278</v>
      </c>
      <c r="B758" s="37">
        <v>33953</v>
      </c>
      <c r="C758" s="69">
        <v>76280339536</v>
      </c>
      <c r="D758" s="38" t="s">
        <v>697</v>
      </c>
      <c r="E758" s="64">
        <v>0.20593076800000001</v>
      </c>
      <c r="F758" s="70">
        <v>6</v>
      </c>
      <c r="G758" s="38" t="s">
        <v>364</v>
      </c>
      <c r="H758" s="66" t="s">
        <v>1258</v>
      </c>
      <c r="I758" s="39">
        <v>32.223749999999995</v>
      </c>
      <c r="J758" s="40"/>
      <c r="K758" s="75">
        <f t="shared" si="70"/>
        <v>0</v>
      </c>
      <c r="L758" s="41"/>
      <c r="N758" s="45" t="str">
        <f t="shared" si="66"/>
        <v>-</v>
      </c>
      <c r="O758" s="42" t="str">
        <f t="shared" si="71"/>
        <v>-</v>
      </c>
      <c r="P758" s="43" t="str">
        <f t="shared" si="67"/>
        <v>-</v>
      </c>
      <c r="Q758" s="46" t="str">
        <f t="shared" si="68"/>
        <v>-</v>
      </c>
      <c r="S758" s="46" t="str">
        <f t="shared" si="69"/>
        <v>-</v>
      </c>
    </row>
    <row r="759" spans="1:19" ht="15" x14ac:dyDescent="0.3">
      <c r="A759" s="74">
        <v>2687355</v>
      </c>
      <c r="B759" s="37">
        <v>3601</v>
      </c>
      <c r="C759" s="69">
        <v>76280036015</v>
      </c>
      <c r="D759" s="38" t="s">
        <v>699</v>
      </c>
      <c r="E759" s="64">
        <v>0.10296538400000001</v>
      </c>
      <c r="F759" s="70">
        <v>6</v>
      </c>
      <c r="G759" s="38" t="s">
        <v>701</v>
      </c>
      <c r="H759" s="66" t="s">
        <v>1258</v>
      </c>
      <c r="I759" s="39">
        <v>24.716250000000002</v>
      </c>
      <c r="J759" s="40"/>
      <c r="K759" s="75">
        <f t="shared" si="70"/>
        <v>0</v>
      </c>
      <c r="L759" s="41"/>
      <c r="N759" s="45" t="str">
        <f t="shared" si="66"/>
        <v>-</v>
      </c>
      <c r="O759" s="42" t="str">
        <f t="shared" si="71"/>
        <v>-</v>
      </c>
      <c r="P759" s="43" t="str">
        <f t="shared" si="67"/>
        <v>-</v>
      </c>
      <c r="Q759" s="46" t="str">
        <f t="shared" si="68"/>
        <v>-</v>
      </c>
      <c r="S759" s="46" t="str">
        <f t="shared" si="69"/>
        <v>-</v>
      </c>
    </row>
    <row r="760" spans="1:19" ht="15" x14ac:dyDescent="0.3">
      <c r="A760" s="74">
        <v>2422172</v>
      </c>
      <c r="B760" s="37">
        <v>3666</v>
      </c>
      <c r="C760" s="69">
        <v>76280036664</v>
      </c>
      <c r="D760" s="38" t="s">
        <v>703</v>
      </c>
      <c r="E760" s="64">
        <v>7.2075768800000009E-2</v>
      </c>
      <c r="F760" s="70">
        <v>6</v>
      </c>
      <c r="G760" s="38" t="s">
        <v>90</v>
      </c>
      <c r="H760" s="66" t="s">
        <v>1258</v>
      </c>
      <c r="I760" s="39">
        <v>9.6037499999999998</v>
      </c>
      <c r="J760" s="40"/>
      <c r="K760" s="75">
        <f t="shared" si="70"/>
        <v>0</v>
      </c>
      <c r="L760" s="41"/>
      <c r="N760" s="45" t="str">
        <f t="shared" si="66"/>
        <v>-</v>
      </c>
      <c r="O760" s="42" t="str">
        <f t="shared" si="71"/>
        <v>-</v>
      </c>
      <c r="P760" s="43" t="str">
        <f t="shared" si="67"/>
        <v>-</v>
      </c>
      <c r="Q760" s="46" t="str">
        <f t="shared" si="68"/>
        <v>-</v>
      </c>
      <c r="S760" s="46" t="str">
        <f t="shared" si="69"/>
        <v>-</v>
      </c>
    </row>
    <row r="761" spans="1:19" ht="15" x14ac:dyDescent="0.3">
      <c r="A761" s="74">
        <v>2074661</v>
      </c>
      <c r="B761" s="37">
        <v>36659</v>
      </c>
      <c r="C761" s="69">
        <v>76280366594</v>
      </c>
      <c r="D761" s="38" t="s">
        <v>703</v>
      </c>
      <c r="E761" s="64">
        <v>0.11326192240000001</v>
      </c>
      <c r="F761" s="70">
        <v>6</v>
      </c>
      <c r="G761" s="38" t="s">
        <v>534</v>
      </c>
      <c r="H761" s="66" t="s">
        <v>1258</v>
      </c>
      <c r="I761" s="39">
        <v>18.135000000000002</v>
      </c>
      <c r="J761" s="40"/>
      <c r="K761" s="75">
        <f t="shared" si="70"/>
        <v>0</v>
      </c>
      <c r="L761" s="41"/>
      <c r="N761" s="45" t="str">
        <f t="shared" si="66"/>
        <v>-</v>
      </c>
      <c r="O761" s="42" t="str">
        <f t="shared" si="71"/>
        <v>-</v>
      </c>
      <c r="P761" s="43" t="str">
        <f t="shared" si="67"/>
        <v>-</v>
      </c>
      <c r="Q761" s="46" t="str">
        <f t="shared" si="68"/>
        <v>-</v>
      </c>
      <c r="S761" s="46" t="str">
        <f t="shared" si="69"/>
        <v>-</v>
      </c>
    </row>
    <row r="762" spans="1:19" ht="15" x14ac:dyDescent="0.3">
      <c r="A762" s="74">
        <v>2027739</v>
      </c>
      <c r="B762" s="37">
        <v>3111</v>
      </c>
      <c r="C762" s="69">
        <v>76280031119</v>
      </c>
      <c r="D762" s="38" t="s">
        <v>706</v>
      </c>
      <c r="E762" s="64">
        <v>8.7520576400000008E-2</v>
      </c>
      <c r="F762" s="70">
        <v>6</v>
      </c>
      <c r="G762" s="38" t="s">
        <v>701</v>
      </c>
      <c r="H762" s="66" t="s">
        <v>1258</v>
      </c>
      <c r="I762" s="39">
        <v>22.181249999999999</v>
      </c>
      <c r="J762" s="40"/>
      <c r="K762" s="75">
        <f t="shared" si="70"/>
        <v>0</v>
      </c>
      <c r="L762" s="41"/>
      <c r="N762" s="45" t="str">
        <f t="shared" si="66"/>
        <v>-</v>
      </c>
      <c r="O762" s="42" t="str">
        <f t="shared" si="71"/>
        <v>-</v>
      </c>
      <c r="P762" s="43" t="str">
        <f t="shared" si="67"/>
        <v>-</v>
      </c>
      <c r="Q762" s="46" t="str">
        <f t="shared" si="68"/>
        <v>-</v>
      </c>
      <c r="S762" s="46" t="str">
        <f t="shared" si="69"/>
        <v>-</v>
      </c>
    </row>
    <row r="763" spans="1:19" ht="15" x14ac:dyDescent="0.3">
      <c r="A763" s="74">
        <v>2906773</v>
      </c>
      <c r="B763" s="37">
        <v>1121</v>
      </c>
      <c r="C763" s="69">
        <v>76280011210</v>
      </c>
      <c r="D763" s="38" t="s">
        <v>711</v>
      </c>
      <c r="E763" s="64">
        <v>0.14929980679999999</v>
      </c>
      <c r="F763" s="70">
        <v>6</v>
      </c>
      <c r="G763" s="38" t="s">
        <v>679</v>
      </c>
      <c r="H763" s="66" t="s">
        <v>1258</v>
      </c>
      <c r="I763" s="39">
        <v>9.1162499999999991</v>
      </c>
      <c r="J763" s="40"/>
      <c r="K763" s="75">
        <f t="shared" si="70"/>
        <v>0</v>
      </c>
      <c r="L763" s="41"/>
      <c r="N763" s="45" t="str">
        <f t="shared" si="66"/>
        <v>-</v>
      </c>
      <c r="O763" s="42" t="str">
        <f t="shared" si="71"/>
        <v>-</v>
      </c>
      <c r="P763" s="43" t="str">
        <f t="shared" si="67"/>
        <v>-</v>
      </c>
      <c r="Q763" s="46" t="str">
        <f t="shared" si="68"/>
        <v>-</v>
      </c>
      <c r="S763" s="46" t="str">
        <f t="shared" si="69"/>
        <v>-</v>
      </c>
    </row>
    <row r="764" spans="1:19" ht="15" x14ac:dyDescent="0.3">
      <c r="A764" s="74">
        <v>2028008</v>
      </c>
      <c r="B764" s="37">
        <v>42608</v>
      </c>
      <c r="C764" s="69">
        <v>76280426083</v>
      </c>
      <c r="D764" s="38" t="s">
        <v>633</v>
      </c>
      <c r="E764" s="64">
        <v>0.25741345999999998</v>
      </c>
      <c r="F764" s="70">
        <v>6</v>
      </c>
      <c r="G764" s="38" t="s">
        <v>712</v>
      </c>
      <c r="H764" s="66" t="s">
        <v>1258</v>
      </c>
      <c r="I764" s="39">
        <v>14.868749999999999</v>
      </c>
      <c r="J764" s="40"/>
      <c r="K764" s="75">
        <f t="shared" si="70"/>
        <v>0</v>
      </c>
      <c r="L764" s="41"/>
      <c r="N764" s="45" t="str">
        <f t="shared" si="66"/>
        <v>-</v>
      </c>
      <c r="O764" s="42" t="str">
        <f t="shared" si="71"/>
        <v>-</v>
      </c>
      <c r="P764" s="43" t="str">
        <f t="shared" si="67"/>
        <v>-</v>
      </c>
      <c r="Q764" s="46" t="str">
        <f t="shared" si="68"/>
        <v>-</v>
      </c>
      <c r="S764" s="46" t="str">
        <f t="shared" si="69"/>
        <v>-</v>
      </c>
    </row>
    <row r="765" spans="1:19" ht="15" x14ac:dyDescent="0.3">
      <c r="A765" s="74">
        <v>2253536</v>
      </c>
      <c r="B765" s="37">
        <v>4590</v>
      </c>
      <c r="C765" s="69">
        <v>76280045901</v>
      </c>
      <c r="D765" s="38" t="s">
        <v>713</v>
      </c>
      <c r="E765" s="64">
        <v>8.2372307199999995E-2</v>
      </c>
      <c r="F765" s="70">
        <v>12</v>
      </c>
      <c r="G765" s="38" t="s">
        <v>618</v>
      </c>
      <c r="H765" s="66" t="s">
        <v>1258</v>
      </c>
      <c r="I765" s="39">
        <v>4.3387500000000001</v>
      </c>
      <c r="J765" s="40"/>
      <c r="K765" s="75">
        <f t="shared" si="70"/>
        <v>0</v>
      </c>
      <c r="L765" s="41"/>
      <c r="N765" s="45" t="str">
        <f t="shared" si="66"/>
        <v>-</v>
      </c>
      <c r="O765" s="42" t="str">
        <f t="shared" si="71"/>
        <v>-</v>
      </c>
      <c r="P765" s="43" t="str">
        <f t="shared" si="67"/>
        <v>-</v>
      </c>
      <c r="Q765" s="46" t="str">
        <f t="shared" si="68"/>
        <v>-</v>
      </c>
      <c r="S765" s="46" t="str">
        <f t="shared" si="69"/>
        <v>-</v>
      </c>
    </row>
    <row r="766" spans="1:19" ht="15" x14ac:dyDescent="0.3">
      <c r="A766" s="74">
        <v>8086596</v>
      </c>
      <c r="B766" s="37">
        <v>4591</v>
      </c>
      <c r="C766" s="69">
        <v>76280045918</v>
      </c>
      <c r="D766" s="38" t="s">
        <v>713</v>
      </c>
      <c r="E766" s="64">
        <v>0.14929980679999999</v>
      </c>
      <c r="F766" s="70">
        <v>6</v>
      </c>
      <c r="G766" s="38" t="s">
        <v>619</v>
      </c>
      <c r="H766" s="66" t="s">
        <v>1258</v>
      </c>
      <c r="I766" s="39">
        <v>8.2875000000000014</v>
      </c>
      <c r="J766" s="40"/>
      <c r="K766" s="75">
        <f t="shared" si="70"/>
        <v>0</v>
      </c>
      <c r="L766" s="41"/>
      <c r="N766" s="45" t="str">
        <f t="shared" si="66"/>
        <v>-</v>
      </c>
      <c r="O766" s="42" t="str">
        <f t="shared" si="71"/>
        <v>-</v>
      </c>
      <c r="P766" s="43" t="str">
        <f t="shared" si="67"/>
        <v>-</v>
      </c>
      <c r="Q766" s="46" t="str">
        <f t="shared" si="68"/>
        <v>-</v>
      </c>
      <c r="S766" s="46" t="str">
        <f t="shared" si="69"/>
        <v>-</v>
      </c>
    </row>
    <row r="767" spans="1:19" ht="15" x14ac:dyDescent="0.3">
      <c r="A767" s="74">
        <v>7277224</v>
      </c>
      <c r="B767" s="37">
        <v>4265</v>
      </c>
      <c r="C767" s="69">
        <v>76280042658</v>
      </c>
      <c r="D767" s="38" t="s">
        <v>718</v>
      </c>
      <c r="E767" s="64">
        <v>0.24711692159999998</v>
      </c>
      <c r="F767" s="70">
        <v>6</v>
      </c>
      <c r="G767" s="38" t="s">
        <v>719</v>
      </c>
      <c r="H767" s="66" t="s">
        <v>1258</v>
      </c>
      <c r="I767" s="39">
        <v>9.4574999999999996</v>
      </c>
      <c r="J767" s="40"/>
      <c r="K767" s="75">
        <f t="shared" si="70"/>
        <v>0</v>
      </c>
      <c r="L767" s="41"/>
      <c r="N767" s="45" t="str">
        <f t="shared" si="66"/>
        <v>-</v>
      </c>
      <c r="O767" s="42" t="str">
        <f t="shared" si="71"/>
        <v>-</v>
      </c>
      <c r="P767" s="43" t="str">
        <f t="shared" si="67"/>
        <v>-</v>
      </c>
      <c r="Q767" s="46" t="str">
        <f t="shared" si="68"/>
        <v>-</v>
      </c>
      <c r="S767" s="46" t="str">
        <f t="shared" si="69"/>
        <v>-</v>
      </c>
    </row>
    <row r="768" spans="1:19" ht="15" x14ac:dyDescent="0.3">
      <c r="A768" s="74">
        <v>3416241</v>
      </c>
      <c r="B768" s="37">
        <v>47306</v>
      </c>
      <c r="C768" s="69">
        <v>76280473063</v>
      </c>
      <c r="D768" s="38" t="s">
        <v>723</v>
      </c>
      <c r="E768" s="64">
        <v>0.14929980679999999</v>
      </c>
      <c r="F768" s="70">
        <v>6</v>
      </c>
      <c r="G768" s="38" t="s">
        <v>63</v>
      </c>
      <c r="H768" s="66" t="s">
        <v>1258</v>
      </c>
      <c r="I768" s="39">
        <v>16.331250000000001</v>
      </c>
      <c r="J768" s="40"/>
      <c r="K768" s="75">
        <f t="shared" si="70"/>
        <v>0</v>
      </c>
      <c r="L768" s="41"/>
      <c r="N768" s="45" t="str">
        <f t="shared" si="66"/>
        <v>-</v>
      </c>
      <c r="O768" s="42" t="str">
        <f t="shared" si="71"/>
        <v>-</v>
      </c>
      <c r="P768" s="43" t="str">
        <f t="shared" si="67"/>
        <v>-</v>
      </c>
      <c r="Q768" s="46" t="str">
        <f t="shared" si="68"/>
        <v>-</v>
      </c>
      <c r="S768" s="46" t="str">
        <f t="shared" si="69"/>
        <v>-</v>
      </c>
    </row>
    <row r="769" spans="1:19" ht="15" x14ac:dyDescent="0.3">
      <c r="A769" s="74">
        <v>4635012</v>
      </c>
      <c r="B769" s="37">
        <v>47305</v>
      </c>
      <c r="C769" s="69">
        <v>76280473056</v>
      </c>
      <c r="D769" s="38" t="s">
        <v>723</v>
      </c>
      <c r="E769" s="64">
        <v>9.7817114799999993E-2</v>
      </c>
      <c r="F769" s="70">
        <v>12</v>
      </c>
      <c r="G769" s="38" t="s">
        <v>34</v>
      </c>
      <c r="H769" s="66" t="s">
        <v>1258</v>
      </c>
      <c r="I769" s="39">
        <v>11.456250000000001</v>
      </c>
      <c r="J769" s="40"/>
      <c r="K769" s="75">
        <f t="shared" si="70"/>
        <v>0</v>
      </c>
      <c r="L769" s="41"/>
      <c r="N769" s="45" t="str">
        <f t="shared" si="66"/>
        <v>-</v>
      </c>
      <c r="O769" s="42" t="str">
        <f t="shared" si="71"/>
        <v>-</v>
      </c>
      <c r="P769" s="43" t="str">
        <f t="shared" si="67"/>
        <v>-</v>
      </c>
      <c r="Q769" s="46" t="str">
        <f t="shared" si="68"/>
        <v>-</v>
      </c>
      <c r="S769" s="46" t="str">
        <f t="shared" si="69"/>
        <v>-</v>
      </c>
    </row>
    <row r="770" spans="1:19" ht="15" x14ac:dyDescent="0.3">
      <c r="A770" s="74">
        <v>5414769</v>
      </c>
      <c r="B770" s="37">
        <v>47304</v>
      </c>
      <c r="C770" s="69">
        <v>76280473049</v>
      </c>
      <c r="D770" s="38" t="s">
        <v>723</v>
      </c>
      <c r="E770" s="64">
        <v>6.1779230399999996E-2</v>
      </c>
      <c r="F770" s="70">
        <v>12</v>
      </c>
      <c r="G770" s="38" t="s">
        <v>135</v>
      </c>
      <c r="H770" s="66" t="s">
        <v>1258</v>
      </c>
      <c r="I770" s="39">
        <v>6.9225000000000003</v>
      </c>
      <c r="J770" s="40"/>
      <c r="K770" s="75">
        <f t="shared" si="70"/>
        <v>0</v>
      </c>
      <c r="L770" s="41"/>
      <c r="N770" s="45" t="str">
        <f t="shared" si="66"/>
        <v>-</v>
      </c>
      <c r="O770" s="42" t="str">
        <f t="shared" si="71"/>
        <v>-</v>
      </c>
      <c r="P770" s="43" t="str">
        <f t="shared" si="67"/>
        <v>-</v>
      </c>
      <c r="Q770" s="46" t="str">
        <f t="shared" si="68"/>
        <v>-</v>
      </c>
      <c r="S770" s="46" t="str">
        <f t="shared" si="69"/>
        <v>-</v>
      </c>
    </row>
    <row r="771" spans="1:19" ht="15" x14ac:dyDescent="0.3">
      <c r="A771" s="74">
        <v>5974714</v>
      </c>
      <c r="B771" s="37">
        <v>1380</v>
      </c>
      <c r="C771" s="69">
        <v>76280013801</v>
      </c>
      <c r="D771" s="38" t="s">
        <v>725</v>
      </c>
      <c r="E771" s="64">
        <v>9.2668845599999994E-2</v>
      </c>
      <c r="F771" s="70">
        <v>6</v>
      </c>
      <c r="G771" s="38" t="s">
        <v>726</v>
      </c>
      <c r="H771" s="66" t="s">
        <v>1258</v>
      </c>
      <c r="I771" s="39">
        <v>7.5562500000000004</v>
      </c>
      <c r="J771" s="40"/>
      <c r="K771" s="75">
        <f t="shared" si="70"/>
        <v>0</v>
      </c>
      <c r="L771" s="41"/>
      <c r="N771" s="45" t="str">
        <f t="shared" ref="N771:N834" si="72">IFERROR(IF($N$2*E771=0, "-", $N$2*E771), "-")</f>
        <v>-</v>
      </c>
      <c r="O771" s="42" t="str">
        <f t="shared" si="71"/>
        <v>-</v>
      </c>
      <c r="P771" s="43" t="str">
        <f t="shared" ref="P771:P834" si="73">IF(J771&gt;0,J771*E771, "-")</f>
        <v>-</v>
      </c>
      <c r="Q771" s="46" t="str">
        <f t="shared" ref="Q771:Q834" si="74">IFERROR(IF($N$2&gt;0, $N$2*P771, "-"), "-")</f>
        <v>-</v>
      </c>
      <c r="S771" s="46" t="str">
        <f t="shared" ref="S771:S834" si="75">IFERROR(IF(Q771+K771=0, "-", IF(Q771&gt;0, Q771+K771, "-")), "-")</f>
        <v>-</v>
      </c>
    </row>
    <row r="772" spans="1:19" ht="15" x14ac:dyDescent="0.3">
      <c r="A772" s="74">
        <v>2858666</v>
      </c>
      <c r="B772" s="37">
        <v>1130</v>
      </c>
      <c r="C772" s="69">
        <v>76280011302</v>
      </c>
      <c r="D772" s="38" t="s">
        <v>727</v>
      </c>
      <c r="E772" s="64">
        <v>9.7817114799999993E-2</v>
      </c>
      <c r="F772" s="70">
        <v>6</v>
      </c>
      <c r="G772" s="38" t="s">
        <v>728</v>
      </c>
      <c r="H772" s="66" t="s">
        <v>1258</v>
      </c>
      <c r="I772" s="39">
        <v>6.3862500000000004</v>
      </c>
      <c r="J772" s="40"/>
      <c r="K772" s="75">
        <f t="shared" ref="K772:K835" si="76">J772*I772</f>
        <v>0</v>
      </c>
      <c r="L772" s="41"/>
      <c r="N772" s="45" t="str">
        <f t="shared" si="72"/>
        <v>-</v>
      </c>
      <c r="O772" s="42" t="str">
        <f t="shared" ref="O772:O835" si="77">IFERROR(IF(N772&gt;0,I772+N772,"-"),"-")</f>
        <v>-</v>
      </c>
      <c r="P772" s="43" t="str">
        <f t="shared" si="73"/>
        <v>-</v>
      </c>
      <c r="Q772" s="46" t="str">
        <f t="shared" si="74"/>
        <v>-</v>
      </c>
      <c r="S772" s="46" t="str">
        <f t="shared" si="75"/>
        <v>-</v>
      </c>
    </row>
    <row r="773" spans="1:19" ht="15" x14ac:dyDescent="0.3">
      <c r="A773" s="74">
        <v>7986468</v>
      </c>
      <c r="B773" s="37">
        <v>1131</v>
      </c>
      <c r="C773" s="69">
        <v>76280011319</v>
      </c>
      <c r="D773" s="38" t="s">
        <v>727</v>
      </c>
      <c r="E773" s="64">
        <v>0.15959634519999999</v>
      </c>
      <c r="F773" s="70">
        <v>6</v>
      </c>
      <c r="G773" s="38" t="s">
        <v>729</v>
      </c>
      <c r="H773" s="66" t="s">
        <v>1258</v>
      </c>
      <c r="I773" s="39">
        <v>9.9450000000000003</v>
      </c>
      <c r="J773" s="40"/>
      <c r="K773" s="75">
        <f t="shared" si="76"/>
        <v>0</v>
      </c>
      <c r="L773" s="41"/>
      <c r="N773" s="45" t="str">
        <f t="shared" si="72"/>
        <v>-</v>
      </c>
      <c r="O773" s="42" t="str">
        <f t="shared" si="77"/>
        <v>-</v>
      </c>
      <c r="P773" s="43" t="str">
        <f t="shared" si="73"/>
        <v>-</v>
      </c>
      <c r="Q773" s="46" t="str">
        <f t="shared" si="74"/>
        <v>-</v>
      </c>
      <c r="S773" s="46" t="str">
        <f t="shared" si="75"/>
        <v>-</v>
      </c>
    </row>
    <row r="774" spans="1:19" ht="15" x14ac:dyDescent="0.3">
      <c r="A774" s="74">
        <v>3354112</v>
      </c>
      <c r="B774" s="37">
        <v>64884</v>
      </c>
      <c r="C774" s="69">
        <v>76280648843</v>
      </c>
      <c r="D774" s="38" t="s">
        <v>730</v>
      </c>
      <c r="E774" s="64">
        <v>0.28830307520000004</v>
      </c>
      <c r="F774" s="70">
        <v>6</v>
      </c>
      <c r="G774" s="38" t="s">
        <v>64</v>
      </c>
      <c r="H774" s="66" t="s">
        <v>1258</v>
      </c>
      <c r="I774" s="39">
        <v>15.405000000000001</v>
      </c>
      <c r="J774" s="40"/>
      <c r="K774" s="75">
        <f t="shared" si="76"/>
        <v>0</v>
      </c>
      <c r="L774" s="41"/>
      <c r="N774" s="45" t="str">
        <f t="shared" si="72"/>
        <v>-</v>
      </c>
      <c r="O774" s="42" t="str">
        <f t="shared" si="77"/>
        <v>-</v>
      </c>
      <c r="P774" s="43" t="str">
        <f t="shared" si="73"/>
        <v>-</v>
      </c>
      <c r="Q774" s="46" t="str">
        <f t="shared" si="74"/>
        <v>-</v>
      </c>
      <c r="S774" s="46" t="str">
        <f t="shared" si="75"/>
        <v>-</v>
      </c>
    </row>
    <row r="775" spans="1:19" ht="15" x14ac:dyDescent="0.3">
      <c r="A775" s="74">
        <v>1299048</v>
      </c>
      <c r="B775" s="37">
        <v>88450</v>
      </c>
      <c r="C775" s="69">
        <v>76280884500</v>
      </c>
      <c r="D775" s="38" t="s">
        <v>673</v>
      </c>
      <c r="E775" s="64">
        <v>0.30889615199999998</v>
      </c>
      <c r="F775" s="70">
        <v>6</v>
      </c>
      <c r="G775" s="38" t="s">
        <v>64</v>
      </c>
      <c r="H775" s="66" t="s">
        <v>1258</v>
      </c>
      <c r="I775" s="39">
        <v>13.211250000000001</v>
      </c>
      <c r="J775" s="40"/>
      <c r="K775" s="75">
        <f t="shared" si="76"/>
        <v>0</v>
      </c>
      <c r="L775" s="41"/>
      <c r="N775" s="45" t="str">
        <f t="shared" si="72"/>
        <v>-</v>
      </c>
      <c r="O775" s="42" t="str">
        <f t="shared" si="77"/>
        <v>-</v>
      </c>
      <c r="P775" s="43" t="str">
        <f t="shared" si="73"/>
        <v>-</v>
      </c>
      <c r="Q775" s="46" t="str">
        <f t="shared" si="74"/>
        <v>-</v>
      </c>
      <c r="S775" s="46" t="str">
        <f t="shared" si="75"/>
        <v>-</v>
      </c>
    </row>
    <row r="776" spans="1:19" ht="15" x14ac:dyDescent="0.3">
      <c r="A776" s="74">
        <v>7226002</v>
      </c>
      <c r="B776" s="37">
        <v>1350</v>
      </c>
      <c r="C776" s="69">
        <v>76280013504</v>
      </c>
      <c r="D776" s="38" t="s">
        <v>734</v>
      </c>
      <c r="E776" s="64">
        <v>0.10296538400000001</v>
      </c>
      <c r="F776" s="70">
        <v>6</v>
      </c>
      <c r="G776" s="38" t="s">
        <v>735</v>
      </c>
      <c r="H776" s="66" t="s">
        <v>1258</v>
      </c>
      <c r="I776" s="39">
        <v>6.4350000000000005</v>
      </c>
      <c r="J776" s="40"/>
      <c r="K776" s="75">
        <f t="shared" si="76"/>
        <v>0</v>
      </c>
      <c r="L776" s="41"/>
      <c r="N776" s="45" t="str">
        <f t="shared" si="72"/>
        <v>-</v>
      </c>
      <c r="O776" s="42" t="str">
        <f t="shared" si="77"/>
        <v>-</v>
      </c>
      <c r="P776" s="43" t="str">
        <f t="shared" si="73"/>
        <v>-</v>
      </c>
      <c r="Q776" s="46" t="str">
        <f t="shared" si="74"/>
        <v>-</v>
      </c>
      <c r="S776" s="46" t="str">
        <f t="shared" si="75"/>
        <v>-</v>
      </c>
    </row>
    <row r="777" spans="1:19" ht="15" x14ac:dyDescent="0.3">
      <c r="A777" s="74">
        <v>7053723</v>
      </c>
      <c r="B777" s="37">
        <v>1376</v>
      </c>
      <c r="C777" s="69">
        <v>76280013764</v>
      </c>
      <c r="D777" s="38" t="s">
        <v>739</v>
      </c>
      <c r="E777" s="64">
        <v>0.10811365319999999</v>
      </c>
      <c r="F777" s="70">
        <v>6</v>
      </c>
      <c r="G777" s="38" t="s">
        <v>615</v>
      </c>
      <c r="H777" s="66" t="s">
        <v>1258</v>
      </c>
      <c r="I777" s="39">
        <v>12.626250000000001</v>
      </c>
      <c r="J777" s="40"/>
      <c r="K777" s="75">
        <f t="shared" si="76"/>
        <v>0</v>
      </c>
      <c r="L777" s="41"/>
      <c r="N777" s="45" t="str">
        <f t="shared" si="72"/>
        <v>-</v>
      </c>
      <c r="O777" s="42" t="str">
        <f t="shared" si="77"/>
        <v>-</v>
      </c>
      <c r="P777" s="43" t="str">
        <f t="shared" si="73"/>
        <v>-</v>
      </c>
      <c r="Q777" s="46" t="str">
        <f t="shared" si="74"/>
        <v>-</v>
      </c>
      <c r="S777" s="46" t="str">
        <f t="shared" si="75"/>
        <v>-</v>
      </c>
    </row>
    <row r="778" spans="1:19" ht="15" x14ac:dyDescent="0.3">
      <c r="A778" s="74">
        <v>4226687</v>
      </c>
      <c r="B778" s="37">
        <v>4181</v>
      </c>
      <c r="C778" s="69">
        <v>76280041811</v>
      </c>
      <c r="D778" s="38" t="s">
        <v>740</v>
      </c>
      <c r="E778" s="64">
        <v>9.2668845599999994E-2</v>
      </c>
      <c r="F778" s="70">
        <v>6</v>
      </c>
      <c r="G778" s="38" t="s">
        <v>581</v>
      </c>
      <c r="H778" s="66" t="s">
        <v>1258</v>
      </c>
      <c r="I778" s="39">
        <v>17.0625</v>
      </c>
      <c r="J778" s="40"/>
      <c r="K778" s="75">
        <f t="shared" si="76"/>
        <v>0</v>
      </c>
      <c r="L778" s="41"/>
      <c r="N778" s="45" t="str">
        <f t="shared" si="72"/>
        <v>-</v>
      </c>
      <c r="O778" s="42" t="str">
        <f t="shared" si="77"/>
        <v>-</v>
      </c>
      <c r="P778" s="43" t="str">
        <f t="shared" si="73"/>
        <v>-</v>
      </c>
      <c r="Q778" s="46" t="str">
        <f t="shared" si="74"/>
        <v>-</v>
      </c>
      <c r="S778" s="46" t="str">
        <f t="shared" si="75"/>
        <v>-</v>
      </c>
    </row>
    <row r="779" spans="1:19" ht="15" x14ac:dyDescent="0.3">
      <c r="A779" s="74">
        <v>7336411</v>
      </c>
      <c r="B779" s="37">
        <v>4140</v>
      </c>
      <c r="C779" s="69">
        <v>76280041408</v>
      </c>
      <c r="D779" s="38" t="s">
        <v>744</v>
      </c>
      <c r="E779" s="64">
        <v>6.6927499599999996E-2</v>
      </c>
      <c r="F779" s="70">
        <v>12</v>
      </c>
      <c r="G779" s="38" t="s">
        <v>745</v>
      </c>
      <c r="H779" s="66" t="s">
        <v>1258</v>
      </c>
      <c r="I779" s="39">
        <v>4.3875000000000002</v>
      </c>
      <c r="J779" s="40"/>
      <c r="K779" s="75">
        <f t="shared" si="76"/>
        <v>0</v>
      </c>
      <c r="L779" s="41"/>
      <c r="N779" s="45" t="str">
        <f t="shared" si="72"/>
        <v>-</v>
      </c>
      <c r="O779" s="42" t="str">
        <f t="shared" si="77"/>
        <v>-</v>
      </c>
      <c r="P779" s="43" t="str">
        <f t="shared" si="73"/>
        <v>-</v>
      </c>
      <c r="Q779" s="46" t="str">
        <f t="shared" si="74"/>
        <v>-</v>
      </c>
      <c r="S779" s="46" t="str">
        <f t="shared" si="75"/>
        <v>-</v>
      </c>
    </row>
    <row r="780" spans="1:19" ht="15" x14ac:dyDescent="0.3">
      <c r="A780" s="74">
        <v>7942583</v>
      </c>
      <c r="B780" s="37">
        <v>4497</v>
      </c>
      <c r="C780" s="69">
        <v>76280044973</v>
      </c>
      <c r="D780" s="38" t="s">
        <v>746</v>
      </c>
      <c r="E780" s="64">
        <v>0.32948922879999998</v>
      </c>
      <c r="F780" s="70">
        <v>6</v>
      </c>
      <c r="G780" s="38" t="s">
        <v>747</v>
      </c>
      <c r="H780" s="66" t="s">
        <v>1258</v>
      </c>
      <c r="I780" s="39">
        <v>16.03875</v>
      </c>
      <c r="J780" s="40"/>
      <c r="K780" s="75">
        <f t="shared" si="76"/>
        <v>0</v>
      </c>
      <c r="L780" s="41"/>
      <c r="N780" s="45" t="str">
        <f t="shared" si="72"/>
        <v>-</v>
      </c>
      <c r="O780" s="42" t="str">
        <f t="shared" si="77"/>
        <v>-</v>
      </c>
      <c r="P780" s="43" t="str">
        <f t="shared" si="73"/>
        <v>-</v>
      </c>
      <c r="Q780" s="46" t="str">
        <f t="shared" si="74"/>
        <v>-</v>
      </c>
      <c r="S780" s="46" t="str">
        <f t="shared" si="75"/>
        <v>-</v>
      </c>
    </row>
    <row r="781" spans="1:19" ht="15" x14ac:dyDescent="0.3">
      <c r="A781" s="74">
        <v>9177751</v>
      </c>
      <c r="B781" s="37">
        <v>8207</v>
      </c>
      <c r="C781" s="69">
        <v>76280082074</v>
      </c>
      <c r="D781" s="38" t="s">
        <v>750</v>
      </c>
      <c r="E781" s="64">
        <v>0.11841019160000001</v>
      </c>
      <c r="F781" s="70">
        <v>6</v>
      </c>
      <c r="G781" s="38" t="s">
        <v>751</v>
      </c>
      <c r="H781" s="66" t="s">
        <v>1258</v>
      </c>
      <c r="I781" s="39">
        <v>6.4837500000000006</v>
      </c>
      <c r="J781" s="40"/>
      <c r="K781" s="75">
        <f t="shared" si="76"/>
        <v>0</v>
      </c>
      <c r="L781" s="41"/>
      <c r="N781" s="45" t="str">
        <f t="shared" si="72"/>
        <v>-</v>
      </c>
      <c r="O781" s="42" t="str">
        <f t="shared" si="77"/>
        <v>-</v>
      </c>
      <c r="P781" s="43" t="str">
        <f t="shared" si="73"/>
        <v>-</v>
      </c>
      <c r="Q781" s="46" t="str">
        <f t="shared" si="74"/>
        <v>-</v>
      </c>
      <c r="S781" s="46" t="str">
        <f t="shared" si="75"/>
        <v>-</v>
      </c>
    </row>
    <row r="782" spans="1:19" ht="15" x14ac:dyDescent="0.3">
      <c r="A782" s="74">
        <v>3059514</v>
      </c>
      <c r="B782" s="37">
        <v>35274</v>
      </c>
      <c r="C782" s="69">
        <v>76280352740</v>
      </c>
      <c r="D782" s="38" t="s">
        <v>759</v>
      </c>
      <c r="E782" s="64">
        <v>7.7224037999999995E-2</v>
      </c>
      <c r="F782" s="70">
        <v>6</v>
      </c>
      <c r="G782" s="38" t="s">
        <v>135</v>
      </c>
      <c r="H782" s="66" t="s">
        <v>1258</v>
      </c>
      <c r="I782" s="39">
        <v>19.5</v>
      </c>
      <c r="J782" s="40"/>
      <c r="K782" s="75">
        <f t="shared" si="76"/>
        <v>0</v>
      </c>
      <c r="L782" s="41"/>
      <c r="N782" s="45" t="str">
        <f t="shared" si="72"/>
        <v>-</v>
      </c>
      <c r="O782" s="42" t="str">
        <f t="shared" si="77"/>
        <v>-</v>
      </c>
      <c r="P782" s="43" t="str">
        <f t="shared" si="73"/>
        <v>-</v>
      </c>
      <c r="Q782" s="46" t="str">
        <f t="shared" si="74"/>
        <v>-</v>
      </c>
      <c r="S782" s="46" t="str">
        <f t="shared" si="75"/>
        <v>-</v>
      </c>
    </row>
    <row r="783" spans="1:19" ht="15" x14ac:dyDescent="0.3">
      <c r="A783" s="74">
        <v>1459287</v>
      </c>
      <c r="B783" s="37">
        <v>1289</v>
      </c>
      <c r="C783" s="69">
        <v>76280012897</v>
      </c>
      <c r="D783" s="38" t="s">
        <v>760</v>
      </c>
      <c r="E783" s="64">
        <v>0.10811365319999999</v>
      </c>
      <c r="F783" s="70">
        <v>6</v>
      </c>
      <c r="G783" s="38" t="s">
        <v>207</v>
      </c>
      <c r="H783" s="66" t="s">
        <v>1258</v>
      </c>
      <c r="I783" s="39">
        <v>6.09375</v>
      </c>
      <c r="J783" s="40"/>
      <c r="K783" s="75">
        <f t="shared" si="76"/>
        <v>0</v>
      </c>
      <c r="L783" s="41"/>
      <c r="N783" s="45" t="str">
        <f t="shared" si="72"/>
        <v>-</v>
      </c>
      <c r="O783" s="42" t="str">
        <f t="shared" si="77"/>
        <v>-</v>
      </c>
      <c r="P783" s="43" t="str">
        <f t="shared" si="73"/>
        <v>-</v>
      </c>
      <c r="Q783" s="46" t="str">
        <f t="shared" si="74"/>
        <v>-</v>
      </c>
      <c r="S783" s="46" t="str">
        <f t="shared" si="75"/>
        <v>-</v>
      </c>
    </row>
    <row r="784" spans="1:19" ht="15" x14ac:dyDescent="0.3">
      <c r="A784" s="74">
        <v>4051461</v>
      </c>
      <c r="B784" s="37">
        <v>11664</v>
      </c>
      <c r="C784" s="69">
        <v>76280116649</v>
      </c>
      <c r="D784" s="38" t="s">
        <v>761</v>
      </c>
      <c r="E784" s="64">
        <v>7.7224037999999995E-2</v>
      </c>
      <c r="F784" s="70">
        <v>6</v>
      </c>
      <c r="G784" s="38" t="s">
        <v>285</v>
      </c>
      <c r="H784" s="66" t="s">
        <v>1258</v>
      </c>
      <c r="I784" s="39">
        <v>16.623750000000001</v>
      </c>
      <c r="J784" s="40"/>
      <c r="K784" s="75">
        <f t="shared" si="76"/>
        <v>0</v>
      </c>
      <c r="L784" s="41"/>
      <c r="N784" s="45" t="str">
        <f t="shared" si="72"/>
        <v>-</v>
      </c>
      <c r="O784" s="42" t="str">
        <f t="shared" si="77"/>
        <v>-</v>
      </c>
      <c r="P784" s="43" t="str">
        <f t="shared" si="73"/>
        <v>-</v>
      </c>
      <c r="Q784" s="46" t="str">
        <f t="shared" si="74"/>
        <v>-</v>
      </c>
      <c r="S784" s="46" t="str">
        <f t="shared" si="75"/>
        <v>-</v>
      </c>
    </row>
    <row r="785" spans="1:19" ht="15" x14ac:dyDescent="0.3">
      <c r="A785" s="74">
        <v>5175595</v>
      </c>
      <c r="B785" s="37">
        <v>3783</v>
      </c>
      <c r="C785" s="69">
        <v>76280037838</v>
      </c>
      <c r="D785" s="38" t="s">
        <v>762</v>
      </c>
      <c r="E785" s="64">
        <v>0.10296538400000001</v>
      </c>
      <c r="F785" s="70">
        <v>6</v>
      </c>
      <c r="G785" s="38" t="s">
        <v>764</v>
      </c>
      <c r="H785" s="66" t="s">
        <v>1258</v>
      </c>
      <c r="I785" s="39">
        <v>23.838750000000001</v>
      </c>
      <c r="J785" s="40"/>
      <c r="K785" s="75">
        <f t="shared" si="76"/>
        <v>0</v>
      </c>
      <c r="L785" s="41"/>
      <c r="N785" s="45" t="str">
        <f t="shared" si="72"/>
        <v>-</v>
      </c>
      <c r="O785" s="42" t="str">
        <f t="shared" si="77"/>
        <v>-</v>
      </c>
      <c r="P785" s="43" t="str">
        <f t="shared" si="73"/>
        <v>-</v>
      </c>
      <c r="Q785" s="46" t="str">
        <f t="shared" si="74"/>
        <v>-</v>
      </c>
      <c r="S785" s="46" t="str">
        <f t="shared" si="75"/>
        <v>-</v>
      </c>
    </row>
    <row r="786" spans="1:19" ht="15" x14ac:dyDescent="0.3">
      <c r="A786" s="74">
        <v>1093151</v>
      </c>
      <c r="B786" s="37">
        <v>57701</v>
      </c>
      <c r="C786" s="69">
        <v>76280577013</v>
      </c>
      <c r="D786" s="38" t="s">
        <v>770</v>
      </c>
      <c r="E786" s="64">
        <v>0.12870672999999999</v>
      </c>
      <c r="F786" s="70">
        <v>6</v>
      </c>
      <c r="G786" s="38" t="s">
        <v>154</v>
      </c>
      <c r="H786" s="66" t="s">
        <v>1258</v>
      </c>
      <c r="I786" s="39">
        <v>13.649999999999999</v>
      </c>
      <c r="J786" s="40"/>
      <c r="K786" s="75">
        <f t="shared" si="76"/>
        <v>0</v>
      </c>
      <c r="L786" s="41"/>
      <c r="N786" s="45" t="str">
        <f t="shared" si="72"/>
        <v>-</v>
      </c>
      <c r="O786" s="42" t="str">
        <f t="shared" si="77"/>
        <v>-</v>
      </c>
      <c r="P786" s="43" t="str">
        <f t="shared" si="73"/>
        <v>-</v>
      </c>
      <c r="Q786" s="46" t="str">
        <f t="shared" si="74"/>
        <v>-</v>
      </c>
      <c r="S786" s="46" t="str">
        <f t="shared" si="75"/>
        <v>-</v>
      </c>
    </row>
    <row r="787" spans="1:19" ht="15" x14ac:dyDescent="0.3">
      <c r="A787" s="74">
        <v>4686198</v>
      </c>
      <c r="B787" s="37">
        <v>3660</v>
      </c>
      <c r="C787" s="69">
        <v>76280036602</v>
      </c>
      <c r="D787" s="38" t="s">
        <v>771</v>
      </c>
      <c r="E787" s="64">
        <v>5.6750000000000002E-2</v>
      </c>
      <c r="F787" s="70">
        <v>6</v>
      </c>
      <c r="G787" s="38" t="s">
        <v>332</v>
      </c>
      <c r="H787" s="66" t="s">
        <v>1258</v>
      </c>
      <c r="I787" s="39">
        <v>4.3875000000000002</v>
      </c>
      <c r="J787" s="40"/>
      <c r="K787" s="75">
        <f t="shared" si="76"/>
        <v>0</v>
      </c>
      <c r="L787" s="41"/>
      <c r="N787" s="45" t="str">
        <f t="shared" si="72"/>
        <v>-</v>
      </c>
      <c r="O787" s="42" t="str">
        <f t="shared" si="77"/>
        <v>-</v>
      </c>
      <c r="P787" s="43" t="str">
        <f t="shared" si="73"/>
        <v>-</v>
      </c>
      <c r="Q787" s="46" t="str">
        <f t="shared" si="74"/>
        <v>-</v>
      </c>
      <c r="S787" s="46" t="str">
        <f t="shared" si="75"/>
        <v>-</v>
      </c>
    </row>
    <row r="788" spans="1:19" ht="15" x14ac:dyDescent="0.3">
      <c r="A788" s="74">
        <v>2602730</v>
      </c>
      <c r="B788" s="37">
        <v>83216</v>
      </c>
      <c r="C788" s="69">
        <v>76280832167</v>
      </c>
      <c r="D788" s="38" t="s">
        <v>772</v>
      </c>
      <c r="E788" s="64">
        <v>6.6927499599999996E-2</v>
      </c>
      <c r="F788" s="70">
        <v>6</v>
      </c>
      <c r="G788" s="38" t="s">
        <v>773</v>
      </c>
      <c r="H788" s="66" t="s">
        <v>1258</v>
      </c>
      <c r="I788" s="39">
        <v>20.669999999999998</v>
      </c>
      <c r="J788" s="40"/>
      <c r="K788" s="75">
        <f t="shared" si="76"/>
        <v>0</v>
      </c>
      <c r="L788" s="41"/>
      <c r="N788" s="45" t="str">
        <f t="shared" si="72"/>
        <v>-</v>
      </c>
      <c r="O788" s="42" t="str">
        <f t="shared" si="77"/>
        <v>-</v>
      </c>
      <c r="P788" s="43" t="str">
        <f t="shared" si="73"/>
        <v>-</v>
      </c>
      <c r="Q788" s="46" t="str">
        <f t="shared" si="74"/>
        <v>-</v>
      </c>
      <c r="S788" s="46" t="str">
        <f t="shared" si="75"/>
        <v>-</v>
      </c>
    </row>
    <row r="789" spans="1:19" ht="15" x14ac:dyDescent="0.3">
      <c r="A789" s="74">
        <v>5801314</v>
      </c>
      <c r="B789" s="37">
        <v>3752</v>
      </c>
      <c r="C789" s="69">
        <v>76280037524</v>
      </c>
      <c r="D789" s="38" t="s">
        <v>778</v>
      </c>
      <c r="E789" s="64">
        <v>6.6927499599999996E-2</v>
      </c>
      <c r="F789" s="70">
        <v>6</v>
      </c>
      <c r="G789" s="38" t="s">
        <v>648</v>
      </c>
      <c r="H789" s="66" t="s">
        <v>1258</v>
      </c>
      <c r="I789" s="39">
        <v>11.846250000000001</v>
      </c>
      <c r="J789" s="40"/>
      <c r="K789" s="75">
        <f t="shared" si="76"/>
        <v>0</v>
      </c>
      <c r="L789" s="41"/>
      <c r="N789" s="45" t="str">
        <f t="shared" si="72"/>
        <v>-</v>
      </c>
      <c r="O789" s="42" t="str">
        <f t="shared" si="77"/>
        <v>-</v>
      </c>
      <c r="P789" s="43" t="str">
        <f t="shared" si="73"/>
        <v>-</v>
      </c>
      <c r="Q789" s="46" t="str">
        <f t="shared" si="74"/>
        <v>-</v>
      </c>
      <c r="S789" s="46" t="str">
        <f t="shared" si="75"/>
        <v>-</v>
      </c>
    </row>
    <row r="790" spans="1:19" ht="15" x14ac:dyDescent="0.3">
      <c r="A790" s="74">
        <v>3523177</v>
      </c>
      <c r="B790" s="37">
        <v>1367</v>
      </c>
      <c r="C790" s="69">
        <v>76280013672</v>
      </c>
      <c r="D790" s="38" t="s">
        <v>780</v>
      </c>
      <c r="E790" s="64">
        <v>0.11841019160000001</v>
      </c>
      <c r="F790" s="70">
        <v>6</v>
      </c>
      <c r="G790" s="38" t="s">
        <v>781</v>
      </c>
      <c r="H790" s="66" t="s">
        <v>1258</v>
      </c>
      <c r="I790" s="39">
        <v>6.8249999999999993</v>
      </c>
      <c r="J790" s="40"/>
      <c r="K790" s="75">
        <f t="shared" si="76"/>
        <v>0</v>
      </c>
      <c r="L790" s="41"/>
      <c r="N790" s="45" t="str">
        <f t="shared" si="72"/>
        <v>-</v>
      </c>
      <c r="O790" s="42" t="str">
        <f t="shared" si="77"/>
        <v>-</v>
      </c>
      <c r="P790" s="43" t="str">
        <f t="shared" si="73"/>
        <v>-</v>
      </c>
      <c r="Q790" s="46" t="str">
        <f t="shared" si="74"/>
        <v>-</v>
      </c>
      <c r="S790" s="46" t="str">
        <f t="shared" si="75"/>
        <v>-</v>
      </c>
    </row>
    <row r="791" spans="1:19" ht="15" x14ac:dyDescent="0.3">
      <c r="A791" s="74">
        <v>2115904</v>
      </c>
      <c r="B791" s="37">
        <v>98637</v>
      </c>
      <c r="C791" s="69">
        <v>76280986372</v>
      </c>
      <c r="D791" s="38" t="s">
        <v>787</v>
      </c>
      <c r="E791" s="64">
        <v>7.2075768800000009E-2</v>
      </c>
      <c r="F791" s="70">
        <v>6</v>
      </c>
      <c r="G791" s="38" t="s">
        <v>788</v>
      </c>
      <c r="H791" s="66" t="s">
        <v>1258</v>
      </c>
      <c r="I791" s="39">
        <v>15.405000000000001</v>
      </c>
      <c r="J791" s="40"/>
      <c r="K791" s="75">
        <f t="shared" si="76"/>
        <v>0</v>
      </c>
      <c r="L791" s="41"/>
      <c r="N791" s="45" t="str">
        <f t="shared" si="72"/>
        <v>-</v>
      </c>
      <c r="O791" s="42" t="str">
        <f t="shared" si="77"/>
        <v>-</v>
      </c>
      <c r="P791" s="43" t="str">
        <f t="shared" si="73"/>
        <v>-</v>
      </c>
      <c r="Q791" s="46" t="str">
        <f t="shared" si="74"/>
        <v>-</v>
      </c>
      <c r="S791" s="46" t="str">
        <f t="shared" si="75"/>
        <v>-</v>
      </c>
    </row>
    <row r="792" spans="1:19" ht="15" x14ac:dyDescent="0.3">
      <c r="A792" s="74">
        <v>4737947</v>
      </c>
      <c r="B792" s="37">
        <v>4904</v>
      </c>
      <c r="C792" s="69">
        <v>76280049046</v>
      </c>
      <c r="D792" s="38" t="s">
        <v>790</v>
      </c>
      <c r="E792" s="64">
        <v>9.2668845599999994E-2</v>
      </c>
      <c r="F792" s="70">
        <v>6</v>
      </c>
      <c r="G792" s="38" t="s">
        <v>98</v>
      </c>
      <c r="H792" s="66" t="s">
        <v>1258</v>
      </c>
      <c r="I792" s="39">
        <v>19.158749999999998</v>
      </c>
      <c r="J792" s="40"/>
      <c r="K792" s="75">
        <f t="shared" si="76"/>
        <v>0</v>
      </c>
      <c r="L792" s="41"/>
      <c r="N792" s="45" t="str">
        <f t="shared" si="72"/>
        <v>-</v>
      </c>
      <c r="O792" s="42" t="str">
        <f t="shared" si="77"/>
        <v>-</v>
      </c>
      <c r="P792" s="43" t="str">
        <f t="shared" si="73"/>
        <v>-</v>
      </c>
      <c r="Q792" s="46" t="str">
        <f t="shared" si="74"/>
        <v>-</v>
      </c>
      <c r="S792" s="46" t="str">
        <f t="shared" si="75"/>
        <v>-</v>
      </c>
    </row>
    <row r="793" spans="1:19" ht="15" x14ac:dyDescent="0.3">
      <c r="A793" s="74">
        <v>6406475</v>
      </c>
      <c r="B793" s="37">
        <v>32183</v>
      </c>
      <c r="C793" s="69">
        <v>76280321838</v>
      </c>
      <c r="D793" s="38" t="s">
        <v>792</v>
      </c>
      <c r="E793" s="64">
        <v>5.6750000000000002E-2</v>
      </c>
      <c r="F793" s="70">
        <v>12</v>
      </c>
      <c r="G793" s="38" t="s">
        <v>793</v>
      </c>
      <c r="H793" s="66" t="s">
        <v>1258</v>
      </c>
      <c r="I793" s="39">
        <v>11.456250000000001</v>
      </c>
      <c r="J793" s="40"/>
      <c r="K793" s="75">
        <f t="shared" si="76"/>
        <v>0</v>
      </c>
      <c r="L793" s="41"/>
      <c r="N793" s="45" t="str">
        <f t="shared" si="72"/>
        <v>-</v>
      </c>
      <c r="O793" s="42" t="str">
        <f t="shared" si="77"/>
        <v>-</v>
      </c>
      <c r="P793" s="43" t="str">
        <f t="shared" si="73"/>
        <v>-</v>
      </c>
      <c r="Q793" s="46" t="str">
        <f t="shared" si="74"/>
        <v>-</v>
      </c>
      <c r="S793" s="46" t="str">
        <f t="shared" si="75"/>
        <v>-</v>
      </c>
    </row>
    <row r="794" spans="1:19" ht="15" x14ac:dyDescent="0.3">
      <c r="A794" s="74">
        <v>9777438</v>
      </c>
      <c r="B794" s="37">
        <v>4354</v>
      </c>
      <c r="C794" s="69">
        <v>76280043549</v>
      </c>
      <c r="D794" s="38" t="s">
        <v>796</v>
      </c>
      <c r="E794" s="64">
        <v>9.2668845599999994E-2</v>
      </c>
      <c r="F794" s="70">
        <v>12</v>
      </c>
      <c r="G794" s="38" t="s">
        <v>231</v>
      </c>
      <c r="H794" s="66" t="s">
        <v>1258</v>
      </c>
      <c r="I794" s="39">
        <v>6.63</v>
      </c>
      <c r="J794" s="40"/>
      <c r="K794" s="75">
        <f t="shared" si="76"/>
        <v>0</v>
      </c>
      <c r="L794" s="41"/>
      <c r="N794" s="45" t="str">
        <f t="shared" si="72"/>
        <v>-</v>
      </c>
      <c r="O794" s="42" t="str">
        <f t="shared" si="77"/>
        <v>-</v>
      </c>
      <c r="P794" s="43" t="str">
        <f t="shared" si="73"/>
        <v>-</v>
      </c>
      <c r="Q794" s="46" t="str">
        <f t="shared" si="74"/>
        <v>-</v>
      </c>
      <c r="S794" s="46" t="str">
        <f t="shared" si="75"/>
        <v>-</v>
      </c>
    </row>
    <row r="795" spans="1:19" ht="15" x14ac:dyDescent="0.3">
      <c r="A795" s="74">
        <v>8846384</v>
      </c>
      <c r="B795" s="37">
        <v>2115</v>
      </c>
      <c r="C795" s="69">
        <v>76280021158</v>
      </c>
      <c r="D795" s="38" t="s">
        <v>797</v>
      </c>
      <c r="E795" s="64">
        <v>9.7817114799999993E-2</v>
      </c>
      <c r="F795" s="70">
        <v>6</v>
      </c>
      <c r="G795" s="38" t="s">
        <v>154</v>
      </c>
      <c r="H795" s="66" t="s">
        <v>1258</v>
      </c>
      <c r="I795" s="39">
        <v>7.1662499999999998</v>
      </c>
      <c r="J795" s="40"/>
      <c r="K795" s="75">
        <f t="shared" si="76"/>
        <v>0</v>
      </c>
      <c r="L795" s="41"/>
      <c r="N795" s="45" t="str">
        <f t="shared" si="72"/>
        <v>-</v>
      </c>
      <c r="O795" s="42" t="str">
        <f t="shared" si="77"/>
        <v>-</v>
      </c>
      <c r="P795" s="43" t="str">
        <f t="shared" si="73"/>
        <v>-</v>
      </c>
      <c r="Q795" s="46" t="str">
        <f t="shared" si="74"/>
        <v>-</v>
      </c>
      <c r="S795" s="46" t="str">
        <f t="shared" si="75"/>
        <v>-</v>
      </c>
    </row>
    <row r="796" spans="1:19" ht="15" x14ac:dyDescent="0.3">
      <c r="A796" s="74">
        <v>6476457</v>
      </c>
      <c r="B796" s="37">
        <v>5903</v>
      </c>
      <c r="C796" s="69">
        <v>76280059038</v>
      </c>
      <c r="D796" s="38" t="s">
        <v>800</v>
      </c>
      <c r="E796" s="64">
        <v>8.7520576400000008E-2</v>
      </c>
      <c r="F796" s="70">
        <v>6</v>
      </c>
      <c r="G796" s="38" t="s">
        <v>34</v>
      </c>
      <c r="H796" s="66" t="s">
        <v>1258</v>
      </c>
      <c r="I796" s="39">
        <v>14.283750000000001</v>
      </c>
      <c r="J796" s="40"/>
      <c r="K796" s="75">
        <f t="shared" si="76"/>
        <v>0</v>
      </c>
      <c r="L796" s="41"/>
      <c r="N796" s="45" t="str">
        <f t="shared" si="72"/>
        <v>-</v>
      </c>
      <c r="O796" s="42" t="str">
        <f t="shared" si="77"/>
        <v>-</v>
      </c>
      <c r="P796" s="43" t="str">
        <f t="shared" si="73"/>
        <v>-</v>
      </c>
      <c r="Q796" s="46" t="str">
        <f t="shared" si="74"/>
        <v>-</v>
      </c>
      <c r="S796" s="46" t="str">
        <f t="shared" si="75"/>
        <v>-</v>
      </c>
    </row>
    <row r="797" spans="1:19" ht="15" x14ac:dyDescent="0.3">
      <c r="A797" s="74">
        <v>5620269</v>
      </c>
      <c r="B797" s="37">
        <v>79143</v>
      </c>
      <c r="C797" s="69">
        <v>76280791433</v>
      </c>
      <c r="D797" s="38" t="s">
        <v>801</v>
      </c>
      <c r="E797" s="64">
        <v>7.7224037999999995E-2</v>
      </c>
      <c r="F797" s="70">
        <v>6</v>
      </c>
      <c r="G797" s="38" t="s">
        <v>193</v>
      </c>
      <c r="H797" s="66" t="s">
        <v>1258</v>
      </c>
      <c r="I797" s="39">
        <v>17.0625</v>
      </c>
      <c r="J797" s="40"/>
      <c r="K797" s="75">
        <f t="shared" si="76"/>
        <v>0</v>
      </c>
      <c r="L797" s="41"/>
      <c r="N797" s="45" t="str">
        <f t="shared" si="72"/>
        <v>-</v>
      </c>
      <c r="O797" s="42" t="str">
        <f t="shared" si="77"/>
        <v>-</v>
      </c>
      <c r="P797" s="43" t="str">
        <f t="shared" si="73"/>
        <v>-</v>
      </c>
      <c r="Q797" s="46" t="str">
        <f t="shared" si="74"/>
        <v>-</v>
      </c>
      <c r="S797" s="46" t="str">
        <f t="shared" si="75"/>
        <v>-</v>
      </c>
    </row>
    <row r="798" spans="1:19" ht="15" x14ac:dyDescent="0.3">
      <c r="A798" s="74">
        <v>1598366</v>
      </c>
      <c r="B798" s="37">
        <v>4931</v>
      </c>
      <c r="C798" s="69">
        <v>76280049312</v>
      </c>
      <c r="D798" s="38" t="s">
        <v>802</v>
      </c>
      <c r="E798" s="64">
        <v>5.6750000000000002E-2</v>
      </c>
      <c r="F798" s="70">
        <v>12</v>
      </c>
      <c r="G798" s="38" t="s">
        <v>285</v>
      </c>
      <c r="H798" s="66" t="s">
        <v>1258</v>
      </c>
      <c r="I798" s="39">
        <v>10.87125</v>
      </c>
      <c r="J798" s="40"/>
      <c r="K798" s="75">
        <f t="shared" si="76"/>
        <v>0</v>
      </c>
      <c r="L798" s="41"/>
      <c r="N798" s="45" t="str">
        <f t="shared" si="72"/>
        <v>-</v>
      </c>
      <c r="O798" s="42" t="str">
        <f t="shared" si="77"/>
        <v>-</v>
      </c>
      <c r="P798" s="43" t="str">
        <f t="shared" si="73"/>
        <v>-</v>
      </c>
      <c r="Q798" s="46" t="str">
        <f t="shared" si="74"/>
        <v>-</v>
      </c>
      <c r="S798" s="46" t="str">
        <f t="shared" si="75"/>
        <v>-</v>
      </c>
    </row>
    <row r="799" spans="1:19" ht="15" x14ac:dyDescent="0.3">
      <c r="A799" s="74">
        <v>1798018</v>
      </c>
      <c r="B799" s="37">
        <v>3900</v>
      </c>
      <c r="C799" s="69">
        <v>76280039009</v>
      </c>
      <c r="D799" s="38" t="s">
        <v>806</v>
      </c>
      <c r="E799" s="64">
        <v>5.6750000000000002E-2</v>
      </c>
      <c r="F799" s="70">
        <v>6</v>
      </c>
      <c r="G799" s="38" t="s">
        <v>285</v>
      </c>
      <c r="H799" s="66" t="s">
        <v>1258</v>
      </c>
      <c r="I799" s="39">
        <v>3.6075000000000004</v>
      </c>
      <c r="J799" s="40"/>
      <c r="K799" s="75">
        <f t="shared" si="76"/>
        <v>0</v>
      </c>
      <c r="L799" s="41"/>
      <c r="N799" s="45" t="str">
        <f t="shared" si="72"/>
        <v>-</v>
      </c>
      <c r="O799" s="42" t="str">
        <f t="shared" si="77"/>
        <v>-</v>
      </c>
      <c r="P799" s="43" t="str">
        <f t="shared" si="73"/>
        <v>-</v>
      </c>
      <c r="Q799" s="46" t="str">
        <f t="shared" si="74"/>
        <v>-</v>
      </c>
      <c r="S799" s="46" t="str">
        <f t="shared" si="75"/>
        <v>-</v>
      </c>
    </row>
    <row r="800" spans="1:19" ht="15" x14ac:dyDescent="0.3">
      <c r="A800" s="74">
        <v>4112263</v>
      </c>
      <c r="B800" s="37">
        <v>13173</v>
      </c>
      <c r="C800" s="69">
        <v>76280131734</v>
      </c>
      <c r="D800" s="38" t="s">
        <v>782</v>
      </c>
      <c r="E800" s="64">
        <v>7.2075768800000009E-2</v>
      </c>
      <c r="F800" s="70">
        <v>6</v>
      </c>
      <c r="G800" s="38" t="s">
        <v>811</v>
      </c>
      <c r="H800" s="66" t="s">
        <v>1258</v>
      </c>
      <c r="I800" s="39">
        <v>29.835000000000001</v>
      </c>
      <c r="J800" s="40"/>
      <c r="K800" s="75">
        <f t="shared" si="76"/>
        <v>0</v>
      </c>
      <c r="L800" s="41"/>
      <c r="N800" s="45" t="str">
        <f t="shared" si="72"/>
        <v>-</v>
      </c>
      <c r="O800" s="42" t="str">
        <f t="shared" si="77"/>
        <v>-</v>
      </c>
      <c r="P800" s="43" t="str">
        <f t="shared" si="73"/>
        <v>-</v>
      </c>
      <c r="Q800" s="46" t="str">
        <f t="shared" si="74"/>
        <v>-</v>
      </c>
      <c r="S800" s="46" t="str">
        <f t="shared" si="75"/>
        <v>-</v>
      </c>
    </row>
    <row r="801" spans="1:19" ht="15" x14ac:dyDescent="0.3">
      <c r="A801" s="74">
        <v>1361400</v>
      </c>
      <c r="B801" s="37">
        <v>49967</v>
      </c>
      <c r="C801" s="69">
        <v>76280499674</v>
      </c>
      <c r="D801" s="38" t="s">
        <v>812</v>
      </c>
      <c r="E801" s="64">
        <v>7.2075768800000009E-2</v>
      </c>
      <c r="F801" s="70">
        <v>6</v>
      </c>
      <c r="G801" s="38" t="s">
        <v>135</v>
      </c>
      <c r="H801" s="66" t="s">
        <v>1258</v>
      </c>
      <c r="I801" s="39">
        <v>16.964999999999996</v>
      </c>
      <c r="J801" s="40"/>
      <c r="K801" s="75">
        <f t="shared" si="76"/>
        <v>0</v>
      </c>
      <c r="L801" s="41"/>
      <c r="N801" s="45" t="str">
        <f t="shared" si="72"/>
        <v>-</v>
      </c>
      <c r="O801" s="42" t="str">
        <f t="shared" si="77"/>
        <v>-</v>
      </c>
      <c r="P801" s="43" t="str">
        <f t="shared" si="73"/>
        <v>-</v>
      </c>
      <c r="Q801" s="46" t="str">
        <f t="shared" si="74"/>
        <v>-</v>
      </c>
      <c r="S801" s="46" t="str">
        <f t="shared" si="75"/>
        <v>-</v>
      </c>
    </row>
    <row r="802" spans="1:19" ht="15" x14ac:dyDescent="0.3">
      <c r="A802" s="74">
        <v>8527832</v>
      </c>
      <c r="B802" s="37">
        <v>27685</v>
      </c>
      <c r="C802" s="69">
        <v>76280276855</v>
      </c>
      <c r="D802" s="38" t="s">
        <v>815</v>
      </c>
      <c r="E802" s="64">
        <v>0.10811365319999999</v>
      </c>
      <c r="F802" s="70">
        <v>6</v>
      </c>
      <c r="G802" s="38" t="s">
        <v>207</v>
      </c>
      <c r="H802" s="66" t="s">
        <v>1258</v>
      </c>
      <c r="I802" s="39">
        <v>13.845000000000001</v>
      </c>
      <c r="J802" s="40"/>
      <c r="K802" s="75">
        <f t="shared" si="76"/>
        <v>0</v>
      </c>
      <c r="L802" s="41"/>
      <c r="N802" s="45" t="str">
        <f t="shared" si="72"/>
        <v>-</v>
      </c>
      <c r="O802" s="42" t="str">
        <f t="shared" si="77"/>
        <v>-</v>
      </c>
      <c r="P802" s="43" t="str">
        <f t="shared" si="73"/>
        <v>-</v>
      </c>
      <c r="Q802" s="46" t="str">
        <f t="shared" si="74"/>
        <v>-</v>
      </c>
      <c r="S802" s="46" t="str">
        <f t="shared" si="75"/>
        <v>-</v>
      </c>
    </row>
    <row r="803" spans="1:19" ht="15" x14ac:dyDescent="0.3">
      <c r="A803" s="74">
        <v>2395440</v>
      </c>
      <c r="B803" s="37">
        <v>4495</v>
      </c>
      <c r="C803" s="69">
        <v>76280044959</v>
      </c>
      <c r="D803" s="38" t="s">
        <v>816</v>
      </c>
      <c r="E803" s="64">
        <v>0.31404442120000003</v>
      </c>
      <c r="F803" s="70">
        <v>6</v>
      </c>
      <c r="G803" s="38" t="s">
        <v>747</v>
      </c>
      <c r="H803" s="66" t="s">
        <v>1258</v>
      </c>
      <c r="I803" s="39">
        <v>13.26</v>
      </c>
      <c r="J803" s="40"/>
      <c r="K803" s="75">
        <f t="shared" si="76"/>
        <v>0</v>
      </c>
      <c r="L803" s="41"/>
      <c r="N803" s="45" t="str">
        <f t="shared" si="72"/>
        <v>-</v>
      </c>
      <c r="O803" s="42" t="str">
        <f t="shared" si="77"/>
        <v>-</v>
      </c>
      <c r="P803" s="43" t="str">
        <f t="shared" si="73"/>
        <v>-</v>
      </c>
      <c r="Q803" s="46" t="str">
        <f t="shared" si="74"/>
        <v>-</v>
      </c>
      <c r="S803" s="46" t="str">
        <f t="shared" si="75"/>
        <v>-</v>
      </c>
    </row>
    <row r="804" spans="1:19" ht="15" x14ac:dyDescent="0.3">
      <c r="A804" s="74">
        <v>8290066</v>
      </c>
      <c r="B804" s="37">
        <v>8152</v>
      </c>
      <c r="C804" s="69">
        <v>76280081527</v>
      </c>
      <c r="D804" s="38" t="s">
        <v>821</v>
      </c>
      <c r="E804" s="64">
        <v>0.20593076800000001</v>
      </c>
      <c r="F804" s="70">
        <v>6</v>
      </c>
      <c r="G804" s="38" t="s">
        <v>822</v>
      </c>
      <c r="H804" s="66" t="s">
        <v>1258</v>
      </c>
      <c r="I804" s="39">
        <v>18.622500000000002</v>
      </c>
      <c r="J804" s="40"/>
      <c r="K804" s="75">
        <f t="shared" si="76"/>
        <v>0</v>
      </c>
      <c r="L804" s="41"/>
      <c r="N804" s="45" t="str">
        <f t="shared" si="72"/>
        <v>-</v>
      </c>
      <c r="O804" s="42" t="str">
        <f t="shared" si="77"/>
        <v>-</v>
      </c>
      <c r="P804" s="43" t="str">
        <f t="shared" si="73"/>
        <v>-</v>
      </c>
      <c r="Q804" s="46" t="str">
        <f t="shared" si="74"/>
        <v>-</v>
      </c>
      <c r="S804" s="46" t="str">
        <f t="shared" si="75"/>
        <v>-</v>
      </c>
    </row>
    <row r="805" spans="1:19" ht="15" x14ac:dyDescent="0.3">
      <c r="A805" s="74">
        <v>5847752</v>
      </c>
      <c r="B805" s="37">
        <v>8151</v>
      </c>
      <c r="C805" s="69">
        <v>76280081510</v>
      </c>
      <c r="D805" s="38" t="s">
        <v>821</v>
      </c>
      <c r="E805" s="64">
        <v>0.11326192240000001</v>
      </c>
      <c r="F805" s="70">
        <v>12</v>
      </c>
      <c r="G805" s="38" t="s">
        <v>412</v>
      </c>
      <c r="H805" s="66" t="s">
        <v>1258</v>
      </c>
      <c r="I805" s="39">
        <v>9.6524999999999999</v>
      </c>
      <c r="J805" s="40"/>
      <c r="K805" s="75">
        <f t="shared" si="76"/>
        <v>0</v>
      </c>
      <c r="L805" s="41"/>
      <c r="N805" s="45" t="str">
        <f t="shared" si="72"/>
        <v>-</v>
      </c>
      <c r="O805" s="42" t="str">
        <f t="shared" si="77"/>
        <v>-</v>
      </c>
      <c r="P805" s="43" t="str">
        <f t="shared" si="73"/>
        <v>-</v>
      </c>
      <c r="Q805" s="46" t="str">
        <f t="shared" si="74"/>
        <v>-</v>
      </c>
      <c r="S805" s="46" t="str">
        <f t="shared" si="75"/>
        <v>-</v>
      </c>
    </row>
    <row r="806" spans="1:19" ht="15" x14ac:dyDescent="0.3">
      <c r="A806" s="74">
        <v>5628030</v>
      </c>
      <c r="B806" s="37">
        <v>81459</v>
      </c>
      <c r="C806" s="69">
        <v>76280814590</v>
      </c>
      <c r="D806" s="38" t="s">
        <v>505</v>
      </c>
      <c r="E806" s="64">
        <v>0.32434095959999998</v>
      </c>
      <c r="F806" s="70">
        <v>6</v>
      </c>
      <c r="G806" s="38" t="s">
        <v>823</v>
      </c>
      <c r="H806" s="66" t="s">
        <v>1258</v>
      </c>
      <c r="I806" s="39">
        <v>30.76125</v>
      </c>
      <c r="J806" s="40"/>
      <c r="K806" s="75">
        <f t="shared" si="76"/>
        <v>0</v>
      </c>
      <c r="L806" s="41"/>
      <c r="N806" s="45" t="str">
        <f t="shared" si="72"/>
        <v>-</v>
      </c>
      <c r="O806" s="42" t="str">
        <f t="shared" si="77"/>
        <v>-</v>
      </c>
      <c r="P806" s="43" t="str">
        <f t="shared" si="73"/>
        <v>-</v>
      </c>
      <c r="Q806" s="46" t="str">
        <f t="shared" si="74"/>
        <v>-</v>
      </c>
      <c r="S806" s="46" t="str">
        <f t="shared" si="75"/>
        <v>-</v>
      </c>
    </row>
    <row r="807" spans="1:19" ht="15" x14ac:dyDescent="0.3">
      <c r="A807" s="74">
        <v>1047759</v>
      </c>
      <c r="B807" s="37">
        <v>85040</v>
      </c>
      <c r="C807" s="69">
        <v>76280850406</v>
      </c>
      <c r="D807" s="38" t="s">
        <v>825</v>
      </c>
      <c r="E807" s="64">
        <v>0.20078249880000001</v>
      </c>
      <c r="F807" s="70">
        <v>6</v>
      </c>
      <c r="G807" s="38" t="s">
        <v>364</v>
      </c>
      <c r="H807" s="66" t="s">
        <v>1258</v>
      </c>
      <c r="I807" s="39">
        <v>20.669999999999998</v>
      </c>
      <c r="J807" s="40"/>
      <c r="K807" s="75">
        <f t="shared" si="76"/>
        <v>0</v>
      </c>
      <c r="L807" s="41"/>
      <c r="N807" s="45" t="str">
        <f t="shared" si="72"/>
        <v>-</v>
      </c>
      <c r="O807" s="42" t="str">
        <f t="shared" si="77"/>
        <v>-</v>
      </c>
      <c r="P807" s="43" t="str">
        <f t="shared" si="73"/>
        <v>-</v>
      </c>
      <c r="Q807" s="46" t="str">
        <f t="shared" si="74"/>
        <v>-</v>
      </c>
      <c r="S807" s="46" t="str">
        <f t="shared" si="75"/>
        <v>-</v>
      </c>
    </row>
    <row r="808" spans="1:19" ht="15" x14ac:dyDescent="0.3">
      <c r="A808" s="74">
        <v>7031057</v>
      </c>
      <c r="B808" s="37">
        <v>3604</v>
      </c>
      <c r="C808" s="69">
        <v>76280036046</v>
      </c>
      <c r="D808" s="38" t="s">
        <v>826</v>
      </c>
      <c r="E808" s="64">
        <v>5.6750000000000002E-2</v>
      </c>
      <c r="F808" s="70">
        <v>6</v>
      </c>
      <c r="G808" s="38" t="s">
        <v>828</v>
      </c>
      <c r="H808" s="66" t="s">
        <v>1258</v>
      </c>
      <c r="I808" s="39">
        <v>22.035000000000004</v>
      </c>
      <c r="J808" s="40"/>
      <c r="K808" s="75">
        <f t="shared" si="76"/>
        <v>0</v>
      </c>
      <c r="L808" s="41"/>
      <c r="N808" s="45" t="str">
        <f t="shared" si="72"/>
        <v>-</v>
      </c>
      <c r="O808" s="42" t="str">
        <f t="shared" si="77"/>
        <v>-</v>
      </c>
      <c r="P808" s="43" t="str">
        <f t="shared" si="73"/>
        <v>-</v>
      </c>
      <c r="Q808" s="46" t="str">
        <f t="shared" si="74"/>
        <v>-</v>
      </c>
      <c r="S808" s="46" t="str">
        <f t="shared" si="75"/>
        <v>-</v>
      </c>
    </row>
    <row r="809" spans="1:19" ht="15" x14ac:dyDescent="0.3">
      <c r="A809" s="74">
        <v>7885169</v>
      </c>
      <c r="B809" s="37">
        <v>67555</v>
      </c>
      <c r="C809" s="69">
        <v>76280675559</v>
      </c>
      <c r="D809" s="38" t="s">
        <v>831</v>
      </c>
      <c r="E809" s="64">
        <v>8.2372307199999995E-2</v>
      </c>
      <c r="F809" s="70">
        <v>6</v>
      </c>
      <c r="G809" s="38" t="s">
        <v>34</v>
      </c>
      <c r="H809" s="66" t="s">
        <v>1258</v>
      </c>
      <c r="I809" s="39">
        <v>21.645</v>
      </c>
      <c r="J809" s="40"/>
      <c r="K809" s="75">
        <f t="shared" si="76"/>
        <v>0</v>
      </c>
      <c r="L809" s="41"/>
      <c r="N809" s="45" t="str">
        <f t="shared" si="72"/>
        <v>-</v>
      </c>
      <c r="O809" s="42" t="str">
        <f t="shared" si="77"/>
        <v>-</v>
      </c>
      <c r="P809" s="43" t="str">
        <f t="shared" si="73"/>
        <v>-</v>
      </c>
      <c r="Q809" s="46" t="str">
        <f t="shared" si="74"/>
        <v>-</v>
      </c>
      <c r="S809" s="46" t="str">
        <f t="shared" si="75"/>
        <v>-</v>
      </c>
    </row>
    <row r="810" spans="1:19" ht="15" x14ac:dyDescent="0.3">
      <c r="A810" s="74">
        <v>2336625</v>
      </c>
      <c r="B810" s="37">
        <v>3101</v>
      </c>
      <c r="C810" s="69">
        <v>76280031010</v>
      </c>
      <c r="D810" s="38" t="s">
        <v>706</v>
      </c>
      <c r="E810" s="64">
        <v>8.2372307199999995E-2</v>
      </c>
      <c r="F810" s="70">
        <v>6</v>
      </c>
      <c r="G810" s="38" t="s">
        <v>833</v>
      </c>
      <c r="H810" s="66" t="s">
        <v>1258</v>
      </c>
      <c r="I810" s="39">
        <v>19.158749999999998</v>
      </c>
      <c r="J810" s="40"/>
      <c r="K810" s="75">
        <f t="shared" si="76"/>
        <v>0</v>
      </c>
      <c r="L810" s="41"/>
      <c r="N810" s="45" t="str">
        <f t="shared" si="72"/>
        <v>-</v>
      </c>
      <c r="O810" s="42" t="str">
        <f t="shared" si="77"/>
        <v>-</v>
      </c>
      <c r="P810" s="43" t="str">
        <f t="shared" si="73"/>
        <v>-</v>
      </c>
      <c r="Q810" s="46" t="str">
        <f t="shared" si="74"/>
        <v>-</v>
      </c>
      <c r="S810" s="46" t="str">
        <f t="shared" si="75"/>
        <v>-</v>
      </c>
    </row>
    <row r="811" spans="1:19" ht="15" x14ac:dyDescent="0.3">
      <c r="A811" s="74">
        <v>8011722</v>
      </c>
      <c r="B811" s="37">
        <v>19410</v>
      </c>
      <c r="C811" s="69">
        <v>76280194104</v>
      </c>
      <c r="D811" s="38" t="s">
        <v>836</v>
      </c>
      <c r="E811" s="64">
        <v>8.7520576400000008E-2</v>
      </c>
      <c r="F811" s="70">
        <v>6</v>
      </c>
      <c r="G811" s="38" t="s">
        <v>665</v>
      </c>
      <c r="H811" s="66" t="s">
        <v>1258</v>
      </c>
      <c r="I811" s="39">
        <v>7.7025000000000006</v>
      </c>
      <c r="J811" s="40"/>
      <c r="K811" s="75">
        <f t="shared" si="76"/>
        <v>0</v>
      </c>
      <c r="L811" s="41"/>
      <c r="N811" s="45" t="str">
        <f t="shared" si="72"/>
        <v>-</v>
      </c>
      <c r="O811" s="42" t="str">
        <f t="shared" si="77"/>
        <v>-</v>
      </c>
      <c r="P811" s="43" t="str">
        <f t="shared" si="73"/>
        <v>-</v>
      </c>
      <c r="Q811" s="46" t="str">
        <f t="shared" si="74"/>
        <v>-</v>
      </c>
      <c r="S811" s="46" t="str">
        <f t="shared" si="75"/>
        <v>-</v>
      </c>
    </row>
    <row r="812" spans="1:19" ht="15" x14ac:dyDescent="0.3">
      <c r="A812" s="74">
        <v>6448933</v>
      </c>
      <c r="B812" s="37">
        <v>93147</v>
      </c>
      <c r="C812" s="69">
        <v>76280931471</v>
      </c>
      <c r="D812" s="38" t="s">
        <v>837</v>
      </c>
      <c r="E812" s="64">
        <v>5.6750000000000002E-2</v>
      </c>
      <c r="F812" s="70">
        <v>6</v>
      </c>
      <c r="G812" s="38" t="s">
        <v>135</v>
      </c>
      <c r="H812" s="66" t="s">
        <v>1258</v>
      </c>
      <c r="I812" s="39">
        <v>11.748750000000001</v>
      </c>
      <c r="J812" s="40"/>
      <c r="K812" s="75">
        <f t="shared" si="76"/>
        <v>0</v>
      </c>
      <c r="L812" s="41"/>
      <c r="N812" s="45" t="str">
        <f t="shared" si="72"/>
        <v>-</v>
      </c>
      <c r="O812" s="42" t="str">
        <f t="shared" si="77"/>
        <v>-</v>
      </c>
      <c r="P812" s="43" t="str">
        <f t="shared" si="73"/>
        <v>-</v>
      </c>
      <c r="Q812" s="46" t="str">
        <f t="shared" si="74"/>
        <v>-</v>
      </c>
      <c r="S812" s="46" t="str">
        <f t="shared" si="75"/>
        <v>-</v>
      </c>
    </row>
    <row r="813" spans="1:19" ht="15" x14ac:dyDescent="0.3">
      <c r="A813" s="74">
        <v>3682929</v>
      </c>
      <c r="B813" s="37">
        <v>22314</v>
      </c>
      <c r="C813" s="69">
        <v>76280223149</v>
      </c>
      <c r="D813" s="38" t="s">
        <v>838</v>
      </c>
      <c r="E813" s="64">
        <v>8.7520576400000008E-2</v>
      </c>
      <c r="F813" s="70">
        <v>6</v>
      </c>
      <c r="G813" s="38" t="s">
        <v>63</v>
      </c>
      <c r="H813" s="66" t="s">
        <v>1258</v>
      </c>
      <c r="I813" s="39">
        <v>21.255000000000003</v>
      </c>
      <c r="J813" s="40"/>
      <c r="K813" s="75">
        <f t="shared" si="76"/>
        <v>0</v>
      </c>
      <c r="L813" s="41"/>
      <c r="N813" s="45" t="str">
        <f t="shared" si="72"/>
        <v>-</v>
      </c>
      <c r="O813" s="42" t="str">
        <f t="shared" si="77"/>
        <v>-</v>
      </c>
      <c r="P813" s="43" t="str">
        <f t="shared" si="73"/>
        <v>-</v>
      </c>
      <c r="Q813" s="46" t="str">
        <f t="shared" si="74"/>
        <v>-</v>
      </c>
      <c r="S813" s="46" t="str">
        <f t="shared" si="75"/>
        <v>-</v>
      </c>
    </row>
    <row r="814" spans="1:19" ht="15" x14ac:dyDescent="0.3">
      <c r="A814" s="74">
        <v>7651410</v>
      </c>
      <c r="B814" s="37">
        <v>832</v>
      </c>
      <c r="C814" s="69">
        <v>76280008326</v>
      </c>
      <c r="D814" s="38" t="s">
        <v>843</v>
      </c>
      <c r="E814" s="64">
        <v>0.10811365319999999</v>
      </c>
      <c r="F814" s="70">
        <v>12</v>
      </c>
      <c r="G814" s="38" t="s">
        <v>570</v>
      </c>
      <c r="H814" s="66" t="s">
        <v>1258</v>
      </c>
      <c r="I814" s="39">
        <v>14.7225</v>
      </c>
      <c r="J814" s="40"/>
      <c r="K814" s="75">
        <f t="shared" si="76"/>
        <v>0</v>
      </c>
      <c r="L814" s="41"/>
      <c r="N814" s="45" t="str">
        <f t="shared" si="72"/>
        <v>-</v>
      </c>
      <c r="O814" s="42" t="str">
        <f t="shared" si="77"/>
        <v>-</v>
      </c>
      <c r="P814" s="43" t="str">
        <f t="shared" si="73"/>
        <v>-</v>
      </c>
      <c r="Q814" s="46" t="str">
        <f t="shared" si="74"/>
        <v>-</v>
      </c>
      <c r="S814" s="46" t="str">
        <f t="shared" si="75"/>
        <v>-</v>
      </c>
    </row>
    <row r="815" spans="1:19" ht="15" x14ac:dyDescent="0.3">
      <c r="A815" s="74">
        <v>9289566</v>
      </c>
      <c r="B815" s="37">
        <v>1570</v>
      </c>
      <c r="C815" s="69">
        <v>76280015706</v>
      </c>
      <c r="D815" s="38" t="s">
        <v>845</v>
      </c>
      <c r="E815" s="64">
        <v>9.7817114799999993E-2</v>
      </c>
      <c r="F815" s="70">
        <v>6</v>
      </c>
      <c r="G815" s="38" t="s">
        <v>671</v>
      </c>
      <c r="H815" s="66" t="s">
        <v>1258</v>
      </c>
      <c r="I815" s="39">
        <v>5.7037499999999994</v>
      </c>
      <c r="J815" s="40"/>
      <c r="K815" s="75">
        <f t="shared" si="76"/>
        <v>0</v>
      </c>
      <c r="L815" s="41"/>
      <c r="N815" s="45" t="str">
        <f t="shared" si="72"/>
        <v>-</v>
      </c>
      <c r="O815" s="42" t="str">
        <f t="shared" si="77"/>
        <v>-</v>
      </c>
      <c r="P815" s="43" t="str">
        <f t="shared" si="73"/>
        <v>-</v>
      </c>
      <c r="Q815" s="46" t="str">
        <f t="shared" si="74"/>
        <v>-</v>
      </c>
      <c r="S815" s="46" t="str">
        <f t="shared" si="75"/>
        <v>-</v>
      </c>
    </row>
    <row r="816" spans="1:19" ht="15" x14ac:dyDescent="0.3">
      <c r="A816" s="74">
        <v>6220648</v>
      </c>
      <c r="B816" s="37">
        <v>4921</v>
      </c>
      <c r="C816" s="69">
        <v>76280049213</v>
      </c>
      <c r="D816" s="38" t="s">
        <v>846</v>
      </c>
      <c r="E816" s="64">
        <v>0.11326192240000001</v>
      </c>
      <c r="F816" s="70">
        <v>12</v>
      </c>
      <c r="G816" s="38" t="s">
        <v>207</v>
      </c>
      <c r="H816" s="66" t="s">
        <v>1258</v>
      </c>
      <c r="I816" s="39">
        <v>10.0425</v>
      </c>
      <c r="J816" s="40"/>
      <c r="K816" s="75">
        <f t="shared" si="76"/>
        <v>0</v>
      </c>
      <c r="L816" s="41"/>
      <c r="N816" s="45" t="str">
        <f t="shared" si="72"/>
        <v>-</v>
      </c>
      <c r="O816" s="42" t="str">
        <f t="shared" si="77"/>
        <v>-</v>
      </c>
      <c r="P816" s="43" t="str">
        <f t="shared" si="73"/>
        <v>-</v>
      </c>
      <c r="Q816" s="46" t="str">
        <f t="shared" si="74"/>
        <v>-</v>
      </c>
      <c r="S816" s="46" t="str">
        <f t="shared" si="75"/>
        <v>-</v>
      </c>
    </row>
    <row r="817" spans="1:19" ht="15" x14ac:dyDescent="0.3">
      <c r="A817" s="74">
        <v>1197532</v>
      </c>
      <c r="B817" s="37">
        <v>22878</v>
      </c>
      <c r="C817" s="69">
        <v>76280228786</v>
      </c>
      <c r="D817" s="38" t="s">
        <v>847</v>
      </c>
      <c r="E817" s="64">
        <v>0.28830307520000004</v>
      </c>
      <c r="F817" s="70">
        <v>6</v>
      </c>
      <c r="G817" s="38" t="s">
        <v>64</v>
      </c>
      <c r="H817" s="66" t="s">
        <v>1258</v>
      </c>
      <c r="I817" s="39">
        <v>14.625</v>
      </c>
      <c r="J817" s="40"/>
      <c r="K817" s="75">
        <f t="shared" si="76"/>
        <v>0</v>
      </c>
      <c r="L817" s="41"/>
      <c r="N817" s="45" t="str">
        <f t="shared" si="72"/>
        <v>-</v>
      </c>
      <c r="O817" s="42" t="str">
        <f t="shared" si="77"/>
        <v>-</v>
      </c>
      <c r="P817" s="43" t="str">
        <f t="shared" si="73"/>
        <v>-</v>
      </c>
      <c r="Q817" s="46" t="str">
        <f t="shared" si="74"/>
        <v>-</v>
      </c>
      <c r="S817" s="46" t="str">
        <f t="shared" si="75"/>
        <v>-</v>
      </c>
    </row>
    <row r="818" spans="1:19" ht="15" x14ac:dyDescent="0.3">
      <c r="A818" s="74">
        <v>4832838</v>
      </c>
      <c r="B818" s="37">
        <v>4110</v>
      </c>
      <c r="C818" s="69">
        <v>76280041101</v>
      </c>
      <c r="D818" s="38" t="s">
        <v>849</v>
      </c>
      <c r="E818" s="64">
        <v>6.6927499599999996E-2</v>
      </c>
      <c r="F818" s="70">
        <v>12</v>
      </c>
      <c r="G818" s="38" t="s">
        <v>111</v>
      </c>
      <c r="H818" s="66" t="s">
        <v>1258</v>
      </c>
      <c r="I818" s="39">
        <v>7.7025000000000006</v>
      </c>
      <c r="J818" s="40"/>
      <c r="K818" s="75">
        <f t="shared" si="76"/>
        <v>0</v>
      </c>
      <c r="L818" s="41"/>
      <c r="N818" s="45" t="str">
        <f t="shared" si="72"/>
        <v>-</v>
      </c>
      <c r="O818" s="42" t="str">
        <f t="shared" si="77"/>
        <v>-</v>
      </c>
      <c r="P818" s="43" t="str">
        <f t="shared" si="73"/>
        <v>-</v>
      </c>
      <c r="Q818" s="46" t="str">
        <f t="shared" si="74"/>
        <v>-</v>
      </c>
      <c r="S818" s="46" t="str">
        <f t="shared" si="75"/>
        <v>-</v>
      </c>
    </row>
    <row r="819" spans="1:19" ht="15" x14ac:dyDescent="0.3">
      <c r="A819" s="74">
        <v>7628483</v>
      </c>
      <c r="B819" s="37">
        <v>4111</v>
      </c>
      <c r="C819" s="69">
        <v>76280041118</v>
      </c>
      <c r="D819" s="38" t="s">
        <v>849</v>
      </c>
      <c r="E819" s="64">
        <v>8.7520576400000008E-2</v>
      </c>
      <c r="F819" s="70">
        <v>12</v>
      </c>
      <c r="G819" s="38" t="s">
        <v>850</v>
      </c>
      <c r="H819" s="66" t="s">
        <v>1258</v>
      </c>
      <c r="I819" s="39">
        <v>13.11375</v>
      </c>
      <c r="J819" s="40"/>
      <c r="K819" s="75">
        <f t="shared" si="76"/>
        <v>0</v>
      </c>
      <c r="L819" s="41"/>
      <c r="N819" s="45" t="str">
        <f t="shared" si="72"/>
        <v>-</v>
      </c>
      <c r="O819" s="42" t="str">
        <f t="shared" si="77"/>
        <v>-</v>
      </c>
      <c r="P819" s="43" t="str">
        <f t="shared" si="73"/>
        <v>-</v>
      </c>
      <c r="Q819" s="46" t="str">
        <f t="shared" si="74"/>
        <v>-</v>
      </c>
      <c r="S819" s="46" t="str">
        <f t="shared" si="75"/>
        <v>-</v>
      </c>
    </row>
    <row r="820" spans="1:19" ht="15" x14ac:dyDescent="0.3">
      <c r="A820" s="74">
        <v>6225523</v>
      </c>
      <c r="B820" s="37">
        <v>4204</v>
      </c>
      <c r="C820" s="69">
        <v>76280042047</v>
      </c>
      <c r="D820" s="38" t="s">
        <v>579</v>
      </c>
      <c r="E820" s="64">
        <v>0.12355846079999999</v>
      </c>
      <c r="F820" s="70">
        <v>12</v>
      </c>
      <c r="G820" s="38" t="s">
        <v>853</v>
      </c>
      <c r="H820" s="66" t="s">
        <v>1258</v>
      </c>
      <c r="I820" s="39">
        <v>19.743749999999999</v>
      </c>
      <c r="J820" s="40"/>
      <c r="K820" s="75">
        <f t="shared" si="76"/>
        <v>0</v>
      </c>
      <c r="L820" s="41"/>
      <c r="N820" s="45" t="str">
        <f t="shared" si="72"/>
        <v>-</v>
      </c>
      <c r="O820" s="42" t="str">
        <f t="shared" si="77"/>
        <v>-</v>
      </c>
      <c r="P820" s="43" t="str">
        <f t="shared" si="73"/>
        <v>-</v>
      </c>
      <c r="Q820" s="46" t="str">
        <f t="shared" si="74"/>
        <v>-</v>
      </c>
      <c r="S820" s="46" t="str">
        <f t="shared" si="75"/>
        <v>-</v>
      </c>
    </row>
    <row r="821" spans="1:19" ht="15" x14ac:dyDescent="0.3">
      <c r="A821" s="74">
        <v>3206893</v>
      </c>
      <c r="B821" s="37">
        <v>45793</v>
      </c>
      <c r="C821" s="69">
        <v>76280457933</v>
      </c>
      <c r="D821" s="38" t="s">
        <v>505</v>
      </c>
      <c r="E821" s="64">
        <v>0.51482691999999997</v>
      </c>
      <c r="F821" s="70">
        <v>6</v>
      </c>
      <c r="G821" s="38" t="s">
        <v>7</v>
      </c>
      <c r="H821" s="66" t="s">
        <v>1258</v>
      </c>
      <c r="I821" s="39">
        <v>10.725000000000001</v>
      </c>
      <c r="J821" s="40"/>
      <c r="K821" s="75">
        <f t="shared" si="76"/>
        <v>0</v>
      </c>
      <c r="L821" s="41"/>
      <c r="N821" s="45" t="str">
        <f t="shared" si="72"/>
        <v>-</v>
      </c>
      <c r="O821" s="42" t="str">
        <f t="shared" si="77"/>
        <v>-</v>
      </c>
      <c r="P821" s="43" t="str">
        <f t="shared" si="73"/>
        <v>-</v>
      </c>
      <c r="Q821" s="46" t="str">
        <f t="shared" si="74"/>
        <v>-</v>
      </c>
      <c r="S821" s="46" t="str">
        <f t="shared" si="75"/>
        <v>-</v>
      </c>
    </row>
    <row r="822" spans="1:19" ht="15" x14ac:dyDescent="0.3">
      <c r="A822" s="74">
        <v>8813770</v>
      </c>
      <c r="B822" s="37">
        <v>4120</v>
      </c>
      <c r="C822" s="69">
        <v>76280041200</v>
      </c>
      <c r="D822" s="38" t="s">
        <v>849</v>
      </c>
      <c r="E822" s="64">
        <v>8.2372307199999995E-2</v>
      </c>
      <c r="F822" s="70">
        <v>12</v>
      </c>
      <c r="G822" s="38" t="s">
        <v>426</v>
      </c>
      <c r="H822" s="66" t="s">
        <v>1258</v>
      </c>
      <c r="I822" s="39">
        <v>15.84375</v>
      </c>
      <c r="J822" s="40"/>
      <c r="K822" s="75">
        <f t="shared" si="76"/>
        <v>0</v>
      </c>
      <c r="L822" s="41"/>
      <c r="N822" s="45" t="str">
        <f t="shared" si="72"/>
        <v>-</v>
      </c>
      <c r="O822" s="42" t="str">
        <f t="shared" si="77"/>
        <v>-</v>
      </c>
      <c r="P822" s="43" t="str">
        <f t="shared" si="73"/>
        <v>-</v>
      </c>
      <c r="Q822" s="46" t="str">
        <f t="shared" si="74"/>
        <v>-</v>
      </c>
      <c r="S822" s="46" t="str">
        <f t="shared" si="75"/>
        <v>-</v>
      </c>
    </row>
    <row r="823" spans="1:19" ht="15" x14ac:dyDescent="0.3">
      <c r="A823" s="74">
        <v>7126318</v>
      </c>
      <c r="B823" s="37">
        <v>4115</v>
      </c>
      <c r="C823" s="69">
        <v>76280041156</v>
      </c>
      <c r="D823" s="38" t="s">
        <v>849</v>
      </c>
      <c r="E823" s="64">
        <v>5.6750000000000002E-2</v>
      </c>
      <c r="F823" s="70">
        <v>12</v>
      </c>
      <c r="G823" s="38" t="s">
        <v>854</v>
      </c>
      <c r="H823" s="66" t="s">
        <v>1258</v>
      </c>
      <c r="I823" s="39">
        <v>8.4337499999999999</v>
      </c>
      <c r="J823" s="40"/>
      <c r="K823" s="75">
        <f t="shared" si="76"/>
        <v>0</v>
      </c>
      <c r="L823" s="41"/>
      <c r="N823" s="45" t="str">
        <f t="shared" si="72"/>
        <v>-</v>
      </c>
      <c r="O823" s="42" t="str">
        <f t="shared" si="77"/>
        <v>-</v>
      </c>
      <c r="P823" s="43" t="str">
        <f t="shared" si="73"/>
        <v>-</v>
      </c>
      <c r="Q823" s="46" t="str">
        <f t="shared" si="74"/>
        <v>-</v>
      </c>
      <c r="S823" s="46" t="str">
        <f t="shared" si="75"/>
        <v>-</v>
      </c>
    </row>
    <row r="824" spans="1:19" ht="15" x14ac:dyDescent="0.3">
      <c r="A824" s="74">
        <v>1902934</v>
      </c>
      <c r="B824" s="37">
        <v>4121</v>
      </c>
      <c r="C824" s="69">
        <v>76280041217</v>
      </c>
      <c r="D824" s="38" t="s">
        <v>849</v>
      </c>
      <c r="E824" s="64">
        <v>0.13900326840000002</v>
      </c>
      <c r="F824" s="70">
        <v>6</v>
      </c>
      <c r="G824" s="38" t="s">
        <v>855</v>
      </c>
      <c r="H824" s="66" t="s">
        <v>1258</v>
      </c>
      <c r="I824" s="39">
        <v>29.152499999999996</v>
      </c>
      <c r="J824" s="40"/>
      <c r="K824" s="75">
        <f t="shared" si="76"/>
        <v>0</v>
      </c>
      <c r="L824" s="41"/>
      <c r="N824" s="45" t="str">
        <f t="shared" si="72"/>
        <v>-</v>
      </c>
      <c r="O824" s="42" t="str">
        <f t="shared" si="77"/>
        <v>-</v>
      </c>
      <c r="P824" s="43" t="str">
        <f t="shared" si="73"/>
        <v>-</v>
      </c>
      <c r="Q824" s="46" t="str">
        <f t="shared" si="74"/>
        <v>-</v>
      </c>
      <c r="S824" s="46" t="str">
        <f t="shared" si="75"/>
        <v>-</v>
      </c>
    </row>
    <row r="825" spans="1:19" ht="15" x14ac:dyDescent="0.3">
      <c r="A825" s="74">
        <v>7249320</v>
      </c>
      <c r="B825" s="37">
        <v>23887</v>
      </c>
      <c r="C825" s="69">
        <v>76280238877</v>
      </c>
      <c r="D825" s="38" t="s">
        <v>856</v>
      </c>
      <c r="E825" s="64">
        <v>0.10296538400000001</v>
      </c>
      <c r="F825" s="70">
        <v>6</v>
      </c>
      <c r="G825" s="38" t="s">
        <v>409</v>
      </c>
      <c r="H825" s="66" t="s">
        <v>1258</v>
      </c>
      <c r="I825" s="39">
        <v>9.36</v>
      </c>
      <c r="J825" s="40"/>
      <c r="K825" s="75">
        <f t="shared" si="76"/>
        <v>0</v>
      </c>
      <c r="L825" s="41"/>
      <c r="N825" s="45" t="str">
        <f t="shared" si="72"/>
        <v>-</v>
      </c>
      <c r="O825" s="42" t="str">
        <f t="shared" si="77"/>
        <v>-</v>
      </c>
      <c r="P825" s="43" t="str">
        <f t="shared" si="73"/>
        <v>-</v>
      </c>
      <c r="Q825" s="46" t="str">
        <f t="shared" si="74"/>
        <v>-</v>
      </c>
      <c r="S825" s="46" t="str">
        <f t="shared" si="75"/>
        <v>-</v>
      </c>
    </row>
    <row r="826" spans="1:19" ht="15" x14ac:dyDescent="0.3">
      <c r="A826" s="74">
        <v>9882342</v>
      </c>
      <c r="B826" s="37">
        <v>10672</v>
      </c>
      <c r="C826" s="69">
        <v>76280106725</v>
      </c>
      <c r="D826" s="38" t="s">
        <v>858</v>
      </c>
      <c r="E826" s="64">
        <v>9.2668845599999994E-2</v>
      </c>
      <c r="F826" s="70">
        <v>6</v>
      </c>
      <c r="G826" s="38" t="s">
        <v>859</v>
      </c>
      <c r="H826" s="66" t="s">
        <v>1258</v>
      </c>
      <c r="I826" s="39">
        <v>20.036250000000003</v>
      </c>
      <c r="J826" s="40"/>
      <c r="K826" s="75">
        <f t="shared" si="76"/>
        <v>0</v>
      </c>
      <c r="L826" s="41"/>
      <c r="N826" s="45" t="str">
        <f t="shared" si="72"/>
        <v>-</v>
      </c>
      <c r="O826" s="42" t="str">
        <f t="shared" si="77"/>
        <v>-</v>
      </c>
      <c r="P826" s="43" t="str">
        <f t="shared" si="73"/>
        <v>-</v>
      </c>
      <c r="Q826" s="46" t="str">
        <f t="shared" si="74"/>
        <v>-</v>
      </c>
      <c r="S826" s="46" t="str">
        <f t="shared" si="75"/>
        <v>-</v>
      </c>
    </row>
    <row r="827" spans="1:19" ht="15" x14ac:dyDescent="0.3">
      <c r="A827" s="74">
        <v>2013510</v>
      </c>
      <c r="B827" s="37">
        <v>3112</v>
      </c>
      <c r="C827" s="69">
        <v>76280031126</v>
      </c>
      <c r="D827" s="38" t="s">
        <v>861</v>
      </c>
      <c r="E827" s="64">
        <v>5.6750000000000002E-2</v>
      </c>
      <c r="F827" s="70">
        <v>6</v>
      </c>
      <c r="G827" s="38" t="s">
        <v>862</v>
      </c>
      <c r="H827" s="66" t="s">
        <v>1258</v>
      </c>
      <c r="I827" s="39">
        <v>19.89</v>
      </c>
      <c r="J827" s="40"/>
      <c r="K827" s="75">
        <f t="shared" si="76"/>
        <v>0</v>
      </c>
      <c r="L827" s="41"/>
      <c r="N827" s="45" t="str">
        <f t="shared" si="72"/>
        <v>-</v>
      </c>
      <c r="O827" s="42" t="str">
        <f t="shared" si="77"/>
        <v>-</v>
      </c>
      <c r="P827" s="43" t="str">
        <f t="shared" si="73"/>
        <v>-</v>
      </c>
      <c r="Q827" s="46" t="str">
        <f t="shared" si="74"/>
        <v>-</v>
      </c>
      <c r="S827" s="46" t="str">
        <f t="shared" si="75"/>
        <v>-</v>
      </c>
    </row>
    <row r="828" spans="1:19" ht="15" x14ac:dyDescent="0.3">
      <c r="A828" s="74">
        <v>6746359</v>
      </c>
      <c r="B828" s="37">
        <v>10905</v>
      </c>
      <c r="C828" s="69">
        <v>76280109054</v>
      </c>
      <c r="D828" s="38" t="s">
        <v>863</v>
      </c>
      <c r="E828" s="64">
        <v>0.20593076800000001</v>
      </c>
      <c r="F828" s="70">
        <v>6</v>
      </c>
      <c r="G828" s="38" t="s">
        <v>364</v>
      </c>
      <c r="H828" s="66" t="s">
        <v>1258</v>
      </c>
      <c r="I828" s="39">
        <v>22.717500000000001</v>
      </c>
      <c r="J828" s="40"/>
      <c r="K828" s="75">
        <f t="shared" si="76"/>
        <v>0</v>
      </c>
      <c r="L828" s="41"/>
      <c r="N828" s="45" t="str">
        <f t="shared" si="72"/>
        <v>-</v>
      </c>
      <c r="O828" s="42" t="str">
        <f t="shared" si="77"/>
        <v>-</v>
      </c>
      <c r="P828" s="43" t="str">
        <f t="shared" si="73"/>
        <v>-</v>
      </c>
      <c r="Q828" s="46" t="str">
        <f t="shared" si="74"/>
        <v>-</v>
      </c>
      <c r="S828" s="46" t="str">
        <f t="shared" si="75"/>
        <v>-</v>
      </c>
    </row>
    <row r="829" spans="1:19" ht="15" x14ac:dyDescent="0.3">
      <c r="A829" s="74">
        <v>4243014</v>
      </c>
      <c r="B829" s="37">
        <v>8158</v>
      </c>
      <c r="C829" s="69">
        <v>76280081589</v>
      </c>
      <c r="D829" s="38" t="s">
        <v>864</v>
      </c>
      <c r="E829" s="64">
        <v>0.13900326840000002</v>
      </c>
      <c r="F829" s="70">
        <v>6</v>
      </c>
      <c r="G829" s="38" t="s">
        <v>63</v>
      </c>
      <c r="H829" s="66" t="s">
        <v>1258</v>
      </c>
      <c r="I829" s="39">
        <v>25.642500000000005</v>
      </c>
      <c r="J829" s="40"/>
      <c r="K829" s="75">
        <f t="shared" si="76"/>
        <v>0</v>
      </c>
      <c r="L829" s="41"/>
      <c r="N829" s="45" t="str">
        <f t="shared" si="72"/>
        <v>-</v>
      </c>
      <c r="O829" s="42" t="str">
        <f t="shared" si="77"/>
        <v>-</v>
      </c>
      <c r="P829" s="43" t="str">
        <f t="shared" si="73"/>
        <v>-</v>
      </c>
      <c r="Q829" s="46" t="str">
        <f t="shared" si="74"/>
        <v>-</v>
      </c>
      <c r="S829" s="46" t="str">
        <f t="shared" si="75"/>
        <v>-</v>
      </c>
    </row>
    <row r="830" spans="1:19" ht="15" x14ac:dyDescent="0.3">
      <c r="A830" s="74">
        <v>6628495</v>
      </c>
      <c r="B830" s="37">
        <v>1110</v>
      </c>
      <c r="C830" s="69">
        <v>76280011104</v>
      </c>
      <c r="D830" s="38" t="s">
        <v>869</v>
      </c>
      <c r="E830" s="64">
        <v>8.7520576400000008E-2</v>
      </c>
      <c r="F830" s="70">
        <v>6</v>
      </c>
      <c r="G830" s="38" t="s">
        <v>870</v>
      </c>
      <c r="H830" s="66" t="s">
        <v>1258</v>
      </c>
      <c r="I830" s="39">
        <v>6.9712499999999995</v>
      </c>
      <c r="J830" s="40"/>
      <c r="K830" s="75">
        <f t="shared" si="76"/>
        <v>0</v>
      </c>
      <c r="L830" s="41"/>
      <c r="N830" s="45" t="str">
        <f t="shared" si="72"/>
        <v>-</v>
      </c>
      <c r="O830" s="42" t="str">
        <f t="shared" si="77"/>
        <v>-</v>
      </c>
      <c r="P830" s="43" t="str">
        <f t="shared" si="73"/>
        <v>-</v>
      </c>
      <c r="Q830" s="46" t="str">
        <f t="shared" si="74"/>
        <v>-</v>
      </c>
      <c r="S830" s="46" t="str">
        <f t="shared" si="75"/>
        <v>-</v>
      </c>
    </row>
    <row r="831" spans="1:19" ht="15" x14ac:dyDescent="0.3">
      <c r="A831" s="74">
        <v>8993288</v>
      </c>
      <c r="B831" s="37">
        <v>4745</v>
      </c>
      <c r="C831" s="69">
        <v>76280047455</v>
      </c>
      <c r="D831" s="38" t="s">
        <v>872</v>
      </c>
      <c r="E831" s="64">
        <v>0.19563422959999999</v>
      </c>
      <c r="F831" s="70">
        <v>6</v>
      </c>
      <c r="G831" s="38" t="s">
        <v>364</v>
      </c>
      <c r="H831" s="66" t="s">
        <v>1258</v>
      </c>
      <c r="I831" s="39">
        <v>19.110000000000003</v>
      </c>
      <c r="J831" s="40"/>
      <c r="K831" s="75">
        <f t="shared" si="76"/>
        <v>0</v>
      </c>
      <c r="L831" s="41"/>
      <c r="N831" s="45" t="str">
        <f t="shared" si="72"/>
        <v>-</v>
      </c>
      <c r="O831" s="42" t="str">
        <f t="shared" si="77"/>
        <v>-</v>
      </c>
      <c r="P831" s="43" t="str">
        <f t="shared" si="73"/>
        <v>-</v>
      </c>
      <c r="Q831" s="46" t="str">
        <f t="shared" si="74"/>
        <v>-</v>
      </c>
      <c r="S831" s="46" t="str">
        <f t="shared" si="75"/>
        <v>-</v>
      </c>
    </row>
    <row r="832" spans="1:19" ht="15" x14ac:dyDescent="0.3">
      <c r="A832" s="74">
        <v>6262282</v>
      </c>
      <c r="B832" s="37">
        <v>68307</v>
      </c>
      <c r="C832" s="69">
        <v>76280683073</v>
      </c>
      <c r="D832" s="38" t="s">
        <v>874</v>
      </c>
      <c r="E832" s="64">
        <v>6.6927499599999996E-2</v>
      </c>
      <c r="F832" s="70">
        <v>6</v>
      </c>
      <c r="G832" s="38" t="s">
        <v>135</v>
      </c>
      <c r="H832" s="66" t="s">
        <v>1258</v>
      </c>
      <c r="I832" s="39">
        <v>21.9375</v>
      </c>
      <c r="J832" s="40"/>
      <c r="K832" s="75">
        <f t="shared" si="76"/>
        <v>0</v>
      </c>
      <c r="L832" s="41"/>
      <c r="N832" s="45" t="str">
        <f t="shared" si="72"/>
        <v>-</v>
      </c>
      <c r="O832" s="42" t="str">
        <f t="shared" si="77"/>
        <v>-</v>
      </c>
      <c r="P832" s="43" t="str">
        <f t="shared" si="73"/>
        <v>-</v>
      </c>
      <c r="Q832" s="46" t="str">
        <f t="shared" si="74"/>
        <v>-</v>
      </c>
      <c r="S832" s="46" t="str">
        <f t="shared" si="75"/>
        <v>-</v>
      </c>
    </row>
    <row r="833" spans="1:19" ht="15" x14ac:dyDescent="0.3">
      <c r="A833" s="74">
        <v>6203059</v>
      </c>
      <c r="B833" s="37">
        <v>50513</v>
      </c>
      <c r="C833" s="69">
        <v>76280505139</v>
      </c>
      <c r="D833" s="38" t="s">
        <v>875</v>
      </c>
      <c r="E833" s="64">
        <v>0.18018942199999999</v>
      </c>
      <c r="F833" s="70">
        <v>6</v>
      </c>
      <c r="G833" s="38" t="s">
        <v>876</v>
      </c>
      <c r="H833" s="66" t="s">
        <v>1258</v>
      </c>
      <c r="I833" s="39">
        <v>11.748750000000001</v>
      </c>
      <c r="J833" s="40"/>
      <c r="K833" s="75">
        <f t="shared" si="76"/>
        <v>0</v>
      </c>
      <c r="L833" s="41"/>
      <c r="N833" s="45" t="str">
        <f t="shared" si="72"/>
        <v>-</v>
      </c>
      <c r="O833" s="42" t="str">
        <f t="shared" si="77"/>
        <v>-</v>
      </c>
      <c r="P833" s="43" t="str">
        <f t="shared" si="73"/>
        <v>-</v>
      </c>
      <c r="Q833" s="46" t="str">
        <f t="shared" si="74"/>
        <v>-</v>
      </c>
      <c r="S833" s="46" t="str">
        <f t="shared" si="75"/>
        <v>-</v>
      </c>
    </row>
    <row r="834" spans="1:19" ht="15" x14ac:dyDescent="0.3">
      <c r="A834" s="74">
        <v>6686716</v>
      </c>
      <c r="B834" s="37">
        <v>36318</v>
      </c>
      <c r="C834" s="69">
        <v>76280363180</v>
      </c>
      <c r="D834" s="38" t="s">
        <v>877</v>
      </c>
      <c r="E834" s="64">
        <v>5.6750000000000002E-2</v>
      </c>
      <c r="F834" s="70">
        <v>6</v>
      </c>
      <c r="G834" s="38" t="s">
        <v>135</v>
      </c>
      <c r="H834" s="66" t="s">
        <v>1258</v>
      </c>
      <c r="I834" s="39">
        <v>12.675000000000001</v>
      </c>
      <c r="J834" s="40"/>
      <c r="K834" s="75">
        <f t="shared" si="76"/>
        <v>0</v>
      </c>
      <c r="L834" s="41"/>
      <c r="N834" s="45" t="str">
        <f t="shared" si="72"/>
        <v>-</v>
      </c>
      <c r="O834" s="42" t="str">
        <f t="shared" si="77"/>
        <v>-</v>
      </c>
      <c r="P834" s="43" t="str">
        <f t="shared" si="73"/>
        <v>-</v>
      </c>
      <c r="Q834" s="46" t="str">
        <f t="shared" si="74"/>
        <v>-</v>
      </c>
      <c r="S834" s="46" t="str">
        <f t="shared" si="75"/>
        <v>-</v>
      </c>
    </row>
    <row r="835" spans="1:19" ht="15" x14ac:dyDescent="0.3">
      <c r="A835" s="74">
        <v>8506404</v>
      </c>
      <c r="B835" s="37">
        <v>4393</v>
      </c>
      <c r="C835" s="69">
        <v>76280043938</v>
      </c>
      <c r="D835" s="38" t="s">
        <v>882</v>
      </c>
      <c r="E835" s="64">
        <v>9.7817114799999993E-2</v>
      </c>
      <c r="F835" s="70">
        <v>12</v>
      </c>
      <c r="G835" s="38" t="s">
        <v>98</v>
      </c>
      <c r="H835" s="66" t="s">
        <v>1258</v>
      </c>
      <c r="I835" s="39">
        <v>6.4837500000000006</v>
      </c>
      <c r="J835" s="40"/>
      <c r="K835" s="75">
        <f t="shared" si="76"/>
        <v>0</v>
      </c>
      <c r="L835" s="41"/>
      <c r="N835" s="45" t="str">
        <f t="shared" ref="N835:N898" si="78">IFERROR(IF($N$2*E835=0, "-", $N$2*E835), "-")</f>
        <v>-</v>
      </c>
      <c r="O835" s="42" t="str">
        <f t="shared" si="77"/>
        <v>-</v>
      </c>
      <c r="P835" s="43" t="str">
        <f t="shared" ref="P835:P898" si="79">IF(J835&gt;0,J835*E835, "-")</f>
        <v>-</v>
      </c>
      <c r="Q835" s="46" t="str">
        <f t="shared" ref="Q835:Q898" si="80">IFERROR(IF($N$2&gt;0, $N$2*P835, "-"), "-")</f>
        <v>-</v>
      </c>
      <c r="S835" s="46" t="str">
        <f t="shared" ref="S835:S898" si="81">IFERROR(IF(Q835+K835=0, "-", IF(Q835&gt;0, Q835+K835, "-")), "-")</f>
        <v>-</v>
      </c>
    </row>
    <row r="836" spans="1:19" ht="15" x14ac:dyDescent="0.3">
      <c r="A836" s="74">
        <v>2440186</v>
      </c>
      <c r="B836" s="37">
        <v>4394</v>
      </c>
      <c r="C836" s="69">
        <v>76280043945</v>
      </c>
      <c r="D836" s="38" t="s">
        <v>882</v>
      </c>
      <c r="E836" s="64">
        <v>0.18018942199999999</v>
      </c>
      <c r="F836" s="70">
        <v>6</v>
      </c>
      <c r="G836" s="38" t="s">
        <v>290</v>
      </c>
      <c r="H836" s="66" t="s">
        <v>1258</v>
      </c>
      <c r="I836" s="39">
        <v>11.943750000000001</v>
      </c>
      <c r="J836" s="40"/>
      <c r="K836" s="75">
        <f t="shared" ref="K836:K899" si="82">J836*I836</f>
        <v>0</v>
      </c>
      <c r="L836" s="41"/>
      <c r="N836" s="45" t="str">
        <f t="shared" si="78"/>
        <v>-</v>
      </c>
      <c r="O836" s="42" t="str">
        <f t="shared" ref="O836:O899" si="83">IFERROR(IF(N836&gt;0,I836+N836,"-"),"-")</f>
        <v>-</v>
      </c>
      <c r="P836" s="43" t="str">
        <f t="shared" si="79"/>
        <v>-</v>
      </c>
      <c r="Q836" s="46" t="str">
        <f t="shared" si="80"/>
        <v>-</v>
      </c>
      <c r="S836" s="46" t="str">
        <f t="shared" si="81"/>
        <v>-</v>
      </c>
    </row>
    <row r="837" spans="1:19" ht="15" x14ac:dyDescent="0.3">
      <c r="A837" s="74">
        <v>2844234</v>
      </c>
      <c r="B837" s="37">
        <v>40620</v>
      </c>
      <c r="C837" s="69">
        <v>76280406207</v>
      </c>
      <c r="D837" s="38" t="s">
        <v>718</v>
      </c>
      <c r="E837" s="64">
        <v>0.27285826759999998</v>
      </c>
      <c r="F837" s="70">
        <v>6</v>
      </c>
      <c r="G837" s="38" t="s">
        <v>719</v>
      </c>
      <c r="H837" s="66" t="s">
        <v>1258</v>
      </c>
      <c r="I837" s="39">
        <v>9.9937500000000004</v>
      </c>
      <c r="J837" s="40"/>
      <c r="K837" s="75">
        <f t="shared" si="82"/>
        <v>0</v>
      </c>
      <c r="L837" s="41"/>
      <c r="N837" s="45" t="str">
        <f t="shared" si="78"/>
        <v>-</v>
      </c>
      <c r="O837" s="42" t="str">
        <f t="shared" si="83"/>
        <v>-</v>
      </c>
      <c r="P837" s="43" t="str">
        <f t="shared" si="79"/>
        <v>-</v>
      </c>
      <c r="Q837" s="46" t="str">
        <f t="shared" si="80"/>
        <v>-</v>
      </c>
      <c r="S837" s="46" t="str">
        <f t="shared" si="81"/>
        <v>-</v>
      </c>
    </row>
    <row r="838" spans="1:19" ht="15" x14ac:dyDescent="0.3">
      <c r="A838" s="74">
        <v>2563986</v>
      </c>
      <c r="B838" s="37">
        <v>90408</v>
      </c>
      <c r="C838" s="69">
        <v>76280904086</v>
      </c>
      <c r="D838" s="38" t="s">
        <v>893</v>
      </c>
      <c r="E838" s="64">
        <v>7.2075768800000009E-2</v>
      </c>
      <c r="F838" s="70">
        <v>6</v>
      </c>
      <c r="G838" s="38" t="s">
        <v>135</v>
      </c>
      <c r="H838" s="66" t="s">
        <v>1258</v>
      </c>
      <c r="I838" s="39">
        <v>21.9375</v>
      </c>
      <c r="J838" s="40"/>
      <c r="K838" s="75">
        <f t="shared" si="82"/>
        <v>0</v>
      </c>
      <c r="L838" s="41"/>
      <c r="N838" s="45" t="str">
        <f t="shared" si="78"/>
        <v>-</v>
      </c>
      <c r="O838" s="42" t="str">
        <f t="shared" si="83"/>
        <v>-</v>
      </c>
      <c r="P838" s="43" t="str">
        <f t="shared" si="79"/>
        <v>-</v>
      </c>
      <c r="Q838" s="46" t="str">
        <f t="shared" si="80"/>
        <v>-</v>
      </c>
      <c r="S838" s="46" t="str">
        <f t="shared" si="81"/>
        <v>-</v>
      </c>
    </row>
    <row r="839" spans="1:19" ht="15" x14ac:dyDescent="0.3">
      <c r="A839" s="74">
        <v>7537607</v>
      </c>
      <c r="B839" s="37">
        <v>34298</v>
      </c>
      <c r="C839" s="69">
        <v>76280342987</v>
      </c>
      <c r="D839" s="38" t="s">
        <v>792</v>
      </c>
      <c r="E839" s="64">
        <v>5.6750000000000002E-2</v>
      </c>
      <c r="F839" s="70">
        <v>12</v>
      </c>
      <c r="G839" s="38" t="s">
        <v>894</v>
      </c>
      <c r="H839" s="66" t="s">
        <v>1258</v>
      </c>
      <c r="I839" s="39">
        <v>13.162500000000001</v>
      </c>
      <c r="J839" s="40"/>
      <c r="K839" s="75">
        <f t="shared" si="82"/>
        <v>0</v>
      </c>
      <c r="L839" s="41"/>
      <c r="N839" s="45" t="str">
        <f t="shared" si="78"/>
        <v>-</v>
      </c>
      <c r="O839" s="42" t="str">
        <f t="shared" si="83"/>
        <v>-</v>
      </c>
      <c r="P839" s="43" t="str">
        <f t="shared" si="79"/>
        <v>-</v>
      </c>
      <c r="Q839" s="46" t="str">
        <f t="shared" si="80"/>
        <v>-</v>
      </c>
      <c r="S839" s="46" t="str">
        <f t="shared" si="81"/>
        <v>-</v>
      </c>
    </row>
    <row r="840" spans="1:19" ht="15" x14ac:dyDescent="0.3">
      <c r="A840" s="74">
        <v>2856073</v>
      </c>
      <c r="B840" s="37">
        <v>49796</v>
      </c>
      <c r="C840" s="69">
        <v>76280497960</v>
      </c>
      <c r="D840" s="38" t="s">
        <v>895</v>
      </c>
      <c r="E840" s="64">
        <v>6.6927499599999996E-2</v>
      </c>
      <c r="F840" s="70">
        <v>6</v>
      </c>
      <c r="G840" s="38" t="s">
        <v>135</v>
      </c>
      <c r="H840" s="66" t="s">
        <v>1258</v>
      </c>
      <c r="I840" s="39">
        <v>21.9375</v>
      </c>
      <c r="J840" s="40"/>
      <c r="K840" s="75">
        <f t="shared" si="82"/>
        <v>0</v>
      </c>
      <c r="L840" s="41"/>
      <c r="N840" s="45" t="str">
        <f t="shared" si="78"/>
        <v>-</v>
      </c>
      <c r="O840" s="42" t="str">
        <f t="shared" si="83"/>
        <v>-</v>
      </c>
      <c r="P840" s="43" t="str">
        <f t="shared" si="79"/>
        <v>-</v>
      </c>
      <c r="Q840" s="46" t="str">
        <f t="shared" si="80"/>
        <v>-</v>
      </c>
      <c r="S840" s="46" t="str">
        <f t="shared" si="81"/>
        <v>-</v>
      </c>
    </row>
    <row r="841" spans="1:19" ht="15" x14ac:dyDescent="0.3">
      <c r="A841" s="74">
        <v>9363846</v>
      </c>
      <c r="B841" s="37">
        <v>10901</v>
      </c>
      <c r="C841" s="69">
        <v>76280109016</v>
      </c>
      <c r="D841" s="38" t="s">
        <v>896</v>
      </c>
      <c r="E841" s="64">
        <v>0.16989288359999999</v>
      </c>
      <c r="F841" s="70">
        <v>6</v>
      </c>
      <c r="G841" s="38" t="s">
        <v>364</v>
      </c>
      <c r="H841" s="66" t="s">
        <v>1258</v>
      </c>
      <c r="I841" s="39">
        <v>22.717500000000001</v>
      </c>
      <c r="J841" s="40"/>
      <c r="K841" s="75">
        <f t="shared" si="82"/>
        <v>0</v>
      </c>
      <c r="L841" s="41"/>
      <c r="N841" s="45" t="str">
        <f t="shared" si="78"/>
        <v>-</v>
      </c>
      <c r="O841" s="42" t="str">
        <f t="shared" si="83"/>
        <v>-</v>
      </c>
      <c r="P841" s="43" t="str">
        <f t="shared" si="79"/>
        <v>-</v>
      </c>
      <c r="Q841" s="46" t="str">
        <f t="shared" si="80"/>
        <v>-</v>
      </c>
      <c r="S841" s="46" t="str">
        <f t="shared" si="81"/>
        <v>-</v>
      </c>
    </row>
    <row r="842" spans="1:19" ht="15" x14ac:dyDescent="0.3">
      <c r="A842" s="74">
        <v>5096726</v>
      </c>
      <c r="B842" s="37">
        <v>3802</v>
      </c>
      <c r="C842" s="69">
        <v>76280038026</v>
      </c>
      <c r="D842" s="38" t="s">
        <v>902</v>
      </c>
      <c r="E842" s="64">
        <v>8.7520576400000008E-2</v>
      </c>
      <c r="F842" s="70">
        <v>6</v>
      </c>
      <c r="G842" s="38" t="s">
        <v>659</v>
      </c>
      <c r="H842" s="66" t="s">
        <v>1258</v>
      </c>
      <c r="I842" s="39">
        <v>17.745000000000001</v>
      </c>
      <c r="J842" s="40"/>
      <c r="K842" s="75">
        <f t="shared" si="82"/>
        <v>0</v>
      </c>
      <c r="L842" s="41"/>
      <c r="N842" s="45" t="str">
        <f t="shared" si="78"/>
        <v>-</v>
      </c>
      <c r="O842" s="42" t="str">
        <f t="shared" si="83"/>
        <v>-</v>
      </c>
      <c r="P842" s="43" t="str">
        <f t="shared" si="79"/>
        <v>-</v>
      </c>
      <c r="Q842" s="46" t="str">
        <f t="shared" si="80"/>
        <v>-</v>
      </c>
      <c r="S842" s="46" t="str">
        <f t="shared" si="81"/>
        <v>-</v>
      </c>
    </row>
    <row r="843" spans="1:19" ht="15" x14ac:dyDescent="0.3">
      <c r="A843" s="74">
        <v>3712457</v>
      </c>
      <c r="B843" s="37">
        <v>21379</v>
      </c>
      <c r="C843" s="69">
        <v>76280213799</v>
      </c>
      <c r="D843" s="38" t="s">
        <v>903</v>
      </c>
      <c r="E843" s="64">
        <v>8.7520576400000008E-2</v>
      </c>
      <c r="F843" s="70">
        <v>6</v>
      </c>
      <c r="G843" s="38" t="s">
        <v>34</v>
      </c>
      <c r="H843" s="66" t="s">
        <v>1258</v>
      </c>
      <c r="I843" s="39">
        <v>26.8125</v>
      </c>
      <c r="J843" s="40"/>
      <c r="K843" s="75">
        <f t="shared" si="82"/>
        <v>0</v>
      </c>
      <c r="L843" s="41"/>
      <c r="N843" s="45" t="str">
        <f t="shared" si="78"/>
        <v>-</v>
      </c>
      <c r="O843" s="42" t="str">
        <f t="shared" si="83"/>
        <v>-</v>
      </c>
      <c r="P843" s="43" t="str">
        <f t="shared" si="79"/>
        <v>-</v>
      </c>
      <c r="Q843" s="46" t="str">
        <f t="shared" si="80"/>
        <v>-</v>
      </c>
      <c r="S843" s="46" t="str">
        <f t="shared" si="81"/>
        <v>-</v>
      </c>
    </row>
    <row r="844" spans="1:19" ht="15" x14ac:dyDescent="0.3">
      <c r="A844" s="74">
        <v>7671281</v>
      </c>
      <c r="B844" s="37">
        <v>8103</v>
      </c>
      <c r="C844" s="69">
        <v>76280081039</v>
      </c>
      <c r="D844" s="38" t="s">
        <v>568</v>
      </c>
      <c r="E844" s="64">
        <v>8.2372307199999995E-2</v>
      </c>
      <c r="F844" s="70">
        <v>6</v>
      </c>
      <c r="G844" s="38" t="s">
        <v>906</v>
      </c>
      <c r="H844" s="66" t="s">
        <v>1258</v>
      </c>
      <c r="I844" s="39">
        <v>5.5575000000000001</v>
      </c>
      <c r="J844" s="40"/>
      <c r="K844" s="75">
        <f t="shared" si="82"/>
        <v>0</v>
      </c>
      <c r="L844" s="41"/>
      <c r="N844" s="45" t="str">
        <f t="shared" si="78"/>
        <v>-</v>
      </c>
      <c r="O844" s="42" t="str">
        <f t="shared" si="83"/>
        <v>-</v>
      </c>
      <c r="P844" s="43" t="str">
        <f t="shared" si="79"/>
        <v>-</v>
      </c>
      <c r="Q844" s="46" t="str">
        <f t="shared" si="80"/>
        <v>-</v>
      </c>
      <c r="S844" s="46" t="str">
        <f t="shared" si="81"/>
        <v>-</v>
      </c>
    </row>
    <row r="845" spans="1:19" ht="15" x14ac:dyDescent="0.3">
      <c r="A845" s="74">
        <v>3666789</v>
      </c>
      <c r="B845" s="37">
        <v>37767</v>
      </c>
      <c r="C845" s="69">
        <v>76280377675</v>
      </c>
      <c r="D845" s="38" t="s">
        <v>908</v>
      </c>
      <c r="E845" s="64">
        <v>6.6927499599999996E-2</v>
      </c>
      <c r="F845" s="70">
        <v>6</v>
      </c>
      <c r="G845" s="38" t="s">
        <v>909</v>
      </c>
      <c r="H845" s="66" t="s">
        <v>1258</v>
      </c>
      <c r="I845" s="39">
        <v>11.553749999999999</v>
      </c>
      <c r="J845" s="40"/>
      <c r="K845" s="75">
        <f t="shared" si="82"/>
        <v>0</v>
      </c>
      <c r="L845" s="41"/>
      <c r="N845" s="45" t="str">
        <f t="shared" si="78"/>
        <v>-</v>
      </c>
      <c r="O845" s="42" t="str">
        <f t="shared" si="83"/>
        <v>-</v>
      </c>
      <c r="P845" s="43" t="str">
        <f t="shared" si="79"/>
        <v>-</v>
      </c>
      <c r="Q845" s="46" t="str">
        <f t="shared" si="80"/>
        <v>-</v>
      </c>
      <c r="S845" s="46" t="str">
        <f t="shared" si="81"/>
        <v>-</v>
      </c>
    </row>
    <row r="846" spans="1:19" ht="15" x14ac:dyDescent="0.3">
      <c r="A846" s="74">
        <v>5832712</v>
      </c>
      <c r="B846" s="37">
        <v>37768</v>
      </c>
      <c r="C846" s="69">
        <v>76280377682</v>
      </c>
      <c r="D846" s="38" t="s">
        <v>908</v>
      </c>
      <c r="E846" s="64">
        <v>0.11326192240000001</v>
      </c>
      <c r="F846" s="70">
        <v>6</v>
      </c>
      <c r="G846" s="38" t="s">
        <v>758</v>
      </c>
      <c r="H846" s="66" t="s">
        <v>1258</v>
      </c>
      <c r="I846" s="39">
        <v>22.181249999999999</v>
      </c>
      <c r="J846" s="40"/>
      <c r="K846" s="75">
        <f t="shared" si="82"/>
        <v>0</v>
      </c>
      <c r="L846" s="41"/>
      <c r="N846" s="45" t="str">
        <f t="shared" si="78"/>
        <v>-</v>
      </c>
      <c r="O846" s="42" t="str">
        <f t="shared" si="83"/>
        <v>-</v>
      </c>
      <c r="P846" s="43" t="str">
        <f t="shared" si="79"/>
        <v>-</v>
      </c>
      <c r="Q846" s="46" t="str">
        <f t="shared" si="80"/>
        <v>-</v>
      </c>
      <c r="S846" s="46" t="str">
        <f t="shared" si="81"/>
        <v>-</v>
      </c>
    </row>
    <row r="847" spans="1:19" ht="15" x14ac:dyDescent="0.3">
      <c r="A847" s="74">
        <v>5239507</v>
      </c>
      <c r="B847" s="37">
        <v>12445</v>
      </c>
      <c r="C847" s="69">
        <v>76280124453</v>
      </c>
      <c r="D847" s="38" t="s">
        <v>910</v>
      </c>
      <c r="E847" s="64">
        <v>0.10296538400000001</v>
      </c>
      <c r="F847" s="70">
        <v>6</v>
      </c>
      <c r="G847" s="38" t="s">
        <v>665</v>
      </c>
      <c r="H847" s="66" t="s">
        <v>1258</v>
      </c>
      <c r="I847" s="39">
        <v>8.5800000000000018</v>
      </c>
      <c r="J847" s="40"/>
      <c r="K847" s="75">
        <f t="shared" si="82"/>
        <v>0</v>
      </c>
      <c r="L847" s="41"/>
      <c r="N847" s="45" t="str">
        <f t="shared" si="78"/>
        <v>-</v>
      </c>
      <c r="O847" s="42" t="str">
        <f t="shared" si="83"/>
        <v>-</v>
      </c>
      <c r="P847" s="43" t="str">
        <f t="shared" si="79"/>
        <v>-</v>
      </c>
      <c r="Q847" s="46" t="str">
        <f t="shared" si="80"/>
        <v>-</v>
      </c>
      <c r="S847" s="46" t="str">
        <f t="shared" si="81"/>
        <v>-</v>
      </c>
    </row>
    <row r="848" spans="1:19" ht="15" x14ac:dyDescent="0.3">
      <c r="A848" s="74">
        <v>1793469</v>
      </c>
      <c r="B848" s="37">
        <v>3664</v>
      </c>
      <c r="C848" s="69">
        <v>76280036640</v>
      </c>
      <c r="D848" s="38" t="s">
        <v>912</v>
      </c>
      <c r="E848" s="64">
        <v>5.6750000000000002E-2</v>
      </c>
      <c r="F848" s="70">
        <v>6</v>
      </c>
      <c r="G848" s="38" t="s">
        <v>191</v>
      </c>
      <c r="H848" s="66" t="s">
        <v>1258</v>
      </c>
      <c r="I848" s="39">
        <v>9.213750000000001</v>
      </c>
      <c r="J848" s="40"/>
      <c r="K848" s="75">
        <f t="shared" si="82"/>
        <v>0</v>
      </c>
      <c r="L848" s="41"/>
      <c r="N848" s="45" t="str">
        <f t="shared" si="78"/>
        <v>-</v>
      </c>
      <c r="O848" s="42" t="str">
        <f t="shared" si="83"/>
        <v>-</v>
      </c>
      <c r="P848" s="43" t="str">
        <f t="shared" si="79"/>
        <v>-</v>
      </c>
      <c r="Q848" s="46" t="str">
        <f t="shared" si="80"/>
        <v>-</v>
      </c>
      <c r="S848" s="46" t="str">
        <f t="shared" si="81"/>
        <v>-</v>
      </c>
    </row>
    <row r="849" spans="1:19" ht="15" x14ac:dyDescent="0.3">
      <c r="A849" s="74">
        <v>5744310</v>
      </c>
      <c r="B849" s="37">
        <v>65809</v>
      </c>
      <c r="C849" s="69">
        <v>76280658095</v>
      </c>
      <c r="D849" s="38" t="s">
        <v>913</v>
      </c>
      <c r="E849" s="64">
        <v>8.2372307199999995E-2</v>
      </c>
      <c r="F849" s="70">
        <v>6</v>
      </c>
      <c r="G849" s="38" t="s">
        <v>914</v>
      </c>
      <c r="H849" s="66" t="s">
        <v>1258</v>
      </c>
      <c r="I849" s="39">
        <v>10.8225</v>
      </c>
      <c r="J849" s="40"/>
      <c r="K849" s="75">
        <f t="shared" si="82"/>
        <v>0</v>
      </c>
      <c r="L849" s="41"/>
      <c r="N849" s="45" t="str">
        <f t="shared" si="78"/>
        <v>-</v>
      </c>
      <c r="O849" s="42" t="str">
        <f t="shared" si="83"/>
        <v>-</v>
      </c>
      <c r="P849" s="43" t="str">
        <f t="shared" si="79"/>
        <v>-</v>
      </c>
      <c r="Q849" s="46" t="str">
        <f t="shared" si="80"/>
        <v>-</v>
      </c>
      <c r="S849" s="46" t="str">
        <f t="shared" si="81"/>
        <v>-</v>
      </c>
    </row>
    <row r="850" spans="1:19" ht="15" x14ac:dyDescent="0.3">
      <c r="A850" s="74">
        <v>2783845</v>
      </c>
      <c r="B850" s="37">
        <v>4410</v>
      </c>
      <c r="C850" s="69">
        <v>76280044102</v>
      </c>
      <c r="D850" s="38" t="s">
        <v>820</v>
      </c>
      <c r="E850" s="64">
        <v>0.11841019160000001</v>
      </c>
      <c r="F850" s="70">
        <v>12</v>
      </c>
      <c r="G850" s="38" t="s">
        <v>207</v>
      </c>
      <c r="H850" s="66" t="s">
        <v>1258</v>
      </c>
      <c r="I850" s="39">
        <v>5.7037499999999994</v>
      </c>
      <c r="J850" s="40"/>
      <c r="K850" s="75">
        <f t="shared" si="82"/>
        <v>0</v>
      </c>
      <c r="L850" s="41"/>
      <c r="N850" s="45" t="str">
        <f t="shared" si="78"/>
        <v>-</v>
      </c>
      <c r="O850" s="42" t="str">
        <f t="shared" si="83"/>
        <v>-</v>
      </c>
      <c r="P850" s="43" t="str">
        <f t="shared" si="79"/>
        <v>-</v>
      </c>
      <c r="Q850" s="46" t="str">
        <f t="shared" si="80"/>
        <v>-</v>
      </c>
      <c r="S850" s="46" t="str">
        <f t="shared" si="81"/>
        <v>-</v>
      </c>
    </row>
    <row r="851" spans="1:19" ht="15" x14ac:dyDescent="0.3">
      <c r="A851" s="74">
        <v>8257169</v>
      </c>
      <c r="B851" s="37">
        <v>19210</v>
      </c>
      <c r="C851" s="69">
        <v>76280192100</v>
      </c>
      <c r="D851" s="38" t="s">
        <v>916</v>
      </c>
      <c r="E851" s="64">
        <v>9.7817114799999993E-2</v>
      </c>
      <c r="F851" s="70">
        <v>6</v>
      </c>
      <c r="G851" s="38" t="s">
        <v>622</v>
      </c>
      <c r="H851" s="66" t="s">
        <v>1258</v>
      </c>
      <c r="I851" s="39">
        <v>12.33375</v>
      </c>
      <c r="J851" s="40"/>
      <c r="K851" s="75">
        <f t="shared" si="82"/>
        <v>0</v>
      </c>
      <c r="L851" s="41"/>
      <c r="N851" s="45" t="str">
        <f t="shared" si="78"/>
        <v>-</v>
      </c>
      <c r="O851" s="42" t="str">
        <f t="shared" si="83"/>
        <v>-</v>
      </c>
      <c r="P851" s="43" t="str">
        <f t="shared" si="79"/>
        <v>-</v>
      </c>
      <c r="Q851" s="46" t="str">
        <f t="shared" si="80"/>
        <v>-</v>
      </c>
      <c r="S851" s="46" t="str">
        <f t="shared" si="81"/>
        <v>-</v>
      </c>
    </row>
    <row r="852" spans="1:19" ht="15" x14ac:dyDescent="0.3">
      <c r="A852" s="74">
        <v>3534391</v>
      </c>
      <c r="B852" s="37">
        <v>61357</v>
      </c>
      <c r="C852" s="69">
        <v>76280613575</v>
      </c>
      <c r="D852" s="38" t="s">
        <v>917</v>
      </c>
      <c r="E852" s="64">
        <v>5.6750000000000002E-2</v>
      </c>
      <c r="F852" s="70">
        <v>6</v>
      </c>
      <c r="G852" s="38" t="s">
        <v>285</v>
      </c>
      <c r="H852" s="66" t="s">
        <v>1258</v>
      </c>
      <c r="I852" s="39">
        <v>20.42625</v>
      </c>
      <c r="J852" s="40"/>
      <c r="K852" s="75">
        <f t="shared" si="82"/>
        <v>0</v>
      </c>
      <c r="L852" s="41"/>
      <c r="N852" s="45" t="str">
        <f t="shared" si="78"/>
        <v>-</v>
      </c>
      <c r="O852" s="42" t="str">
        <f t="shared" si="83"/>
        <v>-</v>
      </c>
      <c r="P852" s="43" t="str">
        <f t="shared" si="79"/>
        <v>-</v>
      </c>
      <c r="Q852" s="46" t="str">
        <f t="shared" si="80"/>
        <v>-</v>
      </c>
      <c r="S852" s="46" t="str">
        <f t="shared" si="81"/>
        <v>-</v>
      </c>
    </row>
    <row r="853" spans="1:19" ht="15" x14ac:dyDescent="0.3">
      <c r="A853" s="74">
        <v>9847154</v>
      </c>
      <c r="B853" s="37">
        <v>1160</v>
      </c>
      <c r="C853" s="69">
        <v>76280011609</v>
      </c>
      <c r="D853" s="38" t="s">
        <v>918</v>
      </c>
      <c r="E853" s="64">
        <v>9.2668845599999994E-2</v>
      </c>
      <c r="F853" s="70">
        <v>6</v>
      </c>
      <c r="G853" s="38" t="s">
        <v>600</v>
      </c>
      <c r="H853" s="66" t="s">
        <v>1258</v>
      </c>
      <c r="I853" s="39">
        <v>6.1912499999999993</v>
      </c>
      <c r="J853" s="40"/>
      <c r="K853" s="75">
        <f t="shared" si="82"/>
        <v>0</v>
      </c>
      <c r="L853" s="41"/>
      <c r="N853" s="45" t="str">
        <f t="shared" si="78"/>
        <v>-</v>
      </c>
      <c r="O853" s="42" t="str">
        <f t="shared" si="83"/>
        <v>-</v>
      </c>
      <c r="P853" s="43" t="str">
        <f t="shared" si="79"/>
        <v>-</v>
      </c>
      <c r="Q853" s="46" t="str">
        <f t="shared" si="80"/>
        <v>-</v>
      </c>
      <c r="S853" s="46" t="str">
        <f t="shared" si="81"/>
        <v>-</v>
      </c>
    </row>
    <row r="854" spans="1:19" ht="15" x14ac:dyDescent="0.3">
      <c r="A854" s="74">
        <v>7920001</v>
      </c>
      <c r="B854" s="37">
        <v>1140</v>
      </c>
      <c r="C854" s="69">
        <v>76280011401</v>
      </c>
      <c r="D854" s="38" t="s">
        <v>929</v>
      </c>
      <c r="E854" s="64">
        <v>0.10296538400000001</v>
      </c>
      <c r="F854" s="70">
        <v>6</v>
      </c>
      <c r="G854" s="38" t="s">
        <v>687</v>
      </c>
      <c r="H854" s="66" t="s">
        <v>1258</v>
      </c>
      <c r="I854" s="39">
        <v>6.63</v>
      </c>
      <c r="J854" s="40"/>
      <c r="K854" s="75">
        <f t="shared" si="82"/>
        <v>0</v>
      </c>
      <c r="L854" s="41"/>
      <c r="N854" s="45" t="str">
        <f t="shared" si="78"/>
        <v>-</v>
      </c>
      <c r="O854" s="42" t="str">
        <f t="shared" si="83"/>
        <v>-</v>
      </c>
      <c r="P854" s="43" t="str">
        <f t="shared" si="79"/>
        <v>-</v>
      </c>
      <c r="Q854" s="46" t="str">
        <f t="shared" si="80"/>
        <v>-</v>
      </c>
      <c r="S854" s="46" t="str">
        <f t="shared" si="81"/>
        <v>-</v>
      </c>
    </row>
    <row r="855" spans="1:19" ht="15" x14ac:dyDescent="0.3">
      <c r="A855" s="74">
        <v>3358140</v>
      </c>
      <c r="B855" s="37">
        <v>13928</v>
      </c>
      <c r="C855" s="69">
        <v>76280139280</v>
      </c>
      <c r="D855" s="38" t="s">
        <v>932</v>
      </c>
      <c r="E855" s="64">
        <v>5.6750000000000002E-2</v>
      </c>
      <c r="F855" s="70">
        <v>6</v>
      </c>
      <c r="G855" s="38" t="s">
        <v>34</v>
      </c>
      <c r="H855" s="66" t="s">
        <v>1258</v>
      </c>
      <c r="I855" s="39">
        <v>8.7750000000000004</v>
      </c>
      <c r="J855" s="40"/>
      <c r="K855" s="75">
        <f t="shared" si="82"/>
        <v>0</v>
      </c>
      <c r="L855" s="41"/>
      <c r="N855" s="45" t="str">
        <f t="shared" si="78"/>
        <v>-</v>
      </c>
      <c r="O855" s="42" t="str">
        <f t="shared" si="83"/>
        <v>-</v>
      </c>
      <c r="P855" s="43" t="str">
        <f t="shared" si="79"/>
        <v>-</v>
      </c>
      <c r="Q855" s="46" t="str">
        <f t="shared" si="80"/>
        <v>-</v>
      </c>
      <c r="S855" s="46" t="str">
        <f t="shared" si="81"/>
        <v>-</v>
      </c>
    </row>
    <row r="856" spans="1:19" ht="15" x14ac:dyDescent="0.3">
      <c r="A856" s="74">
        <v>9471178</v>
      </c>
      <c r="B856" s="37">
        <v>41746</v>
      </c>
      <c r="C856" s="69">
        <v>76280417463</v>
      </c>
      <c r="D856" s="38" t="s">
        <v>938</v>
      </c>
      <c r="E856" s="64">
        <v>5.6750000000000002E-2</v>
      </c>
      <c r="F856" s="70">
        <v>6</v>
      </c>
      <c r="G856" s="38" t="s">
        <v>135</v>
      </c>
      <c r="H856" s="66" t="s">
        <v>1258</v>
      </c>
      <c r="I856" s="39">
        <v>14.040000000000003</v>
      </c>
      <c r="J856" s="40"/>
      <c r="K856" s="75">
        <f t="shared" si="82"/>
        <v>0</v>
      </c>
      <c r="L856" s="41"/>
      <c r="N856" s="45" t="str">
        <f t="shared" si="78"/>
        <v>-</v>
      </c>
      <c r="O856" s="42" t="str">
        <f t="shared" si="83"/>
        <v>-</v>
      </c>
      <c r="P856" s="43" t="str">
        <f t="shared" si="79"/>
        <v>-</v>
      </c>
      <c r="Q856" s="46" t="str">
        <f t="shared" si="80"/>
        <v>-</v>
      </c>
      <c r="S856" s="46" t="str">
        <f t="shared" si="81"/>
        <v>-</v>
      </c>
    </row>
    <row r="857" spans="1:19" ht="15" x14ac:dyDescent="0.3">
      <c r="A857" s="74">
        <v>8838715</v>
      </c>
      <c r="B857" s="37">
        <v>53575</v>
      </c>
      <c r="C857" s="69">
        <v>76280535754</v>
      </c>
      <c r="D857" s="38" t="s">
        <v>939</v>
      </c>
      <c r="E857" s="64">
        <v>5.6750000000000002E-2</v>
      </c>
      <c r="F857" s="70">
        <v>6</v>
      </c>
      <c r="G857" s="38" t="s">
        <v>135</v>
      </c>
      <c r="H857" s="66" t="s">
        <v>1258</v>
      </c>
      <c r="I857" s="39">
        <v>9.75</v>
      </c>
      <c r="J857" s="40"/>
      <c r="K857" s="75">
        <f t="shared" si="82"/>
        <v>0</v>
      </c>
      <c r="L857" s="41"/>
      <c r="N857" s="45" t="str">
        <f t="shared" si="78"/>
        <v>-</v>
      </c>
      <c r="O857" s="42" t="str">
        <f t="shared" si="83"/>
        <v>-</v>
      </c>
      <c r="P857" s="43" t="str">
        <f t="shared" si="79"/>
        <v>-</v>
      </c>
      <c r="Q857" s="46" t="str">
        <f t="shared" si="80"/>
        <v>-</v>
      </c>
      <c r="S857" s="46" t="str">
        <f t="shared" si="81"/>
        <v>-</v>
      </c>
    </row>
    <row r="858" spans="1:19" ht="15" x14ac:dyDescent="0.3">
      <c r="A858" s="74">
        <v>1851922</v>
      </c>
      <c r="B858" s="37">
        <v>1554</v>
      </c>
      <c r="C858" s="69">
        <v>76280015546</v>
      </c>
      <c r="D858" s="38" t="s">
        <v>940</v>
      </c>
      <c r="E858" s="64">
        <v>0.12870672999999999</v>
      </c>
      <c r="F858" s="70">
        <v>6</v>
      </c>
      <c r="G858" s="38" t="s">
        <v>942</v>
      </c>
      <c r="H858" s="66" t="s">
        <v>1258</v>
      </c>
      <c r="I858" s="39">
        <v>12.675000000000001</v>
      </c>
      <c r="J858" s="40"/>
      <c r="K858" s="75">
        <f t="shared" si="82"/>
        <v>0</v>
      </c>
      <c r="L858" s="41"/>
      <c r="N858" s="45" t="str">
        <f t="shared" si="78"/>
        <v>-</v>
      </c>
      <c r="O858" s="42" t="str">
        <f t="shared" si="83"/>
        <v>-</v>
      </c>
      <c r="P858" s="43" t="str">
        <f t="shared" si="79"/>
        <v>-</v>
      </c>
      <c r="Q858" s="46" t="str">
        <f t="shared" si="80"/>
        <v>-</v>
      </c>
      <c r="S858" s="46" t="str">
        <f t="shared" si="81"/>
        <v>-</v>
      </c>
    </row>
    <row r="859" spans="1:19" ht="15" x14ac:dyDescent="0.3">
      <c r="A859" s="74">
        <v>8774096</v>
      </c>
      <c r="B859" s="37">
        <v>3380</v>
      </c>
      <c r="C859" s="69">
        <v>76280033809</v>
      </c>
      <c r="D859" s="38" t="s">
        <v>943</v>
      </c>
      <c r="E859" s="64">
        <v>6.1779230399999996E-2</v>
      </c>
      <c r="F859" s="70">
        <v>6</v>
      </c>
      <c r="G859" s="38" t="s">
        <v>944</v>
      </c>
      <c r="H859" s="66" t="s">
        <v>1258</v>
      </c>
      <c r="I859" s="39">
        <v>15.746249999999998</v>
      </c>
      <c r="J859" s="40"/>
      <c r="K859" s="75">
        <f t="shared" si="82"/>
        <v>0</v>
      </c>
      <c r="L859" s="41"/>
      <c r="N859" s="45" t="str">
        <f t="shared" si="78"/>
        <v>-</v>
      </c>
      <c r="O859" s="42" t="str">
        <f t="shared" si="83"/>
        <v>-</v>
      </c>
      <c r="P859" s="43" t="str">
        <f t="shared" si="79"/>
        <v>-</v>
      </c>
      <c r="Q859" s="46" t="str">
        <f t="shared" si="80"/>
        <v>-</v>
      </c>
      <c r="S859" s="46" t="str">
        <f t="shared" si="81"/>
        <v>-</v>
      </c>
    </row>
    <row r="860" spans="1:19" ht="15" x14ac:dyDescent="0.3">
      <c r="A860" s="74">
        <v>4446641</v>
      </c>
      <c r="B860" s="37">
        <v>4356</v>
      </c>
      <c r="C860" s="69">
        <v>76280043563</v>
      </c>
      <c r="D860" s="38" t="s">
        <v>91</v>
      </c>
      <c r="E860" s="64">
        <v>0.18533769119999999</v>
      </c>
      <c r="F860" s="70">
        <v>6</v>
      </c>
      <c r="G860" s="38" t="s">
        <v>946</v>
      </c>
      <c r="H860" s="66" t="s">
        <v>1258</v>
      </c>
      <c r="I860" s="39">
        <v>16.77</v>
      </c>
      <c r="J860" s="40"/>
      <c r="K860" s="75">
        <f t="shared" si="82"/>
        <v>0</v>
      </c>
      <c r="L860" s="41"/>
      <c r="N860" s="45" t="str">
        <f t="shared" si="78"/>
        <v>-</v>
      </c>
      <c r="O860" s="42" t="str">
        <f t="shared" si="83"/>
        <v>-</v>
      </c>
      <c r="P860" s="43" t="str">
        <f t="shared" si="79"/>
        <v>-</v>
      </c>
      <c r="Q860" s="46" t="str">
        <f t="shared" si="80"/>
        <v>-</v>
      </c>
      <c r="S860" s="46" t="str">
        <f t="shared" si="81"/>
        <v>-</v>
      </c>
    </row>
    <row r="861" spans="1:19" ht="15" x14ac:dyDescent="0.3">
      <c r="A861" s="74">
        <v>4355026</v>
      </c>
      <c r="B861" s="37">
        <v>3762</v>
      </c>
      <c r="C861" s="69">
        <v>76280037623</v>
      </c>
      <c r="D861" s="38" t="s">
        <v>947</v>
      </c>
      <c r="E861" s="64">
        <v>5.6750000000000002E-2</v>
      </c>
      <c r="F861" s="70">
        <v>6</v>
      </c>
      <c r="G861" s="38" t="s">
        <v>160</v>
      </c>
      <c r="H861" s="66" t="s">
        <v>1258</v>
      </c>
      <c r="I861" s="39">
        <v>17.2575</v>
      </c>
      <c r="J861" s="40"/>
      <c r="K861" s="75">
        <f t="shared" si="82"/>
        <v>0</v>
      </c>
      <c r="L861" s="41"/>
      <c r="N861" s="45" t="str">
        <f t="shared" si="78"/>
        <v>-</v>
      </c>
      <c r="O861" s="42" t="str">
        <f t="shared" si="83"/>
        <v>-</v>
      </c>
      <c r="P861" s="43" t="str">
        <f t="shared" si="79"/>
        <v>-</v>
      </c>
      <c r="Q861" s="46" t="str">
        <f t="shared" si="80"/>
        <v>-</v>
      </c>
      <c r="S861" s="46" t="str">
        <f t="shared" si="81"/>
        <v>-</v>
      </c>
    </row>
    <row r="862" spans="1:19" ht="15" x14ac:dyDescent="0.3">
      <c r="A862" s="74">
        <v>1347509</v>
      </c>
      <c r="B862" s="37">
        <v>3170</v>
      </c>
      <c r="C862" s="69">
        <v>76280031706</v>
      </c>
      <c r="D862" s="38" t="s">
        <v>948</v>
      </c>
      <c r="E862" s="64">
        <v>0.12355846079999999</v>
      </c>
      <c r="F862" s="70">
        <v>6</v>
      </c>
      <c r="G862" s="38" t="s">
        <v>949</v>
      </c>
      <c r="H862" s="66" t="s">
        <v>1258</v>
      </c>
      <c r="I862" s="39">
        <v>12.577500000000001</v>
      </c>
      <c r="J862" s="40"/>
      <c r="K862" s="75">
        <f t="shared" si="82"/>
        <v>0</v>
      </c>
      <c r="L862" s="41"/>
      <c r="N862" s="45" t="str">
        <f t="shared" si="78"/>
        <v>-</v>
      </c>
      <c r="O862" s="42" t="str">
        <f t="shared" si="83"/>
        <v>-</v>
      </c>
      <c r="P862" s="43" t="str">
        <f t="shared" si="79"/>
        <v>-</v>
      </c>
      <c r="Q862" s="46" t="str">
        <f t="shared" si="80"/>
        <v>-</v>
      </c>
      <c r="S862" s="46" t="str">
        <f t="shared" si="81"/>
        <v>-</v>
      </c>
    </row>
    <row r="863" spans="1:19" ht="15" x14ac:dyDescent="0.3">
      <c r="A863" s="74">
        <v>1421580</v>
      </c>
      <c r="B863" s="37">
        <v>8423</v>
      </c>
      <c r="C863" s="69">
        <v>76280084238</v>
      </c>
      <c r="D863" s="38" t="s">
        <v>950</v>
      </c>
      <c r="E863" s="64">
        <v>8.7520576400000008E-2</v>
      </c>
      <c r="F863" s="70">
        <v>12</v>
      </c>
      <c r="G863" s="38" t="s">
        <v>90</v>
      </c>
      <c r="H863" s="66" t="s">
        <v>1258</v>
      </c>
      <c r="I863" s="39">
        <v>13.30875</v>
      </c>
      <c r="J863" s="40"/>
      <c r="K863" s="75">
        <f t="shared" si="82"/>
        <v>0</v>
      </c>
      <c r="L863" s="41"/>
      <c r="N863" s="45" t="str">
        <f t="shared" si="78"/>
        <v>-</v>
      </c>
      <c r="O863" s="42" t="str">
        <f t="shared" si="83"/>
        <v>-</v>
      </c>
      <c r="P863" s="43" t="str">
        <f t="shared" si="79"/>
        <v>-</v>
      </c>
      <c r="Q863" s="46" t="str">
        <f t="shared" si="80"/>
        <v>-</v>
      </c>
      <c r="S863" s="46" t="str">
        <f t="shared" si="81"/>
        <v>-</v>
      </c>
    </row>
    <row r="864" spans="1:19" ht="15" x14ac:dyDescent="0.3">
      <c r="A864" s="74">
        <v>2655935</v>
      </c>
      <c r="B864" s="37">
        <v>8433</v>
      </c>
      <c r="C864" s="69">
        <v>76280084337</v>
      </c>
      <c r="D864" s="38" t="s">
        <v>950</v>
      </c>
      <c r="E864" s="64">
        <v>0.14929980679999999</v>
      </c>
      <c r="F864" s="70">
        <v>6</v>
      </c>
      <c r="G864" s="38" t="s">
        <v>534</v>
      </c>
      <c r="H864" s="66" t="s">
        <v>1258</v>
      </c>
      <c r="I864" s="39">
        <v>24.862499999999997</v>
      </c>
      <c r="J864" s="40"/>
      <c r="K864" s="75">
        <f t="shared" si="82"/>
        <v>0</v>
      </c>
      <c r="L864" s="41"/>
      <c r="N864" s="45" t="str">
        <f t="shared" si="78"/>
        <v>-</v>
      </c>
      <c r="O864" s="42" t="str">
        <f t="shared" si="83"/>
        <v>-</v>
      </c>
      <c r="P864" s="43" t="str">
        <f t="shared" si="79"/>
        <v>-</v>
      </c>
      <c r="Q864" s="46" t="str">
        <f t="shared" si="80"/>
        <v>-</v>
      </c>
      <c r="S864" s="46" t="str">
        <f t="shared" si="81"/>
        <v>-</v>
      </c>
    </row>
    <row r="865" spans="1:19" ht="15" x14ac:dyDescent="0.3">
      <c r="A865" s="74">
        <v>6059471</v>
      </c>
      <c r="B865" s="37">
        <v>37592</v>
      </c>
      <c r="C865" s="69">
        <v>76280375923</v>
      </c>
      <c r="D865" s="38" t="s">
        <v>958</v>
      </c>
      <c r="E865" s="64">
        <v>0.18018942199999999</v>
      </c>
      <c r="F865" s="70">
        <v>6</v>
      </c>
      <c r="G865" s="38" t="s">
        <v>34</v>
      </c>
      <c r="H865" s="66" t="s">
        <v>1258</v>
      </c>
      <c r="I865" s="39">
        <v>22.473750000000003</v>
      </c>
      <c r="J865" s="40"/>
      <c r="K865" s="75">
        <f t="shared" si="82"/>
        <v>0</v>
      </c>
      <c r="L865" s="41"/>
      <c r="N865" s="45" t="str">
        <f t="shared" si="78"/>
        <v>-</v>
      </c>
      <c r="O865" s="42" t="str">
        <f t="shared" si="83"/>
        <v>-</v>
      </c>
      <c r="P865" s="43" t="str">
        <f t="shared" si="79"/>
        <v>-</v>
      </c>
      <c r="Q865" s="46" t="str">
        <f t="shared" si="80"/>
        <v>-</v>
      </c>
      <c r="S865" s="46" t="str">
        <f t="shared" si="81"/>
        <v>-</v>
      </c>
    </row>
    <row r="866" spans="1:19" ht="15" x14ac:dyDescent="0.3">
      <c r="A866" s="74">
        <v>1311933</v>
      </c>
      <c r="B866" s="37">
        <v>8210</v>
      </c>
      <c r="C866" s="69">
        <v>76280082104</v>
      </c>
      <c r="D866" s="38" t="s">
        <v>963</v>
      </c>
      <c r="E866" s="64">
        <v>9.2668845599999994E-2</v>
      </c>
      <c r="F866" s="70">
        <v>6</v>
      </c>
      <c r="G866" s="38" t="s">
        <v>811</v>
      </c>
      <c r="H866" s="66" t="s">
        <v>1258</v>
      </c>
      <c r="I866" s="39">
        <v>10.773750000000001</v>
      </c>
      <c r="J866" s="40"/>
      <c r="K866" s="75">
        <f t="shared" si="82"/>
        <v>0</v>
      </c>
      <c r="L866" s="41"/>
      <c r="N866" s="45" t="str">
        <f t="shared" si="78"/>
        <v>-</v>
      </c>
      <c r="O866" s="42" t="str">
        <f t="shared" si="83"/>
        <v>-</v>
      </c>
      <c r="P866" s="43" t="str">
        <f t="shared" si="79"/>
        <v>-</v>
      </c>
      <c r="Q866" s="46" t="str">
        <f t="shared" si="80"/>
        <v>-</v>
      </c>
      <c r="S866" s="46" t="str">
        <f t="shared" si="81"/>
        <v>-</v>
      </c>
    </row>
    <row r="867" spans="1:19" ht="15" x14ac:dyDescent="0.3">
      <c r="A867" s="74">
        <v>6884256</v>
      </c>
      <c r="B867" s="37">
        <v>1244</v>
      </c>
      <c r="C867" s="69">
        <v>76280012446</v>
      </c>
      <c r="D867" s="38" t="s">
        <v>964</v>
      </c>
      <c r="E867" s="64">
        <v>9.7817114799999993E-2</v>
      </c>
      <c r="F867" s="70">
        <v>6</v>
      </c>
      <c r="G867" s="38" t="s">
        <v>207</v>
      </c>
      <c r="H867" s="66" t="s">
        <v>1258</v>
      </c>
      <c r="I867" s="39">
        <v>22.1325</v>
      </c>
      <c r="J867" s="40"/>
      <c r="K867" s="75">
        <f t="shared" si="82"/>
        <v>0</v>
      </c>
      <c r="L867" s="41"/>
      <c r="N867" s="45" t="str">
        <f t="shared" si="78"/>
        <v>-</v>
      </c>
      <c r="O867" s="42" t="str">
        <f t="shared" si="83"/>
        <v>-</v>
      </c>
      <c r="P867" s="43" t="str">
        <f t="shared" si="79"/>
        <v>-</v>
      </c>
      <c r="Q867" s="46" t="str">
        <f t="shared" si="80"/>
        <v>-</v>
      </c>
      <c r="S867" s="46" t="str">
        <f t="shared" si="81"/>
        <v>-</v>
      </c>
    </row>
    <row r="868" spans="1:19" ht="15" x14ac:dyDescent="0.3">
      <c r="A868" s="74">
        <v>1834362</v>
      </c>
      <c r="B868" s="37">
        <v>47855</v>
      </c>
      <c r="C868" s="69">
        <v>76280478556</v>
      </c>
      <c r="D868" s="38" t="s">
        <v>965</v>
      </c>
      <c r="E868" s="64">
        <v>0.52512345839999996</v>
      </c>
      <c r="F868" s="70">
        <v>6</v>
      </c>
      <c r="G868" s="38" t="s">
        <v>674</v>
      </c>
      <c r="H868" s="66" t="s">
        <v>1258</v>
      </c>
      <c r="I868" s="39">
        <v>31.297500000000003</v>
      </c>
      <c r="J868" s="40"/>
      <c r="K868" s="75">
        <f t="shared" si="82"/>
        <v>0</v>
      </c>
      <c r="L868" s="41"/>
      <c r="N868" s="45" t="str">
        <f t="shared" si="78"/>
        <v>-</v>
      </c>
      <c r="O868" s="42" t="str">
        <f t="shared" si="83"/>
        <v>-</v>
      </c>
      <c r="P868" s="43" t="str">
        <f t="shared" si="79"/>
        <v>-</v>
      </c>
      <c r="Q868" s="46" t="str">
        <f t="shared" si="80"/>
        <v>-</v>
      </c>
      <c r="S868" s="46" t="str">
        <f t="shared" si="81"/>
        <v>-</v>
      </c>
    </row>
    <row r="869" spans="1:19" ht="15" x14ac:dyDescent="0.3">
      <c r="A869" s="74">
        <v>3638428</v>
      </c>
      <c r="B869" s="37">
        <v>4785</v>
      </c>
      <c r="C869" s="69">
        <v>76280047851</v>
      </c>
      <c r="D869" s="38" t="s">
        <v>965</v>
      </c>
      <c r="E869" s="64">
        <v>0.36037884399999998</v>
      </c>
      <c r="F869" s="70">
        <v>6</v>
      </c>
      <c r="G869" s="38" t="s">
        <v>157</v>
      </c>
      <c r="H869" s="66" t="s">
        <v>1258</v>
      </c>
      <c r="I869" s="39">
        <v>23.107499999999998</v>
      </c>
      <c r="J869" s="40"/>
      <c r="K869" s="75">
        <f t="shared" si="82"/>
        <v>0</v>
      </c>
      <c r="L869" s="41"/>
      <c r="N869" s="45" t="str">
        <f t="shared" si="78"/>
        <v>-</v>
      </c>
      <c r="O869" s="42" t="str">
        <f t="shared" si="83"/>
        <v>-</v>
      </c>
      <c r="P869" s="43" t="str">
        <f t="shared" si="79"/>
        <v>-</v>
      </c>
      <c r="Q869" s="46" t="str">
        <f t="shared" si="80"/>
        <v>-</v>
      </c>
      <c r="S869" s="46" t="str">
        <f t="shared" si="81"/>
        <v>-</v>
      </c>
    </row>
    <row r="870" spans="1:19" ht="15" x14ac:dyDescent="0.3">
      <c r="A870" s="74">
        <v>1217257</v>
      </c>
      <c r="B870" s="37">
        <v>8424</v>
      </c>
      <c r="C870" s="69">
        <v>76280084245</v>
      </c>
      <c r="D870" s="38" t="s">
        <v>533</v>
      </c>
      <c r="E870" s="64">
        <v>0.14929980679999999</v>
      </c>
      <c r="F870" s="70">
        <v>6</v>
      </c>
      <c r="G870" s="38" t="s">
        <v>659</v>
      </c>
      <c r="H870" s="66" t="s">
        <v>1258</v>
      </c>
      <c r="I870" s="39">
        <v>7.7512500000000006</v>
      </c>
      <c r="J870" s="40"/>
      <c r="K870" s="75">
        <f t="shared" si="82"/>
        <v>0</v>
      </c>
      <c r="L870" s="41"/>
      <c r="N870" s="45" t="str">
        <f t="shared" si="78"/>
        <v>-</v>
      </c>
      <c r="O870" s="42" t="str">
        <f t="shared" si="83"/>
        <v>-</v>
      </c>
      <c r="P870" s="43" t="str">
        <f t="shared" si="79"/>
        <v>-</v>
      </c>
      <c r="Q870" s="46" t="str">
        <f t="shared" si="80"/>
        <v>-</v>
      </c>
      <c r="S870" s="46" t="str">
        <f t="shared" si="81"/>
        <v>-</v>
      </c>
    </row>
    <row r="871" spans="1:19" ht="15" x14ac:dyDescent="0.3">
      <c r="A871" s="74">
        <v>6992671</v>
      </c>
      <c r="B871" s="37">
        <v>3084</v>
      </c>
      <c r="C871" s="69">
        <v>76280030846</v>
      </c>
      <c r="D871" s="38" t="s">
        <v>967</v>
      </c>
      <c r="E871" s="64">
        <v>9.2668845599999994E-2</v>
      </c>
      <c r="F871" s="70">
        <v>6</v>
      </c>
      <c r="G871" s="38" t="s">
        <v>968</v>
      </c>
      <c r="H871" s="66" t="s">
        <v>1258</v>
      </c>
      <c r="I871" s="39">
        <v>18.768750000000001</v>
      </c>
      <c r="J871" s="40"/>
      <c r="K871" s="75">
        <f t="shared" si="82"/>
        <v>0</v>
      </c>
      <c r="L871" s="41"/>
      <c r="N871" s="45" t="str">
        <f t="shared" si="78"/>
        <v>-</v>
      </c>
      <c r="O871" s="42" t="str">
        <f t="shared" si="83"/>
        <v>-</v>
      </c>
      <c r="P871" s="43" t="str">
        <f t="shared" si="79"/>
        <v>-</v>
      </c>
      <c r="Q871" s="46" t="str">
        <f t="shared" si="80"/>
        <v>-</v>
      </c>
      <c r="S871" s="46" t="str">
        <f t="shared" si="81"/>
        <v>-</v>
      </c>
    </row>
    <row r="872" spans="1:19" ht="15" x14ac:dyDescent="0.3">
      <c r="A872" s="74">
        <v>9152948</v>
      </c>
      <c r="B872" s="37">
        <v>4578</v>
      </c>
      <c r="C872" s="69">
        <v>76280045789</v>
      </c>
      <c r="D872" s="38" t="s">
        <v>969</v>
      </c>
      <c r="E872" s="64">
        <v>9.2668845599999994E-2</v>
      </c>
      <c r="F872" s="70">
        <v>12</v>
      </c>
      <c r="G872" s="38" t="s">
        <v>970</v>
      </c>
      <c r="H872" s="66" t="s">
        <v>1258</v>
      </c>
      <c r="I872" s="39">
        <v>5.4112499999999999</v>
      </c>
      <c r="J872" s="40"/>
      <c r="K872" s="75">
        <f t="shared" si="82"/>
        <v>0</v>
      </c>
      <c r="L872" s="41"/>
      <c r="N872" s="45" t="str">
        <f t="shared" si="78"/>
        <v>-</v>
      </c>
      <c r="O872" s="42" t="str">
        <f t="shared" si="83"/>
        <v>-</v>
      </c>
      <c r="P872" s="43" t="str">
        <f t="shared" si="79"/>
        <v>-</v>
      </c>
      <c r="Q872" s="46" t="str">
        <f t="shared" si="80"/>
        <v>-</v>
      </c>
      <c r="S872" s="46" t="str">
        <f t="shared" si="81"/>
        <v>-</v>
      </c>
    </row>
    <row r="873" spans="1:19" ht="15" x14ac:dyDescent="0.3">
      <c r="A873" s="74">
        <v>1823837</v>
      </c>
      <c r="B873" s="37">
        <v>4871</v>
      </c>
      <c r="C873" s="69">
        <v>76280048711</v>
      </c>
      <c r="D873" s="38" t="s">
        <v>973</v>
      </c>
      <c r="E873" s="64">
        <v>8.2372307199999995E-2</v>
      </c>
      <c r="F873" s="70">
        <v>12</v>
      </c>
      <c r="G873" s="38" t="s">
        <v>98</v>
      </c>
      <c r="H873" s="66" t="s">
        <v>1258</v>
      </c>
      <c r="I873" s="39">
        <v>11.16375</v>
      </c>
      <c r="J873" s="40"/>
      <c r="K873" s="75">
        <f t="shared" si="82"/>
        <v>0</v>
      </c>
      <c r="L873" s="41"/>
      <c r="N873" s="45" t="str">
        <f t="shared" si="78"/>
        <v>-</v>
      </c>
      <c r="O873" s="42" t="str">
        <f t="shared" si="83"/>
        <v>-</v>
      </c>
      <c r="P873" s="43" t="str">
        <f t="shared" si="79"/>
        <v>-</v>
      </c>
      <c r="Q873" s="46" t="str">
        <f t="shared" si="80"/>
        <v>-</v>
      </c>
      <c r="S873" s="46" t="str">
        <f t="shared" si="81"/>
        <v>-</v>
      </c>
    </row>
    <row r="874" spans="1:19" ht="15" x14ac:dyDescent="0.3">
      <c r="A874" s="74">
        <v>2452088</v>
      </c>
      <c r="B874" s="37">
        <v>230</v>
      </c>
      <c r="C874" s="69">
        <v>76280002300</v>
      </c>
      <c r="D874" s="38" t="s">
        <v>975</v>
      </c>
      <c r="E874" s="64">
        <v>8.7520576400000008E-2</v>
      </c>
      <c r="F874" s="70">
        <v>6</v>
      </c>
      <c r="G874" s="38" t="s">
        <v>154</v>
      </c>
      <c r="H874" s="66" t="s">
        <v>1258</v>
      </c>
      <c r="I874" s="39">
        <v>5.6062500000000002</v>
      </c>
      <c r="J874" s="40"/>
      <c r="K874" s="75">
        <f t="shared" si="82"/>
        <v>0</v>
      </c>
      <c r="L874" s="41"/>
      <c r="N874" s="45" t="str">
        <f t="shared" si="78"/>
        <v>-</v>
      </c>
      <c r="O874" s="42" t="str">
        <f t="shared" si="83"/>
        <v>-</v>
      </c>
      <c r="P874" s="43" t="str">
        <f t="shared" si="79"/>
        <v>-</v>
      </c>
      <c r="Q874" s="46" t="str">
        <f t="shared" si="80"/>
        <v>-</v>
      </c>
      <c r="S874" s="46" t="str">
        <f t="shared" si="81"/>
        <v>-</v>
      </c>
    </row>
    <row r="875" spans="1:19" ht="15" x14ac:dyDescent="0.3">
      <c r="A875" s="74">
        <v>6343012</v>
      </c>
      <c r="B875" s="37">
        <v>1540</v>
      </c>
      <c r="C875" s="69">
        <v>76280015409</v>
      </c>
      <c r="D875" s="38" t="s">
        <v>976</v>
      </c>
      <c r="E875" s="64">
        <v>9.7817114799999993E-2</v>
      </c>
      <c r="F875" s="70">
        <v>6</v>
      </c>
      <c r="G875" s="38" t="s">
        <v>665</v>
      </c>
      <c r="H875" s="66" t="s">
        <v>1258</v>
      </c>
      <c r="I875" s="39">
        <v>6.7762500000000001</v>
      </c>
      <c r="J875" s="40"/>
      <c r="K875" s="75">
        <f t="shared" si="82"/>
        <v>0</v>
      </c>
      <c r="L875" s="41"/>
      <c r="N875" s="45" t="str">
        <f t="shared" si="78"/>
        <v>-</v>
      </c>
      <c r="O875" s="42" t="str">
        <f t="shared" si="83"/>
        <v>-</v>
      </c>
      <c r="P875" s="43" t="str">
        <f t="shared" si="79"/>
        <v>-</v>
      </c>
      <c r="Q875" s="46" t="str">
        <f t="shared" si="80"/>
        <v>-</v>
      </c>
      <c r="S875" s="46" t="str">
        <f t="shared" si="81"/>
        <v>-</v>
      </c>
    </row>
    <row r="876" spans="1:19" ht="15" x14ac:dyDescent="0.3">
      <c r="A876" s="74">
        <v>3918130</v>
      </c>
      <c r="B876" s="37">
        <v>71705</v>
      </c>
      <c r="C876" s="69">
        <v>76280717051</v>
      </c>
      <c r="D876" s="38" t="s">
        <v>977</v>
      </c>
      <c r="E876" s="64">
        <v>6.6927499599999996E-2</v>
      </c>
      <c r="F876" s="70">
        <v>6</v>
      </c>
      <c r="G876" s="38" t="s">
        <v>870</v>
      </c>
      <c r="H876" s="66" t="s">
        <v>1258</v>
      </c>
      <c r="I876" s="39">
        <v>16.623750000000001</v>
      </c>
      <c r="J876" s="40"/>
      <c r="K876" s="75">
        <f t="shared" si="82"/>
        <v>0</v>
      </c>
      <c r="L876" s="41"/>
      <c r="N876" s="45" t="str">
        <f t="shared" si="78"/>
        <v>-</v>
      </c>
      <c r="O876" s="42" t="str">
        <f t="shared" si="83"/>
        <v>-</v>
      </c>
      <c r="P876" s="43" t="str">
        <f t="shared" si="79"/>
        <v>-</v>
      </c>
      <c r="Q876" s="46" t="str">
        <f t="shared" si="80"/>
        <v>-</v>
      </c>
      <c r="S876" s="46" t="str">
        <f t="shared" si="81"/>
        <v>-</v>
      </c>
    </row>
    <row r="877" spans="1:19" ht="15" x14ac:dyDescent="0.3">
      <c r="A877" s="74">
        <v>2457183</v>
      </c>
      <c r="B877" s="37">
        <v>27737</v>
      </c>
      <c r="C877" s="69">
        <v>76280277371</v>
      </c>
      <c r="D877" s="38" t="s">
        <v>979</v>
      </c>
      <c r="E877" s="64">
        <v>9.2668845599999994E-2</v>
      </c>
      <c r="F877" s="70">
        <v>6</v>
      </c>
      <c r="G877" s="38" t="s">
        <v>870</v>
      </c>
      <c r="H877" s="66" t="s">
        <v>1258</v>
      </c>
      <c r="I877" s="39">
        <v>6.63</v>
      </c>
      <c r="J877" s="40"/>
      <c r="K877" s="75">
        <f t="shared" si="82"/>
        <v>0</v>
      </c>
      <c r="L877" s="41"/>
      <c r="N877" s="45" t="str">
        <f t="shared" si="78"/>
        <v>-</v>
      </c>
      <c r="O877" s="42" t="str">
        <f t="shared" si="83"/>
        <v>-</v>
      </c>
      <c r="P877" s="43" t="str">
        <f t="shared" si="79"/>
        <v>-</v>
      </c>
      <c r="Q877" s="46" t="str">
        <f t="shared" si="80"/>
        <v>-</v>
      </c>
      <c r="S877" s="46" t="str">
        <f t="shared" si="81"/>
        <v>-</v>
      </c>
    </row>
    <row r="878" spans="1:19" ht="15" x14ac:dyDescent="0.3">
      <c r="A878" s="74">
        <v>5478763</v>
      </c>
      <c r="B878" s="37">
        <v>3659</v>
      </c>
      <c r="C878" s="69">
        <v>76280036596</v>
      </c>
      <c r="D878" s="38" t="s">
        <v>980</v>
      </c>
      <c r="E878" s="64">
        <v>6.1779230399999996E-2</v>
      </c>
      <c r="F878" s="70">
        <v>6</v>
      </c>
      <c r="G878" s="38" t="s">
        <v>34</v>
      </c>
      <c r="H878" s="66" t="s">
        <v>1258</v>
      </c>
      <c r="I878" s="39">
        <v>9.1650000000000009</v>
      </c>
      <c r="J878" s="40"/>
      <c r="K878" s="75">
        <f t="shared" si="82"/>
        <v>0</v>
      </c>
      <c r="L878" s="41"/>
      <c r="N878" s="45" t="str">
        <f t="shared" si="78"/>
        <v>-</v>
      </c>
      <c r="O878" s="42" t="str">
        <f t="shared" si="83"/>
        <v>-</v>
      </c>
      <c r="P878" s="43" t="str">
        <f t="shared" si="79"/>
        <v>-</v>
      </c>
      <c r="Q878" s="46" t="str">
        <f t="shared" si="80"/>
        <v>-</v>
      </c>
      <c r="S878" s="46" t="str">
        <f t="shared" si="81"/>
        <v>-</v>
      </c>
    </row>
    <row r="879" spans="1:19" ht="15" x14ac:dyDescent="0.3">
      <c r="A879" s="74">
        <v>1684000</v>
      </c>
      <c r="B879" s="37">
        <v>11101</v>
      </c>
      <c r="C879" s="69">
        <v>76280111019</v>
      </c>
      <c r="D879" s="38" t="s">
        <v>980</v>
      </c>
      <c r="E879" s="64">
        <v>9.2668845599999994E-2</v>
      </c>
      <c r="F879" s="70">
        <v>6</v>
      </c>
      <c r="G879" s="38" t="s">
        <v>364</v>
      </c>
      <c r="H879" s="66" t="s">
        <v>1258</v>
      </c>
      <c r="I879" s="39">
        <v>17.403750000000002</v>
      </c>
      <c r="J879" s="40"/>
      <c r="K879" s="75">
        <f t="shared" si="82"/>
        <v>0</v>
      </c>
      <c r="L879" s="41"/>
      <c r="N879" s="45" t="str">
        <f t="shared" si="78"/>
        <v>-</v>
      </c>
      <c r="O879" s="42" t="str">
        <f t="shared" si="83"/>
        <v>-</v>
      </c>
      <c r="P879" s="43" t="str">
        <f t="shared" si="79"/>
        <v>-</v>
      </c>
      <c r="Q879" s="46" t="str">
        <f t="shared" si="80"/>
        <v>-</v>
      </c>
      <c r="S879" s="46" t="str">
        <f t="shared" si="81"/>
        <v>-</v>
      </c>
    </row>
    <row r="880" spans="1:19" ht="15" x14ac:dyDescent="0.3">
      <c r="A880" s="74">
        <v>3805800</v>
      </c>
      <c r="B880" s="37">
        <v>55387</v>
      </c>
      <c r="C880" s="69">
        <v>76280553871</v>
      </c>
      <c r="D880" s="38" t="s">
        <v>982</v>
      </c>
      <c r="E880" s="64">
        <v>0.22137557559999999</v>
      </c>
      <c r="F880" s="70">
        <v>6</v>
      </c>
      <c r="G880" s="38" t="s">
        <v>63</v>
      </c>
      <c r="H880" s="66" t="s">
        <v>1258</v>
      </c>
      <c r="I880" s="39">
        <v>15.84375</v>
      </c>
      <c r="J880" s="40"/>
      <c r="K880" s="75">
        <f t="shared" si="82"/>
        <v>0</v>
      </c>
      <c r="L880" s="41"/>
      <c r="N880" s="45" t="str">
        <f t="shared" si="78"/>
        <v>-</v>
      </c>
      <c r="O880" s="42" t="str">
        <f t="shared" si="83"/>
        <v>-</v>
      </c>
      <c r="P880" s="43" t="str">
        <f t="shared" si="79"/>
        <v>-</v>
      </c>
      <c r="Q880" s="46" t="str">
        <f t="shared" si="80"/>
        <v>-</v>
      </c>
      <c r="S880" s="46" t="str">
        <f t="shared" si="81"/>
        <v>-</v>
      </c>
    </row>
    <row r="881" spans="1:19" ht="15" x14ac:dyDescent="0.3">
      <c r="A881" s="74">
        <v>3100852</v>
      </c>
      <c r="B881" s="37">
        <v>56619</v>
      </c>
      <c r="C881" s="69">
        <v>76280566192</v>
      </c>
      <c r="D881" s="38" t="s">
        <v>983</v>
      </c>
      <c r="E881" s="64">
        <v>0.21622730639999999</v>
      </c>
      <c r="F881" s="70">
        <v>6</v>
      </c>
      <c r="G881" s="38" t="s">
        <v>364</v>
      </c>
      <c r="H881" s="66" t="s">
        <v>1258</v>
      </c>
      <c r="I881" s="39">
        <v>20.669999999999998</v>
      </c>
      <c r="J881" s="40"/>
      <c r="K881" s="75">
        <f t="shared" si="82"/>
        <v>0</v>
      </c>
      <c r="L881" s="41"/>
      <c r="N881" s="45" t="str">
        <f t="shared" si="78"/>
        <v>-</v>
      </c>
      <c r="O881" s="42" t="str">
        <f t="shared" si="83"/>
        <v>-</v>
      </c>
      <c r="P881" s="43" t="str">
        <f t="shared" si="79"/>
        <v>-</v>
      </c>
      <c r="Q881" s="46" t="str">
        <f t="shared" si="80"/>
        <v>-</v>
      </c>
      <c r="S881" s="46" t="str">
        <f t="shared" si="81"/>
        <v>-</v>
      </c>
    </row>
    <row r="882" spans="1:19" ht="15" x14ac:dyDescent="0.3">
      <c r="A882" s="74">
        <v>6999469</v>
      </c>
      <c r="B882" s="37">
        <v>22963</v>
      </c>
      <c r="C882" s="69">
        <v>76280229639</v>
      </c>
      <c r="D882" s="38" t="s">
        <v>986</v>
      </c>
      <c r="E882" s="64">
        <v>5.6750000000000002E-2</v>
      </c>
      <c r="F882" s="70">
        <v>6</v>
      </c>
      <c r="G882" s="38" t="s">
        <v>135</v>
      </c>
      <c r="H882" s="66" t="s">
        <v>1258</v>
      </c>
      <c r="I882" s="39">
        <v>16.818750000000001</v>
      </c>
      <c r="J882" s="40"/>
      <c r="K882" s="75">
        <f t="shared" si="82"/>
        <v>0</v>
      </c>
      <c r="L882" s="41"/>
      <c r="N882" s="45" t="str">
        <f t="shared" si="78"/>
        <v>-</v>
      </c>
      <c r="O882" s="42" t="str">
        <f t="shared" si="83"/>
        <v>-</v>
      </c>
      <c r="P882" s="43" t="str">
        <f t="shared" si="79"/>
        <v>-</v>
      </c>
      <c r="Q882" s="46" t="str">
        <f t="shared" si="80"/>
        <v>-</v>
      </c>
      <c r="S882" s="46" t="str">
        <f t="shared" si="81"/>
        <v>-</v>
      </c>
    </row>
    <row r="883" spans="1:19" ht="15" x14ac:dyDescent="0.3">
      <c r="A883" s="74">
        <v>1748387</v>
      </c>
      <c r="B883" s="37">
        <v>16932</v>
      </c>
      <c r="C883" s="69">
        <v>76280169324</v>
      </c>
      <c r="D883" s="38" t="s">
        <v>987</v>
      </c>
      <c r="E883" s="64">
        <v>6.1779230399999996E-2</v>
      </c>
      <c r="F883" s="70">
        <v>6</v>
      </c>
      <c r="G883" s="38" t="s">
        <v>34</v>
      </c>
      <c r="H883" s="66" t="s">
        <v>1258</v>
      </c>
      <c r="I883" s="39">
        <v>15.20025</v>
      </c>
      <c r="J883" s="40"/>
      <c r="K883" s="75">
        <f t="shared" si="82"/>
        <v>0</v>
      </c>
      <c r="L883" s="41"/>
      <c r="N883" s="45" t="str">
        <f t="shared" si="78"/>
        <v>-</v>
      </c>
      <c r="O883" s="42" t="str">
        <f t="shared" si="83"/>
        <v>-</v>
      </c>
      <c r="P883" s="43" t="str">
        <f t="shared" si="79"/>
        <v>-</v>
      </c>
      <c r="Q883" s="46" t="str">
        <f t="shared" si="80"/>
        <v>-</v>
      </c>
      <c r="S883" s="46" t="str">
        <f t="shared" si="81"/>
        <v>-</v>
      </c>
    </row>
    <row r="884" spans="1:19" ht="15" x14ac:dyDescent="0.3">
      <c r="A884" s="74">
        <v>1456202</v>
      </c>
      <c r="B884" s="37">
        <v>1115</v>
      </c>
      <c r="C884" s="69">
        <v>76280011159</v>
      </c>
      <c r="D884" s="38" t="s">
        <v>989</v>
      </c>
      <c r="E884" s="64">
        <v>8.7520576400000008E-2</v>
      </c>
      <c r="F884" s="70">
        <v>6</v>
      </c>
      <c r="G884" s="38" t="s">
        <v>735</v>
      </c>
      <c r="H884" s="66" t="s">
        <v>1258</v>
      </c>
      <c r="I884" s="39">
        <v>6.4350000000000005</v>
      </c>
      <c r="J884" s="40"/>
      <c r="K884" s="75">
        <f t="shared" si="82"/>
        <v>0</v>
      </c>
      <c r="L884" s="41"/>
      <c r="N884" s="45" t="str">
        <f t="shared" si="78"/>
        <v>-</v>
      </c>
      <c r="O884" s="42" t="str">
        <f t="shared" si="83"/>
        <v>-</v>
      </c>
      <c r="P884" s="43" t="str">
        <f t="shared" si="79"/>
        <v>-</v>
      </c>
      <c r="Q884" s="46" t="str">
        <f t="shared" si="80"/>
        <v>-</v>
      </c>
      <c r="S884" s="46" t="str">
        <f t="shared" si="81"/>
        <v>-</v>
      </c>
    </row>
    <row r="885" spans="1:19" ht="15" x14ac:dyDescent="0.3">
      <c r="A885" s="74">
        <v>5597276</v>
      </c>
      <c r="B885" s="37">
        <v>4385</v>
      </c>
      <c r="C885" s="69">
        <v>76280043853</v>
      </c>
      <c r="D885" s="38" t="s">
        <v>990</v>
      </c>
      <c r="E885" s="64">
        <v>0.16474461439999999</v>
      </c>
      <c r="F885" s="70">
        <v>6</v>
      </c>
      <c r="G885" s="38" t="s">
        <v>991</v>
      </c>
      <c r="H885" s="66" t="s">
        <v>1258</v>
      </c>
      <c r="I885" s="39">
        <v>10.578749999999999</v>
      </c>
      <c r="J885" s="40"/>
      <c r="K885" s="75">
        <f t="shared" si="82"/>
        <v>0</v>
      </c>
      <c r="L885" s="41"/>
      <c r="N885" s="45" t="str">
        <f t="shared" si="78"/>
        <v>-</v>
      </c>
      <c r="O885" s="42" t="str">
        <f t="shared" si="83"/>
        <v>-</v>
      </c>
      <c r="P885" s="43" t="str">
        <f t="shared" si="79"/>
        <v>-</v>
      </c>
      <c r="Q885" s="46" t="str">
        <f t="shared" si="80"/>
        <v>-</v>
      </c>
      <c r="S885" s="46" t="str">
        <f t="shared" si="81"/>
        <v>-</v>
      </c>
    </row>
    <row r="886" spans="1:19" ht="15" x14ac:dyDescent="0.3">
      <c r="A886" s="74">
        <v>6596098</v>
      </c>
      <c r="B886" s="37">
        <v>3470</v>
      </c>
      <c r="C886" s="69">
        <v>76280034707</v>
      </c>
      <c r="D886" s="38" t="s">
        <v>992</v>
      </c>
      <c r="E886" s="64">
        <v>7.7224037999999995E-2</v>
      </c>
      <c r="F886" s="70">
        <v>6</v>
      </c>
      <c r="G886" s="38" t="s">
        <v>98</v>
      </c>
      <c r="H886" s="66" t="s">
        <v>1258</v>
      </c>
      <c r="I886" s="39">
        <v>9.6524999999999999</v>
      </c>
      <c r="J886" s="40"/>
      <c r="K886" s="75">
        <f t="shared" si="82"/>
        <v>0</v>
      </c>
      <c r="L886" s="41"/>
      <c r="N886" s="45" t="str">
        <f t="shared" si="78"/>
        <v>-</v>
      </c>
      <c r="O886" s="42" t="str">
        <f t="shared" si="83"/>
        <v>-</v>
      </c>
      <c r="P886" s="43" t="str">
        <f t="shared" si="79"/>
        <v>-</v>
      </c>
      <c r="Q886" s="46" t="str">
        <f t="shared" si="80"/>
        <v>-</v>
      </c>
      <c r="S886" s="46" t="str">
        <f t="shared" si="81"/>
        <v>-</v>
      </c>
    </row>
    <row r="887" spans="1:19" ht="15" x14ac:dyDescent="0.3">
      <c r="A887" s="74">
        <v>9422005</v>
      </c>
      <c r="B887" s="37">
        <v>3905</v>
      </c>
      <c r="C887" s="69">
        <v>76280039054</v>
      </c>
      <c r="D887" s="38" t="s">
        <v>994</v>
      </c>
      <c r="E887" s="64">
        <v>5.6750000000000002E-2</v>
      </c>
      <c r="F887" s="70">
        <v>6</v>
      </c>
      <c r="G887" s="38" t="s">
        <v>995</v>
      </c>
      <c r="H887" s="66" t="s">
        <v>1258</v>
      </c>
      <c r="I887" s="39">
        <v>8.9699999999999989</v>
      </c>
      <c r="J887" s="40"/>
      <c r="K887" s="75">
        <f t="shared" si="82"/>
        <v>0</v>
      </c>
      <c r="L887" s="41"/>
      <c r="N887" s="45" t="str">
        <f t="shared" si="78"/>
        <v>-</v>
      </c>
      <c r="O887" s="42" t="str">
        <f t="shared" si="83"/>
        <v>-</v>
      </c>
      <c r="P887" s="43" t="str">
        <f t="shared" si="79"/>
        <v>-</v>
      </c>
      <c r="Q887" s="46" t="str">
        <f t="shared" si="80"/>
        <v>-</v>
      </c>
      <c r="S887" s="46" t="str">
        <f t="shared" si="81"/>
        <v>-</v>
      </c>
    </row>
    <row r="888" spans="1:19" ht="15" x14ac:dyDescent="0.3">
      <c r="A888" s="74">
        <v>1647362</v>
      </c>
      <c r="B888" s="37">
        <v>3775</v>
      </c>
      <c r="C888" s="69">
        <v>76280037753</v>
      </c>
      <c r="D888" s="38" t="s">
        <v>908</v>
      </c>
      <c r="E888" s="64">
        <v>6.1779230399999996E-2</v>
      </c>
      <c r="F888" s="70">
        <v>6</v>
      </c>
      <c r="G888" s="38" t="s">
        <v>648</v>
      </c>
      <c r="H888" s="66" t="s">
        <v>1258</v>
      </c>
      <c r="I888" s="39">
        <v>9.1650000000000009</v>
      </c>
      <c r="J888" s="40"/>
      <c r="K888" s="75">
        <f t="shared" si="82"/>
        <v>0</v>
      </c>
      <c r="L888" s="41"/>
      <c r="N888" s="45" t="str">
        <f t="shared" si="78"/>
        <v>-</v>
      </c>
      <c r="O888" s="42" t="str">
        <f t="shared" si="83"/>
        <v>-</v>
      </c>
      <c r="P888" s="43" t="str">
        <f t="shared" si="79"/>
        <v>-</v>
      </c>
      <c r="Q888" s="46" t="str">
        <f t="shared" si="80"/>
        <v>-</v>
      </c>
      <c r="S888" s="46" t="str">
        <f t="shared" si="81"/>
        <v>-</v>
      </c>
    </row>
    <row r="889" spans="1:19" ht="15" x14ac:dyDescent="0.3">
      <c r="A889" s="74">
        <v>1675603</v>
      </c>
      <c r="B889" s="37">
        <v>3776</v>
      </c>
      <c r="C889" s="69">
        <v>76280037760</v>
      </c>
      <c r="D889" s="38" t="s">
        <v>908</v>
      </c>
      <c r="E889" s="64">
        <v>8.7520576400000008E-2</v>
      </c>
      <c r="F889" s="70">
        <v>6</v>
      </c>
      <c r="G889" s="38" t="s">
        <v>996</v>
      </c>
      <c r="H889" s="66" t="s">
        <v>1258</v>
      </c>
      <c r="I889" s="39">
        <v>16.8675</v>
      </c>
      <c r="J889" s="40"/>
      <c r="K889" s="75">
        <f t="shared" si="82"/>
        <v>0</v>
      </c>
      <c r="L889" s="41"/>
      <c r="N889" s="45" t="str">
        <f t="shared" si="78"/>
        <v>-</v>
      </c>
      <c r="O889" s="42" t="str">
        <f t="shared" si="83"/>
        <v>-</v>
      </c>
      <c r="P889" s="43" t="str">
        <f t="shared" si="79"/>
        <v>-</v>
      </c>
      <c r="Q889" s="46" t="str">
        <f t="shared" si="80"/>
        <v>-</v>
      </c>
      <c r="S889" s="46" t="str">
        <f t="shared" si="81"/>
        <v>-</v>
      </c>
    </row>
    <row r="890" spans="1:19" ht="15" x14ac:dyDescent="0.3">
      <c r="A890" s="74">
        <v>8619829</v>
      </c>
      <c r="B890" s="37">
        <v>84581</v>
      </c>
      <c r="C890" s="69">
        <v>76280845815</v>
      </c>
      <c r="D890" s="38" t="s">
        <v>997</v>
      </c>
      <c r="E890" s="64">
        <v>7.7224037999999995E-2</v>
      </c>
      <c r="F890" s="70">
        <v>6</v>
      </c>
      <c r="G890" s="38" t="s">
        <v>98</v>
      </c>
      <c r="H890" s="66" t="s">
        <v>1258</v>
      </c>
      <c r="I890" s="39">
        <v>20.231250000000003</v>
      </c>
      <c r="J890" s="40"/>
      <c r="K890" s="75">
        <f t="shared" si="82"/>
        <v>0</v>
      </c>
      <c r="L890" s="41"/>
      <c r="N890" s="45" t="str">
        <f t="shared" si="78"/>
        <v>-</v>
      </c>
      <c r="O890" s="42" t="str">
        <f t="shared" si="83"/>
        <v>-</v>
      </c>
      <c r="P890" s="43" t="str">
        <f t="shared" si="79"/>
        <v>-</v>
      </c>
      <c r="Q890" s="46" t="str">
        <f t="shared" si="80"/>
        <v>-</v>
      </c>
      <c r="S890" s="46" t="str">
        <f t="shared" si="81"/>
        <v>-</v>
      </c>
    </row>
    <row r="891" spans="1:19" ht="15" x14ac:dyDescent="0.3">
      <c r="A891" s="74">
        <v>5456039</v>
      </c>
      <c r="B891" s="37">
        <v>12435</v>
      </c>
      <c r="C891" s="69">
        <v>76280124354</v>
      </c>
      <c r="D891" s="38" t="s">
        <v>1000</v>
      </c>
      <c r="E891" s="64">
        <v>0.15444807599999999</v>
      </c>
      <c r="F891" s="70">
        <v>6</v>
      </c>
      <c r="G891" s="38" t="s">
        <v>1001</v>
      </c>
      <c r="H891" s="66" t="s">
        <v>1258</v>
      </c>
      <c r="I891" s="39">
        <v>16.916250000000002</v>
      </c>
      <c r="J891" s="40"/>
      <c r="K891" s="75">
        <f t="shared" si="82"/>
        <v>0</v>
      </c>
      <c r="L891" s="41"/>
      <c r="N891" s="45" t="str">
        <f t="shared" si="78"/>
        <v>-</v>
      </c>
      <c r="O891" s="42" t="str">
        <f t="shared" si="83"/>
        <v>-</v>
      </c>
      <c r="P891" s="43" t="str">
        <f t="shared" si="79"/>
        <v>-</v>
      </c>
      <c r="Q891" s="46" t="str">
        <f t="shared" si="80"/>
        <v>-</v>
      </c>
      <c r="S891" s="46" t="str">
        <f t="shared" si="81"/>
        <v>-</v>
      </c>
    </row>
    <row r="892" spans="1:19" ht="15" x14ac:dyDescent="0.3">
      <c r="A892" s="74">
        <v>2265366</v>
      </c>
      <c r="B892" s="37">
        <v>32957</v>
      </c>
      <c r="C892" s="69">
        <v>76280329575</v>
      </c>
      <c r="D892" s="38" t="s">
        <v>1003</v>
      </c>
      <c r="E892" s="64">
        <v>7.7224037999999995E-2</v>
      </c>
      <c r="F892" s="70">
        <v>12</v>
      </c>
      <c r="G892" s="38" t="s">
        <v>34</v>
      </c>
      <c r="H892" s="66" t="s">
        <v>1258</v>
      </c>
      <c r="I892" s="39">
        <v>12.967500000000001</v>
      </c>
      <c r="J892" s="40"/>
      <c r="K892" s="75">
        <f t="shared" si="82"/>
        <v>0</v>
      </c>
      <c r="L892" s="41"/>
      <c r="N892" s="45" t="str">
        <f t="shared" si="78"/>
        <v>-</v>
      </c>
      <c r="O892" s="42" t="str">
        <f t="shared" si="83"/>
        <v>-</v>
      </c>
      <c r="P892" s="43" t="str">
        <f t="shared" si="79"/>
        <v>-</v>
      </c>
      <c r="Q892" s="46" t="str">
        <f t="shared" si="80"/>
        <v>-</v>
      </c>
      <c r="S892" s="46" t="str">
        <f t="shared" si="81"/>
        <v>-</v>
      </c>
    </row>
    <row r="893" spans="1:19" ht="15" x14ac:dyDescent="0.3">
      <c r="A893" s="74">
        <v>9903169</v>
      </c>
      <c r="B893" s="37">
        <v>1490</v>
      </c>
      <c r="C893" s="69">
        <v>76280014907</v>
      </c>
      <c r="D893" s="38" t="s">
        <v>1004</v>
      </c>
      <c r="E893" s="64">
        <v>8.7520576400000008E-2</v>
      </c>
      <c r="F893" s="70">
        <v>6</v>
      </c>
      <c r="G893" s="38" t="s">
        <v>409</v>
      </c>
      <c r="H893" s="66" t="s">
        <v>1258</v>
      </c>
      <c r="I893" s="39">
        <v>5.8012500000000005</v>
      </c>
      <c r="J893" s="40"/>
      <c r="K893" s="75">
        <f t="shared" si="82"/>
        <v>0</v>
      </c>
      <c r="L893" s="41"/>
      <c r="N893" s="45" t="str">
        <f t="shared" si="78"/>
        <v>-</v>
      </c>
      <c r="O893" s="42" t="str">
        <f t="shared" si="83"/>
        <v>-</v>
      </c>
      <c r="P893" s="43" t="str">
        <f t="shared" si="79"/>
        <v>-</v>
      </c>
      <c r="Q893" s="46" t="str">
        <f t="shared" si="80"/>
        <v>-</v>
      </c>
      <c r="S893" s="46" t="str">
        <f t="shared" si="81"/>
        <v>-</v>
      </c>
    </row>
    <row r="894" spans="1:19" ht="15" x14ac:dyDescent="0.3">
      <c r="A894" s="74">
        <v>6599476</v>
      </c>
      <c r="B894" s="37">
        <v>9012</v>
      </c>
      <c r="C894" s="69">
        <v>76280090123</v>
      </c>
      <c r="D894" s="38" t="s">
        <v>1005</v>
      </c>
      <c r="E894" s="64">
        <v>8.7520576400000008E-2</v>
      </c>
      <c r="F894" s="70">
        <v>6</v>
      </c>
      <c r="G894" s="38" t="s">
        <v>332</v>
      </c>
      <c r="H894" s="66" t="s">
        <v>1258</v>
      </c>
      <c r="I894" s="39">
        <v>19.5</v>
      </c>
      <c r="J894" s="40"/>
      <c r="K894" s="75">
        <f t="shared" si="82"/>
        <v>0</v>
      </c>
      <c r="L894" s="41"/>
      <c r="N894" s="45" t="str">
        <f t="shared" si="78"/>
        <v>-</v>
      </c>
      <c r="O894" s="42" t="str">
        <f t="shared" si="83"/>
        <v>-</v>
      </c>
      <c r="P894" s="43" t="str">
        <f t="shared" si="79"/>
        <v>-</v>
      </c>
      <c r="Q894" s="46" t="str">
        <f t="shared" si="80"/>
        <v>-</v>
      </c>
      <c r="S894" s="46" t="str">
        <f t="shared" si="81"/>
        <v>-</v>
      </c>
    </row>
    <row r="895" spans="1:19" ht="15" x14ac:dyDescent="0.3">
      <c r="A895" s="74">
        <v>9935892</v>
      </c>
      <c r="B895" s="37">
        <v>3416</v>
      </c>
      <c r="C895" s="69">
        <v>76280034165</v>
      </c>
      <c r="D895" s="38" t="s">
        <v>1006</v>
      </c>
      <c r="E895" s="64">
        <v>9.7817114799999993E-2</v>
      </c>
      <c r="F895" s="70">
        <v>6</v>
      </c>
      <c r="G895" s="38" t="s">
        <v>1007</v>
      </c>
      <c r="H895" s="66" t="s">
        <v>1258</v>
      </c>
      <c r="I895" s="39">
        <v>11.407499999999999</v>
      </c>
      <c r="J895" s="40"/>
      <c r="K895" s="75">
        <f t="shared" si="82"/>
        <v>0</v>
      </c>
      <c r="L895" s="41"/>
      <c r="N895" s="45" t="str">
        <f t="shared" si="78"/>
        <v>-</v>
      </c>
      <c r="O895" s="42" t="str">
        <f t="shared" si="83"/>
        <v>-</v>
      </c>
      <c r="P895" s="43" t="str">
        <f t="shared" si="79"/>
        <v>-</v>
      </c>
      <c r="Q895" s="46" t="str">
        <f t="shared" si="80"/>
        <v>-</v>
      </c>
      <c r="S895" s="46" t="str">
        <f t="shared" si="81"/>
        <v>-</v>
      </c>
    </row>
    <row r="896" spans="1:19" ht="15" x14ac:dyDescent="0.3">
      <c r="A896" s="74">
        <v>9982227</v>
      </c>
      <c r="B896" s="37">
        <v>10746</v>
      </c>
      <c r="C896" s="69">
        <v>76280107463</v>
      </c>
      <c r="D896" s="38" t="s">
        <v>1008</v>
      </c>
      <c r="E896" s="64">
        <v>6.1779230399999996E-2</v>
      </c>
      <c r="F896" s="70">
        <v>6</v>
      </c>
      <c r="G896" s="38" t="s">
        <v>338</v>
      </c>
      <c r="H896" s="66" t="s">
        <v>1258</v>
      </c>
      <c r="I896" s="39">
        <v>7.5075000000000003</v>
      </c>
      <c r="J896" s="40"/>
      <c r="K896" s="75">
        <f t="shared" si="82"/>
        <v>0</v>
      </c>
      <c r="L896" s="41"/>
      <c r="N896" s="45" t="str">
        <f t="shared" si="78"/>
        <v>-</v>
      </c>
      <c r="O896" s="42" t="str">
        <f t="shared" si="83"/>
        <v>-</v>
      </c>
      <c r="P896" s="43" t="str">
        <f t="shared" si="79"/>
        <v>-</v>
      </c>
      <c r="Q896" s="46" t="str">
        <f t="shared" si="80"/>
        <v>-</v>
      </c>
      <c r="S896" s="46" t="str">
        <f t="shared" si="81"/>
        <v>-</v>
      </c>
    </row>
    <row r="897" spans="1:19" ht="15" x14ac:dyDescent="0.3">
      <c r="A897" s="74">
        <v>2593636</v>
      </c>
      <c r="B897" s="37">
        <v>1260</v>
      </c>
      <c r="C897" s="69">
        <v>76280012606</v>
      </c>
      <c r="D897" s="38" t="s">
        <v>1009</v>
      </c>
      <c r="E897" s="64">
        <v>9.2668845599999994E-2</v>
      </c>
      <c r="F897" s="70">
        <v>6</v>
      </c>
      <c r="G897" s="38" t="s">
        <v>665</v>
      </c>
      <c r="H897" s="66" t="s">
        <v>1258</v>
      </c>
      <c r="I897" s="39">
        <v>6.4350000000000005</v>
      </c>
      <c r="J897" s="40"/>
      <c r="K897" s="75">
        <f t="shared" si="82"/>
        <v>0</v>
      </c>
      <c r="L897" s="41"/>
      <c r="N897" s="45" t="str">
        <f t="shared" si="78"/>
        <v>-</v>
      </c>
      <c r="O897" s="42" t="str">
        <f t="shared" si="83"/>
        <v>-</v>
      </c>
      <c r="P897" s="43" t="str">
        <f t="shared" si="79"/>
        <v>-</v>
      </c>
      <c r="Q897" s="46" t="str">
        <f t="shared" si="80"/>
        <v>-</v>
      </c>
      <c r="S897" s="46" t="str">
        <f t="shared" si="81"/>
        <v>-</v>
      </c>
    </row>
    <row r="898" spans="1:19" ht="15" x14ac:dyDescent="0.3">
      <c r="A898" s="74">
        <v>7190509</v>
      </c>
      <c r="B898" s="37">
        <v>3768</v>
      </c>
      <c r="C898" s="69">
        <v>76280037685</v>
      </c>
      <c r="D898" s="38" t="s">
        <v>1012</v>
      </c>
      <c r="E898" s="64">
        <v>0.15959634519999999</v>
      </c>
      <c r="F898" s="70">
        <v>6</v>
      </c>
      <c r="G898" s="38" t="s">
        <v>364</v>
      </c>
      <c r="H898" s="66" t="s">
        <v>1258</v>
      </c>
      <c r="I898" s="39">
        <v>25.545000000000002</v>
      </c>
      <c r="J898" s="40"/>
      <c r="K898" s="75">
        <f t="shared" si="82"/>
        <v>0</v>
      </c>
      <c r="L898" s="41"/>
      <c r="N898" s="45" t="str">
        <f t="shared" si="78"/>
        <v>-</v>
      </c>
      <c r="O898" s="42" t="str">
        <f t="shared" si="83"/>
        <v>-</v>
      </c>
      <c r="P898" s="43" t="str">
        <f t="shared" si="79"/>
        <v>-</v>
      </c>
      <c r="Q898" s="46" t="str">
        <f t="shared" si="80"/>
        <v>-</v>
      </c>
      <c r="S898" s="46" t="str">
        <f t="shared" si="81"/>
        <v>-</v>
      </c>
    </row>
    <row r="899" spans="1:19" ht="15" x14ac:dyDescent="0.3">
      <c r="A899" s="74">
        <v>5784535</v>
      </c>
      <c r="B899" s="37">
        <v>39913</v>
      </c>
      <c r="C899" s="69">
        <v>76280399134</v>
      </c>
      <c r="D899" s="38" t="s">
        <v>1022</v>
      </c>
      <c r="E899" s="64">
        <v>6.6927499599999996E-2</v>
      </c>
      <c r="F899" s="70">
        <v>6</v>
      </c>
      <c r="G899" s="38" t="s">
        <v>626</v>
      </c>
      <c r="H899" s="66" t="s">
        <v>1258</v>
      </c>
      <c r="I899" s="39">
        <v>11.895</v>
      </c>
      <c r="J899" s="40"/>
      <c r="K899" s="75">
        <f t="shared" si="82"/>
        <v>0</v>
      </c>
      <c r="L899" s="41"/>
      <c r="N899" s="45" t="str">
        <f t="shared" ref="N899:N962" si="84">IFERROR(IF($N$2*E899=0, "-", $N$2*E899), "-")</f>
        <v>-</v>
      </c>
      <c r="O899" s="42" t="str">
        <f t="shared" si="83"/>
        <v>-</v>
      </c>
      <c r="P899" s="43" t="str">
        <f t="shared" ref="P899:P962" si="85">IF(J899&gt;0,J899*E899, "-")</f>
        <v>-</v>
      </c>
      <c r="Q899" s="46" t="str">
        <f t="shared" ref="Q899:Q962" si="86">IFERROR(IF($N$2&gt;0, $N$2*P899, "-"), "-")</f>
        <v>-</v>
      </c>
      <c r="S899" s="46" t="str">
        <f t="shared" ref="S899:S962" si="87">IFERROR(IF(Q899+K899=0, "-", IF(Q899&gt;0, Q899+K899, "-")), "-")</f>
        <v>-</v>
      </c>
    </row>
    <row r="900" spans="1:19" ht="15" x14ac:dyDescent="0.3">
      <c r="A900" s="74">
        <v>6918239</v>
      </c>
      <c r="B900" s="37">
        <v>82481</v>
      </c>
      <c r="C900" s="69">
        <v>76280824810</v>
      </c>
      <c r="D900" s="38" t="s">
        <v>1024</v>
      </c>
      <c r="E900" s="64">
        <v>5.6750000000000002E-2</v>
      </c>
      <c r="F900" s="70">
        <v>6</v>
      </c>
      <c r="G900" s="38" t="s">
        <v>160</v>
      </c>
      <c r="H900" s="66" t="s">
        <v>1258</v>
      </c>
      <c r="I900" s="39">
        <v>18.57375</v>
      </c>
      <c r="J900" s="40"/>
      <c r="K900" s="75">
        <f t="shared" ref="K900:K963" si="88">J900*I900</f>
        <v>0</v>
      </c>
      <c r="L900" s="41"/>
      <c r="N900" s="45" t="str">
        <f t="shared" si="84"/>
        <v>-</v>
      </c>
      <c r="O900" s="42" t="str">
        <f t="shared" ref="O900:O963" si="89">IFERROR(IF(N900&gt;0,I900+N900,"-"),"-")</f>
        <v>-</v>
      </c>
      <c r="P900" s="43" t="str">
        <f t="shared" si="85"/>
        <v>-</v>
      </c>
      <c r="Q900" s="46" t="str">
        <f t="shared" si="86"/>
        <v>-</v>
      </c>
      <c r="S900" s="46" t="str">
        <f t="shared" si="87"/>
        <v>-</v>
      </c>
    </row>
    <row r="901" spans="1:19" ht="15" x14ac:dyDescent="0.3">
      <c r="A901" s="74">
        <v>7834422</v>
      </c>
      <c r="B901" s="37">
        <v>12740</v>
      </c>
      <c r="C901" s="69">
        <v>76280127409</v>
      </c>
      <c r="D901" s="38" t="s">
        <v>661</v>
      </c>
      <c r="E901" s="64">
        <v>6.1779230399999996E-2</v>
      </c>
      <c r="F901" s="70">
        <v>12</v>
      </c>
      <c r="G901" s="38" t="s">
        <v>285</v>
      </c>
      <c r="H901" s="66" t="s">
        <v>1258</v>
      </c>
      <c r="I901" s="39">
        <v>5.3137500000000006</v>
      </c>
      <c r="J901" s="40"/>
      <c r="K901" s="75">
        <f t="shared" si="88"/>
        <v>0</v>
      </c>
      <c r="L901" s="41"/>
      <c r="N901" s="45" t="str">
        <f t="shared" si="84"/>
        <v>-</v>
      </c>
      <c r="O901" s="42" t="str">
        <f t="shared" si="89"/>
        <v>-</v>
      </c>
      <c r="P901" s="43" t="str">
        <f t="shared" si="85"/>
        <v>-</v>
      </c>
      <c r="Q901" s="46" t="str">
        <f t="shared" si="86"/>
        <v>-</v>
      </c>
      <c r="S901" s="46" t="str">
        <f t="shared" si="87"/>
        <v>-</v>
      </c>
    </row>
    <row r="902" spans="1:19" ht="15" x14ac:dyDescent="0.3">
      <c r="A902" s="74">
        <v>3812205</v>
      </c>
      <c r="B902" s="37">
        <v>37586</v>
      </c>
      <c r="C902" s="69">
        <v>76280375862</v>
      </c>
      <c r="D902" s="38" t="s">
        <v>1030</v>
      </c>
      <c r="E902" s="64">
        <v>5.6750000000000002E-2</v>
      </c>
      <c r="F902" s="70">
        <v>6</v>
      </c>
      <c r="G902" s="38" t="s">
        <v>135</v>
      </c>
      <c r="H902" s="66" t="s">
        <v>1258</v>
      </c>
      <c r="I902" s="39">
        <v>16.721249999999998</v>
      </c>
      <c r="J902" s="40"/>
      <c r="K902" s="75">
        <f t="shared" si="88"/>
        <v>0</v>
      </c>
      <c r="L902" s="41"/>
      <c r="N902" s="45" t="str">
        <f t="shared" si="84"/>
        <v>-</v>
      </c>
      <c r="O902" s="42" t="str">
        <f t="shared" si="89"/>
        <v>-</v>
      </c>
      <c r="P902" s="43" t="str">
        <f t="shared" si="85"/>
        <v>-</v>
      </c>
      <c r="Q902" s="46" t="str">
        <f t="shared" si="86"/>
        <v>-</v>
      </c>
      <c r="S902" s="46" t="str">
        <f t="shared" si="87"/>
        <v>-</v>
      </c>
    </row>
    <row r="903" spans="1:19" ht="15" x14ac:dyDescent="0.3">
      <c r="A903" s="74">
        <v>8978989</v>
      </c>
      <c r="B903" s="37">
        <v>8200</v>
      </c>
      <c r="C903" s="69">
        <v>76280082005</v>
      </c>
      <c r="D903" s="38" t="s">
        <v>1033</v>
      </c>
      <c r="E903" s="64">
        <v>7.2075768800000009E-2</v>
      </c>
      <c r="F903" s="70">
        <v>6</v>
      </c>
      <c r="G903" s="38" t="s">
        <v>1034</v>
      </c>
      <c r="H903" s="66" t="s">
        <v>1258</v>
      </c>
      <c r="I903" s="39">
        <v>7.9950000000000001</v>
      </c>
      <c r="J903" s="40"/>
      <c r="K903" s="75">
        <f t="shared" si="88"/>
        <v>0</v>
      </c>
      <c r="L903" s="41"/>
      <c r="N903" s="45" t="str">
        <f t="shared" si="84"/>
        <v>-</v>
      </c>
      <c r="O903" s="42" t="str">
        <f t="shared" si="89"/>
        <v>-</v>
      </c>
      <c r="P903" s="43" t="str">
        <f t="shared" si="85"/>
        <v>-</v>
      </c>
      <c r="Q903" s="46" t="str">
        <f t="shared" si="86"/>
        <v>-</v>
      </c>
      <c r="S903" s="46" t="str">
        <f t="shared" si="87"/>
        <v>-</v>
      </c>
    </row>
    <row r="904" spans="1:19" ht="15" x14ac:dyDescent="0.3">
      <c r="A904" s="74">
        <v>9587848</v>
      </c>
      <c r="B904" s="37">
        <v>26619</v>
      </c>
      <c r="C904" s="69">
        <v>76280266191</v>
      </c>
      <c r="D904" s="38" t="s">
        <v>1035</v>
      </c>
      <c r="E904" s="64">
        <v>0.25226519079999998</v>
      </c>
      <c r="F904" s="70">
        <v>6</v>
      </c>
      <c r="G904" s="38" t="s">
        <v>1036</v>
      </c>
      <c r="H904" s="66" t="s">
        <v>1258</v>
      </c>
      <c r="I904" s="39">
        <v>18.47625</v>
      </c>
      <c r="J904" s="40"/>
      <c r="K904" s="75">
        <f t="shared" si="88"/>
        <v>0</v>
      </c>
      <c r="L904" s="41"/>
      <c r="N904" s="45" t="str">
        <f t="shared" si="84"/>
        <v>-</v>
      </c>
      <c r="O904" s="42" t="str">
        <f t="shared" si="89"/>
        <v>-</v>
      </c>
      <c r="P904" s="43" t="str">
        <f t="shared" si="85"/>
        <v>-</v>
      </c>
      <c r="Q904" s="46" t="str">
        <f t="shared" si="86"/>
        <v>-</v>
      </c>
      <c r="S904" s="46" t="str">
        <f t="shared" si="87"/>
        <v>-</v>
      </c>
    </row>
    <row r="905" spans="1:19" ht="15" x14ac:dyDescent="0.3">
      <c r="A905" s="74">
        <v>9763346</v>
      </c>
      <c r="B905" s="37">
        <v>42889</v>
      </c>
      <c r="C905" s="69">
        <v>76280428896</v>
      </c>
      <c r="D905" s="38" t="s">
        <v>1037</v>
      </c>
      <c r="E905" s="64">
        <v>0.10296538400000001</v>
      </c>
      <c r="F905" s="70">
        <v>6</v>
      </c>
      <c r="G905" s="38" t="s">
        <v>34</v>
      </c>
      <c r="H905" s="66" t="s">
        <v>1258</v>
      </c>
      <c r="I905" s="39">
        <v>13.065000000000001</v>
      </c>
      <c r="J905" s="40"/>
      <c r="K905" s="75">
        <f t="shared" si="88"/>
        <v>0</v>
      </c>
      <c r="L905" s="41"/>
      <c r="N905" s="45" t="str">
        <f t="shared" si="84"/>
        <v>-</v>
      </c>
      <c r="O905" s="42" t="str">
        <f t="shared" si="89"/>
        <v>-</v>
      </c>
      <c r="P905" s="43" t="str">
        <f t="shared" si="85"/>
        <v>-</v>
      </c>
      <c r="Q905" s="46" t="str">
        <f t="shared" si="86"/>
        <v>-</v>
      </c>
      <c r="S905" s="46" t="str">
        <f t="shared" si="87"/>
        <v>-</v>
      </c>
    </row>
    <row r="906" spans="1:19" ht="15" x14ac:dyDescent="0.3">
      <c r="A906" s="74">
        <v>9723065</v>
      </c>
      <c r="B906" s="37">
        <v>856</v>
      </c>
      <c r="C906" s="69">
        <v>76280008562</v>
      </c>
      <c r="D906" s="38" t="s">
        <v>1041</v>
      </c>
      <c r="E906" s="64">
        <v>0.25226519079999998</v>
      </c>
      <c r="F906" s="70">
        <v>6</v>
      </c>
      <c r="G906" s="38" t="s">
        <v>64</v>
      </c>
      <c r="H906" s="66" t="s">
        <v>1258</v>
      </c>
      <c r="I906" s="39">
        <v>13.893750000000001</v>
      </c>
      <c r="J906" s="40"/>
      <c r="K906" s="75">
        <f t="shared" si="88"/>
        <v>0</v>
      </c>
      <c r="L906" s="41"/>
      <c r="N906" s="45" t="str">
        <f t="shared" si="84"/>
        <v>-</v>
      </c>
      <c r="O906" s="42" t="str">
        <f t="shared" si="89"/>
        <v>-</v>
      </c>
      <c r="P906" s="43" t="str">
        <f t="shared" si="85"/>
        <v>-</v>
      </c>
      <c r="Q906" s="46" t="str">
        <f t="shared" si="86"/>
        <v>-</v>
      </c>
      <c r="S906" s="46" t="str">
        <f t="shared" si="87"/>
        <v>-</v>
      </c>
    </row>
    <row r="907" spans="1:19" ht="15" x14ac:dyDescent="0.3">
      <c r="A907" s="74">
        <v>9113523</v>
      </c>
      <c r="B907" s="37">
        <v>84663</v>
      </c>
      <c r="C907" s="69">
        <v>76280846638</v>
      </c>
      <c r="D907" s="38" t="s">
        <v>1042</v>
      </c>
      <c r="E907" s="64">
        <v>0.20078249880000001</v>
      </c>
      <c r="F907" s="70">
        <v>6</v>
      </c>
      <c r="G907" s="38" t="s">
        <v>417</v>
      </c>
      <c r="H907" s="66" t="s">
        <v>1258</v>
      </c>
      <c r="I907" s="39">
        <v>13.649999999999999</v>
      </c>
      <c r="J907" s="40"/>
      <c r="K907" s="75">
        <f t="shared" si="88"/>
        <v>0</v>
      </c>
      <c r="L907" s="41"/>
      <c r="N907" s="45" t="str">
        <f t="shared" si="84"/>
        <v>-</v>
      </c>
      <c r="O907" s="42" t="str">
        <f t="shared" si="89"/>
        <v>-</v>
      </c>
      <c r="P907" s="43" t="str">
        <f t="shared" si="85"/>
        <v>-</v>
      </c>
      <c r="Q907" s="46" t="str">
        <f t="shared" si="86"/>
        <v>-</v>
      </c>
      <c r="S907" s="46" t="str">
        <f t="shared" si="87"/>
        <v>-</v>
      </c>
    </row>
    <row r="908" spans="1:19" ht="15" x14ac:dyDescent="0.3">
      <c r="A908" s="74">
        <v>3590732</v>
      </c>
      <c r="B908" s="37">
        <v>4171</v>
      </c>
      <c r="C908" s="69">
        <v>76280041712</v>
      </c>
      <c r="D908" s="38" t="s">
        <v>740</v>
      </c>
      <c r="E908" s="64">
        <v>9.7817114799999993E-2</v>
      </c>
      <c r="F908" s="70">
        <v>12</v>
      </c>
      <c r="G908" s="38" t="s">
        <v>1043</v>
      </c>
      <c r="H908" s="66" t="s">
        <v>1258</v>
      </c>
      <c r="I908" s="39">
        <v>10.530000000000001</v>
      </c>
      <c r="J908" s="40"/>
      <c r="K908" s="75">
        <f t="shared" si="88"/>
        <v>0</v>
      </c>
      <c r="L908" s="41"/>
      <c r="N908" s="45" t="str">
        <f t="shared" si="84"/>
        <v>-</v>
      </c>
      <c r="O908" s="42" t="str">
        <f t="shared" si="89"/>
        <v>-</v>
      </c>
      <c r="P908" s="43" t="str">
        <f t="shared" si="85"/>
        <v>-</v>
      </c>
      <c r="Q908" s="46" t="str">
        <f t="shared" si="86"/>
        <v>-</v>
      </c>
      <c r="S908" s="46" t="str">
        <f t="shared" si="87"/>
        <v>-</v>
      </c>
    </row>
    <row r="909" spans="1:19" ht="15" x14ac:dyDescent="0.3">
      <c r="A909" s="74">
        <v>8983590</v>
      </c>
      <c r="B909" s="37">
        <v>1420</v>
      </c>
      <c r="C909" s="69">
        <v>76280014204</v>
      </c>
      <c r="D909" s="38" t="s">
        <v>1045</v>
      </c>
      <c r="E909" s="64">
        <v>9.2668845599999994E-2</v>
      </c>
      <c r="F909" s="70">
        <v>6</v>
      </c>
      <c r="G909" s="38" t="s">
        <v>769</v>
      </c>
      <c r="H909" s="66" t="s">
        <v>1258</v>
      </c>
      <c r="I909" s="39">
        <v>6.5325000000000006</v>
      </c>
      <c r="J909" s="40"/>
      <c r="K909" s="75">
        <f t="shared" si="88"/>
        <v>0</v>
      </c>
      <c r="L909" s="41"/>
      <c r="N909" s="45" t="str">
        <f t="shared" si="84"/>
        <v>-</v>
      </c>
      <c r="O909" s="42" t="str">
        <f t="shared" si="89"/>
        <v>-</v>
      </c>
      <c r="P909" s="43" t="str">
        <f t="shared" si="85"/>
        <v>-</v>
      </c>
      <c r="Q909" s="46" t="str">
        <f t="shared" si="86"/>
        <v>-</v>
      </c>
      <c r="S909" s="46" t="str">
        <f t="shared" si="87"/>
        <v>-</v>
      </c>
    </row>
    <row r="910" spans="1:19" ht="15" x14ac:dyDescent="0.3">
      <c r="A910" s="74">
        <v>4321220</v>
      </c>
      <c r="B910" s="37">
        <v>98394</v>
      </c>
      <c r="C910" s="69">
        <v>76280983944</v>
      </c>
      <c r="D910" s="38" t="s">
        <v>1046</v>
      </c>
      <c r="E910" s="64">
        <v>9.2668845599999994E-2</v>
      </c>
      <c r="F910" s="70">
        <v>6</v>
      </c>
      <c r="G910" s="38" t="s">
        <v>1047</v>
      </c>
      <c r="H910" s="66" t="s">
        <v>1258</v>
      </c>
      <c r="I910" s="39">
        <v>13.26</v>
      </c>
      <c r="J910" s="40"/>
      <c r="K910" s="75">
        <f t="shared" si="88"/>
        <v>0</v>
      </c>
      <c r="L910" s="41"/>
      <c r="N910" s="45" t="str">
        <f t="shared" si="84"/>
        <v>-</v>
      </c>
      <c r="O910" s="42" t="str">
        <f t="shared" si="89"/>
        <v>-</v>
      </c>
      <c r="P910" s="43" t="str">
        <f t="shared" si="85"/>
        <v>-</v>
      </c>
      <c r="Q910" s="46" t="str">
        <f t="shared" si="86"/>
        <v>-</v>
      </c>
      <c r="S910" s="46" t="str">
        <f t="shared" si="87"/>
        <v>-</v>
      </c>
    </row>
    <row r="911" spans="1:19" ht="15" x14ac:dyDescent="0.3">
      <c r="A911" s="74">
        <v>5292415</v>
      </c>
      <c r="B911" s="37">
        <v>8912</v>
      </c>
      <c r="C911" s="69">
        <v>76280089127</v>
      </c>
      <c r="D911" s="38" t="s">
        <v>945</v>
      </c>
      <c r="E911" s="64">
        <v>5.6750000000000002E-2</v>
      </c>
      <c r="F911" s="70">
        <v>6</v>
      </c>
      <c r="G911" s="38" t="s">
        <v>160</v>
      </c>
      <c r="H911" s="66" t="s">
        <v>1258</v>
      </c>
      <c r="I911" s="39">
        <v>6.9225000000000003</v>
      </c>
      <c r="J911" s="40"/>
      <c r="K911" s="75">
        <f t="shared" si="88"/>
        <v>0</v>
      </c>
      <c r="L911" s="41"/>
      <c r="N911" s="45" t="str">
        <f t="shared" si="84"/>
        <v>-</v>
      </c>
      <c r="O911" s="42" t="str">
        <f t="shared" si="89"/>
        <v>-</v>
      </c>
      <c r="P911" s="43" t="str">
        <f t="shared" si="85"/>
        <v>-</v>
      </c>
      <c r="Q911" s="46" t="str">
        <f t="shared" si="86"/>
        <v>-</v>
      </c>
      <c r="S911" s="46" t="str">
        <f t="shared" si="87"/>
        <v>-</v>
      </c>
    </row>
    <row r="912" spans="1:19" ht="15" x14ac:dyDescent="0.3">
      <c r="A912" s="74">
        <v>9730979</v>
      </c>
      <c r="B912" s="37">
        <v>36667</v>
      </c>
      <c r="C912" s="69">
        <v>76280366679</v>
      </c>
      <c r="D912" s="38" t="s">
        <v>1048</v>
      </c>
      <c r="E912" s="64">
        <v>5.6750000000000002E-2</v>
      </c>
      <c r="F912" s="70">
        <v>6</v>
      </c>
      <c r="G912" s="38" t="s">
        <v>160</v>
      </c>
      <c r="H912" s="66" t="s">
        <v>1258</v>
      </c>
      <c r="I912" s="39">
        <v>12.967500000000001</v>
      </c>
      <c r="J912" s="40"/>
      <c r="K912" s="75">
        <f t="shared" si="88"/>
        <v>0</v>
      </c>
      <c r="L912" s="41"/>
      <c r="N912" s="45" t="str">
        <f t="shared" si="84"/>
        <v>-</v>
      </c>
      <c r="O912" s="42" t="str">
        <f t="shared" si="89"/>
        <v>-</v>
      </c>
      <c r="P912" s="43" t="str">
        <f t="shared" si="85"/>
        <v>-</v>
      </c>
      <c r="Q912" s="46" t="str">
        <f t="shared" si="86"/>
        <v>-</v>
      </c>
      <c r="S912" s="46" t="str">
        <f t="shared" si="87"/>
        <v>-</v>
      </c>
    </row>
    <row r="913" spans="1:19" ht="15" x14ac:dyDescent="0.3">
      <c r="A913" s="74">
        <v>1559002</v>
      </c>
      <c r="B913" s="37">
        <v>36668</v>
      </c>
      <c r="C913" s="69">
        <v>76280366686</v>
      </c>
      <c r="D913" s="38" t="s">
        <v>1048</v>
      </c>
      <c r="E913" s="64">
        <v>6.6927499599999996E-2</v>
      </c>
      <c r="F913" s="70">
        <v>6</v>
      </c>
      <c r="G913" s="38" t="s">
        <v>332</v>
      </c>
      <c r="H913" s="66" t="s">
        <v>1258</v>
      </c>
      <c r="I913" s="39">
        <v>22.62</v>
      </c>
      <c r="J913" s="40"/>
      <c r="K913" s="75">
        <f t="shared" si="88"/>
        <v>0</v>
      </c>
      <c r="L913" s="41"/>
      <c r="N913" s="45" t="str">
        <f t="shared" si="84"/>
        <v>-</v>
      </c>
      <c r="O913" s="42" t="str">
        <f t="shared" si="89"/>
        <v>-</v>
      </c>
      <c r="P913" s="43" t="str">
        <f t="shared" si="85"/>
        <v>-</v>
      </c>
      <c r="Q913" s="46" t="str">
        <f t="shared" si="86"/>
        <v>-</v>
      </c>
      <c r="S913" s="46" t="str">
        <f t="shared" si="87"/>
        <v>-</v>
      </c>
    </row>
    <row r="914" spans="1:19" ht="15" x14ac:dyDescent="0.3">
      <c r="A914" s="74">
        <v>7754581</v>
      </c>
      <c r="B914" s="37">
        <v>3173</v>
      </c>
      <c r="C914" s="69">
        <v>76280031737</v>
      </c>
      <c r="D914" s="38" t="s">
        <v>1049</v>
      </c>
      <c r="E914" s="64">
        <v>5.6750000000000002E-2</v>
      </c>
      <c r="F914" s="70">
        <v>6</v>
      </c>
      <c r="G914" s="38" t="s">
        <v>1050</v>
      </c>
      <c r="H914" s="66" t="s">
        <v>1258</v>
      </c>
      <c r="I914" s="39">
        <v>7.0687500000000005</v>
      </c>
      <c r="J914" s="40"/>
      <c r="K914" s="75">
        <f t="shared" si="88"/>
        <v>0</v>
      </c>
      <c r="L914" s="41"/>
      <c r="N914" s="45" t="str">
        <f t="shared" si="84"/>
        <v>-</v>
      </c>
      <c r="O914" s="42" t="str">
        <f t="shared" si="89"/>
        <v>-</v>
      </c>
      <c r="P914" s="43" t="str">
        <f t="shared" si="85"/>
        <v>-</v>
      </c>
      <c r="Q914" s="46" t="str">
        <f t="shared" si="86"/>
        <v>-</v>
      </c>
      <c r="S914" s="46" t="str">
        <f t="shared" si="87"/>
        <v>-</v>
      </c>
    </row>
    <row r="915" spans="1:19" ht="15" x14ac:dyDescent="0.3">
      <c r="A915" s="74">
        <v>8772615</v>
      </c>
      <c r="B915" s="37">
        <v>1236</v>
      </c>
      <c r="C915" s="69">
        <v>76280012361</v>
      </c>
      <c r="D915" s="38" t="s">
        <v>1051</v>
      </c>
      <c r="E915" s="64">
        <v>0.18018942199999999</v>
      </c>
      <c r="F915" s="70">
        <v>6</v>
      </c>
      <c r="G915" s="38" t="s">
        <v>593</v>
      </c>
      <c r="H915" s="66" t="s">
        <v>1258</v>
      </c>
      <c r="I915" s="39">
        <v>15.600000000000001</v>
      </c>
      <c r="J915" s="40"/>
      <c r="K915" s="75">
        <f t="shared" si="88"/>
        <v>0</v>
      </c>
      <c r="L915" s="41"/>
      <c r="N915" s="45" t="str">
        <f t="shared" si="84"/>
        <v>-</v>
      </c>
      <c r="O915" s="42" t="str">
        <f t="shared" si="89"/>
        <v>-</v>
      </c>
      <c r="P915" s="43" t="str">
        <f t="shared" si="85"/>
        <v>-</v>
      </c>
      <c r="Q915" s="46" t="str">
        <f t="shared" si="86"/>
        <v>-</v>
      </c>
      <c r="S915" s="46" t="str">
        <f t="shared" si="87"/>
        <v>-</v>
      </c>
    </row>
    <row r="916" spans="1:19" ht="15" x14ac:dyDescent="0.3">
      <c r="A916" s="74">
        <v>7184715</v>
      </c>
      <c r="B916" s="37">
        <v>1272</v>
      </c>
      <c r="C916" s="69">
        <v>76280012729</v>
      </c>
      <c r="D916" s="38" t="s">
        <v>1054</v>
      </c>
      <c r="E916" s="64">
        <v>9.7817114799999993E-2</v>
      </c>
      <c r="F916" s="70">
        <v>6</v>
      </c>
      <c r="G916" s="38" t="s">
        <v>781</v>
      </c>
      <c r="H916" s="66" t="s">
        <v>1258</v>
      </c>
      <c r="I916" s="39">
        <v>6.4350000000000005</v>
      </c>
      <c r="J916" s="40"/>
      <c r="K916" s="75">
        <f t="shared" si="88"/>
        <v>0</v>
      </c>
      <c r="L916" s="41"/>
      <c r="N916" s="45" t="str">
        <f t="shared" si="84"/>
        <v>-</v>
      </c>
      <c r="O916" s="42" t="str">
        <f t="shared" si="89"/>
        <v>-</v>
      </c>
      <c r="P916" s="43" t="str">
        <f t="shared" si="85"/>
        <v>-</v>
      </c>
      <c r="Q916" s="46" t="str">
        <f t="shared" si="86"/>
        <v>-</v>
      </c>
      <c r="S916" s="46" t="str">
        <f t="shared" si="87"/>
        <v>-</v>
      </c>
    </row>
    <row r="917" spans="1:19" ht="15" x14ac:dyDescent="0.3">
      <c r="A917" s="74">
        <v>5797097</v>
      </c>
      <c r="B917" s="37">
        <v>868</v>
      </c>
      <c r="C917" s="69">
        <v>76280008685</v>
      </c>
      <c r="D917" s="38" t="s">
        <v>1056</v>
      </c>
      <c r="E917" s="64">
        <v>0.11326192240000001</v>
      </c>
      <c r="F917" s="70">
        <v>12</v>
      </c>
      <c r="G917" s="38" t="s">
        <v>185</v>
      </c>
      <c r="H917" s="66" t="s">
        <v>1258</v>
      </c>
      <c r="I917" s="39">
        <v>14.625</v>
      </c>
      <c r="J917" s="40"/>
      <c r="K917" s="75">
        <f t="shared" si="88"/>
        <v>0</v>
      </c>
      <c r="L917" s="41"/>
      <c r="N917" s="45" t="str">
        <f t="shared" si="84"/>
        <v>-</v>
      </c>
      <c r="O917" s="42" t="str">
        <f t="shared" si="89"/>
        <v>-</v>
      </c>
      <c r="P917" s="43" t="str">
        <f t="shared" si="85"/>
        <v>-</v>
      </c>
      <c r="Q917" s="46" t="str">
        <f t="shared" si="86"/>
        <v>-</v>
      </c>
      <c r="S917" s="46" t="str">
        <f t="shared" si="87"/>
        <v>-</v>
      </c>
    </row>
    <row r="918" spans="1:19" ht="15" x14ac:dyDescent="0.3">
      <c r="A918" s="74">
        <v>2240221</v>
      </c>
      <c r="B918" s="37">
        <v>1413</v>
      </c>
      <c r="C918" s="69">
        <v>76280014136</v>
      </c>
      <c r="D918" s="38" t="s">
        <v>1057</v>
      </c>
      <c r="E918" s="64">
        <v>8.7520576400000008E-2</v>
      </c>
      <c r="F918" s="70">
        <v>6</v>
      </c>
      <c r="G918" s="38" t="s">
        <v>767</v>
      </c>
      <c r="H918" s="66" t="s">
        <v>1258</v>
      </c>
      <c r="I918" s="39">
        <v>10.334999999999999</v>
      </c>
      <c r="J918" s="40"/>
      <c r="K918" s="75">
        <f t="shared" si="88"/>
        <v>0</v>
      </c>
      <c r="L918" s="41"/>
      <c r="N918" s="45" t="str">
        <f t="shared" si="84"/>
        <v>-</v>
      </c>
      <c r="O918" s="42" t="str">
        <f t="shared" si="89"/>
        <v>-</v>
      </c>
      <c r="P918" s="43" t="str">
        <f t="shared" si="85"/>
        <v>-</v>
      </c>
      <c r="Q918" s="46" t="str">
        <f t="shared" si="86"/>
        <v>-</v>
      </c>
      <c r="S918" s="46" t="str">
        <f t="shared" si="87"/>
        <v>-</v>
      </c>
    </row>
    <row r="919" spans="1:19" ht="15" x14ac:dyDescent="0.3">
      <c r="A919" s="74">
        <v>5832871</v>
      </c>
      <c r="B919" s="37">
        <v>4783</v>
      </c>
      <c r="C919" s="69">
        <v>76280047837</v>
      </c>
      <c r="D919" s="38" t="s">
        <v>1059</v>
      </c>
      <c r="E919" s="64">
        <v>0.55601307360000007</v>
      </c>
      <c r="F919" s="70">
        <v>6</v>
      </c>
      <c r="G919" s="38" t="s">
        <v>674</v>
      </c>
      <c r="H919" s="66" t="s">
        <v>1258</v>
      </c>
      <c r="I919" s="39">
        <v>31.736249999999998</v>
      </c>
      <c r="J919" s="40"/>
      <c r="K919" s="75">
        <f t="shared" si="88"/>
        <v>0</v>
      </c>
      <c r="L919" s="41"/>
      <c r="N919" s="45" t="str">
        <f t="shared" si="84"/>
        <v>-</v>
      </c>
      <c r="O919" s="42" t="str">
        <f t="shared" si="89"/>
        <v>-</v>
      </c>
      <c r="P919" s="43" t="str">
        <f t="shared" si="85"/>
        <v>-</v>
      </c>
      <c r="Q919" s="46" t="str">
        <f t="shared" si="86"/>
        <v>-</v>
      </c>
      <c r="S919" s="46" t="str">
        <f t="shared" si="87"/>
        <v>-</v>
      </c>
    </row>
    <row r="920" spans="1:19" ht="15" x14ac:dyDescent="0.3">
      <c r="A920" s="74">
        <v>6473202</v>
      </c>
      <c r="B920" s="37">
        <v>1200</v>
      </c>
      <c r="C920" s="69">
        <v>76280012002</v>
      </c>
      <c r="D920" s="38" t="s">
        <v>1062</v>
      </c>
      <c r="E920" s="64">
        <v>8.2372307199999995E-2</v>
      </c>
      <c r="F920" s="70">
        <v>6</v>
      </c>
      <c r="G920" s="38" t="s">
        <v>1063</v>
      </c>
      <c r="H920" s="66" t="s">
        <v>1258</v>
      </c>
      <c r="I920" s="39">
        <v>6.7762500000000001</v>
      </c>
      <c r="J920" s="40"/>
      <c r="K920" s="75">
        <f t="shared" si="88"/>
        <v>0</v>
      </c>
      <c r="L920" s="41"/>
      <c r="N920" s="45" t="str">
        <f t="shared" si="84"/>
        <v>-</v>
      </c>
      <c r="O920" s="42" t="str">
        <f t="shared" si="89"/>
        <v>-</v>
      </c>
      <c r="P920" s="43" t="str">
        <f t="shared" si="85"/>
        <v>-</v>
      </c>
      <c r="Q920" s="46" t="str">
        <f t="shared" si="86"/>
        <v>-</v>
      </c>
      <c r="S920" s="46" t="str">
        <f t="shared" si="87"/>
        <v>-</v>
      </c>
    </row>
    <row r="921" spans="1:19" ht="15" x14ac:dyDescent="0.3">
      <c r="A921" s="74">
        <v>4269367</v>
      </c>
      <c r="B921" s="37">
        <v>63857</v>
      </c>
      <c r="C921" s="69">
        <v>76280638578</v>
      </c>
      <c r="D921" s="38" t="s">
        <v>1064</v>
      </c>
      <c r="E921" s="64">
        <v>0.21622730639999999</v>
      </c>
      <c r="F921" s="70">
        <v>6</v>
      </c>
      <c r="G921" s="38" t="s">
        <v>712</v>
      </c>
      <c r="H921" s="66" t="s">
        <v>1258</v>
      </c>
      <c r="I921" s="39">
        <v>18.232499999999998</v>
      </c>
      <c r="J921" s="40"/>
      <c r="K921" s="75">
        <f t="shared" si="88"/>
        <v>0</v>
      </c>
      <c r="L921" s="41"/>
      <c r="N921" s="45" t="str">
        <f t="shared" si="84"/>
        <v>-</v>
      </c>
      <c r="O921" s="42" t="str">
        <f t="shared" si="89"/>
        <v>-</v>
      </c>
      <c r="P921" s="43" t="str">
        <f t="shared" si="85"/>
        <v>-</v>
      </c>
      <c r="Q921" s="46" t="str">
        <f t="shared" si="86"/>
        <v>-</v>
      </c>
      <c r="S921" s="46" t="str">
        <f t="shared" si="87"/>
        <v>-</v>
      </c>
    </row>
    <row r="922" spans="1:19" ht="15" x14ac:dyDescent="0.3">
      <c r="A922" s="74">
        <v>5959043</v>
      </c>
      <c r="B922" s="37">
        <v>12625</v>
      </c>
      <c r="C922" s="69">
        <v>76280126259</v>
      </c>
      <c r="D922" s="38" t="s">
        <v>1066</v>
      </c>
      <c r="E922" s="64">
        <v>0.10296538400000001</v>
      </c>
      <c r="F922" s="70">
        <v>6</v>
      </c>
      <c r="G922" s="38" t="s">
        <v>207</v>
      </c>
      <c r="H922" s="66" t="s">
        <v>1258</v>
      </c>
      <c r="I922" s="39">
        <v>9.0187500000000007</v>
      </c>
      <c r="J922" s="40"/>
      <c r="K922" s="75">
        <f t="shared" si="88"/>
        <v>0</v>
      </c>
      <c r="L922" s="41"/>
      <c r="N922" s="45" t="str">
        <f t="shared" si="84"/>
        <v>-</v>
      </c>
      <c r="O922" s="42" t="str">
        <f t="shared" si="89"/>
        <v>-</v>
      </c>
      <c r="P922" s="43" t="str">
        <f t="shared" si="85"/>
        <v>-</v>
      </c>
      <c r="Q922" s="46" t="str">
        <f t="shared" si="86"/>
        <v>-</v>
      </c>
      <c r="S922" s="46" t="str">
        <f t="shared" si="87"/>
        <v>-</v>
      </c>
    </row>
    <row r="923" spans="1:19" ht="15" x14ac:dyDescent="0.3">
      <c r="A923" s="74">
        <v>5414552</v>
      </c>
      <c r="B923" s="37">
        <v>11836</v>
      </c>
      <c r="C923" s="69">
        <v>76280118360</v>
      </c>
      <c r="D923" s="38" t="s">
        <v>1067</v>
      </c>
      <c r="E923" s="64">
        <v>6.6927499599999996E-2</v>
      </c>
      <c r="F923" s="70">
        <v>6</v>
      </c>
      <c r="G923" s="38" t="s">
        <v>648</v>
      </c>
      <c r="H923" s="66" t="s">
        <v>1258</v>
      </c>
      <c r="I923" s="39">
        <v>10.432500000000001</v>
      </c>
      <c r="J923" s="40"/>
      <c r="K923" s="75">
        <f t="shared" si="88"/>
        <v>0</v>
      </c>
      <c r="L923" s="41"/>
      <c r="N923" s="45" t="str">
        <f t="shared" si="84"/>
        <v>-</v>
      </c>
      <c r="O923" s="42" t="str">
        <f t="shared" si="89"/>
        <v>-</v>
      </c>
      <c r="P923" s="43" t="str">
        <f t="shared" si="85"/>
        <v>-</v>
      </c>
      <c r="Q923" s="46" t="str">
        <f t="shared" si="86"/>
        <v>-</v>
      </c>
      <c r="S923" s="46" t="str">
        <f t="shared" si="87"/>
        <v>-</v>
      </c>
    </row>
    <row r="924" spans="1:19" ht="15" x14ac:dyDescent="0.3">
      <c r="A924" s="74">
        <v>7766128</v>
      </c>
      <c r="B924" s="37">
        <v>3766</v>
      </c>
      <c r="C924" s="69">
        <v>76280037661</v>
      </c>
      <c r="D924" s="38" t="s">
        <v>1069</v>
      </c>
      <c r="E924" s="64">
        <v>7.7224037999999995E-2</v>
      </c>
      <c r="F924" s="70">
        <v>6</v>
      </c>
      <c r="G924" s="38" t="s">
        <v>135</v>
      </c>
      <c r="H924" s="66" t="s">
        <v>1258</v>
      </c>
      <c r="I924" s="39">
        <v>27.982500000000002</v>
      </c>
      <c r="J924" s="40"/>
      <c r="K924" s="75">
        <f t="shared" si="88"/>
        <v>0</v>
      </c>
      <c r="L924" s="41"/>
      <c r="N924" s="45" t="str">
        <f t="shared" si="84"/>
        <v>-</v>
      </c>
      <c r="O924" s="42" t="str">
        <f t="shared" si="89"/>
        <v>-</v>
      </c>
      <c r="P924" s="43" t="str">
        <f t="shared" si="85"/>
        <v>-</v>
      </c>
      <c r="Q924" s="46" t="str">
        <f t="shared" si="86"/>
        <v>-</v>
      </c>
      <c r="S924" s="46" t="str">
        <f t="shared" si="87"/>
        <v>-</v>
      </c>
    </row>
    <row r="925" spans="1:19" ht="15" x14ac:dyDescent="0.3">
      <c r="A925" s="74">
        <v>6114550</v>
      </c>
      <c r="B925" s="37">
        <v>39917</v>
      </c>
      <c r="C925" s="69">
        <v>76280399172</v>
      </c>
      <c r="D925" s="38" t="s">
        <v>1070</v>
      </c>
      <c r="E925" s="64">
        <v>9.7817114799999993E-2</v>
      </c>
      <c r="F925" s="70">
        <v>6</v>
      </c>
      <c r="G925" s="38" t="s">
        <v>400</v>
      </c>
      <c r="H925" s="66" t="s">
        <v>1258</v>
      </c>
      <c r="I925" s="39">
        <v>12.382499999999999</v>
      </c>
      <c r="J925" s="40"/>
      <c r="K925" s="75">
        <f t="shared" si="88"/>
        <v>0</v>
      </c>
      <c r="L925" s="41"/>
      <c r="N925" s="45" t="str">
        <f t="shared" si="84"/>
        <v>-</v>
      </c>
      <c r="O925" s="42" t="str">
        <f t="shared" si="89"/>
        <v>-</v>
      </c>
      <c r="P925" s="43" t="str">
        <f t="shared" si="85"/>
        <v>-</v>
      </c>
      <c r="Q925" s="46" t="str">
        <f t="shared" si="86"/>
        <v>-</v>
      </c>
      <c r="S925" s="46" t="str">
        <f t="shared" si="87"/>
        <v>-</v>
      </c>
    </row>
    <row r="926" spans="1:19" ht="15" x14ac:dyDescent="0.3">
      <c r="A926" s="74">
        <v>2217059</v>
      </c>
      <c r="B926" s="37">
        <v>91805</v>
      </c>
      <c r="C926" s="69">
        <v>76280918052</v>
      </c>
      <c r="D926" s="38" t="s">
        <v>1071</v>
      </c>
      <c r="E926" s="64">
        <v>8.7520576400000008E-2</v>
      </c>
      <c r="F926" s="70">
        <v>6</v>
      </c>
      <c r="G926" s="38" t="s">
        <v>34</v>
      </c>
      <c r="H926" s="66" t="s">
        <v>1258</v>
      </c>
      <c r="I926" s="39">
        <v>21.303750000000001</v>
      </c>
      <c r="J926" s="40"/>
      <c r="K926" s="75">
        <f t="shared" si="88"/>
        <v>0</v>
      </c>
      <c r="L926" s="41"/>
      <c r="N926" s="45" t="str">
        <f t="shared" si="84"/>
        <v>-</v>
      </c>
      <c r="O926" s="42" t="str">
        <f t="shared" si="89"/>
        <v>-</v>
      </c>
      <c r="P926" s="43" t="str">
        <f t="shared" si="85"/>
        <v>-</v>
      </c>
      <c r="Q926" s="46" t="str">
        <f t="shared" si="86"/>
        <v>-</v>
      </c>
      <c r="S926" s="46" t="str">
        <f t="shared" si="87"/>
        <v>-</v>
      </c>
    </row>
    <row r="927" spans="1:19" ht="15" x14ac:dyDescent="0.3">
      <c r="A927" s="74">
        <v>3870151</v>
      </c>
      <c r="B927" s="37">
        <v>3018</v>
      </c>
      <c r="C927" s="69">
        <v>76280030181</v>
      </c>
      <c r="D927" s="38" t="s">
        <v>1072</v>
      </c>
      <c r="E927" s="64">
        <v>6.1779230399999996E-2</v>
      </c>
      <c r="F927" s="70">
        <v>6</v>
      </c>
      <c r="G927" s="38" t="s">
        <v>648</v>
      </c>
      <c r="H927" s="66" t="s">
        <v>1258</v>
      </c>
      <c r="I927" s="39">
        <v>9.1650000000000009</v>
      </c>
      <c r="J927" s="40"/>
      <c r="K927" s="75">
        <f t="shared" si="88"/>
        <v>0</v>
      </c>
      <c r="L927" s="41"/>
      <c r="N927" s="45" t="str">
        <f t="shared" si="84"/>
        <v>-</v>
      </c>
      <c r="O927" s="42" t="str">
        <f t="shared" si="89"/>
        <v>-</v>
      </c>
      <c r="P927" s="43" t="str">
        <f t="shared" si="85"/>
        <v>-</v>
      </c>
      <c r="Q927" s="46" t="str">
        <f t="shared" si="86"/>
        <v>-</v>
      </c>
      <c r="S927" s="46" t="str">
        <f t="shared" si="87"/>
        <v>-</v>
      </c>
    </row>
    <row r="928" spans="1:19" ht="15" x14ac:dyDescent="0.3">
      <c r="A928" s="74">
        <v>3741044</v>
      </c>
      <c r="B928" s="37">
        <v>802</v>
      </c>
      <c r="C928" s="69">
        <v>76280008029</v>
      </c>
      <c r="D928" s="38" t="s">
        <v>1078</v>
      </c>
      <c r="E928" s="64">
        <v>0.22137557559999999</v>
      </c>
      <c r="F928" s="70">
        <v>6</v>
      </c>
      <c r="G928" s="38" t="s">
        <v>117</v>
      </c>
      <c r="H928" s="66" t="s">
        <v>1258</v>
      </c>
      <c r="I928" s="39">
        <v>9.213750000000001</v>
      </c>
      <c r="J928" s="40"/>
      <c r="K928" s="75">
        <f t="shared" si="88"/>
        <v>0</v>
      </c>
      <c r="L928" s="41"/>
      <c r="N928" s="45" t="str">
        <f t="shared" si="84"/>
        <v>-</v>
      </c>
      <c r="O928" s="42" t="str">
        <f t="shared" si="89"/>
        <v>-</v>
      </c>
      <c r="P928" s="43" t="str">
        <f t="shared" si="85"/>
        <v>-</v>
      </c>
      <c r="Q928" s="46" t="str">
        <f t="shared" si="86"/>
        <v>-</v>
      </c>
      <c r="S928" s="46" t="str">
        <f t="shared" si="87"/>
        <v>-</v>
      </c>
    </row>
    <row r="929" spans="1:19" ht="15" x14ac:dyDescent="0.3">
      <c r="A929" s="74">
        <v>6885474</v>
      </c>
      <c r="B929" s="37">
        <v>807</v>
      </c>
      <c r="C929" s="69">
        <v>76280008074</v>
      </c>
      <c r="D929" s="38" t="s">
        <v>1079</v>
      </c>
      <c r="E929" s="64">
        <v>0.47878903559999997</v>
      </c>
      <c r="F929" s="70">
        <v>6</v>
      </c>
      <c r="G929" s="38" t="s">
        <v>291</v>
      </c>
      <c r="H929" s="66" t="s">
        <v>1258</v>
      </c>
      <c r="I929" s="39">
        <v>20.182500000000001</v>
      </c>
      <c r="J929" s="40"/>
      <c r="K929" s="75">
        <f t="shared" si="88"/>
        <v>0</v>
      </c>
      <c r="L929" s="41"/>
      <c r="N929" s="45" t="str">
        <f t="shared" si="84"/>
        <v>-</v>
      </c>
      <c r="O929" s="42" t="str">
        <f t="shared" si="89"/>
        <v>-</v>
      </c>
      <c r="P929" s="43" t="str">
        <f t="shared" si="85"/>
        <v>-</v>
      </c>
      <c r="Q929" s="46" t="str">
        <f t="shared" si="86"/>
        <v>-</v>
      </c>
      <c r="S929" s="46" t="str">
        <f t="shared" si="87"/>
        <v>-</v>
      </c>
    </row>
    <row r="930" spans="1:19" ht="15" x14ac:dyDescent="0.3">
      <c r="A930" s="74">
        <v>9814038</v>
      </c>
      <c r="B930" s="37">
        <v>8426</v>
      </c>
      <c r="C930" s="69">
        <v>76280084269</v>
      </c>
      <c r="D930" s="38" t="s">
        <v>1080</v>
      </c>
      <c r="E930" s="64">
        <v>8.2372307199999995E-2</v>
      </c>
      <c r="F930" s="70">
        <v>6</v>
      </c>
      <c r="G930" s="38" t="s">
        <v>34</v>
      </c>
      <c r="H930" s="66" t="s">
        <v>1258</v>
      </c>
      <c r="I930" s="39">
        <v>19.110000000000003</v>
      </c>
      <c r="J930" s="40"/>
      <c r="K930" s="75">
        <f t="shared" si="88"/>
        <v>0</v>
      </c>
      <c r="L930" s="41"/>
      <c r="N930" s="45" t="str">
        <f t="shared" si="84"/>
        <v>-</v>
      </c>
      <c r="O930" s="42" t="str">
        <f t="shared" si="89"/>
        <v>-</v>
      </c>
      <c r="P930" s="43" t="str">
        <f t="shared" si="85"/>
        <v>-</v>
      </c>
      <c r="Q930" s="46" t="str">
        <f t="shared" si="86"/>
        <v>-</v>
      </c>
      <c r="S930" s="46" t="str">
        <f t="shared" si="87"/>
        <v>-</v>
      </c>
    </row>
    <row r="931" spans="1:19" ht="15" x14ac:dyDescent="0.3">
      <c r="A931" s="74">
        <v>9255266</v>
      </c>
      <c r="B931" s="37">
        <v>11483</v>
      </c>
      <c r="C931" s="69">
        <v>76280114836</v>
      </c>
      <c r="D931" s="38" t="s">
        <v>1081</v>
      </c>
      <c r="E931" s="64">
        <v>5.6750000000000002E-2</v>
      </c>
      <c r="F931" s="70">
        <v>6</v>
      </c>
      <c r="G931" s="38" t="s">
        <v>1082</v>
      </c>
      <c r="H931" s="66" t="s">
        <v>1258</v>
      </c>
      <c r="I931" s="39">
        <v>16.8675</v>
      </c>
      <c r="J931" s="40"/>
      <c r="K931" s="75">
        <f t="shared" si="88"/>
        <v>0</v>
      </c>
      <c r="L931" s="41"/>
      <c r="N931" s="45" t="str">
        <f t="shared" si="84"/>
        <v>-</v>
      </c>
      <c r="O931" s="42" t="str">
        <f t="shared" si="89"/>
        <v>-</v>
      </c>
      <c r="P931" s="43" t="str">
        <f t="shared" si="85"/>
        <v>-</v>
      </c>
      <c r="Q931" s="46" t="str">
        <f t="shared" si="86"/>
        <v>-</v>
      </c>
      <c r="S931" s="46" t="str">
        <f t="shared" si="87"/>
        <v>-</v>
      </c>
    </row>
    <row r="932" spans="1:19" ht="15" x14ac:dyDescent="0.3">
      <c r="A932" s="74">
        <v>6503252</v>
      </c>
      <c r="B932" s="37">
        <v>67689</v>
      </c>
      <c r="C932" s="69">
        <v>76280676891</v>
      </c>
      <c r="D932" s="38" t="s">
        <v>1024</v>
      </c>
      <c r="E932" s="64">
        <v>5.6750000000000002E-2</v>
      </c>
      <c r="F932" s="70">
        <v>12</v>
      </c>
      <c r="G932" s="38" t="s">
        <v>284</v>
      </c>
      <c r="H932" s="66" t="s">
        <v>1258</v>
      </c>
      <c r="I932" s="39">
        <v>10.96875</v>
      </c>
      <c r="J932" s="40"/>
      <c r="K932" s="75">
        <f t="shared" si="88"/>
        <v>0</v>
      </c>
      <c r="L932" s="41"/>
      <c r="N932" s="45" t="str">
        <f t="shared" si="84"/>
        <v>-</v>
      </c>
      <c r="O932" s="42" t="str">
        <f t="shared" si="89"/>
        <v>-</v>
      </c>
      <c r="P932" s="43" t="str">
        <f t="shared" si="85"/>
        <v>-</v>
      </c>
      <c r="Q932" s="46" t="str">
        <f t="shared" si="86"/>
        <v>-</v>
      </c>
      <c r="S932" s="46" t="str">
        <f t="shared" si="87"/>
        <v>-</v>
      </c>
    </row>
    <row r="933" spans="1:19" ht="15" x14ac:dyDescent="0.3">
      <c r="A933" s="74">
        <v>9796468</v>
      </c>
      <c r="B933" s="37">
        <v>56154</v>
      </c>
      <c r="C933" s="69">
        <v>76280561548</v>
      </c>
      <c r="D933" s="38" t="s">
        <v>1083</v>
      </c>
      <c r="E933" s="64">
        <v>6.6927499599999996E-2</v>
      </c>
      <c r="F933" s="70">
        <v>6</v>
      </c>
      <c r="G933" s="38" t="s">
        <v>135</v>
      </c>
      <c r="H933" s="66" t="s">
        <v>1258</v>
      </c>
      <c r="I933" s="39">
        <v>19.5</v>
      </c>
      <c r="J933" s="40"/>
      <c r="K933" s="75">
        <f t="shared" si="88"/>
        <v>0</v>
      </c>
      <c r="L933" s="41"/>
      <c r="N933" s="45" t="str">
        <f t="shared" si="84"/>
        <v>-</v>
      </c>
      <c r="O933" s="42" t="str">
        <f t="shared" si="89"/>
        <v>-</v>
      </c>
      <c r="P933" s="43" t="str">
        <f t="shared" si="85"/>
        <v>-</v>
      </c>
      <c r="Q933" s="46" t="str">
        <f t="shared" si="86"/>
        <v>-</v>
      </c>
      <c r="S933" s="46" t="str">
        <f t="shared" si="87"/>
        <v>-</v>
      </c>
    </row>
    <row r="934" spans="1:19" ht="15" x14ac:dyDescent="0.3">
      <c r="A934" s="74">
        <v>8570760</v>
      </c>
      <c r="B934" s="37">
        <v>4355</v>
      </c>
      <c r="C934" s="69">
        <v>76280043556</v>
      </c>
      <c r="D934" s="38" t="s">
        <v>91</v>
      </c>
      <c r="E934" s="64">
        <v>9.2668845599999994E-2</v>
      </c>
      <c r="F934" s="70">
        <v>12</v>
      </c>
      <c r="G934" s="38" t="s">
        <v>1085</v>
      </c>
      <c r="H934" s="66" t="s">
        <v>1258</v>
      </c>
      <c r="I934" s="39">
        <v>9.7987500000000018</v>
      </c>
      <c r="J934" s="40"/>
      <c r="K934" s="75">
        <f t="shared" si="88"/>
        <v>0</v>
      </c>
      <c r="L934" s="41"/>
      <c r="N934" s="45" t="str">
        <f t="shared" si="84"/>
        <v>-</v>
      </c>
      <c r="O934" s="42" t="str">
        <f t="shared" si="89"/>
        <v>-</v>
      </c>
      <c r="P934" s="43" t="str">
        <f t="shared" si="85"/>
        <v>-</v>
      </c>
      <c r="Q934" s="46" t="str">
        <f t="shared" si="86"/>
        <v>-</v>
      </c>
      <c r="S934" s="46" t="str">
        <f t="shared" si="87"/>
        <v>-</v>
      </c>
    </row>
    <row r="935" spans="1:19" ht="15" x14ac:dyDescent="0.3">
      <c r="A935" s="74">
        <v>4528625</v>
      </c>
      <c r="B935" s="37">
        <v>10369</v>
      </c>
      <c r="C935" s="69">
        <v>76280103694</v>
      </c>
      <c r="D935" s="38" t="s">
        <v>1086</v>
      </c>
      <c r="E935" s="64">
        <v>5.6750000000000002E-2</v>
      </c>
      <c r="F935" s="70">
        <v>6</v>
      </c>
      <c r="G935" s="38" t="s">
        <v>160</v>
      </c>
      <c r="H935" s="66" t="s">
        <v>1258</v>
      </c>
      <c r="I935" s="39">
        <v>11.456250000000001</v>
      </c>
      <c r="J935" s="40"/>
      <c r="K935" s="75">
        <f t="shared" si="88"/>
        <v>0</v>
      </c>
      <c r="L935" s="41"/>
      <c r="N935" s="45" t="str">
        <f t="shared" si="84"/>
        <v>-</v>
      </c>
      <c r="O935" s="42" t="str">
        <f t="shared" si="89"/>
        <v>-</v>
      </c>
      <c r="P935" s="43" t="str">
        <f t="shared" si="85"/>
        <v>-</v>
      </c>
      <c r="Q935" s="46" t="str">
        <f t="shared" si="86"/>
        <v>-</v>
      </c>
      <c r="S935" s="46" t="str">
        <f t="shared" si="87"/>
        <v>-</v>
      </c>
    </row>
    <row r="936" spans="1:19" ht="15" x14ac:dyDescent="0.3">
      <c r="A936" s="74">
        <v>4588309</v>
      </c>
      <c r="B936" s="37">
        <v>64806</v>
      </c>
      <c r="C936" s="69">
        <v>76280648065</v>
      </c>
      <c r="D936" s="38" t="s">
        <v>1087</v>
      </c>
      <c r="E936" s="64">
        <v>7.2075768800000009E-2</v>
      </c>
      <c r="F936" s="70">
        <v>6</v>
      </c>
      <c r="G936" s="38" t="s">
        <v>135</v>
      </c>
      <c r="H936" s="66" t="s">
        <v>1258</v>
      </c>
      <c r="I936" s="39">
        <v>17.2575</v>
      </c>
      <c r="J936" s="40"/>
      <c r="K936" s="75">
        <f t="shared" si="88"/>
        <v>0</v>
      </c>
      <c r="L936" s="41"/>
      <c r="N936" s="45" t="str">
        <f t="shared" si="84"/>
        <v>-</v>
      </c>
      <c r="O936" s="42" t="str">
        <f t="shared" si="89"/>
        <v>-</v>
      </c>
      <c r="P936" s="43" t="str">
        <f t="shared" si="85"/>
        <v>-</v>
      </c>
      <c r="Q936" s="46" t="str">
        <f t="shared" si="86"/>
        <v>-</v>
      </c>
      <c r="S936" s="46" t="str">
        <f t="shared" si="87"/>
        <v>-</v>
      </c>
    </row>
    <row r="937" spans="1:19" ht="15" x14ac:dyDescent="0.3">
      <c r="A937" s="74">
        <v>9779021</v>
      </c>
      <c r="B937" s="37">
        <v>3662</v>
      </c>
      <c r="C937" s="69">
        <v>76280036626</v>
      </c>
      <c r="D937" s="38" t="s">
        <v>1089</v>
      </c>
      <c r="E937" s="64">
        <v>6.6927499599999996E-2</v>
      </c>
      <c r="F937" s="70">
        <v>6</v>
      </c>
      <c r="G937" s="38" t="s">
        <v>648</v>
      </c>
      <c r="H937" s="66" t="s">
        <v>1258</v>
      </c>
      <c r="I937" s="39">
        <v>8.4824999999999982</v>
      </c>
      <c r="J937" s="40"/>
      <c r="K937" s="75">
        <f t="shared" si="88"/>
        <v>0</v>
      </c>
      <c r="L937" s="41"/>
      <c r="N937" s="45" t="str">
        <f t="shared" si="84"/>
        <v>-</v>
      </c>
      <c r="O937" s="42" t="str">
        <f t="shared" si="89"/>
        <v>-</v>
      </c>
      <c r="P937" s="43" t="str">
        <f t="shared" si="85"/>
        <v>-</v>
      </c>
      <c r="Q937" s="46" t="str">
        <f t="shared" si="86"/>
        <v>-</v>
      </c>
      <c r="S937" s="46" t="str">
        <f t="shared" si="87"/>
        <v>-</v>
      </c>
    </row>
    <row r="938" spans="1:19" ht="15" x14ac:dyDescent="0.3">
      <c r="A938" s="74">
        <v>5796235</v>
      </c>
      <c r="B938" s="37">
        <v>26391</v>
      </c>
      <c r="C938" s="69">
        <v>76280263916</v>
      </c>
      <c r="D938" s="38" t="s">
        <v>1091</v>
      </c>
      <c r="E938" s="64">
        <v>6.6927499599999996E-2</v>
      </c>
      <c r="F938" s="70">
        <v>6</v>
      </c>
      <c r="G938" s="38" t="s">
        <v>135</v>
      </c>
      <c r="H938" s="66" t="s">
        <v>1258</v>
      </c>
      <c r="I938" s="39">
        <v>19.5</v>
      </c>
      <c r="J938" s="40"/>
      <c r="K938" s="75">
        <f t="shared" si="88"/>
        <v>0</v>
      </c>
      <c r="L938" s="41"/>
      <c r="N938" s="45" t="str">
        <f t="shared" si="84"/>
        <v>-</v>
      </c>
      <c r="O938" s="42" t="str">
        <f t="shared" si="89"/>
        <v>-</v>
      </c>
      <c r="P938" s="43" t="str">
        <f t="shared" si="85"/>
        <v>-</v>
      </c>
      <c r="Q938" s="46" t="str">
        <f t="shared" si="86"/>
        <v>-</v>
      </c>
      <c r="S938" s="46" t="str">
        <f t="shared" si="87"/>
        <v>-</v>
      </c>
    </row>
    <row r="939" spans="1:19" ht="15" x14ac:dyDescent="0.3">
      <c r="A939" s="74">
        <v>8662800</v>
      </c>
      <c r="B939" s="37">
        <v>66118</v>
      </c>
      <c r="C939" s="69">
        <v>76280661187</v>
      </c>
      <c r="D939" s="38" t="s">
        <v>1097</v>
      </c>
      <c r="E939" s="64">
        <v>6.1779230399999996E-2</v>
      </c>
      <c r="F939" s="70">
        <v>6</v>
      </c>
      <c r="G939" s="38" t="s">
        <v>1098</v>
      </c>
      <c r="H939" s="66" t="s">
        <v>1258</v>
      </c>
      <c r="I939" s="39">
        <v>11.505000000000001</v>
      </c>
      <c r="J939" s="40"/>
      <c r="K939" s="75">
        <f t="shared" si="88"/>
        <v>0</v>
      </c>
      <c r="L939" s="41"/>
      <c r="N939" s="45" t="str">
        <f t="shared" si="84"/>
        <v>-</v>
      </c>
      <c r="O939" s="42" t="str">
        <f t="shared" si="89"/>
        <v>-</v>
      </c>
      <c r="P939" s="43" t="str">
        <f t="shared" si="85"/>
        <v>-</v>
      </c>
      <c r="Q939" s="46" t="str">
        <f t="shared" si="86"/>
        <v>-</v>
      </c>
      <c r="S939" s="46" t="str">
        <f t="shared" si="87"/>
        <v>-</v>
      </c>
    </row>
    <row r="940" spans="1:19" ht="15" x14ac:dyDescent="0.3">
      <c r="A940" s="74">
        <v>7036521</v>
      </c>
      <c r="B940" s="37">
        <v>16085</v>
      </c>
      <c r="C940" s="69">
        <v>76280160857</v>
      </c>
      <c r="D940" s="38" t="s">
        <v>647</v>
      </c>
      <c r="E940" s="64">
        <v>9.2668845599999994E-2</v>
      </c>
      <c r="F940" s="70">
        <v>6</v>
      </c>
      <c r="G940" s="38" t="s">
        <v>21</v>
      </c>
      <c r="H940" s="66" t="s">
        <v>1258</v>
      </c>
      <c r="I940" s="39">
        <v>10.530000000000001</v>
      </c>
      <c r="J940" s="40"/>
      <c r="K940" s="75">
        <f t="shared" si="88"/>
        <v>0</v>
      </c>
      <c r="L940" s="41"/>
      <c r="N940" s="45" t="str">
        <f t="shared" si="84"/>
        <v>-</v>
      </c>
      <c r="O940" s="42" t="str">
        <f t="shared" si="89"/>
        <v>-</v>
      </c>
      <c r="P940" s="43" t="str">
        <f t="shared" si="85"/>
        <v>-</v>
      </c>
      <c r="Q940" s="46" t="str">
        <f t="shared" si="86"/>
        <v>-</v>
      </c>
      <c r="S940" s="46" t="str">
        <f t="shared" si="87"/>
        <v>-</v>
      </c>
    </row>
    <row r="941" spans="1:19" ht="15" x14ac:dyDescent="0.3">
      <c r="A941" s="74">
        <v>7728216</v>
      </c>
      <c r="B941" s="37">
        <v>38735</v>
      </c>
      <c r="C941" s="69">
        <v>76280387353</v>
      </c>
      <c r="D941" s="38" t="s">
        <v>1102</v>
      </c>
      <c r="E941" s="64">
        <v>7.2075768800000009E-2</v>
      </c>
      <c r="F941" s="70">
        <v>6</v>
      </c>
      <c r="G941" s="38" t="s">
        <v>98</v>
      </c>
      <c r="H941" s="66" t="s">
        <v>1258</v>
      </c>
      <c r="I941" s="39">
        <v>17.403750000000002</v>
      </c>
      <c r="J941" s="40"/>
      <c r="K941" s="75">
        <f t="shared" si="88"/>
        <v>0</v>
      </c>
      <c r="L941" s="41"/>
      <c r="N941" s="45" t="str">
        <f t="shared" si="84"/>
        <v>-</v>
      </c>
      <c r="O941" s="42" t="str">
        <f t="shared" si="89"/>
        <v>-</v>
      </c>
      <c r="P941" s="43" t="str">
        <f t="shared" si="85"/>
        <v>-</v>
      </c>
      <c r="Q941" s="46" t="str">
        <f t="shared" si="86"/>
        <v>-</v>
      </c>
      <c r="S941" s="46" t="str">
        <f t="shared" si="87"/>
        <v>-</v>
      </c>
    </row>
    <row r="942" spans="1:19" ht="15" x14ac:dyDescent="0.3">
      <c r="A942" s="74">
        <v>6764905</v>
      </c>
      <c r="B942" s="37">
        <v>23839</v>
      </c>
      <c r="C942" s="69">
        <v>76280238396</v>
      </c>
      <c r="D942" s="38" t="s">
        <v>1103</v>
      </c>
      <c r="E942" s="64">
        <v>0.11326192240000001</v>
      </c>
      <c r="F942" s="70">
        <v>12</v>
      </c>
      <c r="G942" s="38" t="s">
        <v>215</v>
      </c>
      <c r="H942" s="66" t="s">
        <v>1258</v>
      </c>
      <c r="I942" s="39">
        <v>12.723749999999999</v>
      </c>
      <c r="J942" s="40"/>
      <c r="K942" s="75">
        <f t="shared" si="88"/>
        <v>0</v>
      </c>
      <c r="L942" s="41"/>
      <c r="N942" s="45" t="str">
        <f t="shared" si="84"/>
        <v>-</v>
      </c>
      <c r="O942" s="42" t="str">
        <f t="shared" si="89"/>
        <v>-</v>
      </c>
      <c r="P942" s="43" t="str">
        <f t="shared" si="85"/>
        <v>-</v>
      </c>
      <c r="Q942" s="46" t="str">
        <f t="shared" si="86"/>
        <v>-</v>
      </c>
      <c r="S942" s="46" t="str">
        <f t="shared" si="87"/>
        <v>-</v>
      </c>
    </row>
    <row r="943" spans="1:19" ht="15" x14ac:dyDescent="0.3">
      <c r="A943" s="74">
        <v>6328374</v>
      </c>
      <c r="B943" s="37">
        <v>4743</v>
      </c>
      <c r="C943" s="69">
        <v>76280047431</v>
      </c>
      <c r="D943" s="38" t="s">
        <v>872</v>
      </c>
      <c r="E943" s="64">
        <v>0.20593076800000001</v>
      </c>
      <c r="F943" s="70">
        <v>6</v>
      </c>
      <c r="G943" s="38" t="s">
        <v>364</v>
      </c>
      <c r="H943" s="66" t="s">
        <v>1258</v>
      </c>
      <c r="I943" s="39">
        <v>17.939999999999998</v>
      </c>
      <c r="J943" s="40"/>
      <c r="K943" s="75">
        <f t="shared" si="88"/>
        <v>0</v>
      </c>
      <c r="L943" s="41"/>
      <c r="N943" s="45" t="str">
        <f t="shared" si="84"/>
        <v>-</v>
      </c>
      <c r="O943" s="42" t="str">
        <f t="shared" si="89"/>
        <v>-</v>
      </c>
      <c r="P943" s="43" t="str">
        <f t="shared" si="85"/>
        <v>-</v>
      </c>
      <c r="Q943" s="46" t="str">
        <f t="shared" si="86"/>
        <v>-</v>
      </c>
      <c r="S943" s="46" t="str">
        <f t="shared" si="87"/>
        <v>-</v>
      </c>
    </row>
    <row r="944" spans="1:19" ht="15" x14ac:dyDescent="0.3">
      <c r="A944" s="74">
        <v>5354607</v>
      </c>
      <c r="B944" s="37">
        <v>3157</v>
      </c>
      <c r="C944" s="69">
        <v>76280031577</v>
      </c>
      <c r="D944" s="38" t="s">
        <v>1104</v>
      </c>
      <c r="E944" s="64">
        <v>5.6750000000000002E-2</v>
      </c>
      <c r="F944" s="70">
        <v>6</v>
      </c>
      <c r="G944" s="38" t="s">
        <v>338</v>
      </c>
      <c r="H944" s="66" t="s">
        <v>1258</v>
      </c>
      <c r="I944" s="39">
        <v>12.431249999999999</v>
      </c>
      <c r="J944" s="40"/>
      <c r="K944" s="75">
        <f t="shared" si="88"/>
        <v>0</v>
      </c>
      <c r="L944" s="41"/>
      <c r="N944" s="45" t="str">
        <f t="shared" si="84"/>
        <v>-</v>
      </c>
      <c r="O944" s="42" t="str">
        <f t="shared" si="89"/>
        <v>-</v>
      </c>
      <c r="P944" s="43" t="str">
        <f t="shared" si="85"/>
        <v>-</v>
      </c>
      <c r="Q944" s="46" t="str">
        <f t="shared" si="86"/>
        <v>-</v>
      </c>
      <c r="S944" s="46" t="str">
        <f t="shared" si="87"/>
        <v>-</v>
      </c>
    </row>
    <row r="945" spans="1:19" ht="15" x14ac:dyDescent="0.3">
      <c r="A945" s="74">
        <v>5949670</v>
      </c>
      <c r="B945" s="37">
        <v>1375</v>
      </c>
      <c r="C945" s="69">
        <v>76280013757</v>
      </c>
      <c r="D945" s="38" t="s">
        <v>1105</v>
      </c>
      <c r="E945" s="64">
        <v>8.7520576400000008E-2</v>
      </c>
      <c r="F945" s="70">
        <v>6</v>
      </c>
      <c r="G945" s="38" t="s">
        <v>494</v>
      </c>
      <c r="H945" s="66" t="s">
        <v>1258</v>
      </c>
      <c r="I945" s="39">
        <v>6.63</v>
      </c>
      <c r="J945" s="40"/>
      <c r="K945" s="75">
        <f t="shared" si="88"/>
        <v>0</v>
      </c>
      <c r="L945" s="41"/>
      <c r="N945" s="45" t="str">
        <f t="shared" si="84"/>
        <v>-</v>
      </c>
      <c r="O945" s="42" t="str">
        <f t="shared" si="89"/>
        <v>-</v>
      </c>
      <c r="P945" s="43" t="str">
        <f t="shared" si="85"/>
        <v>-</v>
      </c>
      <c r="Q945" s="46" t="str">
        <f t="shared" si="86"/>
        <v>-</v>
      </c>
      <c r="S945" s="46" t="str">
        <f t="shared" si="87"/>
        <v>-</v>
      </c>
    </row>
    <row r="946" spans="1:19" ht="15" x14ac:dyDescent="0.3">
      <c r="A946" s="74">
        <v>5902414</v>
      </c>
      <c r="B946" s="37">
        <v>36669</v>
      </c>
      <c r="C946" s="69">
        <v>76280366693</v>
      </c>
      <c r="D946" s="38" t="s">
        <v>1106</v>
      </c>
      <c r="E946" s="64">
        <v>7.2075768800000009E-2</v>
      </c>
      <c r="F946" s="70">
        <v>6</v>
      </c>
      <c r="G946" s="38" t="s">
        <v>285</v>
      </c>
      <c r="H946" s="66" t="s">
        <v>1258</v>
      </c>
      <c r="I946" s="39">
        <v>13.845000000000001</v>
      </c>
      <c r="J946" s="40"/>
      <c r="K946" s="75">
        <f t="shared" si="88"/>
        <v>0</v>
      </c>
      <c r="L946" s="41"/>
      <c r="N946" s="45" t="str">
        <f t="shared" si="84"/>
        <v>-</v>
      </c>
      <c r="O946" s="42" t="str">
        <f t="shared" si="89"/>
        <v>-</v>
      </c>
      <c r="P946" s="43" t="str">
        <f t="shared" si="85"/>
        <v>-</v>
      </c>
      <c r="Q946" s="46" t="str">
        <f t="shared" si="86"/>
        <v>-</v>
      </c>
      <c r="S946" s="46" t="str">
        <f t="shared" si="87"/>
        <v>-</v>
      </c>
    </row>
    <row r="947" spans="1:19" ht="15" x14ac:dyDescent="0.3">
      <c r="A947" s="74">
        <v>3129912</v>
      </c>
      <c r="B947" s="37">
        <v>54408</v>
      </c>
      <c r="C947" s="69">
        <v>76280544084</v>
      </c>
      <c r="D947" s="38" t="s">
        <v>1109</v>
      </c>
      <c r="E947" s="64">
        <v>0.49423384319999997</v>
      </c>
      <c r="F947" s="70">
        <v>3</v>
      </c>
      <c r="G947" s="38" t="s">
        <v>1110</v>
      </c>
      <c r="H947" s="66" t="s">
        <v>1258</v>
      </c>
      <c r="I947" s="39">
        <v>16.964999999999996</v>
      </c>
      <c r="J947" s="40"/>
      <c r="K947" s="75">
        <f t="shared" si="88"/>
        <v>0</v>
      </c>
      <c r="L947" s="41"/>
      <c r="N947" s="45" t="str">
        <f t="shared" si="84"/>
        <v>-</v>
      </c>
      <c r="O947" s="42" t="str">
        <f t="shared" si="89"/>
        <v>-</v>
      </c>
      <c r="P947" s="43" t="str">
        <f t="shared" si="85"/>
        <v>-</v>
      </c>
      <c r="Q947" s="46" t="str">
        <f t="shared" si="86"/>
        <v>-</v>
      </c>
      <c r="S947" s="46" t="str">
        <f t="shared" si="87"/>
        <v>-</v>
      </c>
    </row>
    <row r="948" spans="1:19" ht="15" x14ac:dyDescent="0.3">
      <c r="A948" s="74">
        <v>7325558</v>
      </c>
      <c r="B948" s="37">
        <v>88745</v>
      </c>
      <c r="C948" s="69">
        <v>76280887457</v>
      </c>
      <c r="D948" s="38" t="s">
        <v>1112</v>
      </c>
      <c r="E948" s="64">
        <v>8.2372307199999995E-2</v>
      </c>
      <c r="F948" s="70">
        <v>6</v>
      </c>
      <c r="G948" s="38" t="s">
        <v>592</v>
      </c>
      <c r="H948" s="66" t="s">
        <v>1258</v>
      </c>
      <c r="I948" s="39">
        <v>9.5550000000000015</v>
      </c>
      <c r="J948" s="40"/>
      <c r="K948" s="75">
        <f t="shared" si="88"/>
        <v>0</v>
      </c>
      <c r="L948" s="41"/>
      <c r="N948" s="45" t="str">
        <f t="shared" si="84"/>
        <v>-</v>
      </c>
      <c r="O948" s="42" t="str">
        <f t="shared" si="89"/>
        <v>-</v>
      </c>
      <c r="P948" s="43" t="str">
        <f t="shared" si="85"/>
        <v>-</v>
      </c>
      <c r="Q948" s="46" t="str">
        <f t="shared" si="86"/>
        <v>-</v>
      </c>
      <c r="S948" s="46" t="str">
        <f t="shared" si="87"/>
        <v>-</v>
      </c>
    </row>
    <row r="949" spans="1:19" ht="15" x14ac:dyDescent="0.3">
      <c r="A949" s="74">
        <v>3451453</v>
      </c>
      <c r="B949" s="37">
        <v>3069</v>
      </c>
      <c r="C949" s="69">
        <v>76280030693</v>
      </c>
      <c r="D949" s="38" t="s">
        <v>1113</v>
      </c>
      <c r="E949" s="64">
        <v>7.2075768800000009E-2</v>
      </c>
      <c r="F949" s="70">
        <v>6</v>
      </c>
      <c r="G949" s="38" t="s">
        <v>605</v>
      </c>
      <c r="H949" s="66" t="s">
        <v>1258</v>
      </c>
      <c r="I949" s="39">
        <v>13.11375</v>
      </c>
      <c r="J949" s="40"/>
      <c r="K949" s="75">
        <f t="shared" si="88"/>
        <v>0</v>
      </c>
      <c r="L949" s="41"/>
      <c r="N949" s="45" t="str">
        <f t="shared" si="84"/>
        <v>-</v>
      </c>
      <c r="O949" s="42" t="str">
        <f t="shared" si="89"/>
        <v>-</v>
      </c>
      <c r="P949" s="43" t="str">
        <f t="shared" si="85"/>
        <v>-</v>
      </c>
      <c r="Q949" s="46" t="str">
        <f t="shared" si="86"/>
        <v>-</v>
      </c>
      <c r="S949" s="46" t="str">
        <f t="shared" si="87"/>
        <v>-</v>
      </c>
    </row>
    <row r="950" spans="1:19" ht="15" x14ac:dyDescent="0.3">
      <c r="A950" s="74">
        <v>9585580</v>
      </c>
      <c r="B950" s="37">
        <v>13799</v>
      </c>
      <c r="C950" s="69">
        <v>76280137996</v>
      </c>
      <c r="D950" s="38" t="s">
        <v>1116</v>
      </c>
      <c r="E950" s="64">
        <v>9.7817114799999993E-2</v>
      </c>
      <c r="F950" s="70">
        <v>6</v>
      </c>
      <c r="G950" s="38" t="s">
        <v>914</v>
      </c>
      <c r="H950" s="66" t="s">
        <v>1258</v>
      </c>
      <c r="I950" s="39">
        <v>9.7987500000000018</v>
      </c>
      <c r="J950" s="40"/>
      <c r="K950" s="75">
        <f t="shared" si="88"/>
        <v>0</v>
      </c>
      <c r="L950" s="41"/>
      <c r="N950" s="45" t="str">
        <f t="shared" si="84"/>
        <v>-</v>
      </c>
      <c r="O950" s="42" t="str">
        <f t="shared" si="89"/>
        <v>-</v>
      </c>
      <c r="P950" s="43" t="str">
        <f t="shared" si="85"/>
        <v>-</v>
      </c>
      <c r="Q950" s="46" t="str">
        <f t="shared" si="86"/>
        <v>-</v>
      </c>
      <c r="S950" s="46" t="str">
        <f t="shared" si="87"/>
        <v>-</v>
      </c>
    </row>
    <row r="951" spans="1:19" ht="15" x14ac:dyDescent="0.3">
      <c r="A951" s="74">
        <v>6621105</v>
      </c>
      <c r="B951" s="37">
        <v>65567</v>
      </c>
      <c r="C951" s="69">
        <v>76280655674</v>
      </c>
      <c r="D951" s="38" t="s">
        <v>1117</v>
      </c>
      <c r="E951" s="64">
        <v>0.19563422959999999</v>
      </c>
      <c r="F951" s="70">
        <v>6</v>
      </c>
      <c r="G951" s="38" t="s">
        <v>364</v>
      </c>
      <c r="H951" s="66" t="s">
        <v>1258</v>
      </c>
      <c r="I951" s="39">
        <v>18.135000000000002</v>
      </c>
      <c r="J951" s="40"/>
      <c r="K951" s="75">
        <f t="shared" si="88"/>
        <v>0</v>
      </c>
      <c r="L951" s="41"/>
      <c r="N951" s="45" t="str">
        <f t="shared" si="84"/>
        <v>-</v>
      </c>
      <c r="O951" s="42" t="str">
        <f t="shared" si="89"/>
        <v>-</v>
      </c>
      <c r="P951" s="43" t="str">
        <f t="shared" si="85"/>
        <v>-</v>
      </c>
      <c r="Q951" s="46" t="str">
        <f t="shared" si="86"/>
        <v>-</v>
      </c>
      <c r="S951" s="46" t="str">
        <f t="shared" si="87"/>
        <v>-</v>
      </c>
    </row>
    <row r="952" spans="1:19" ht="15" x14ac:dyDescent="0.3">
      <c r="A952" s="74">
        <v>4427254</v>
      </c>
      <c r="B952" s="37">
        <v>19370</v>
      </c>
      <c r="C952" s="69">
        <v>76280193701</v>
      </c>
      <c r="D952" s="38" t="s">
        <v>1118</v>
      </c>
      <c r="E952" s="64">
        <v>9.2668845599999994E-2</v>
      </c>
      <c r="F952" s="70">
        <v>6</v>
      </c>
      <c r="G952" s="38" t="s">
        <v>665</v>
      </c>
      <c r="H952" s="66" t="s">
        <v>1258</v>
      </c>
      <c r="I952" s="39">
        <v>8.3849999999999998</v>
      </c>
      <c r="J952" s="40"/>
      <c r="K952" s="75">
        <f t="shared" si="88"/>
        <v>0</v>
      </c>
      <c r="L952" s="41"/>
      <c r="N952" s="45" t="str">
        <f t="shared" si="84"/>
        <v>-</v>
      </c>
      <c r="O952" s="42" t="str">
        <f t="shared" si="89"/>
        <v>-</v>
      </c>
      <c r="P952" s="43" t="str">
        <f t="shared" si="85"/>
        <v>-</v>
      </c>
      <c r="Q952" s="46" t="str">
        <f t="shared" si="86"/>
        <v>-</v>
      </c>
      <c r="S952" s="46" t="str">
        <f t="shared" si="87"/>
        <v>-</v>
      </c>
    </row>
    <row r="953" spans="1:19" ht="15" x14ac:dyDescent="0.3">
      <c r="A953" s="74">
        <v>8524765</v>
      </c>
      <c r="B953" s="37">
        <v>3665</v>
      </c>
      <c r="C953" s="69">
        <v>76280036657</v>
      </c>
      <c r="D953" s="38" t="s">
        <v>1119</v>
      </c>
      <c r="E953" s="64">
        <v>9.7817114799999993E-2</v>
      </c>
      <c r="F953" s="70">
        <v>6</v>
      </c>
      <c r="G953" s="38" t="s">
        <v>1120</v>
      </c>
      <c r="H953" s="66" t="s">
        <v>1258</v>
      </c>
      <c r="I953" s="39">
        <v>13.26</v>
      </c>
      <c r="J953" s="40"/>
      <c r="K953" s="75">
        <f t="shared" si="88"/>
        <v>0</v>
      </c>
      <c r="L953" s="41"/>
      <c r="N953" s="45" t="str">
        <f t="shared" si="84"/>
        <v>-</v>
      </c>
      <c r="O953" s="42" t="str">
        <f t="shared" si="89"/>
        <v>-</v>
      </c>
      <c r="P953" s="43" t="str">
        <f t="shared" si="85"/>
        <v>-</v>
      </c>
      <c r="Q953" s="46" t="str">
        <f t="shared" si="86"/>
        <v>-</v>
      </c>
      <c r="S953" s="46" t="str">
        <f t="shared" si="87"/>
        <v>-</v>
      </c>
    </row>
    <row r="954" spans="1:19" ht="15" x14ac:dyDescent="0.3">
      <c r="A954" s="74">
        <v>2331287</v>
      </c>
      <c r="B954" s="37">
        <v>13897</v>
      </c>
      <c r="C954" s="69">
        <v>76280138979</v>
      </c>
      <c r="D954" s="38" t="s">
        <v>1123</v>
      </c>
      <c r="E954" s="64">
        <v>7.2075768800000009E-2</v>
      </c>
      <c r="F954" s="70">
        <v>6</v>
      </c>
      <c r="G954" s="38" t="s">
        <v>98</v>
      </c>
      <c r="H954" s="66" t="s">
        <v>1258</v>
      </c>
      <c r="I954" s="39">
        <v>17.745000000000001</v>
      </c>
      <c r="J954" s="40"/>
      <c r="K954" s="75">
        <f t="shared" si="88"/>
        <v>0</v>
      </c>
      <c r="L954" s="41"/>
      <c r="N954" s="45" t="str">
        <f t="shared" si="84"/>
        <v>-</v>
      </c>
      <c r="O954" s="42" t="str">
        <f t="shared" si="89"/>
        <v>-</v>
      </c>
      <c r="P954" s="43" t="str">
        <f t="shared" si="85"/>
        <v>-</v>
      </c>
      <c r="Q954" s="46" t="str">
        <f t="shared" si="86"/>
        <v>-</v>
      </c>
      <c r="S954" s="46" t="str">
        <f t="shared" si="87"/>
        <v>-</v>
      </c>
    </row>
    <row r="955" spans="1:19" ht="15" x14ac:dyDescent="0.3">
      <c r="A955" s="74">
        <v>7580295</v>
      </c>
      <c r="B955" s="37">
        <v>44499</v>
      </c>
      <c r="C955" s="69">
        <v>76280444995</v>
      </c>
      <c r="D955" s="38" t="s">
        <v>643</v>
      </c>
      <c r="E955" s="64">
        <v>0.18533769119999999</v>
      </c>
      <c r="F955" s="70">
        <v>6</v>
      </c>
      <c r="G955" s="38" t="s">
        <v>901</v>
      </c>
      <c r="H955" s="66" t="s">
        <v>1258</v>
      </c>
      <c r="I955" s="39">
        <v>15.112500000000001</v>
      </c>
      <c r="J955" s="40"/>
      <c r="K955" s="75">
        <f t="shared" si="88"/>
        <v>0</v>
      </c>
      <c r="L955" s="41"/>
      <c r="N955" s="45" t="str">
        <f t="shared" si="84"/>
        <v>-</v>
      </c>
      <c r="O955" s="42" t="str">
        <f t="shared" si="89"/>
        <v>-</v>
      </c>
      <c r="P955" s="43" t="str">
        <f t="shared" si="85"/>
        <v>-</v>
      </c>
      <c r="Q955" s="46" t="str">
        <f t="shared" si="86"/>
        <v>-</v>
      </c>
      <c r="S955" s="46" t="str">
        <f t="shared" si="87"/>
        <v>-</v>
      </c>
    </row>
    <row r="956" spans="1:19" ht="15" x14ac:dyDescent="0.3">
      <c r="A956" s="74">
        <v>9549683</v>
      </c>
      <c r="B956" s="37">
        <v>81224</v>
      </c>
      <c r="C956" s="69">
        <v>76280812244</v>
      </c>
      <c r="D956" s="38" t="s">
        <v>1124</v>
      </c>
      <c r="E956" s="64">
        <v>0.15444807599999999</v>
      </c>
      <c r="F956" s="70">
        <v>6</v>
      </c>
      <c r="G956" s="38" t="s">
        <v>63</v>
      </c>
      <c r="H956" s="66" t="s">
        <v>1258</v>
      </c>
      <c r="I956" s="39">
        <v>26.471250000000001</v>
      </c>
      <c r="J956" s="40"/>
      <c r="K956" s="75">
        <f t="shared" si="88"/>
        <v>0</v>
      </c>
      <c r="L956" s="41"/>
      <c r="N956" s="45" t="str">
        <f t="shared" si="84"/>
        <v>-</v>
      </c>
      <c r="O956" s="42" t="str">
        <f t="shared" si="89"/>
        <v>-</v>
      </c>
      <c r="P956" s="43" t="str">
        <f t="shared" si="85"/>
        <v>-</v>
      </c>
      <c r="Q956" s="46" t="str">
        <f t="shared" si="86"/>
        <v>-</v>
      </c>
      <c r="S956" s="46" t="str">
        <f t="shared" si="87"/>
        <v>-</v>
      </c>
    </row>
    <row r="957" spans="1:19" ht="15" x14ac:dyDescent="0.3">
      <c r="A957" s="74">
        <v>9455146</v>
      </c>
      <c r="B957" s="37">
        <v>3375</v>
      </c>
      <c r="C957" s="69">
        <v>76280033755</v>
      </c>
      <c r="D957" s="38" t="s">
        <v>1125</v>
      </c>
      <c r="E957" s="64">
        <v>6.1779230399999996E-2</v>
      </c>
      <c r="F957" s="70">
        <v>6</v>
      </c>
      <c r="G957" s="38" t="s">
        <v>185</v>
      </c>
      <c r="H957" s="66" t="s">
        <v>1258</v>
      </c>
      <c r="I957" s="39">
        <v>11.115</v>
      </c>
      <c r="J957" s="40"/>
      <c r="K957" s="75">
        <f t="shared" si="88"/>
        <v>0</v>
      </c>
      <c r="L957" s="41"/>
      <c r="N957" s="45" t="str">
        <f t="shared" si="84"/>
        <v>-</v>
      </c>
      <c r="O957" s="42" t="str">
        <f t="shared" si="89"/>
        <v>-</v>
      </c>
      <c r="P957" s="43" t="str">
        <f t="shared" si="85"/>
        <v>-</v>
      </c>
      <c r="Q957" s="46" t="str">
        <f t="shared" si="86"/>
        <v>-</v>
      </c>
      <c r="S957" s="46" t="str">
        <f t="shared" si="87"/>
        <v>-</v>
      </c>
    </row>
    <row r="958" spans="1:19" ht="15" x14ac:dyDescent="0.3">
      <c r="A958" s="74">
        <v>7308029</v>
      </c>
      <c r="B958" s="37">
        <v>37571</v>
      </c>
      <c r="C958" s="69">
        <v>76280375718</v>
      </c>
      <c r="D958" s="38" t="s">
        <v>1126</v>
      </c>
      <c r="E958" s="64">
        <v>5.6750000000000002E-2</v>
      </c>
      <c r="F958" s="70">
        <v>6</v>
      </c>
      <c r="G958" s="38" t="s">
        <v>185</v>
      </c>
      <c r="H958" s="66" t="s">
        <v>1258</v>
      </c>
      <c r="I958" s="39">
        <v>13.065000000000001</v>
      </c>
      <c r="J958" s="40"/>
      <c r="K958" s="75">
        <f t="shared" si="88"/>
        <v>0</v>
      </c>
      <c r="L958" s="41"/>
      <c r="N958" s="45" t="str">
        <f t="shared" si="84"/>
        <v>-</v>
      </c>
      <c r="O958" s="42" t="str">
        <f t="shared" si="89"/>
        <v>-</v>
      </c>
      <c r="P958" s="43" t="str">
        <f t="shared" si="85"/>
        <v>-</v>
      </c>
      <c r="Q958" s="46" t="str">
        <f t="shared" si="86"/>
        <v>-</v>
      </c>
      <c r="S958" s="46" t="str">
        <f t="shared" si="87"/>
        <v>-</v>
      </c>
    </row>
    <row r="959" spans="1:19" ht="15" x14ac:dyDescent="0.3">
      <c r="A959" s="74">
        <v>1946469</v>
      </c>
      <c r="B959" s="37">
        <v>3757</v>
      </c>
      <c r="C959" s="69">
        <v>76280037579</v>
      </c>
      <c r="D959" s="38" t="s">
        <v>1126</v>
      </c>
      <c r="E959" s="64">
        <v>5.6750000000000002E-2</v>
      </c>
      <c r="F959" s="70">
        <v>6</v>
      </c>
      <c r="G959" s="38" t="s">
        <v>756</v>
      </c>
      <c r="H959" s="66" t="s">
        <v>1258</v>
      </c>
      <c r="I959" s="39">
        <v>7.1174999999999997</v>
      </c>
      <c r="J959" s="40"/>
      <c r="K959" s="75">
        <f t="shared" si="88"/>
        <v>0</v>
      </c>
      <c r="L959" s="41"/>
      <c r="N959" s="45" t="str">
        <f t="shared" si="84"/>
        <v>-</v>
      </c>
      <c r="O959" s="42" t="str">
        <f t="shared" si="89"/>
        <v>-</v>
      </c>
      <c r="P959" s="43" t="str">
        <f t="shared" si="85"/>
        <v>-</v>
      </c>
      <c r="Q959" s="46" t="str">
        <f t="shared" si="86"/>
        <v>-</v>
      </c>
      <c r="S959" s="46" t="str">
        <f t="shared" si="87"/>
        <v>-</v>
      </c>
    </row>
    <row r="960" spans="1:19" ht="15" x14ac:dyDescent="0.3">
      <c r="A960" s="74">
        <v>9911977</v>
      </c>
      <c r="B960" s="37">
        <v>1184</v>
      </c>
      <c r="C960" s="69">
        <v>76280011845</v>
      </c>
      <c r="D960" s="38" t="s">
        <v>1127</v>
      </c>
      <c r="E960" s="64">
        <v>9.2668845599999994E-2</v>
      </c>
      <c r="F960" s="70">
        <v>6</v>
      </c>
      <c r="G960" s="38" t="s">
        <v>767</v>
      </c>
      <c r="H960" s="66" t="s">
        <v>1258</v>
      </c>
      <c r="I960" s="39">
        <v>10.919999999999998</v>
      </c>
      <c r="J960" s="40"/>
      <c r="K960" s="75">
        <f t="shared" si="88"/>
        <v>0</v>
      </c>
      <c r="L960" s="41"/>
      <c r="N960" s="45" t="str">
        <f t="shared" si="84"/>
        <v>-</v>
      </c>
      <c r="O960" s="42" t="str">
        <f t="shared" si="89"/>
        <v>-</v>
      </c>
      <c r="P960" s="43" t="str">
        <f t="shared" si="85"/>
        <v>-</v>
      </c>
      <c r="Q960" s="46" t="str">
        <f t="shared" si="86"/>
        <v>-</v>
      </c>
      <c r="S960" s="46" t="str">
        <f t="shared" si="87"/>
        <v>-</v>
      </c>
    </row>
    <row r="961" spans="1:19" ht="15" x14ac:dyDescent="0.3">
      <c r="A961" s="74">
        <v>4892910</v>
      </c>
      <c r="B961" s="37">
        <v>90168</v>
      </c>
      <c r="C961" s="69">
        <v>76280901689</v>
      </c>
      <c r="D961" s="38" t="s">
        <v>1128</v>
      </c>
      <c r="E961" s="64">
        <v>0.15959634519999999</v>
      </c>
      <c r="F961" s="70">
        <v>6</v>
      </c>
      <c r="G961" s="38" t="s">
        <v>1129</v>
      </c>
      <c r="H961" s="66" t="s">
        <v>1258</v>
      </c>
      <c r="I961" s="39">
        <v>17.55</v>
      </c>
      <c r="J961" s="40"/>
      <c r="K961" s="75">
        <f t="shared" si="88"/>
        <v>0</v>
      </c>
      <c r="L961" s="41"/>
      <c r="N961" s="45" t="str">
        <f t="shared" si="84"/>
        <v>-</v>
      </c>
      <c r="O961" s="42" t="str">
        <f t="shared" si="89"/>
        <v>-</v>
      </c>
      <c r="P961" s="43" t="str">
        <f t="shared" si="85"/>
        <v>-</v>
      </c>
      <c r="Q961" s="46" t="str">
        <f t="shared" si="86"/>
        <v>-</v>
      </c>
      <c r="S961" s="46" t="str">
        <f t="shared" si="87"/>
        <v>-</v>
      </c>
    </row>
    <row r="962" spans="1:19" ht="15" x14ac:dyDescent="0.3">
      <c r="A962" s="74">
        <v>3258134</v>
      </c>
      <c r="B962" s="37">
        <v>1275</v>
      </c>
      <c r="C962" s="69">
        <v>76280012750</v>
      </c>
      <c r="D962" s="38" t="s">
        <v>1130</v>
      </c>
      <c r="E962" s="64">
        <v>9.2668845599999994E-2</v>
      </c>
      <c r="F962" s="70">
        <v>6</v>
      </c>
      <c r="G962" s="38" t="s">
        <v>1131</v>
      </c>
      <c r="H962" s="66" t="s">
        <v>1258</v>
      </c>
      <c r="I962" s="39">
        <v>8.53125</v>
      </c>
      <c r="J962" s="40"/>
      <c r="K962" s="75">
        <f t="shared" si="88"/>
        <v>0</v>
      </c>
      <c r="L962" s="41"/>
      <c r="N962" s="45" t="str">
        <f t="shared" si="84"/>
        <v>-</v>
      </c>
      <c r="O962" s="42" t="str">
        <f t="shared" si="89"/>
        <v>-</v>
      </c>
      <c r="P962" s="43" t="str">
        <f t="shared" si="85"/>
        <v>-</v>
      </c>
      <c r="Q962" s="46" t="str">
        <f t="shared" si="86"/>
        <v>-</v>
      </c>
      <c r="S962" s="46" t="str">
        <f t="shared" si="87"/>
        <v>-</v>
      </c>
    </row>
    <row r="963" spans="1:19" ht="15" x14ac:dyDescent="0.3">
      <c r="A963" s="74">
        <v>4382252</v>
      </c>
      <c r="B963" s="37">
        <v>1360</v>
      </c>
      <c r="C963" s="69">
        <v>76280013603</v>
      </c>
      <c r="D963" s="38" t="s">
        <v>1136</v>
      </c>
      <c r="E963" s="64">
        <v>9.2668845599999994E-2</v>
      </c>
      <c r="F963" s="70">
        <v>6</v>
      </c>
      <c r="G963" s="38" t="s">
        <v>665</v>
      </c>
      <c r="H963" s="66" t="s">
        <v>1258</v>
      </c>
      <c r="I963" s="39">
        <v>7.0687500000000005</v>
      </c>
      <c r="J963" s="40"/>
      <c r="K963" s="75">
        <f t="shared" si="88"/>
        <v>0</v>
      </c>
      <c r="L963" s="41"/>
      <c r="N963" s="45" t="str">
        <f t="shared" ref="N963:N1026" si="90">IFERROR(IF($N$2*E963=0, "-", $N$2*E963), "-")</f>
        <v>-</v>
      </c>
      <c r="O963" s="42" t="str">
        <f t="shared" si="89"/>
        <v>-</v>
      </c>
      <c r="P963" s="43" t="str">
        <f t="shared" ref="P963:P1026" si="91">IF(J963&gt;0,J963*E963, "-")</f>
        <v>-</v>
      </c>
      <c r="Q963" s="46" t="str">
        <f t="shared" ref="Q963:Q1026" si="92">IFERROR(IF($N$2&gt;0, $N$2*P963, "-"), "-")</f>
        <v>-</v>
      </c>
      <c r="S963" s="46" t="str">
        <f t="shared" ref="S963:S1026" si="93">IFERROR(IF(Q963+K963=0, "-", IF(Q963&gt;0, Q963+K963, "-")), "-")</f>
        <v>-</v>
      </c>
    </row>
    <row r="964" spans="1:19" ht="15" x14ac:dyDescent="0.3">
      <c r="A964" s="74">
        <v>3458372</v>
      </c>
      <c r="B964" s="37">
        <v>3400</v>
      </c>
      <c r="C964" s="69">
        <v>76280034004</v>
      </c>
      <c r="D964" s="38" t="s">
        <v>1138</v>
      </c>
      <c r="E964" s="64">
        <v>5.6750000000000002E-2</v>
      </c>
      <c r="F964" s="70">
        <v>6</v>
      </c>
      <c r="G964" s="38" t="s">
        <v>1139</v>
      </c>
      <c r="H964" s="66" t="s">
        <v>1258</v>
      </c>
      <c r="I964" s="39">
        <v>11.407499999999999</v>
      </c>
      <c r="J964" s="40"/>
      <c r="K964" s="75">
        <f t="shared" ref="K964:K1043" si="94">J964*I964</f>
        <v>0</v>
      </c>
      <c r="L964" s="41"/>
      <c r="N964" s="45" t="str">
        <f t="shared" si="90"/>
        <v>-</v>
      </c>
      <c r="O964" s="42" t="str">
        <f t="shared" ref="O964:O1027" si="95">IFERROR(IF(N964&gt;0,I964+N964,"-"),"-")</f>
        <v>-</v>
      </c>
      <c r="P964" s="43" t="str">
        <f t="shared" si="91"/>
        <v>-</v>
      </c>
      <c r="Q964" s="46" t="str">
        <f t="shared" si="92"/>
        <v>-</v>
      </c>
      <c r="S964" s="46" t="str">
        <f t="shared" si="93"/>
        <v>-</v>
      </c>
    </row>
    <row r="965" spans="1:19" ht="15" x14ac:dyDescent="0.3">
      <c r="A965" s="74">
        <v>1768256</v>
      </c>
      <c r="B965" s="37">
        <v>5180</v>
      </c>
      <c r="C965" s="69">
        <v>76280051803</v>
      </c>
      <c r="D965" s="38" t="s">
        <v>1140</v>
      </c>
      <c r="E965" s="64">
        <v>6.6927499599999996E-2</v>
      </c>
      <c r="F965" s="70">
        <v>12</v>
      </c>
      <c r="G965" s="38" t="s">
        <v>1141</v>
      </c>
      <c r="H965" s="66" t="s">
        <v>1258</v>
      </c>
      <c r="I965" s="39">
        <v>8.4337499999999999</v>
      </c>
      <c r="J965" s="40"/>
      <c r="K965" s="75">
        <f t="shared" si="94"/>
        <v>0</v>
      </c>
      <c r="L965" s="41"/>
      <c r="N965" s="45" t="str">
        <f t="shared" si="90"/>
        <v>-</v>
      </c>
      <c r="O965" s="42" t="str">
        <f t="shared" si="95"/>
        <v>-</v>
      </c>
      <c r="P965" s="43" t="str">
        <f t="shared" si="91"/>
        <v>-</v>
      </c>
      <c r="Q965" s="46" t="str">
        <f t="shared" si="92"/>
        <v>-</v>
      </c>
      <c r="S965" s="46" t="str">
        <f t="shared" si="93"/>
        <v>-</v>
      </c>
    </row>
    <row r="966" spans="1:19" ht="15" x14ac:dyDescent="0.3">
      <c r="A966" s="74">
        <v>4395874</v>
      </c>
      <c r="B966" s="37">
        <v>210</v>
      </c>
      <c r="C966" s="69">
        <v>76280002102</v>
      </c>
      <c r="D966" s="38" t="s">
        <v>1142</v>
      </c>
      <c r="E966" s="64">
        <v>8.7520576400000008E-2</v>
      </c>
      <c r="F966" s="70">
        <v>6</v>
      </c>
      <c r="G966" s="38" t="s">
        <v>154</v>
      </c>
      <c r="H966" s="66" t="s">
        <v>1258</v>
      </c>
      <c r="I966" s="39">
        <v>7.0687500000000005</v>
      </c>
      <c r="J966" s="40"/>
      <c r="K966" s="75">
        <f t="shared" si="94"/>
        <v>0</v>
      </c>
      <c r="L966" s="41"/>
      <c r="N966" s="45" t="str">
        <f t="shared" si="90"/>
        <v>-</v>
      </c>
      <c r="O966" s="42" t="str">
        <f t="shared" si="95"/>
        <v>-</v>
      </c>
      <c r="P966" s="43" t="str">
        <f t="shared" si="91"/>
        <v>-</v>
      </c>
      <c r="Q966" s="46" t="str">
        <f t="shared" si="92"/>
        <v>-</v>
      </c>
      <c r="S966" s="46" t="str">
        <f t="shared" si="93"/>
        <v>-</v>
      </c>
    </row>
    <row r="967" spans="1:19" ht="15" x14ac:dyDescent="0.3">
      <c r="A967" s="74">
        <v>4124194</v>
      </c>
      <c r="B967" s="37">
        <v>19276</v>
      </c>
      <c r="C967" s="69">
        <v>76280192766</v>
      </c>
      <c r="D967" s="38" t="s">
        <v>1143</v>
      </c>
      <c r="E967" s="64">
        <v>9.2668845599999994E-2</v>
      </c>
      <c r="F967" s="70">
        <v>6</v>
      </c>
      <c r="G967" s="38" t="s">
        <v>1144</v>
      </c>
      <c r="H967" s="66" t="s">
        <v>1258</v>
      </c>
      <c r="I967" s="39">
        <v>10.8225</v>
      </c>
      <c r="J967" s="40"/>
      <c r="K967" s="75">
        <f t="shared" si="94"/>
        <v>0</v>
      </c>
      <c r="L967" s="41"/>
      <c r="N967" s="45" t="str">
        <f t="shared" si="90"/>
        <v>-</v>
      </c>
      <c r="O967" s="42" t="str">
        <f t="shared" si="95"/>
        <v>-</v>
      </c>
      <c r="P967" s="43" t="str">
        <f t="shared" si="91"/>
        <v>-</v>
      </c>
      <c r="Q967" s="46" t="str">
        <f t="shared" si="92"/>
        <v>-</v>
      </c>
      <c r="S967" s="46" t="str">
        <f t="shared" si="93"/>
        <v>-</v>
      </c>
    </row>
    <row r="968" spans="1:19" ht="15" x14ac:dyDescent="0.3">
      <c r="A968" s="74">
        <v>2785274</v>
      </c>
      <c r="B968" s="37">
        <v>4231</v>
      </c>
      <c r="C968" s="69">
        <v>76280042313</v>
      </c>
      <c r="D968" s="38" t="s">
        <v>1145</v>
      </c>
      <c r="E968" s="64">
        <v>0.19563422959999999</v>
      </c>
      <c r="F968" s="70">
        <v>6</v>
      </c>
      <c r="G968" s="38" t="s">
        <v>364</v>
      </c>
      <c r="H968" s="66" t="s">
        <v>1258</v>
      </c>
      <c r="I968" s="39">
        <v>12.675000000000001</v>
      </c>
      <c r="J968" s="40"/>
      <c r="K968" s="75">
        <f t="shared" si="94"/>
        <v>0</v>
      </c>
      <c r="L968" s="41"/>
      <c r="N968" s="45" t="str">
        <f t="shared" si="90"/>
        <v>-</v>
      </c>
      <c r="O968" s="42" t="str">
        <f t="shared" si="95"/>
        <v>-</v>
      </c>
      <c r="P968" s="43" t="str">
        <f t="shared" si="91"/>
        <v>-</v>
      </c>
      <c r="Q968" s="46" t="str">
        <f t="shared" si="92"/>
        <v>-</v>
      </c>
      <c r="S968" s="46" t="str">
        <f t="shared" si="93"/>
        <v>-</v>
      </c>
    </row>
    <row r="969" spans="1:19" ht="15" x14ac:dyDescent="0.3">
      <c r="A969" s="74">
        <v>2397327</v>
      </c>
      <c r="B969" s="37">
        <v>46355</v>
      </c>
      <c r="C969" s="69">
        <v>76280463552</v>
      </c>
      <c r="D969" s="38" t="s">
        <v>1146</v>
      </c>
      <c r="E969" s="64">
        <v>0.14415153760000002</v>
      </c>
      <c r="F969" s="70">
        <v>6</v>
      </c>
      <c r="G969" s="38" t="s">
        <v>1147</v>
      </c>
      <c r="H969" s="66" t="s">
        <v>1258</v>
      </c>
      <c r="I969" s="39">
        <v>9.8962500000000002</v>
      </c>
      <c r="J969" s="40"/>
      <c r="K969" s="75">
        <f t="shared" si="94"/>
        <v>0</v>
      </c>
      <c r="L969" s="41"/>
      <c r="N969" s="45" t="str">
        <f t="shared" si="90"/>
        <v>-</v>
      </c>
      <c r="O969" s="42" t="str">
        <f t="shared" si="95"/>
        <v>-</v>
      </c>
      <c r="P969" s="43" t="str">
        <f t="shared" si="91"/>
        <v>-</v>
      </c>
      <c r="Q969" s="46" t="str">
        <f t="shared" si="92"/>
        <v>-</v>
      </c>
      <c r="S969" s="46" t="str">
        <f t="shared" si="93"/>
        <v>-</v>
      </c>
    </row>
    <row r="970" spans="1:19" ht="15" x14ac:dyDescent="0.3">
      <c r="A970" s="74">
        <v>8927047</v>
      </c>
      <c r="B970" s="37">
        <v>92400</v>
      </c>
      <c r="C970" s="69">
        <v>76280924008</v>
      </c>
      <c r="D970" s="38" t="s">
        <v>1151</v>
      </c>
      <c r="E970" s="64">
        <v>5.6750000000000002E-2</v>
      </c>
      <c r="F970" s="70">
        <v>12</v>
      </c>
      <c r="G970" s="38" t="s">
        <v>1152</v>
      </c>
      <c r="H970" s="66" t="s">
        <v>1258</v>
      </c>
      <c r="I970" s="39">
        <v>7.4587500000000002</v>
      </c>
      <c r="J970" s="40"/>
      <c r="K970" s="75">
        <f t="shared" si="94"/>
        <v>0</v>
      </c>
      <c r="L970" s="41"/>
      <c r="N970" s="45" t="str">
        <f t="shared" si="90"/>
        <v>-</v>
      </c>
      <c r="O970" s="42" t="str">
        <f t="shared" si="95"/>
        <v>-</v>
      </c>
      <c r="P970" s="43" t="str">
        <f t="shared" si="91"/>
        <v>-</v>
      </c>
      <c r="Q970" s="46" t="str">
        <f t="shared" si="92"/>
        <v>-</v>
      </c>
      <c r="S970" s="46" t="str">
        <f t="shared" si="93"/>
        <v>-</v>
      </c>
    </row>
    <row r="971" spans="1:19" ht="15" x14ac:dyDescent="0.3">
      <c r="A971" s="74">
        <v>7107553</v>
      </c>
      <c r="B971" s="37">
        <v>36666</v>
      </c>
      <c r="C971" s="69">
        <v>76280366662</v>
      </c>
      <c r="D971" s="38" t="s">
        <v>1153</v>
      </c>
      <c r="E971" s="64">
        <v>6.6927499599999996E-2</v>
      </c>
      <c r="F971" s="70">
        <v>6</v>
      </c>
      <c r="G971" s="38" t="s">
        <v>90</v>
      </c>
      <c r="H971" s="66" t="s">
        <v>1258</v>
      </c>
      <c r="I971" s="39">
        <v>9.6037499999999998</v>
      </c>
      <c r="J971" s="40"/>
      <c r="K971" s="75">
        <f t="shared" si="94"/>
        <v>0</v>
      </c>
      <c r="L971" s="41"/>
      <c r="N971" s="45" t="str">
        <f t="shared" si="90"/>
        <v>-</v>
      </c>
      <c r="O971" s="42" t="str">
        <f t="shared" si="95"/>
        <v>-</v>
      </c>
      <c r="P971" s="43" t="str">
        <f t="shared" si="91"/>
        <v>-</v>
      </c>
      <c r="Q971" s="46" t="str">
        <f t="shared" si="92"/>
        <v>-</v>
      </c>
      <c r="S971" s="46" t="str">
        <f t="shared" si="93"/>
        <v>-</v>
      </c>
    </row>
    <row r="972" spans="1:19" ht="15" x14ac:dyDescent="0.3">
      <c r="A972" s="74">
        <v>9372632</v>
      </c>
      <c r="B972" s="37">
        <v>19553</v>
      </c>
      <c r="C972" s="69">
        <v>76280195538</v>
      </c>
      <c r="D972" s="38" t="s">
        <v>1154</v>
      </c>
      <c r="E972" s="64">
        <v>9.2668845599999994E-2</v>
      </c>
      <c r="F972" s="70">
        <v>6</v>
      </c>
      <c r="G972" s="38" t="s">
        <v>665</v>
      </c>
      <c r="H972" s="66" t="s">
        <v>1258</v>
      </c>
      <c r="I972" s="39">
        <v>12.1875</v>
      </c>
      <c r="J972" s="40"/>
      <c r="K972" s="75">
        <f t="shared" si="94"/>
        <v>0</v>
      </c>
      <c r="L972" s="41"/>
      <c r="N972" s="45" t="str">
        <f t="shared" si="90"/>
        <v>-</v>
      </c>
      <c r="O972" s="42" t="str">
        <f t="shared" si="95"/>
        <v>-</v>
      </c>
      <c r="P972" s="43" t="str">
        <f t="shared" si="91"/>
        <v>-</v>
      </c>
      <c r="Q972" s="46" t="str">
        <f t="shared" si="92"/>
        <v>-</v>
      </c>
      <c r="S972" s="46" t="str">
        <f t="shared" si="93"/>
        <v>-</v>
      </c>
    </row>
    <row r="973" spans="1:19" ht="15" x14ac:dyDescent="0.3">
      <c r="A973" s="74">
        <v>9999973</v>
      </c>
      <c r="B973" s="37">
        <v>11330</v>
      </c>
      <c r="C973" s="69">
        <v>76280113303</v>
      </c>
      <c r="D973" s="38" t="s">
        <v>1155</v>
      </c>
      <c r="E973" s="64">
        <v>9.2668845599999994E-2</v>
      </c>
      <c r="F973" s="70">
        <v>6</v>
      </c>
      <c r="G973" s="38" t="s">
        <v>1156</v>
      </c>
      <c r="H973" s="66" t="s">
        <v>1258</v>
      </c>
      <c r="I973" s="39">
        <v>4.9725000000000001</v>
      </c>
      <c r="J973" s="40"/>
      <c r="K973" s="75">
        <f t="shared" si="94"/>
        <v>0</v>
      </c>
      <c r="L973" s="41"/>
      <c r="N973" s="45" t="str">
        <f t="shared" si="90"/>
        <v>-</v>
      </c>
      <c r="O973" s="42" t="str">
        <f t="shared" si="95"/>
        <v>-</v>
      </c>
      <c r="P973" s="43" t="str">
        <f t="shared" si="91"/>
        <v>-</v>
      </c>
      <c r="Q973" s="46" t="str">
        <f t="shared" si="92"/>
        <v>-</v>
      </c>
      <c r="S973" s="46" t="str">
        <f t="shared" si="93"/>
        <v>-</v>
      </c>
    </row>
    <row r="974" spans="1:19" ht="15" x14ac:dyDescent="0.3">
      <c r="A974" s="74">
        <v>5937183</v>
      </c>
      <c r="B974" s="37">
        <v>3750</v>
      </c>
      <c r="C974" s="69">
        <v>76280037500</v>
      </c>
      <c r="D974" s="38" t="s">
        <v>1158</v>
      </c>
      <c r="E974" s="64">
        <v>9.2668845599999994E-2</v>
      </c>
      <c r="F974" s="70">
        <v>6</v>
      </c>
      <c r="G974" s="38" t="s">
        <v>1159</v>
      </c>
      <c r="H974" s="66" t="s">
        <v>1258</v>
      </c>
      <c r="I974" s="39">
        <v>12.626250000000001</v>
      </c>
      <c r="J974" s="40"/>
      <c r="K974" s="75">
        <f t="shared" si="94"/>
        <v>0</v>
      </c>
      <c r="L974" s="41"/>
      <c r="N974" s="45" t="str">
        <f t="shared" si="90"/>
        <v>-</v>
      </c>
      <c r="O974" s="42" t="str">
        <f t="shared" si="95"/>
        <v>-</v>
      </c>
      <c r="P974" s="43" t="str">
        <f t="shared" si="91"/>
        <v>-</v>
      </c>
      <c r="Q974" s="46" t="str">
        <f t="shared" si="92"/>
        <v>-</v>
      </c>
      <c r="S974" s="46" t="str">
        <f t="shared" si="93"/>
        <v>-</v>
      </c>
    </row>
    <row r="975" spans="1:19" ht="15" x14ac:dyDescent="0.3">
      <c r="A975" s="74">
        <v>2528317</v>
      </c>
      <c r="B975" s="37">
        <v>37369</v>
      </c>
      <c r="C975" s="69">
        <v>76280373691</v>
      </c>
      <c r="D975" s="38" t="s">
        <v>730</v>
      </c>
      <c r="E975" s="64">
        <v>0.40671326679999997</v>
      </c>
      <c r="F975" s="70">
        <v>6</v>
      </c>
      <c r="G975" s="38" t="s">
        <v>63</v>
      </c>
      <c r="H975" s="66" t="s">
        <v>1258</v>
      </c>
      <c r="I975" s="39">
        <v>17.598750000000003</v>
      </c>
      <c r="J975" s="40"/>
      <c r="K975" s="75">
        <f t="shared" si="94"/>
        <v>0</v>
      </c>
      <c r="L975" s="41"/>
      <c r="N975" s="45" t="str">
        <f t="shared" si="90"/>
        <v>-</v>
      </c>
      <c r="O975" s="42" t="str">
        <f t="shared" si="95"/>
        <v>-</v>
      </c>
      <c r="P975" s="43" t="str">
        <f t="shared" si="91"/>
        <v>-</v>
      </c>
      <c r="Q975" s="46" t="str">
        <f t="shared" si="92"/>
        <v>-</v>
      </c>
      <c r="S975" s="46" t="str">
        <f t="shared" si="93"/>
        <v>-</v>
      </c>
    </row>
    <row r="976" spans="1:19" ht="15" x14ac:dyDescent="0.3">
      <c r="A976" s="74">
        <v>1422747</v>
      </c>
      <c r="B976" s="37">
        <v>36673</v>
      </c>
      <c r="C976" s="69">
        <v>76280366730</v>
      </c>
      <c r="D976" s="38" t="s">
        <v>1160</v>
      </c>
      <c r="E976" s="64">
        <v>7.7224037999999995E-2</v>
      </c>
      <c r="F976" s="70">
        <v>6</v>
      </c>
      <c r="G976" s="38" t="s">
        <v>1161</v>
      </c>
      <c r="H976" s="66" t="s">
        <v>1258</v>
      </c>
      <c r="I976" s="39">
        <v>19.012500000000003</v>
      </c>
      <c r="J976" s="40"/>
      <c r="K976" s="75">
        <f t="shared" si="94"/>
        <v>0</v>
      </c>
      <c r="L976" s="41"/>
      <c r="N976" s="45" t="str">
        <f t="shared" si="90"/>
        <v>-</v>
      </c>
      <c r="O976" s="42" t="str">
        <f t="shared" si="95"/>
        <v>-</v>
      </c>
      <c r="P976" s="43" t="str">
        <f t="shared" si="91"/>
        <v>-</v>
      </c>
      <c r="Q976" s="46" t="str">
        <f t="shared" si="92"/>
        <v>-</v>
      </c>
      <c r="S976" s="46" t="str">
        <f t="shared" si="93"/>
        <v>-</v>
      </c>
    </row>
    <row r="977" spans="1:19" ht="15" x14ac:dyDescent="0.3">
      <c r="A977" s="74">
        <v>9034776</v>
      </c>
      <c r="B977" s="37">
        <v>26202</v>
      </c>
      <c r="C977" s="69">
        <v>76280262025</v>
      </c>
      <c r="D977" s="38" t="s">
        <v>1162</v>
      </c>
      <c r="E977" s="64">
        <v>0.21107903719999999</v>
      </c>
      <c r="F977" s="70">
        <v>6</v>
      </c>
      <c r="G977" s="38" t="s">
        <v>364</v>
      </c>
      <c r="H977" s="66" t="s">
        <v>1258</v>
      </c>
      <c r="I977" s="39">
        <v>20.669999999999998</v>
      </c>
      <c r="J977" s="40"/>
      <c r="K977" s="75">
        <f t="shared" si="94"/>
        <v>0</v>
      </c>
      <c r="L977" s="41"/>
      <c r="N977" s="45" t="str">
        <f t="shared" si="90"/>
        <v>-</v>
      </c>
      <c r="O977" s="42" t="str">
        <f t="shared" si="95"/>
        <v>-</v>
      </c>
      <c r="P977" s="43" t="str">
        <f t="shared" si="91"/>
        <v>-</v>
      </c>
      <c r="Q977" s="46" t="str">
        <f t="shared" si="92"/>
        <v>-</v>
      </c>
      <c r="S977" s="46" t="str">
        <f t="shared" si="93"/>
        <v>-</v>
      </c>
    </row>
    <row r="978" spans="1:19" ht="15" x14ac:dyDescent="0.3">
      <c r="A978" s="74">
        <v>2732125</v>
      </c>
      <c r="B978" s="37">
        <v>94138</v>
      </c>
      <c r="C978" s="69">
        <v>76280941388</v>
      </c>
      <c r="D978" s="38" t="s">
        <v>1166</v>
      </c>
      <c r="E978" s="64">
        <v>7.2075768800000009E-2</v>
      </c>
      <c r="F978" s="70">
        <v>6</v>
      </c>
      <c r="G978" s="38" t="s">
        <v>409</v>
      </c>
      <c r="H978" s="66" t="s">
        <v>1258</v>
      </c>
      <c r="I978" s="39">
        <v>9.5550000000000015</v>
      </c>
      <c r="J978" s="40"/>
      <c r="K978" s="75">
        <f t="shared" si="94"/>
        <v>0</v>
      </c>
      <c r="L978" s="41"/>
      <c r="N978" s="45" t="str">
        <f t="shared" si="90"/>
        <v>-</v>
      </c>
      <c r="O978" s="42" t="str">
        <f t="shared" si="95"/>
        <v>-</v>
      </c>
      <c r="P978" s="43" t="str">
        <f t="shared" si="91"/>
        <v>-</v>
      </c>
      <c r="Q978" s="46" t="str">
        <f t="shared" si="92"/>
        <v>-</v>
      </c>
      <c r="S978" s="46" t="str">
        <f t="shared" si="93"/>
        <v>-</v>
      </c>
    </row>
    <row r="979" spans="1:19" ht="15" x14ac:dyDescent="0.3">
      <c r="A979" s="74">
        <v>3953256</v>
      </c>
      <c r="B979" s="37">
        <v>11099</v>
      </c>
      <c r="C979" s="69">
        <v>76280110999</v>
      </c>
      <c r="D979" s="38" t="s">
        <v>1167</v>
      </c>
      <c r="E979" s="64">
        <v>7.7224037999999995E-2</v>
      </c>
      <c r="F979" s="70">
        <v>6</v>
      </c>
      <c r="G979" s="38" t="s">
        <v>98</v>
      </c>
      <c r="H979" s="66" t="s">
        <v>1258</v>
      </c>
      <c r="I979" s="39">
        <v>12.04125</v>
      </c>
      <c r="J979" s="40"/>
      <c r="K979" s="75">
        <f t="shared" si="94"/>
        <v>0</v>
      </c>
      <c r="L979" s="41"/>
      <c r="N979" s="45" t="str">
        <f t="shared" si="90"/>
        <v>-</v>
      </c>
      <c r="O979" s="42" t="str">
        <f t="shared" si="95"/>
        <v>-</v>
      </c>
      <c r="P979" s="43" t="str">
        <f t="shared" si="91"/>
        <v>-</v>
      </c>
      <c r="Q979" s="46" t="str">
        <f t="shared" si="92"/>
        <v>-</v>
      </c>
      <c r="S979" s="46" t="str">
        <f t="shared" si="93"/>
        <v>-</v>
      </c>
    </row>
    <row r="980" spans="1:19" ht="15" x14ac:dyDescent="0.3">
      <c r="A980" s="74">
        <v>7876720</v>
      </c>
      <c r="B980" s="37">
        <v>3500</v>
      </c>
      <c r="C980" s="69">
        <v>76280035001</v>
      </c>
      <c r="D980" s="38" t="s">
        <v>1168</v>
      </c>
      <c r="E980" s="64">
        <v>7.2075768800000009E-2</v>
      </c>
      <c r="F980" s="70">
        <v>6</v>
      </c>
      <c r="G980" s="38" t="s">
        <v>98</v>
      </c>
      <c r="H980" s="66" t="s">
        <v>1258</v>
      </c>
      <c r="I980" s="39">
        <v>27.056250000000002</v>
      </c>
      <c r="J980" s="40"/>
      <c r="K980" s="75">
        <f t="shared" si="94"/>
        <v>0</v>
      </c>
      <c r="L980" s="41"/>
      <c r="N980" s="45" t="str">
        <f t="shared" si="90"/>
        <v>-</v>
      </c>
      <c r="O980" s="42" t="str">
        <f t="shared" si="95"/>
        <v>-</v>
      </c>
      <c r="P980" s="43" t="str">
        <f t="shared" si="91"/>
        <v>-</v>
      </c>
      <c r="Q980" s="46" t="str">
        <f t="shared" si="92"/>
        <v>-</v>
      </c>
      <c r="S980" s="46" t="str">
        <f t="shared" si="93"/>
        <v>-</v>
      </c>
    </row>
    <row r="981" spans="1:19" ht="15" x14ac:dyDescent="0.3">
      <c r="A981" s="74">
        <v>8434414</v>
      </c>
      <c r="B981" s="37">
        <v>46479</v>
      </c>
      <c r="C981" s="69">
        <v>76280464795</v>
      </c>
      <c r="D981" s="38" t="s">
        <v>1169</v>
      </c>
      <c r="E981" s="64">
        <v>6.6927499599999996E-2</v>
      </c>
      <c r="F981" s="70">
        <v>6</v>
      </c>
      <c r="G981" s="38" t="s">
        <v>1170</v>
      </c>
      <c r="H981" s="66" t="s">
        <v>1258</v>
      </c>
      <c r="I981" s="39">
        <v>14.234999999999999</v>
      </c>
      <c r="J981" s="40"/>
      <c r="K981" s="75">
        <f t="shared" si="94"/>
        <v>0</v>
      </c>
      <c r="L981" s="41"/>
      <c r="N981" s="45" t="str">
        <f t="shared" si="90"/>
        <v>-</v>
      </c>
      <c r="O981" s="42" t="str">
        <f t="shared" si="95"/>
        <v>-</v>
      </c>
      <c r="P981" s="43" t="str">
        <f t="shared" si="91"/>
        <v>-</v>
      </c>
      <c r="Q981" s="46" t="str">
        <f t="shared" si="92"/>
        <v>-</v>
      </c>
      <c r="S981" s="46" t="str">
        <f t="shared" si="93"/>
        <v>-</v>
      </c>
    </row>
    <row r="982" spans="1:19" ht="15" x14ac:dyDescent="0.3">
      <c r="A982" s="74">
        <v>7459034</v>
      </c>
      <c r="B982" s="37">
        <v>3658</v>
      </c>
      <c r="C982" s="69">
        <v>76280036589</v>
      </c>
      <c r="D982" s="38" t="s">
        <v>1171</v>
      </c>
      <c r="E982" s="64">
        <v>5.6750000000000002E-2</v>
      </c>
      <c r="F982" s="70">
        <v>6</v>
      </c>
      <c r="G982" s="38" t="s">
        <v>756</v>
      </c>
      <c r="H982" s="66" t="s">
        <v>1258</v>
      </c>
      <c r="I982" s="39">
        <v>8.9699999999999989</v>
      </c>
      <c r="J982" s="40"/>
      <c r="K982" s="75">
        <f t="shared" si="94"/>
        <v>0</v>
      </c>
      <c r="L982" s="41"/>
      <c r="N982" s="45" t="str">
        <f t="shared" si="90"/>
        <v>-</v>
      </c>
      <c r="O982" s="42" t="str">
        <f t="shared" si="95"/>
        <v>-</v>
      </c>
      <c r="P982" s="43" t="str">
        <f t="shared" si="91"/>
        <v>-</v>
      </c>
      <c r="Q982" s="46" t="str">
        <f t="shared" si="92"/>
        <v>-</v>
      </c>
      <c r="S982" s="46" t="str">
        <f t="shared" si="93"/>
        <v>-</v>
      </c>
    </row>
    <row r="983" spans="1:19" ht="15" x14ac:dyDescent="0.3">
      <c r="A983" s="74">
        <v>6048245</v>
      </c>
      <c r="B983" s="37">
        <v>3661</v>
      </c>
      <c r="C983" s="69">
        <v>76280036619</v>
      </c>
      <c r="D983" s="38" t="s">
        <v>1173</v>
      </c>
      <c r="E983" s="64">
        <v>6.6927499599999996E-2</v>
      </c>
      <c r="F983" s="70">
        <v>6</v>
      </c>
      <c r="G983" s="38" t="s">
        <v>152</v>
      </c>
      <c r="H983" s="66" t="s">
        <v>1258</v>
      </c>
      <c r="I983" s="39">
        <v>15.453749999999999</v>
      </c>
      <c r="J983" s="40"/>
      <c r="K983" s="75">
        <f t="shared" si="94"/>
        <v>0</v>
      </c>
      <c r="L983" s="41"/>
      <c r="N983" s="45" t="str">
        <f t="shared" si="90"/>
        <v>-</v>
      </c>
      <c r="O983" s="42" t="str">
        <f t="shared" si="95"/>
        <v>-</v>
      </c>
      <c r="P983" s="43" t="str">
        <f t="shared" si="91"/>
        <v>-</v>
      </c>
      <c r="Q983" s="46" t="str">
        <f t="shared" si="92"/>
        <v>-</v>
      </c>
      <c r="S983" s="46" t="str">
        <f t="shared" si="93"/>
        <v>-</v>
      </c>
    </row>
    <row r="984" spans="1:19" ht="15" x14ac:dyDescent="0.3">
      <c r="A984" s="74">
        <v>3236971</v>
      </c>
      <c r="B984" s="37">
        <v>12444</v>
      </c>
      <c r="C984" s="69">
        <v>76280124446</v>
      </c>
      <c r="D984" s="38" t="s">
        <v>1175</v>
      </c>
      <c r="E984" s="64">
        <v>9.2668845599999994E-2</v>
      </c>
      <c r="F984" s="70">
        <v>6</v>
      </c>
      <c r="G984" s="38" t="s">
        <v>735</v>
      </c>
      <c r="H984" s="66" t="s">
        <v>1258</v>
      </c>
      <c r="I984" s="39">
        <v>9.1650000000000009</v>
      </c>
      <c r="J984" s="40"/>
      <c r="K984" s="75">
        <f t="shared" si="94"/>
        <v>0</v>
      </c>
      <c r="L984" s="41"/>
      <c r="N984" s="45" t="str">
        <f t="shared" si="90"/>
        <v>-</v>
      </c>
      <c r="O984" s="42" t="str">
        <f t="shared" si="95"/>
        <v>-</v>
      </c>
      <c r="P984" s="43" t="str">
        <f t="shared" si="91"/>
        <v>-</v>
      </c>
      <c r="Q984" s="46" t="str">
        <f t="shared" si="92"/>
        <v>-</v>
      </c>
      <c r="S984" s="46" t="str">
        <f t="shared" si="93"/>
        <v>-</v>
      </c>
    </row>
    <row r="985" spans="1:19" ht="15" x14ac:dyDescent="0.3">
      <c r="A985" s="74">
        <v>9673052</v>
      </c>
      <c r="B985" s="37">
        <v>42907</v>
      </c>
      <c r="C985" s="69">
        <v>76280429077</v>
      </c>
      <c r="D985" s="38" t="s">
        <v>1176</v>
      </c>
      <c r="E985" s="64">
        <v>5.6750000000000002E-2</v>
      </c>
      <c r="F985" s="70">
        <v>6</v>
      </c>
      <c r="G985" s="38" t="s">
        <v>1177</v>
      </c>
      <c r="H985" s="66" t="s">
        <v>1258</v>
      </c>
      <c r="I985" s="39">
        <v>18.914999999999999</v>
      </c>
      <c r="J985" s="40"/>
      <c r="K985" s="75">
        <f t="shared" si="94"/>
        <v>0</v>
      </c>
      <c r="L985" s="41"/>
      <c r="N985" s="45" t="str">
        <f t="shared" si="90"/>
        <v>-</v>
      </c>
      <c r="O985" s="42" t="str">
        <f t="shared" si="95"/>
        <v>-</v>
      </c>
      <c r="P985" s="43" t="str">
        <f t="shared" si="91"/>
        <v>-</v>
      </c>
      <c r="Q985" s="46" t="str">
        <f t="shared" si="92"/>
        <v>-</v>
      </c>
      <c r="S985" s="46" t="str">
        <f t="shared" si="93"/>
        <v>-</v>
      </c>
    </row>
    <row r="986" spans="1:19" ht="15" x14ac:dyDescent="0.3">
      <c r="A986" s="74">
        <v>3418656</v>
      </c>
      <c r="B986" s="37">
        <v>8386</v>
      </c>
      <c r="C986" s="69">
        <v>76280083866</v>
      </c>
      <c r="D986" s="38" t="s">
        <v>1178</v>
      </c>
      <c r="E986" s="64">
        <v>0.13385499919999999</v>
      </c>
      <c r="F986" s="70">
        <v>6</v>
      </c>
      <c r="G986" s="38" t="s">
        <v>63</v>
      </c>
      <c r="H986" s="66" t="s">
        <v>1258</v>
      </c>
      <c r="I986" s="39">
        <v>16.13625</v>
      </c>
      <c r="J986" s="40"/>
      <c r="K986" s="75">
        <f t="shared" si="94"/>
        <v>0</v>
      </c>
      <c r="L986" s="41"/>
      <c r="N986" s="45" t="str">
        <f t="shared" si="90"/>
        <v>-</v>
      </c>
      <c r="O986" s="42" t="str">
        <f t="shared" si="95"/>
        <v>-</v>
      </c>
      <c r="P986" s="43" t="str">
        <f t="shared" si="91"/>
        <v>-</v>
      </c>
      <c r="Q986" s="46" t="str">
        <f t="shared" si="92"/>
        <v>-</v>
      </c>
      <c r="S986" s="46" t="str">
        <f t="shared" si="93"/>
        <v>-</v>
      </c>
    </row>
    <row r="987" spans="1:19" ht="15" x14ac:dyDescent="0.3">
      <c r="A987" s="74">
        <v>1878586</v>
      </c>
      <c r="B987" s="37">
        <v>38687</v>
      </c>
      <c r="C987" s="69">
        <v>76280386875</v>
      </c>
      <c r="D987" s="38" t="s">
        <v>1181</v>
      </c>
      <c r="E987" s="64">
        <v>9.2668845599999994E-2</v>
      </c>
      <c r="F987" s="70">
        <v>6</v>
      </c>
      <c r="G987" s="38" t="s">
        <v>1182</v>
      </c>
      <c r="H987" s="66" t="s">
        <v>1258</v>
      </c>
      <c r="I987" s="39">
        <v>19.646250000000002</v>
      </c>
      <c r="J987" s="40"/>
      <c r="K987" s="75">
        <f t="shared" si="94"/>
        <v>0</v>
      </c>
      <c r="L987" s="41"/>
      <c r="N987" s="45" t="str">
        <f t="shared" si="90"/>
        <v>-</v>
      </c>
      <c r="O987" s="42" t="str">
        <f t="shared" si="95"/>
        <v>-</v>
      </c>
      <c r="P987" s="43" t="str">
        <f t="shared" si="91"/>
        <v>-</v>
      </c>
      <c r="Q987" s="46" t="str">
        <f t="shared" si="92"/>
        <v>-</v>
      </c>
      <c r="S987" s="46" t="str">
        <f t="shared" si="93"/>
        <v>-</v>
      </c>
    </row>
    <row r="988" spans="1:19" ht="15" x14ac:dyDescent="0.3">
      <c r="A988" s="74">
        <v>8870519</v>
      </c>
      <c r="B988" s="37">
        <v>1615</v>
      </c>
      <c r="C988" s="69">
        <v>76280016154</v>
      </c>
      <c r="D988" s="38" t="s">
        <v>1183</v>
      </c>
      <c r="E988" s="64">
        <v>0.10296538400000001</v>
      </c>
      <c r="F988" s="70">
        <v>6</v>
      </c>
      <c r="G988" s="38" t="s">
        <v>207</v>
      </c>
      <c r="H988" s="66" t="s">
        <v>1258</v>
      </c>
      <c r="I988" s="39">
        <v>10.627500000000001</v>
      </c>
      <c r="J988" s="40"/>
      <c r="K988" s="75">
        <f t="shared" si="94"/>
        <v>0</v>
      </c>
      <c r="L988" s="41"/>
      <c r="N988" s="45" t="str">
        <f t="shared" si="90"/>
        <v>-</v>
      </c>
      <c r="O988" s="42" t="str">
        <f t="shared" si="95"/>
        <v>-</v>
      </c>
      <c r="P988" s="43" t="str">
        <f t="shared" si="91"/>
        <v>-</v>
      </c>
      <c r="Q988" s="46" t="str">
        <f t="shared" si="92"/>
        <v>-</v>
      </c>
      <c r="S988" s="46" t="str">
        <f t="shared" si="93"/>
        <v>-</v>
      </c>
    </row>
    <row r="989" spans="1:19" ht="15" x14ac:dyDescent="0.3">
      <c r="A989" s="74">
        <v>6419447</v>
      </c>
      <c r="B989" s="37">
        <v>8145</v>
      </c>
      <c r="C989" s="69">
        <v>76280081459</v>
      </c>
      <c r="D989" s="38" t="s">
        <v>1185</v>
      </c>
      <c r="E989" s="64">
        <v>0.14415153760000002</v>
      </c>
      <c r="F989" s="70">
        <v>6</v>
      </c>
      <c r="G989" s="38" t="s">
        <v>417</v>
      </c>
      <c r="H989" s="66" t="s">
        <v>1258</v>
      </c>
      <c r="I989" s="39">
        <v>15.648750000000001</v>
      </c>
      <c r="J989" s="40"/>
      <c r="K989" s="75">
        <f t="shared" si="94"/>
        <v>0</v>
      </c>
      <c r="L989" s="41"/>
      <c r="N989" s="45" t="str">
        <f t="shared" si="90"/>
        <v>-</v>
      </c>
      <c r="O989" s="42" t="str">
        <f t="shared" si="95"/>
        <v>-</v>
      </c>
      <c r="P989" s="43" t="str">
        <f t="shared" si="91"/>
        <v>-</v>
      </c>
      <c r="Q989" s="46" t="str">
        <f t="shared" si="92"/>
        <v>-</v>
      </c>
      <c r="S989" s="46" t="str">
        <f t="shared" si="93"/>
        <v>-</v>
      </c>
    </row>
    <row r="990" spans="1:19" ht="15" x14ac:dyDescent="0.3">
      <c r="A990" s="74">
        <v>1565148</v>
      </c>
      <c r="B990" s="37">
        <v>3950</v>
      </c>
      <c r="C990" s="69">
        <v>76280039504</v>
      </c>
      <c r="D990" s="38" t="s">
        <v>1186</v>
      </c>
      <c r="E990" s="64">
        <v>6.6927499599999996E-2</v>
      </c>
      <c r="F990" s="70">
        <v>6</v>
      </c>
      <c r="G990" s="38" t="s">
        <v>659</v>
      </c>
      <c r="H990" s="66" t="s">
        <v>1258</v>
      </c>
      <c r="I990" s="39">
        <v>9.0675000000000008</v>
      </c>
      <c r="J990" s="40"/>
      <c r="K990" s="75">
        <f t="shared" si="94"/>
        <v>0</v>
      </c>
      <c r="L990" s="41"/>
      <c r="N990" s="45" t="str">
        <f t="shared" si="90"/>
        <v>-</v>
      </c>
      <c r="O990" s="42" t="str">
        <f t="shared" si="95"/>
        <v>-</v>
      </c>
      <c r="P990" s="43" t="str">
        <f t="shared" si="91"/>
        <v>-</v>
      </c>
      <c r="Q990" s="46" t="str">
        <f t="shared" si="92"/>
        <v>-</v>
      </c>
      <c r="S990" s="46" t="str">
        <f t="shared" si="93"/>
        <v>-</v>
      </c>
    </row>
    <row r="991" spans="1:19" ht="15" x14ac:dyDescent="0.3">
      <c r="A991" s="74">
        <v>4818438</v>
      </c>
      <c r="B991" s="37">
        <v>89085</v>
      </c>
      <c r="C991" s="69">
        <v>76280890853</v>
      </c>
      <c r="D991" s="38" t="s">
        <v>1187</v>
      </c>
      <c r="E991" s="64">
        <v>0.21622730639999999</v>
      </c>
      <c r="F991" s="70">
        <v>6</v>
      </c>
      <c r="G991" s="38" t="s">
        <v>1188</v>
      </c>
      <c r="H991" s="66" t="s">
        <v>1258</v>
      </c>
      <c r="I991" s="39">
        <v>22.96125</v>
      </c>
      <c r="J991" s="40"/>
      <c r="K991" s="75">
        <f t="shared" si="94"/>
        <v>0</v>
      </c>
      <c r="L991" s="41"/>
      <c r="N991" s="45" t="str">
        <f t="shared" si="90"/>
        <v>-</v>
      </c>
      <c r="O991" s="42" t="str">
        <f t="shared" si="95"/>
        <v>-</v>
      </c>
      <c r="P991" s="43" t="str">
        <f t="shared" si="91"/>
        <v>-</v>
      </c>
      <c r="Q991" s="46" t="str">
        <f t="shared" si="92"/>
        <v>-</v>
      </c>
      <c r="S991" s="46" t="str">
        <f t="shared" si="93"/>
        <v>-</v>
      </c>
    </row>
    <row r="992" spans="1:19" ht="15" x14ac:dyDescent="0.3">
      <c r="A992" s="74">
        <v>9978703</v>
      </c>
      <c r="B992" s="37">
        <v>1127</v>
      </c>
      <c r="C992" s="69">
        <v>76280011272</v>
      </c>
      <c r="D992" s="38" t="s">
        <v>1192</v>
      </c>
      <c r="E992" s="64">
        <v>9.2668845599999994E-2</v>
      </c>
      <c r="F992" s="70">
        <v>6</v>
      </c>
      <c r="G992" s="38" t="s">
        <v>1193</v>
      </c>
      <c r="H992" s="66" t="s">
        <v>1258</v>
      </c>
      <c r="I992" s="39">
        <v>9.7012499999999982</v>
      </c>
      <c r="J992" s="40"/>
      <c r="K992" s="75">
        <f t="shared" si="94"/>
        <v>0</v>
      </c>
      <c r="L992" s="41"/>
      <c r="N992" s="45" t="str">
        <f t="shared" si="90"/>
        <v>-</v>
      </c>
      <c r="O992" s="42" t="str">
        <f t="shared" si="95"/>
        <v>-</v>
      </c>
      <c r="P992" s="43" t="str">
        <f t="shared" si="91"/>
        <v>-</v>
      </c>
      <c r="Q992" s="46" t="str">
        <f t="shared" si="92"/>
        <v>-</v>
      </c>
      <c r="S992" s="46" t="str">
        <f t="shared" si="93"/>
        <v>-</v>
      </c>
    </row>
    <row r="993" spans="1:19" ht="15" x14ac:dyDescent="0.3">
      <c r="A993" s="74">
        <v>4786237</v>
      </c>
      <c r="B993" s="37">
        <v>4529</v>
      </c>
      <c r="C993" s="69">
        <v>76280045291</v>
      </c>
      <c r="D993" s="38" t="s">
        <v>1195</v>
      </c>
      <c r="E993" s="64">
        <v>0.29345134440000004</v>
      </c>
      <c r="F993" s="70">
        <v>6</v>
      </c>
      <c r="G993" s="38" t="s">
        <v>1196</v>
      </c>
      <c r="H993" s="66" t="s">
        <v>1258</v>
      </c>
      <c r="I993" s="39">
        <v>11.895</v>
      </c>
      <c r="J993" s="40"/>
      <c r="K993" s="75">
        <f t="shared" si="94"/>
        <v>0</v>
      </c>
      <c r="L993" s="41"/>
      <c r="N993" s="45" t="str">
        <f t="shared" si="90"/>
        <v>-</v>
      </c>
      <c r="O993" s="42" t="str">
        <f t="shared" si="95"/>
        <v>-</v>
      </c>
      <c r="P993" s="43" t="str">
        <f t="shared" si="91"/>
        <v>-</v>
      </c>
      <c r="Q993" s="46" t="str">
        <f t="shared" si="92"/>
        <v>-</v>
      </c>
      <c r="S993" s="46" t="str">
        <f t="shared" si="93"/>
        <v>-</v>
      </c>
    </row>
    <row r="994" spans="1:19" ht="15" x14ac:dyDescent="0.3">
      <c r="A994" s="74">
        <v>3829139</v>
      </c>
      <c r="B994" s="37">
        <v>1180</v>
      </c>
      <c r="C994" s="69">
        <v>76280011807</v>
      </c>
      <c r="D994" s="38" t="s">
        <v>1197</v>
      </c>
      <c r="E994" s="64">
        <v>8.7520576400000008E-2</v>
      </c>
      <c r="F994" s="70">
        <v>6</v>
      </c>
      <c r="G994" s="38" t="s">
        <v>1198</v>
      </c>
      <c r="H994" s="66" t="s">
        <v>1258</v>
      </c>
      <c r="I994" s="39">
        <v>6.1425000000000001</v>
      </c>
      <c r="J994" s="40"/>
      <c r="K994" s="75">
        <f t="shared" si="94"/>
        <v>0</v>
      </c>
      <c r="L994" s="41"/>
      <c r="N994" s="45" t="str">
        <f t="shared" si="90"/>
        <v>-</v>
      </c>
      <c r="O994" s="42" t="str">
        <f t="shared" si="95"/>
        <v>-</v>
      </c>
      <c r="P994" s="43" t="str">
        <f t="shared" si="91"/>
        <v>-</v>
      </c>
      <c r="Q994" s="46" t="str">
        <f t="shared" si="92"/>
        <v>-</v>
      </c>
      <c r="S994" s="46" t="str">
        <f t="shared" si="93"/>
        <v>-</v>
      </c>
    </row>
    <row r="995" spans="1:19" ht="15" x14ac:dyDescent="0.3">
      <c r="A995" s="74">
        <v>6961161</v>
      </c>
      <c r="B995" s="37">
        <v>35530</v>
      </c>
      <c r="C995" s="69">
        <v>76280355307</v>
      </c>
      <c r="D995" s="38" t="s">
        <v>1199</v>
      </c>
      <c r="E995" s="64">
        <v>0.25226519079999998</v>
      </c>
      <c r="F995" s="70">
        <v>6</v>
      </c>
      <c r="G995" s="38" t="s">
        <v>1036</v>
      </c>
      <c r="H995" s="66" t="s">
        <v>1258</v>
      </c>
      <c r="I995" s="39">
        <v>18.47625</v>
      </c>
      <c r="J995" s="40"/>
      <c r="K995" s="75">
        <f t="shared" si="94"/>
        <v>0</v>
      </c>
      <c r="L995" s="41"/>
      <c r="N995" s="45" t="str">
        <f t="shared" si="90"/>
        <v>-</v>
      </c>
      <c r="O995" s="42" t="str">
        <f t="shared" si="95"/>
        <v>-</v>
      </c>
      <c r="P995" s="43" t="str">
        <f t="shared" si="91"/>
        <v>-</v>
      </c>
      <c r="Q995" s="46" t="str">
        <f t="shared" si="92"/>
        <v>-</v>
      </c>
      <c r="S995" s="46" t="str">
        <f t="shared" si="93"/>
        <v>-</v>
      </c>
    </row>
    <row r="996" spans="1:19" ht="15" x14ac:dyDescent="0.3">
      <c r="A996" s="74">
        <v>9496889</v>
      </c>
      <c r="B996" s="37">
        <v>40456</v>
      </c>
      <c r="C996" s="69">
        <v>76280404562</v>
      </c>
      <c r="D996" s="38" t="s">
        <v>1201</v>
      </c>
      <c r="E996" s="64">
        <v>5.6750000000000002E-2</v>
      </c>
      <c r="F996" s="70">
        <v>6</v>
      </c>
      <c r="G996" s="38" t="s">
        <v>185</v>
      </c>
      <c r="H996" s="66" t="s">
        <v>1258</v>
      </c>
      <c r="I996" s="39">
        <v>13.162500000000001</v>
      </c>
      <c r="J996" s="40"/>
      <c r="K996" s="75">
        <f t="shared" si="94"/>
        <v>0</v>
      </c>
      <c r="L996" s="41"/>
      <c r="N996" s="45" t="str">
        <f t="shared" si="90"/>
        <v>-</v>
      </c>
      <c r="O996" s="42" t="str">
        <f t="shared" si="95"/>
        <v>-</v>
      </c>
      <c r="P996" s="43" t="str">
        <f t="shared" si="91"/>
        <v>-</v>
      </c>
      <c r="Q996" s="46" t="str">
        <f t="shared" si="92"/>
        <v>-</v>
      </c>
      <c r="S996" s="46" t="str">
        <f t="shared" si="93"/>
        <v>-</v>
      </c>
    </row>
    <row r="997" spans="1:19" ht="15" x14ac:dyDescent="0.3">
      <c r="A997" s="74">
        <v>8100712</v>
      </c>
      <c r="B997" s="37">
        <v>40249</v>
      </c>
      <c r="C997" s="69">
        <v>76280402490</v>
      </c>
      <c r="D997" s="38" t="s">
        <v>1201</v>
      </c>
      <c r="E997" s="64">
        <v>8.7520576400000008E-2</v>
      </c>
      <c r="F997" s="70">
        <v>6</v>
      </c>
      <c r="G997" s="38" t="s">
        <v>835</v>
      </c>
      <c r="H997" s="66" t="s">
        <v>1258</v>
      </c>
      <c r="I997" s="39">
        <v>24.813749999999999</v>
      </c>
      <c r="J997" s="40"/>
      <c r="K997" s="75">
        <f t="shared" si="94"/>
        <v>0</v>
      </c>
      <c r="L997" s="41"/>
      <c r="N997" s="45" t="str">
        <f t="shared" si="90"/>
        <v>-</v>
      </c>
      <c r="O997" s="42" t="str">
        <f t="shared" si="95"/>
        <v>-</v>
      </c>
      <c r="P997" s="43" t="str">
        <f t="shared" si="91"/>
        <v>-</v>
      </c>
      <c r="Q997" s="46" t="str">
        <f t="shared" si="92"/>
        <v>-</v>
      </c>
      <c r="S997" s="46" t="str">
        <f t="shared" si="93"/>
        <v>-</v>
      </c>
    </row>
    <row r="998" spans="1:19" ht="15" x14ac:dyDescent="0.3">
      <c r="A998" s="74">
        <v>8227127</v>
      </c>
      <c r="B998" s="37">
        <v>1418</v>
      </c>
      <c r="C998" s="69">
        <v>76280014181</v>
      </c>
      <c r="D998" s="38" t="s">
        <v>1202</v>
      </c>
      <c r="E998" s="64">
        <v>8.2372307199999995E-2</v>
      </c>
      <c r="F998" s="70">
        <v>6</v>
      </c>
      <c r="G998" s="38" t="s">
        <v>600</v>
      </c>
      <c r="H998" s="66" t="s">
        <v>1258</v>
      </c>
      <c r="I998" s="39">
        <v>7.7025000000000006</v>
      </c>
      <c r="J998" s="40"/>
      <c r="K998" s="75">
        <f t="shared" si="94"/>
        <v>0</v>
      </c>
      <c r="L998" s="41"/>
      <c r="N998" s="45" t="str">
        <f t="shared" si="90"/>
        <v>-</v>
      </c>
      <c r="O998" s="42" t="str">
        <f t="shared" si="95"/>
        <v>-</v>
      </c>
      <c r="P998" s="43" t="str">
        <f t="shared" si="91"/>
        <v>-</v>
      </c>
      <c r="Q998" s="46" t="str">
        <f t="shared" si="92"/>
        <v>-</v>
      </c>
      <c r="S998" s="46" t="str">
        <f t="shared" si="93"/>
        <v>-</v>
      </c>
    </row>
    <row r="999" spans="1:19" ht="15" x14ac:dyDescent="0.3">
      <c r="A999" s="74">
        <v>7108795</v>
      </c>
      <c r="B999" s="37">
        <v>83764</v>
      </c>
      <c r="C999" s="69">
        <v>76280837643</v>
      </c>
      <c r="D999" s="38" t="s">
        <v>1203</v>
      </c>
      <c r="E999" s="64">
        <v>7.7224037999999995E-2</v>
      </c>
      <c r="F999" s="70">
        <v>6</v>
      </c>
      <c r="G999" s="38" t="s">
        <v>914</v>
      </c>
      <c r="H999" s="66" t="s">
        <v>1258</v>
      </c>
      <c r="I999" s="39">
        <v>15.746249999999998</v>
      </c>
      <c r="J999" s="40"/>
      <c r="K999" s="75">
        <f t="shared" si="94"/>
        <v>0</v>
      </c>
      <c r="L999" s="41"/>
      <c r="N999" s="45" t="str">
        <f t="shared" si="90"/>
        <v>-</v>
      </c>
      <c r="O999" s="42" t="str">
        <f t="shared" si="95"/>
        <v>-</v>
      </c>
      <c r="P999" s="43" t="str">
        <f t="shared" si="91"/>
        <v>-</v>
      </c>
      <c r="Q999" s="46" t="str">
        <f t="shared" si="92"/>
        <v>-</v>
      </c>
      <c r="S999" s="46" t="str">
        <f t="shared" si="93"/>
        <v>-</v>
      </c>
    </row>
    <row r="1000" spans="1:19" ht="15" x14ac:dyDescent="0.3">
      <c r="A1000" s="74">
        <v>8287633</v>
      </c>
      <c r="B1000" s="37">
        <v>4221</v>
      </c>
      <c r="C1000" s="69">
        <v>76280042214</v>
      </c>
      <c r="D1000" s="38" t="s">
        <v>1204</v>
      </c>
      <c r="E1000" s="64">
        <v>0.12870672999999999</v>
      </c>
      <c r="F1000" s="70">
        <v>6</v>
      </c>
      <c r="G1000" s="38" t="s">
        <v>364</v>
      </c>
      <c r="H1000" s="66" t="s">
        <v>1258</v>
      </c>
      <c r="I1000" s="39">
        <v>12.675000000000001</v>
      </c>
      <c r="J1000" s="40"/>
      <c r="K1000" s="75">
        <f t="shared" si="94"/>
        <v>0</v>
      </c>
      <c r="L1000" s="41"/>
      <c r="N1000" s="45" t="str">
        <f t="shared" si="90"/>
        <v>-</v>
      </c>
      <c r="O1000" s="42" t="str">
        <f t="shared" si="95"/>
        <v>-</v>
      </c>
      <c r="P1000" s="43" t="str">
        <f t="shared" si="91"/>
        <v>-</v>
      </c>
      <c r="Q1000" s="46" t="str">
        <f t="shared" si="92"/>
        <v>-</v>
      </c>
      <c r="S1000" s="46" t="str">
        <f t="shared" si="93"/>
        <v>-</v>
      </c>
    </row>
    <row r="1001" spans="1:19" ht="15" x14ac:dyDescent="0.3">
      <c r="A1001" s="74">
        <v>9207116</v>
      </c>
      <c r="B1001" s="37">
        <v>1415</v>
      </c>
      <c r="C1001" s="69">
        <v>76280014150</v>
      </c>
      <c r="D1001" s="38" t="s">
        <v>1205</v>
      </c>
      <c r="E1001" s="64">
        <v>8.7520576400000008E-2</v>
      </c>
      <c r="F1001" s="70">
        <v>6</v>
      </c>
      <c r="G1001" s="38" t="s">
        <v>409</v>
      </c>
      <c r="H1001" s="66" t="s">
        <v>1258</v>
      </c>
      <c r="I1001" s="39">
        <v>9.5550000000000015</v>
      </c>
      <c r="J1001" s="40"/>
      <c r="K1001" s="75">
        <f t="shared" si="94"/>
        <v>0</v>
      </c>
      <c r="L1001" s="41"/>
      <c r="N1001" s="45" t="str">
        <f t="shared" si="90"/>
        <v>-</v>
      </c>
      <c r="O1001" s="42" t="str">
        <f t="shared" si="95"/>
        <v>-</v>
      </c>
      <c r="P1001" s="43" t="str">
        <f t="shared" si="91"/>
        <v>-</v>
      </c>
      <c r="Q1001" s="46" t="str">
        <f t="shared" si="92"/>
        <v>-</v>
      </c>
      <c r="S1001" s="46" t="str">
        <f t="shared" si="93"/>
        <v>-</v>
      </c>
    </row>
    <row r="1002" spans="1:19" ht="15" x14ac:dyDescent="0.3">
      <c r="A1002" s="74">
        <v>4099773</v>
      </c>
      <c r="B1002" s="37">
        <v>37575</v>
      </c>
      <c r="C1002" s="69">
        <v>76280375756</v>
      </c>
      <c r="D1002" s="38" t="s">
        <v>1206</v>
      </c>
      <c r="E1002" s="64">
        <v>5.6750000000000002E-2</v>
      </c>
      <c r="F1002" s="70">
        <v>6</v>
      </c>
      <c r="G1002" s="38" t="s">
        <v>338</v>
      </c>
      <c r="H1002" s="66" t="s">
        <v>1258</v>
      </c>
      <c r="I1002" s="39">
        <v>12.626250000000001</v>
      </c>
      <c r="J1002" s="40"/>
      <c r="K1002" s="75">
        <f t="shared" si="94"/>
        <v>0</v>
      </c>
      <c r="L1002" s="41"/>
      <c r="N1002" s="45" t="str">
        <f t="shared" si="90"/>
        <v>-</v>
      </c>
      <c r="O1002" s="42" t="str">
        <f t="shared" si="95"/>
        <v>-</v>
      </c>
      <c r="P1002" s="43" t="str">
        <f t="shared" si="91"/>
        <v>-</v>
      </c>
      <c r="Q1002" s="46" t="str">
        <f t="shared" si="92"/>
        <v>-</v>
      </c>
      <c r="S1002" s="46" t="str">
        <f t="shared" si="93"/>
        <v>-</v>
      </c>
    </row>
    <row r="1003" spans="1:19" ht="15" x14ac:dyDescent="0.3">
      <c r="A1003" s="74">
        <v>4594906</v>
      </c>
      <c r="B1003" s="37">
        <v>3050</v>
      </c>
      <c r="C1003" s="69">
        <v>76280030501</v>
      </c>
      <c r="D1003" s="38" t="s">
        <v>1209</v>
      </c>
      <c r="E1003" s="64">
        <v>8.7520576400000008E-2</v>
      </c>
      <c r="F1003" s="70">
        <v>6</v>
      </c>
      <c r="G1003" s="38" t="s">
        <v>811</v>
      </c>
      <c r="H1003" s="66" t="s">
        <v>1258</v>
      </c>
      <c r="I1003" s="39">
        <v>13.162500000000001</v>
      </c>
      <c r="J1003" s="40"/>
      <c r="K1003" s="75">
        <f t="shared" si="94"/>
        <v>0</v>
      </c>
      <c r="L1003" s="41"/>
      <c r="N1003" s="45" t="str">
        <f t="shared" si="90"/>
        <v>-</v>
      </c>
      <c r="O1003" s="42" t="str">
        <f t="shared" si="95"/>
        <v>-</v>
      </c>
      <c r="P1003" s="43" t="str">
        <f t="shared" si="91"/>
        <v>-</v>
      </c>
      <c r="Q1003" s="46" t="str">
        <f t="shared" si="92"/>
        <v>-</v>
      </c>
      <c r="S1003" s="46" t="str">
        <f t="shared" si="93"/>
        <v>-</v>
      </c>
    </row>
    <row r="1004" spans="1:19" ht="15" x14ac:dyDescent="0.3">
      <c r="A1004" s="74">
        <v>7301079</v>
      </c>
      <c r="B1004" s="37">
        <v>3420</v>
      </c>
      <c r="C1004" s="69">
        <v>76280034202</v>
      </c>
      <c r="D1004" s="38" t="s">
        <v>1211</v>
      </c>
      <c r="E1004" s="64">
        <v>7.2075768800000009E-2</v>
      </c>
      <c r="F1004" s="70">
        <v>6</v>
      </c>
      <c r="G1004" s="38" t="s">
        <v>573</v>
      </c>
      <c r="H1004" s="66" t="s">
        <v>1258</v>
      </c>
      <c r="I1004" s="39">
        <v>12.772500000000001</v>
      </c>
      <c r="J1004" s="40"/>
      <c r="K1004" s="75">
        <f t="shared" si="94"/>
        <v>0</v>
      </c>
      <c r="L1004" s="41"/>
      <c r="N1004" s="45" t="str">
        <f t="shared" si="90"/>
        <v>-</v>
      </c>
      <c r="O1004" s="42" t="str">
        <f t="shared" si="95"/>
        <v>-</v>
      </c>
      <c r="P1004" s="43" t="str">
        <f t="shared" si="91"/>
        <v>-</v>
      </c>
      <c r="Q1004" s="46" t="str">
        <f t="shared" si="92"/>
        <v>-</v>
      </c>
      <c r="S1004" s="46" t="str">
        <f t="shared" si="93"/>
        <v>-</v>
      </c>
    </row>
    <row r="1005" spans="1:19" ht="15" x14ac:dyDescent="0.3">
      <c r="A1005" s="74">
        <v>1676323</v>
      </c>
      <c r="B1005" s="37">
        <v>3778</v>
      </c>
      <c r="C1005" s="69">
        <v>76280037784</v>
      </c>
      <c r="D1005" s="38" t="s">
        <v>1212</v>
      </c>
      <c r="E1005" s="64">
        <v>8.7520576400000008E-2</v>
      </c>
      <c r="F1005" s="70">
        <v>6</v>
      </c>
      <c r="G1005" s="38" t="s">
        <v>758</v>
      </c>
      <c r="H1005" s="66" t="s">
        <v>1258</v>
      </c>
      <c r="I1005" s="39">
        <v>22.62</v>
      </c>
      <c r="J1005" s="40"/>
      <c r="K1005" s="75">
        <f t="shared" si="94"/>
        <v>0</v>
      </c>
      <c r="L1005" s="41"/>
      <c r="N1005" s="45" t="str">
        <f t="shared" si="90"/>
        <v>-</v>
      </c>
      <c r="O1005" s="42" t="str">
        <f t="shared" si="95"/>
        <v>-</v>
      </c>
      <c r="P1005" s="43" t="str">
        <f t="shared" si="91"/>
        <v>-</v>
      </c>
      <c r="Q1005" s="46" t="str">
        <f t="shared" si="92"/>
        <v>-</v>
      </c>
      <c r="S1005" s="46" t="str">
        <f t="shared" si="93"/>
        <v>-</v>
      </c>
    </row>
    <row r="1006" spans="1:19" ht="15" x14ac:dyDescent="0.3">
      <c r="A1006" s="74">
        <v>6550206</v>
      </c>
      <c r="B1006" s="37">
        <v>64475</v>
      </c>
      <c r="C1006" s="69">
        <v>76280644753</v>
      </c>
      <c r="D1006" s="38" t="s">
        <v>1213</v>
      </c>
      <c r="E1006" s="64">
        <v>6.6927499599999996E-2</v>
      </c>
      <c r="F1006" s="70">
        <v>6</v>
      </c>
      <c r="G1006" s="38" t="s">
        <v>90</v>
      </c>
      <c r="H1006" s="66" t="s">
        <v>1258</v>
      </c>
      <c r="I1006" s="39">
        <v>27.397500000000001</v>
      </c>
      <c r="J1006" s="40"/>
      <c r="K1006" s="75">
        <f t="shared" si="94"/>
        <v>0</v>
      </c>
      <c r="L1006" s="41"/>
      <c r="N1006" s="45" t="str">
        <f t="shared" si="90"/>
        <v>-</v>
      </c>
      <c r="O1006" s="42" t="str">
        <f t="shared" si="95"/>
        <v>-</v>
      </c>
      <c r="P1006" s="43" t="str">
        <f t="shared" si="91"/>
        <v>-</v>
      </c>
      <c r="Q1006" s="46" t="str">
        <f t="shared" si="92"/>
        <v>-</v>
      </c>
      <c r="S1006" s="46" t="str">
        <f t="shared" si="93"/>
        <v>-</v>
      </c>
    </row>
    <row r="1007" spans="1:19" ht="15" x14ac:dyDescent="0.3">
      <c r="A1007" s="74">
        <v>2059629</v>
      </c>
      <c r="B1007" s="37">
        <v>19242</v>
      </c>
      <c r="C1007" s="69">
        <v>76280192421</v>
      </c>
      <c r="D1007" s="38" t="s">
        <v>1214</v>
      </c>
      <c r="E1007" s="64">
        <v>9.2668845599999994E-2</v>
      </c>
      <c r="F1007" s="70">
        <v>6</v>
      </c>
      <c r="G1007" s="38" t="s">
        <v>665</v>
      </c>
      <c r="H1007" s="66" t="s">
        <v>1258</v>
      </c>
      <c r="I1007" s="39">
        <v>12.382499999999999</v>
      </c>
      <c r="J1007" s="40"/>
      <c r="K1007" s="75">
        <f t="shared" si="94"/>
        <v>0</v>
      </c>
      <c r="L1007" s="41"/>
      <c r="N1007" s="45" t="str">
        <f t="shared" si="90"/>
        <v>-</v>
      </c>
      <c r="O1007" s="42" t="str">
        <f t="shared" si="95"/>
        <v>-</v>
      </c>
      <c r="P1007" s="43" t="str">
        <f t="shared" si="91"/>
        <v>-</v>
      </c>
      <c r="Q1007" s="46" t="str">
        <f t="shared" si="92"/>
        <v>-</v>
      </c>
      <c r="S1007" s="46" t="str">
        <f t="shared" si="93"/>
        <v>-</v>
      </c>
    </row>
    <row r="1008" spans="1:19" ht="15" x14ac:dyDescent="0.3">
      <c r="A1008" s="74">
        <v>2124885</v>
      </c>
      <c r="B1008" s="37">
        <v>3020</v>
      </c>
      <c r="C1008" s="69">
        <v>76280030204</v>
      </c>
      <c r="D1008" s="38" t="s">
        <v>1215</v>
      </c>
      <c r="E1008" s="64">
        <v>6.6927499599999996E-2</v>
      </c>
      <c r="F1008" s="70">
        <v>6</v>
      </c>
      <c r="G1008" s="38" t="s">
        <v>648</v>
      </c>
      <c r="H1008" s="66" t="s">
        <v>1258</v>
      </c>
      <c r="I1008" s="39">
        <v>12.918750000000001</v>
      </c>
      <c r="J1008" s="40"/>
      <c r="K1008" s="75">
        <f t="shared" si="94"/>
        <v>0</v>
      </c>
      <c r="L1008" s="41"/>
      <c r="N1008" s="45" t="str">
        <f t="shared" si="90"/>
        <v>-</v>
      </c>
      <c r="O1008" s="42" t="str">
        <f t="shared" si="95"/>
        <v>-</v>
      </c>
      <c r="P1008" s="43" t="str">
        <f t="shared" si="91"/>
        <v>-</v>
      </c>
      <c r="Q1008" s="46" t="str">
        <f t="shared" si="92"/>
        <v>-</v>
      </c>
      <c r="S1008" s="46" t="str">
        <f t="shared" si="93"/>
        <v>-</v>
      </c>
    </row>
    <row r="1009" spans="1:19" ht="15" x14ac:dyDescent="0.3">
      <c r="A1009" s="74">
        <v>4994046</v>
      </c>
      <c r="B1009" s="37">
        <v>37764</v>
      </c>
      <c r="C1009" s="69">
        <v>76280377644</v>
      </c>
      <c r="D1009" s="38" t="s">
        <v>1216</v>
      </c>
      <c r="E1009" s="64">
        <v>6.6927499599999996E-2</v>
      </c>
      <c r="F1009" s="70">
        <v>6</v>
      </c>
      <c r="G1009" s="38" t="s">
        <v>626</v>
      </c>
      <c r="H1009" s="66" t="s">
        <v>1258</v>
      </c>
      <c r="I1009" s="39">
        <v>11.797499999999999</v>
      </c>
      <c r="J1009" s="40"/>
      <c r="K1009" s="75">
        <f t="shared" si="94"/>
        <v>0</v>
      </c>
      <c r="L1009" s="41"/>
      <c r="N1009" s="45" t="str">
        <f t="shared" si="90"/>
        <v>-</v>
      </c>
      <c r="O1009" s="42" t="str">
        <f t="shared" si="95"/>
        <v>-</v>
      </c>
      <c r="P1009" s="43" t="str">
        <f t="shared" si="91"/>
        <v>-</v>
      </c>
      <c r="Q1009" s="46" t="str">
        <f t="shared" si="92"/>
        <v>-</v>
      </c>
      <c r="S1009" s="46" t="str">
        <f t="shared" si="93"/>
        <v>-</v>
      </c>
    </row>
    <row r="1010" spans="1:19" ht="15" x14ac:dyDescent="0.3">
      <c r="A1010" s="74">
        <v>3285850</v>
      </c>
      <c r="B1010" s="37">
        <v>98350</v>
      </c>
      <c r="C1010" s="69">
        <v>76280983500</v>
      </c>
      <c r="D1010" s="38" t="s">
        <v>1217</v>
      </c>
      <c r="E1010" s="64">
        <v>0.55601307360000007</v>
      </c>
      <c r="F1010" s="70">
        <v>3</v>
      </c>
      <c r="G1010" s="38" t="s">
        <v>1218</v>
      </c>
      <c r="H1010" s="66" t="s">
        <v>1258</v>
      </c>
      <c r="I1010" s="39">
        <v>19.89</v>
      </c>
      <c r="J1010" s="40"/>
      <c r="K1010" s="75">
        <f t="shared" si="94"/>
        <v>0</v>
      </c>
      <c r="L1010" s="41"/>
      <c r="N1010" s="45" t="str">
        <f t="shared" si="90"/>
        <v>-</v>
      </c>
      <c r="O1010" s="42" t="str">
        <f t="shared" si="95"/>
        <v>-</v>
      </c>
      <c r="P1010" s="43" t="str">
        <f t="shared" si="91"/>
        <v>-</v>
      </c>
      <c r="Q1010" s="46" t="str">
        <f t="shared" si="92"/>
        <v>-</v>
      </c>
      <c r="S1010" s="46" t="str">
        <f t="shared" si="93"/>
        <v>-</v>
      </c>
    </row>
    <row r="1011" spans="1:19" ht="15" x14ac:dyDescent="0.3">
      <c r="A1011" s="74">
        <v>8738395</v>
      </c>
      <c r="B1011" s="37">
        <v>34668</v>
      </c>
      <c r="C1011" s="69">
        <v>76280346688</v>
      </c>
      <c r="D1011" s="38" t="s">
        <v>1219</v>
      </c>
      <c r="E1011" s="64">
        <v>6.1779230399999996E-2</v>
      </c>
      <c r="F1011" s="70">
        <v>6</v>
      </c>
      <c r="G1011" s="38" t="s">
        <v>160</v>
      </c>
      <c r="H1011" s="66" t="s">
        <v>1258</v>
      </c>
      <c r="I1011" s="39">
        <v>11.2125</v>
      </c>
      <c r="J1011" s="40"/>
      <c r="K1011" s="75">
        <f t="shared" si="94"/>
        <v>0</v>
      </c>
      <c r="L1011" s="41"/>
      <c r="N1011" s="45" t="str">
        <f t="shared" si="90"/>
        <v>-</v>
      </c>
      <c r="O1011" s="42" t="str">
        <f t="shared" si="95"/>
        <v>-</v>
      </c>
      <c r="P1011" s="43" t="str">
        <f t="shared" si="91"/>
        <v>-</v>
      </c>
      <c r="Q1011" s="46" t="str">
        <f t="shared" si="92"/>
        <v>-</v>
      </c>
      <c r="S1011" s="46" t="str">
        <f t="shared" si="93"/>
        <v>-</v>
      </c>
    </row>
    <row r="1012" spans="1:19" ht="15" x14ac:dyDescent="0.3">
      <c r="A1012" s="74">
        <v>2966416</v>
      </c>
      <c r="B1012" s="37">
        <v>9007</v>
      </c>
      <c r="C1012" s="69">
        <v>76280090079</v>
      </c>
      <c r="D1012" s="38" t="s">
        <v>1005</v>
      </c>
      <c r="E1012" s="64">
        <v>7.7224037999999995E-2</v>
      </c>
      <c r="F1012" s="70">
        <v>6</v>
      </c>
      <c r="G1012" s="38" t="s">
        <v>700</v>
      </c>
      <c r="H1012" s="66" t="s">
        <v>1258</v>
      </c>
      <c r="I1012" s="39">
        <v>11.2125</v>
      </c>
      <c r="J1012" s="40"/>
      <c r="K1012" s="75">
        <f t="shared" si="94"/>
        <v>0</v>
      </c>
      <c r="L1012" s="41"/>
      <c r="N1012" s="45" t="str">
        <f t="shared" si="90"/>
        <v>-</v>
      </c>
      <c r="O1012" s="42" t="str">
        <f t="shared" si="95"/>
        <v>-</v>
      </c>
      <c r="P1012" s="43" t="str">
        <f t="shared" si="91"/>
        <v>-</v>
      </c>
      <c r="Q1012" s="46" t="str">
        <f t="shared" si="92"/>
        <v>-</v>
      </c>
      <c r="S1012" s="46" t="str">
        <f t="shared" si="93"/>
        <v>-</v>
      </c>
    </row>
    <row r="1013" spans="1:19" ht="15" x14ac:dyDescent="0.3">
      <c r="A1013" s="74">
        <v>7322269</v>
      </c>
      <c r="B1013" s="37">
        <v>32453</v>
      </c>
      <c r="C1013" s="69">
        <v>76280324532</v>
      </c>
      <c r="D1013" s="38" t="s">
        <v>1220</v>
      </c>
      <c r="E1013" s="64">
        <v>6.6927499599999996E-2</v>
      </c>
      <c r="F1013" s="70">
        <v>12</v>
      </c>
      <c r="G1013" s="38" t="s">
        <v>90</v>
      </c>
      <c r="H1013" s="66" t="s">
        <v>1258</v>
      </c>
      <c r="I1013" s="39">
        <v>14.43975</v>
      </c>
      <c r="J1013" s="40"/>
      <c r="K1013" s="75">
        <f t="shared" si="94"/>
        <v>0</v>
      </c>
      <c r="L1013" s="41"/>
      <c r="N1013" s="45" t="str">
        <f t="shared" si="90"/>
        <v>-</v>
      </c>
      <c r="O1013" s="42" t="str">
        <f t="shared" si="95"/>
        <v>-</v>
      </c>
      <c r="P1013" s="43" t="str">
        <f t="shared" si="91"/>
        <v>-</v>
      </c>
      <c r="Q1013" s="46" t="str">
        <f t="shared" si="92"/>
        <v>-</v>
      </c>
      <c r="S1013" s="46" t="str">
        <f t="shared" si="93"/>
        <v>-</v>
      </c>
    </row>
    <row r="1014" spans="1:19" ht="15" x14ac:dyDescent="0.3">
      <c r="A1014" s="74">
        <v>1260358</v>
      </c>
      <c r="B1014" s="37">
        <v>32956</v>
      </c>
      <c r="C1014" s="69">
        <v>76280329568</v>
      </c>
      <c r="D1014" s="38" t="s">
        <v>1221</v>
      </c>
      <c r="E1014" s="64">
        <v>5.6750000000000002E-2</v>
      </c>
      <c r="F1014" s="70">
        <v>6</v>
      </c>
      <c r="G1014" s="38" t="s">
        <v>1222</v>
      </c>
      <c r="H1014" s="66" t="s">
        <v>1258</v>
      </c>
      <c r="I1014" s="39">
        <v>7.3125</v>
      </c>
      <c r="J1014" s="40"/>
      <c r="K1014" s="75">
        <f t="shared" si="94"/>
        <v>0</v>
      </c>
      <c r="L1014" s="41"/>
      <c r="N1014" s="45" t="str">
        <f t="shared" si="90"/>
        <v>-</v>
      </c>
      <c r="O1014" s="42" t="str">
        <f t="shared" si="95"/>
        <v>-</v>
      </c>
      <c r="P1014" s="43" t="str">
        <f t="shared" si="91"/>
        <v>-</v>
      </c>
      <c r="Q1014" s="46" t="str">
        <f t="shared" si="92"/>
        <v>-</v>
      </c>
      <c r="S1014" s="46" t="str">
        <f t="shared" si="93"/>
        <v>-</v>
      </c>
    </row>
    <row r="1015" spans="1:19" ht="15" x14ac:dyDescent="0.3">
      <c r="A1015" s="74">
        <v>1464913</v>
      </c>
      <c r="B1015" s="37">
        <v>8521</v>
      </c>
      <c r="C1015" s="69">
        <v>76280085211</v>
      </c>
      <c r="D1015" s="38" t="s">
        <v>1224</v>
      </c>
      <c r="E1015" s="64">
        <v>7.7224037999999995E-2</v>
      </c>
      <c r="F1015" s="70">
        <v>12</v>
      </c>
      <c r="G1015" s="38" t="s">
        <v>185</v>
      </c>
      <c r="H1015" s="66" t="s">
        <v>1258</v>
      </c>
      <c r="I1015" s="39">
        <v>11.31</v>
      </c>
      <c r="J1015" s="40"/>
      <c r="K1015" s="75">
        <f t="shared" si="94"/>
        <v>0</v>
      </c>
      <c r="L1015" s="41"/>
      <c r="N1015" s="45" t="str">
        <f t="shared" si="90"/>
        <v>-</v>
      </c>
      <c r="O1015" s="42" t="str">
        <f t="shared" si="95"/>
        <v>-</v>
      </c>
      <c r="P1015" s="43" t="str">
        <f t="shared" si="91"/>
        <v>-</v>
      </c>
      <c r="Q1015" s="46" t="str">
        <f t="shared" si="92"/>
        <v>-</v>
      </c>
      <c r="S1015" s="46" t="str">
        <f t="shared" si="93"/>
        <v>-</v>
      </c>
    </row>
    <row r="1016" spans="1:19" ht="15" x14ac:dyDescent="0.3">
      <c r="A1016" s="74">
        <v>3482641</v>
      </c>
      <c r="B1016" s="37">
        <v>95500</v>
      </c>
      <c r="C1016" s="69">
        <v>76280955002</v>
      </c>
      <c r="D1016" s="38" t="s">
        <v>1225</v>
      </c>
      <c r="E1016" s="64">
        <v>8.2372307199999995E-2</v>
      </c>
      <c r="F1016" s="70">
        <v>6</v>
      </c>
      <c r="G1016" s="38" t="s">
        <v>1177</v>
      </c>
      <c r="H1016" s="66" t="s">
        <v>1258</v>
      </c>
      <c r="I1016" s="39">
        <v>16.575000000000003</v>
      </c>
      <c r="J1016" s="40"/>
      <c r="K1016" s="75">
        <f t="shared" si="94"/>
        <v>0</v>
      </c>
      <c r="L1016" s="41"/>
      <c r="N1016" s="45" t="str">
        <f t="shared" si="90"/>
        <v>-</v>
      </c>
      <c r="O1016" s="42" t="str">
        <f t="shared" si="95"/>
        <v>-</v>
      </c>
      <c r="P1016" s="43" t="str">
        <f t="shared" si="91"/>
        <v>-</v>
      </c>
      <c r="Q1016" s="46" t="str">
        <f t="shared" si="92"/>
        <v>-</v>
      </c>
      <c r="S1016" s="46" t="str">
        <f t="shared" si="93"/>
        <v>-</v>
      </c>
    </row>
    <row r="1017" spans="1:19" ht="15" x14ac:dyDescent="0.3">
      <c r="A1017" s="74">
        <v>9317222</v>
      </c>
      <c r="B1017" s="37">
        <v>83716</v>
      </c>
      <c r="C1017" s="69">
        <v>76280837162</v>
      </c>
      <c r="D1017" s="38" t="s">
        <v>1226</v>
      </c>
      <c r="E1017" s="64">
        <v>5.6750000000000002E-2</v>
      </c>
      <c r="F1017" s="70">
        <v>6</v>
      </c>
      <c r="G1017" s="38" t="s">
        <v>284</v>
      </c>
      <c r="H1017" s="66" t="s">
        <v>1258</v>
      </c>
      <c r="I1017" s="39">
        <v>13.69875</v>
      </c>
      <c r="J1017" s="40"/>
      <c r="K1017" s="75">
        <f t="shared" si="94"/>
        <v>0</v>
      </c>
      <c r="L1017" s="41"/>
      <c r="N1017" s="45" t="str">
        <f t="shared" si="90"/>
        <v>-</v>
      </c>
      <c r="O1017" s="42" t="str">
        <f t="shared" si="95"/>
        <v>-</v>
      </c>
      <c r="P1017" s="43" t="str">
        <f t="shared" si="91"/>
        <v>-</v>
      </c>
      <c r="Q1017" s="46" t="str">
        <f t="shared" si="92"/>
        <v>-</v>
      </c>
      <c r="S1017" s="46" t="str">
        <f t="shared" si="93"/>
        <v>-</v>
      </c>
    </row>
    <row r="1018" spans="1:19" ht="15" x14ac:dyDescent="0.3">
      <c r="A1018" s="74">
        <v>5397346</v>
      </c>
      <c r="B1018" s="37">
        <v>59549</v>
      </c>
      <c r="C1018" s="69">
        <v>76280595499</v>
      </c>
      <c r="D1018" s="38" t="s">
        <v>261</v>
      </c>
      <c r="E1018" s="64">
        <v>8.2372307199999995E-2</v>
      </c>
      <c r="F1018" s="70">
        <v>6</v>
      </c>
      <c r="G1018" s="38" t="s">
        <v>135</v>
      </c>
      <c r="H1018" s="66" t="s">
        <v>1258</v>
      </c>
      <c r="I1018" s="39">
        <v>24.375</v>
      </c>
      <c r="J1018" s="40"/>
      <c r="K1018" s="75">
        <f t="shared" si="94"/>
        <v>0</v>
      </c>
      <c r="L1018" s="41"/>
      <c r="N1018" s="45" t="str">
        <f t="shared" si="90"/>
        <v>-</v>
      </c>
      <c r="O1018" s="42" t="str">
        <f t="shared" si="95"/>
        <v>-</v>
      </c>
      <c r="P1018" s="43" t="str">
        <f t="shared" si="91"/>
        <v>-</v>
      </c>
      <c r="Q1018" s="46" t="str">
        <f t="shared" si="92"/>
        <v>-</v>
      </c>
      <c r="S1018" s="46" t="str">
        <f t="shared" si="93"/>
        <v>-</v>
      </c>
    </row>
    <row r="1019" spans="1:19" ht="15" x14ac:dyDescent="0.3">
      <c r="A1019" s="74">
        <v>3918095</v>
      </c>
      <c r="B1019" s="37">
        <v>20583</v>
      </c>
      <c r="C1019" s="69">
        <v>76280205831</v>
      </c>
      <c r="D1019" s="38" t="s">
        <v>1227</v>
      </c>
      <c r="E1019" s="64">
        <v>8.2372307199999995E-2</v>
      </c>
      <c r="F1019" s="70">
        <v>12</v>
      </c>
      <c r="G1019" s="38" t="s">
        <v>278</v>
      </c>
      <c r="H1019" s="66" t="s">
        <v>1258</v>
      </c>
      <c r="I1019" s="39">
        <v>16.233750000000001</v>
      </c>
      <c r="J1019" s="40"/>
      <c r="K1019" s="75">
        <f t="shared" si="94"/>
        <v>0</v>
      </c>
      <c r="L1019" s="41"/>
      <c r="N1019" s="45" t="str">
        <f t="shared" si="90"/>
        <v>-</v>
      </c>
      <c r="O1019" s="42" t="str">
        <f t="shared" si="95"/>
        <v>-</v>
      </c>
      <c r="P1019" s="43" t="str">
        <f t="shared" si="91"/>
        <v>-</v>
      </c>
      <c r="Q1019" s="46" t="str">
        <f t="shared" si="92"/>
        <v>-</v>
      </c>
      <c r="S1019" s="46" t="str">
        <f t="shared" si="93"/>
        <v>-</v>
      </c>
    </row>
    <row r="1020" spans="1:19" ht="15" x14ac:dyDescent="0.3">
      <c r="A1020" s="74">
        <v>5135173</v>
      </c>
      <c r="B1020" s="37">
        <v>73161</v>
      </c>
      <c r="C1020" s="69">
        <v>76280731613</v>
      </c>
      <c r="D1020" s="38" t="s">
        <v>744</v>
      </c>
      <c r="E1020" s="64">
        <v>6.1779230399999996E-2</v>
      </c>
      <c r="F1020" s="70">
        <v>6</v>
      </c>
      <c r="G1020" s="38" t="s">
        <v>1228</v>
      </c>
      <c r="H1020" s="66" t="s">
        <v>1258</v>
      </c>
      <c r="I1020" s="39">
        <v>14.576249999999998</v>
      </c>
      <c r="J1020" s="40"/>
      <c r="K1020" s="75">
        <f t="shared" si="94"/>
        <v>0</v>
      </c>
      <c r="L1020" s="41"/>
      <c r="N1020" s="45" t="str">
        <f t="shared" si="90"/>
        <v>-</v>
      </c>
      <c r="O1020" s="42" t="str">
        <f t="shared" si="95"/>
        <v>-</v>
      </c>
      <c r="P1020" s="43" t="str">
        <f t="shared" si="91"/>
        <v>-</v>
      </c>
      <c r="Q1020" s="46" t="str">
        <f t="shared" si="92"/>
        <v>-</v>
      </c>
      <c r="S1020" s="46" t="str">
        <f t="shared" si="93"/>
        <v>-</v>
      </c>
    </row>
    <row r="1021" spans="1:19" ht="15" x14ac:dyDescent="0.3">
      <c r="A1021" s="74">
        <v>3193326</v>
      </c>
      <c r="B1021" s="37">
        <v>25243</v>
      </c>
      <c r="C1021" s="69">
        <v>76280252439</v>
      </c>
      <c r="D1021" s="38" t="s">
        <v>1231</v>
      </c>
      <c r="E1021" s="64">
        <v>0.13385499919999999</v>
      </c>
      <c r="F1021" s="70">
        <v>6</v>
      </c>
      <c r="G1021" s="38" t="s">
        <v>63</v>
      </c>
      <c r="H1021" s="66" t="s">
        <v>1258</v>
      </c>
      <c r="I1021" s="39">
        <v>24.375</v>
      </c>
      <c r="J1021" s="40"/>
      <c r="K1021" s="75">
        <f t="shared" si="94"/>
        <v>0</v>
      </c>
      <c r="L1021" s="41"/>
      <c r="N1021" s="45" t="str">
        <f t="shared" si="90"/>
        <v>-</v>
      </c>
      <c r="O1021" s="42" t="str">
        <f t="shared" si="95"/>
        <v>-</v>
      </c>
      <c r="P1021" s="43" t="str">
        <f t="shared" si="91"/>
        <v>-</v>
      </c>
      <c r="Q1021" s="46" t="str">
        <f t="shared" si="92"/>
        <v>-</v>
      </c>
      <c r="S1021" s="46" t="str">
        <f t="shared" si="93"/>
        <v>-</v>
      </c>
    </row>
    <row r="1022" spans="1:19" ht="15" x14ac:dyDescent="0.3">
      <c r="A1022" s="74">
        <v>1523305</v>
      </c>
      <c r="B1022" s="37">
        <v>52442</v>
      </c>
      <c r="C1022" s="69">
        <v>76280524420</v>
      </c>
      <c r="D1022" s="38" t="s">
        <v>1232</v>
      </c>
      <c r="E1022" s="64">
        <v>7.7224037999999995E-2</v>
      </c>
      <c r="F1022" s="70">
        <v>6</v>
      </c>
      <c r="G1022" s="38" t="s">
        <v>34</v>
      </c>
      <c r="H1022" s="66" t="s">
        <v>1258</v>
      </c>
      <c r="I1022" s="39">
        <v>19.5</v>
      </c>
      <c r="J1022" s="40"/>
      <c r="K1022" s="75">
        <f t="shared" si="94"/>
        <v>0</v>
      </c>
      <c r="L1022" s="41"/>
      <c r="N1022" s="45" t="str">
        <f t="shared" si="90"/>
        <v>-</v>
      </c>
      <c r="O1022" s="42" t="str">
        <f t="shared" si="95"/>
        <v>-</v>
      </c>
      <c r="P1022" s="43" t="str">
        <f t="shared" si="91"/>
        <v>-</v>
      </c>
      <c r="Q1022" s="46" t="str">
        <f t="shared" si="92"/>
        <v>-</v>
      </c>
      <c r="S1022" s="46" t="str">
        <f t="shared" si="93"/>
        <v>-</v>
      </c>
    </row>
    <row r="1023" spans="1:19" ht="15" x14ac:dyDescent="0.3">
      <c r="A1023" s="74">
        <v>1159484</v>
      </c>
      <c r="B1023" s="37">
        <v>11358</v>
      </c>
      <c r="C1023" s="69">
        <v>76280113587</v>
      </c>
      <c r="D1023" s="38" t="s">
        <v>1233</v>
      </c>
      <c r="E1023" s="64">
        <v>5.6750000000000002E-2</v>
      </c>
      <c r="F1023" s="70">
        <v>6</v>
      </c>
      <c r="G1023" s="38" t="s">
        <v>135</v>
      </c>
      <c r="H1023" s="66" t="s">
        <v>1258</v>
      </c>
      <c r="I1023" s="39">
        <v>14.625</v>
      </c>
      <c r="J1023" s="40"/>
      <c r="K1023" s="75">
        <f t="shared" si="94"/>
        <v>0</v>
      </c>
      <c r="L1023" s="41"/>
      <c r="N1023" s="45" t="str">
        <f t="shared" si="90"/>
        <v>-</v>
      </c>
      <c r="O1023" s="42" t="str">
        <f t="shared" si="95"/>
        <v>-</v>
      </c>
      <c r="P1023" s="43" t="str">
        <f t="shared" si="91"/>
        <v>-</v>
      </c>
      <c r="Q1023" s="46" t="str">
        <f t="shared" si="92"/>
        <v>-</v>
      </c>
      <c r="S1023" s="46" t="str">
        <f t="shared" si="93"/>
        <v>-</v>
      </c>
    </row>
    <row r="1024" spans="1:19" ht="15" x14ac:dyDescent="0.3">
      <c r="A1024" s="74">
        <v>4696428</v>
      </c>
      <c r="B1024" s="37">
        <v>51714</v>
      </c>
      <c r="C1024" s="69">
        <v>76280517149</v>
      </c>
      <c r="D1024" s="38" t="s">
        <v>1234</v>
      </c>
      <c r="E1024" s="64">
        <v>6.6927499599999996E-2</v>
      </c>
      <c r="F1024" s="70">
        <v>6</v>
      </c>
      <c r="G1024" s="38" t="s">
        <v>98</v>
      </c>
      <c r="H1024" s="66" t="s">
        <v>1258</v>
      </c>
      <c r="I1024" s="39">
        <v>16.087499999999999</v>
      </c>
      <c r="J1024" s="40"/>
      <c r="K1024" s="75">
        <f t="shared" si="94"/>
        <v>0</v>
      </c>
      <c r="L1024" s="41"/>
      <c r="N1024" s="45" t="str">
        <f t="shared" si="90"/>
        <v>-</v>
      </c>
      <c r="O1024" s="42" t="str">
        <f t="shared" si="95"/>
        <v>-</v>
      </c>
      <c r="P1024" s="43" t="str">
        <f t="shared" si="91"/>
        <v>-</v>
      </c>
      <c r="Q1024" s="46" t="str">
        <f t="shared" si="92"/>
        <v>-</v>
      </c>
      <c r="S1024" s="46" t="str">
        <f t="shared" si="93"/>
        <v>-</v>
      </c>
    </row>
    <row r="1025" spans="1:19" ht="15" x14ac:dyDescent="0.3">
      <c r="A1025" s="74">
        <v>2277589</v>
      </c>
      <c r="B1025" s="37">
        <v>71755</v>
      </c>
      <c r="C1025" s="69">
        <v>76280717556</v>
      </c>
      <c r="D1025" s="38" t="s">
        <v>1235</v>
      </c>
      <c r="E1025" s="64">
        <v>7.7224037999999995E-2</v>
      </c>
      <c r="F1025" s="70">
        <v>6</v>
      </c>
      <c r="G1025" s="38" t="s">
        <v>34</v>
      </c>
      <c r="H1025" s="66" t="s">
        <v>1258</v>
      </c>
      <c r="I1025" s="39">
        <v>14.625</v>
      </c>
      <c r="J1025" s="40"/>
      <c r="K1025" s="75">
        <f t="shared" si="94"/>
        <v>0</v>
      </c>
      <c r="L1025" s="41"/>
      <c r="N1025" s="45" t="str">
        <f t="shared" si="90"/>
        <v>-</v>
      </c>
      <c r="O1025" s="42" t="str">
        <f t="shared" si="95"/>
        <v>-</v>
      </c>
      <c r="P1025" s="43" t="str">
        <f t="shared" si="91"/>
        <v>-</v>
      </c>
      <c r="Q1025" s="46" t="str">
        <f t="shared" si="92"/>
        <v>-</v>
      </c>
      <c r="S1025" s="46" t="str">
        <f t="shared" si="93"/>
        <v>-</v>
      </c>
    </row>
    <row r="1026" spans="1:19" ht="15" x14ac:dyDescent="0.3">
      <c r="A1026" s="74">
        <v>2599782</v>
      </c>
      <c r="B1026" s="37">
        <v>8252</v>
      </c>
      <c r="C1026" s="69">
        <v>76280082524</v>
      </c>
      <c r="D1026" s="38" t="s">
        <v>1285</v>
      </c>
      <c r="E1026" s="64">
        <v>6.1779280794000004E-2</v>
      </c>
      <c r="F1026" s="70">
        <v>6</v>
      </c>
      <c r="G1026" s="38" t="s">
        <v>256</v>
      </c>
      <c r="H1026" s="66" t="s">
        <v>1258</v>
      </c>
      <c r="I1026" s="39">
        <v>7.2637499999999999</v>
      </c>
      <c r="J1026" s="40"/>
      <c r="K1026" s="75">
        <f t="shared" si="94"/>
        <v>0</v>
      </c>
      <c r="L1026" s="41"/>
      <c r="N1026" s="45" t="str">
        <f t="shared" si="90"/>
        <v>-</v>
      </c>
      <c r="O1026" s="42" t="str">
        <f t="shared" si="95"/>
        <v>-</v>
      </c>
      <c r="P1026" s="43" t="str">
        <f t="shared" si="91"/>
        <v>-</v>
      </c>
      <c r="Q1026" s="46" t="str">
        <f t="shared" si="92"/>
        <v>-</v>
      </c>
      <c r="S1026" s="46" t="str">
        <f t="shared" si="93"/>
        <v>-</v>
      </c>
    </row>
    <row r="1027" spans="1:19" ht="15" x14ac:dyDescent="0.3">
      <c r="A1027" s="74">
        <v>6470502</v>
      </c>
      <c r="B1027" s="37">
        <v>66863</v>
      </c>
      <c r="C1027" s="69">
        <v>76280668636</v>
      </c>
      <c r="D1027" s="38" t="s">
        <v>1286</v>
      </c>
      <c r="E1027" s="64">
        <v>0.36037913796499998</v>
      </c>
      <c r="F1027" s="70">
        <v>6</v>
      </c>
      <c r="G1027" s="38" t="s">
        <v>1287</v>
      </c>
      <c r="H1027" s="66" t="s">
        <v>1258</v>
      </c>
      <c r="I1027" s="39">
        <v>19.305</v>
      </c>
      <c r="J1027" s="40"/>
      <c r="K1027" s="75">
        <f t="shared" si="94"/>
        <v>0</v>
      </c>
      <c r="L1027" s="41"/>
      <c r="N1027" s="45" t="str">
        <f t="shared" ref="N1027:N1072" si="96">IFERROR(IF($N$2*E1027=0, "-", $N$2*E1027), "-")</f>
        <v>-</v>
      </c>
      <c r="O1027" s="42" t="str">
        <f t="shared" si="95"/>
        <v>-</v>
      </c>
      <c r="P1027" s="43" t="str">
        <f t="shared" ref="P1027:P1072" si="97">IF(J1027&gt;0,J1027*E1027, "-")</f>
        <v>-</v>
      </c>
      <c r="Q1027" s="46" t="str">
        <f t="shared" ref="Q1027:Q1072" si="98">IFERROR(IF($N$2&gt;0, $N$2*P1027, "-"), "-")</f>
        <v>-</v>
      </c>
      <c r="S1027" s="46" t="str">
        <f t="shared" ref="S1027:S1072" si="99">IFERROR(IF(Q1027+K1027=0, "-", IF(Q1027&gt;0, Q1027+K1027, "-")), "-")</f>
        <v>-</v>
      </c>
    </row>
    <row r="1028" spans="1:19" ht="15" x14ac:dyDescent="0.3">
      <c r="A1028" s="74">
        <v>5616563</v>
      </c>
      <c r="B1028" s="37">
        <v>70065</v>
      </c>
      <c r="C1028" s="69">
        <v>76280700657</v>
      </c>
      <c r="D1028" s="38" t="s">
        <v>1288</v>
      </c>
      <c r="E1028" s="64">
        <v>0</v>
      </c>
      <c r="F1028" s="70">
        <v>6</v>
      </c>
      <c r="G1028" s="38" t="s">
        <v>364</v>
      </c>
      <c r="H1028" s="66" t="s">
        <v>1258</v>
      </c>
      <c r="I1028" s="39">
        <v>32.223749999999995</v>
      </c>
      <c r="J1028" s="40"/>
      <c r="K1028" s="75">
        <f t="shared" si="94"/>
        <v>0</v>
      </c>
      <c r="L1028" s="41"/>
      <c r="N1028" s="45" t="str">
        <f t="shared" si="96"/>
        <v>-</v>
      </c>
      <c r="O1028" s="42" t="str">
        <f t="shared" ref="O1028:O1072" si="100">IFERROR(IF(N1028&gt;0,I1028+N1028,"-"),"-")</f>
        <v>-</v>
      </c>
      <c r="P1028" s="43" t="str">
        <f t="shared" si="97"/>
        <v>-</v>
      </c>
      <c r="Q1028" s="46" t="str">
        <f t="shared" si="98"/>
        <v>-</v>
      </c>
      <c r="S1028" s="46" t="str">
        <f t="shared" si="99"/>
        <v>-</v>
      </c>
    </row>
    <row r="1029" spans="1:19" ht="15" x14ac:dyDescent="0.3">
      <c r="A1029" s="74">
        <v>4326856</v>
      </c>
      <c r="B1029" s="37">
        <v>39726</v>
      </c>
      <c r="C1029" s="69">
        <v>76280397260</v>
      </c>
      <c r="D1029" s="38" t="s">
        <v>877</v>
      </c>
      <c r="E1029" s="64">
        <v>7.7224100992499989E-2</v>
      </c>
      <c r="F1029" s="70">
        <v>6</v>
      </c>
      <c r="G1029" s="38" t="s">
        <v>63</v>
      </c>
      <c r="H1029" s="66" t="s">
        <v>1258</v>
      </c>
      <c r="I1029" s="39">
        <v>37.537500000000001</v>
      </c>
      <c r="J1029" s="40"/>
      <c r="K1029" s="75">
        <f t="shared" si="94"/>
        <v>0</v>
      </c>
      <c r="L1029" s="41"/>
      <c r="N1029" s="45" t="str">
        <f t="shared" si="96"/>
        <v>-</v>
      </c>
      <c r="O1029" s="42" t="str">
        <f t="shared" si="100"/>
        <v>-</v>
      </c>
      <c r="P1029" s="43" t="str">
        <f t="shared" si="97"/>
        <v>-</v>
      </c>
      <c r="Q1029" s="46" t="str">
        <f t="shared" si="98"/>
        <v>-</v>
      </c>
      <c r="S1029" s="46" t="str">
        <f t="shared" si="99"/>
        <v>-</v>
      </c>
    </row>
    <row r="1030" spans="1:19" ht="15" x14ac:dyDescent="0.3">
      <c r="A1030" s="74">
        <v>7011401</v>
      </c>
      <c r="B1030" s="37">
        <v>1320</v>
      </c>
      <c r="C1030" s="69">
        <v>76280013207</v>
      </c>
      <c r="D1030" s="38" t="s">
        <v>1289</v>
      </c>
      <c r="E1030" s="64">
        <v>6.6927554193500008E-2</v>
      </c>
      <c r="F1030" s="70">
        <v>6</v>
      </c>
      <c r="G1030" s="38" t="s">
        <v>669</v>
      </c>
      <c r="H1030" s="66" t="s">
        <v>1258</v>
      </c>
      <c r="I1030" s="39">
        <v>14.576249999999998</v>
      </c>
      <c r="J1030" s="40"/>
      <c r="K1030" s="75">
        <f t="shared" si="94"/>
        <v>0</v>
      </c>
      <c r="L1030" s="41"/>
      <c r="N1030" s="45" t="str">
        <f t="shared" si="96"/>
        <v>-</v>
      </c>
      <c r="O1030" s="42" t="str">
        <f t="shared" si="100"/>
        <v>-</v>
      </c>
      <c r="P1030" s="43" t="str">
        <f t="shared" si="97"/>
        <v>-</v>
      </c>
      <c r="Q1030" s="46" t="str">
        <f t="shared" si="98"/>
        <v>-</v>
      </c>
      <c r="S1030" s="46" t="str">
        <f t="shared" si="99"/>
        <v>-</v>
      </c>
    </row>
    <row r="1031" spans="1:19" ht="15" x14ac:dyDescent="0.3">
      <c r="A1031" s="74">
        <v>4774226</v>
      </c>
      <c r="B1031" s="37">
        <v>40012</v>
      </c>
      <c r="C1031" s="69">
        <v>76280400120</v>
      </c>
      <c r="D1031" s="38" t="s">
        <v>1290</v>
      </c>
      <c r="E1031" s="64">
        <v>7.7224100992499989E-2</v>
      </c>
      <c r="F1031" s="70">
        <v>6</v>
      </c>
      <c r="G1031" s="38" t="s">
        <v>34</v>
      </c>
      <c r="H1031" s="66" t="s">
        <v>1258</v>
      </c>
      <c r="I1031" s="39">
        <v>21.9375</v>
      </c>
      <c r="J1031" s="40"/>
      <c r="K1031" s="75">
        <f t="shared" si="94"/>
        <v>0</v>
      </c>
      <c r="L1031" s="41"/>
      <c r="N1031" s="45" t="str">
        <f t="shared" si="96"/>
        <v>-</v>
      </c>
      <c r="O1031" s="42" t="str">
        <f t="shared" si="100"/>
        <v>-</v>
      </c>
      <c r="P1031" s="43" t="str">
        <f t="shared" si="97"/>
        <v>-</v>
      </c>
      <c r="Q1031" s="46" t="str">
        <f t="shared" si="98"/>
        <v>-</v>
      </c>
      <c r="S1031" s="46" t="str">
        <f t="shared" si="99"/>
        <v>-</v>
      </c>
    </row>
    <row r="1032" spans="1:19" ht="15" x14ac:dyDescent="0.3">
      <c r="A1032" s="74">
        <v>8679880</v>
      </c>
      <c r="B1032" s="37">
        <v>61258</v>
      </c>
      <c r="C1032" s="69">
        <v>76280612585</v>
      </c>
      <c r="D1032" s="38" t="s">
        <v>1291</v>
      </c>
      <c r="E1032" s="64">
        <v>0.10296546799000003</v>
      </c>
      <c r="F1032" s="70">
        <v>6</v>
      </c>
      <c r="G1032" s="38" t="s">
        <v>154</v>
      </c>
      <c r="H1032" s="66" t="s">
        <v>1258</v>
      </c>
      <c r="I1032" s="39">
        <v>6.9712499999999995</v>
      </c>
      <c r="J1032" s="40"/>
      <c r="K1032" s="75">
        <f t="shared" si="94"/>
        <v>0</v>
      </c>
      <c r="L1032" s="41"/>
      <c r="N1032" s="45" t="str">
        <f t="shared" si="96"/>
        <v>-</v>
      </c>
      <c r="O1032" s="42" t="str">
        <f t="shared" si="100"/>
        <v>-</v>
      </c>
      <c r="P1032" s="43" t="str">
        <f t="shared" si="97"/>
        <v>-</v>
      </c>
      <c r="Q1032" s="46" t="str">
        <f t="shared" si="98"/>
        <v>-</v>
      </c>
      <c r="S1032" s="46" t="str">
        <f t="shared" si="99"/>
        <v>-</v>
      </c>
    </row>
    <row r="1033" spans="1:19" ht="15" x14ac:dyDescent="0.3">
      <c r="A1033" s="74">
        <v>9941309</v>
      </c>
      <c r="B1033" s="37">
        <v>94270</v>
      </c>
      <c r="C1033" s="69">
        <v>76280942705</v>
      </c>
      <c r="D1033" s="38" t="s">
        <v>1292</v>
      </c>
      <c r="E1033" s="64">
        <v>7.7224100992499989E-2</v>
      </c>
      <c r="F1033" s="70">
        <v>6</v>
      </c>
      <c r="G1033" s="38" t="s">
        <v>198</v>
      </c>
      <c r="H1033" s="66" t="s">
        <v>1258</v>
      </c>
      <c r="I1033" s="39">
        <v>5.2162500000000005</v>
      </c>
      <c r="J1033" s="40"/>
      <c r="K1033" s="75">
        <f t="shared" si="94"/>
        <v>0</v>
      </c>
      <c r="L1033" s="41"/>
      <c r="N1033" s="45" t="str">
        <f t="shared" si="96"/>
        <v>-</v>
      </c>
      <c r="O1033" s="42" t="str">
        <f t="shared" si="100"/>
        <v>-</v>
      </c>
      <c r="P1033" s="43" t="str">
        <f t="shared" si="97"/>
        <v>-</v>
      </c>
      <c r="Q1033" s="46" t="str">
        <f t="shared" si="98"/>
        <v>-</v>
      </c>
      <c r="S1033" s="46" t="str">
        <f t="shared" si="99"/>
        <v>-</v>
      </c>
    </row>
    <row r="1034" spans="1:19" ht="15" x14ac:dyDescent="0.3">
      <c r="A1034" s="74">
        <v>9047653</v>
      </c>
      <c r="B1034" s="37">
        <v>61547</v>
      </c>
      <c r="C1034" s="69">
        <v>76280615470</v>
      </c>
      <c r="D1034" s="38" t="s">
        <v>1293</v>
      </c>
      <c r="E1034" s="64">
        <v>0.21622748277900003</v>
      </c>
      <c r="F1034" s="70">
        <v>6</v>
      </c>
      <c r="G1034" s="38" t="s">
        <v>1294</v>
      </c>
      <c r="H1034" s="66" t="s">
        <v>1258</v>
      </c>
      <c r="I1034" s="39">
        <v>29.25</v>
      </c>
      <c r="J1034" s="40"/>
      <c r="K1034" s="75">
        <f t="shared" si="94"/>
        <v>0</v>
      </c>
      <c r="L1034" s="41"/>
      <c r="N1034" s="45" t="str">
        <f t="shared" si="96"/>
        <v>-</v>
      </c>
      <c r="O1034" s="42" t="str">
        <f t="shared" si="100"/>
        <v>-</v>
      </c>
      <c r="P1034" s="43" t="str">
        <f t="shared" si="97"/>
        <v>-</v>
      </c>
      <c r="Q1034" s="46" t="str">
        <f t="shared" si="98"/>
        <v>-</v>
      </c>
      <c r="S1034" s="46" t="str">
        <f t="shared" si="99"/>
        <v>-</v>
      </c>
    </row>
    <row r="1035" spans="1:19" ht="15" x14ac:dyDescent="0.3">
      <c r="A1035" s="74">
        <v>4615893</v>
      </c>
      <c r="B1035" s="37">
        <v>88461</v>
      </c>
      <c r="C1035" s="69">
        <v>76280884616</v>
      </c>
      <c r="D1035" s="38" t="s">
        <v>176</v>
      </c>
      <c r="E1035" s="64">
        <v>4.6334460595500004E-2</v>
      </c>
      <c r="F1035" s="70">
        <v>6</v>
      </c>
      <c r="G1035" s="38" t="s">
        <v>285</v>
      </c>
      <c r="H1035" s="66" t="s">
        <v>1258</v>
      </c>
      <c r="I1035" s="39">
        <v>9.75</v>
      </c>
      <c r="J1035" s="40"/>
      <c r="K1035" s="75">
        <f t="shared" si="94"/>
        <v>0</v>
      </c>
      <c r="L1035" s="41"/>
      <c r="N1035" s="45" t="str">
        <f t="shared" si="96"/>
        <v>-</v>
      </c>
      <c r="O1035" s="42" t="str">
        <f t="shared" si="100"/>
        <v>-</v>
      </c>
      <c r="P1035" s="43" t="str">
        <f t="shared" si="97"/>
        <v>-</v>
      </c>
      <c r="Q1035" s="46" t="str">
        <f t="shared" si="98"/>
        <v>-</v>
      </c>
      <c r="S1035" s="46" t="str">
        <f t="shared" si="99"/>
        <v>-</v>
      </c>
    </row>
    <row r="1036" spans="1:19" ht="15" x14ac:dyDescent="0.3">
      <c r="A1036" s="74">
        <v>9583246</v>
      </c>
      <c r="B1036" s="37">
        <v>11009</v>
      </c>
      <c r="C1036" s="69">
        <v>76280110098</v>
      </c>
      <c r="D1036" s="38" t="s">
        <v>1293</v>
      </c>
      <c r="E1036" s="64">
        <v>0.21622748277900003</v>
      </c>
      <c r="F1036" s="70">
        <v>6</v>
      </c>
      <c r="G1036" s="38" t="s">
        <v>1295</v>
      </c>
      <c r="H1036" s="66" t="s">
        <v>1258</v>
      </c>
      <c r="I1036" s="39">
        <v>29.25</v>
      </c>
      <c r="J1036" s="40"/>
      <c r="K1036" s="75">
        <f t="shared" si="94"/>
        <v>0</v>
      </c>
      <c r="L1036" s="41"/>
      <c r="N1036" s="45" t="str">
        <f t="shared" si="96"/>
        <v>-</v>
      </c>
      <c r="O1036" s="42" t="str">
        <f t="shared" si="100"/>
        <v>-</v>
      </c>
      <c r="P1036" s="43" t="str">
        <f t="shared" si="97"/>
        <v>-</v>
      </c>
      <c r="Q1036" s="46" t="str">
        <f t="shared" si="98"/>
        <v>-</v>
      </c>
      <c r="S1036" s="46" t="str">
        <f t="shared" si="99"/>
        <v>-</v>
      </c>
    </row>
    <row r="1037" spans="1:19" ht="15" x14ac:dyDescent="0.3">
      <c r="A1037" s="74">
        <v>1077899</v>
      </c>
      <c r="B1037" s="37">
        <v>76323</v>
      </c>
      <c r="C1037" s="69">
        <v>76280763232</v>
      </c>
      <c r="D1037" s="38" t="s">
        <v>1296</v>
      </c>
      <c r="E1037" s="64">
        <v>5.1482733995000016E-2</v>
      </c>
      <c r="F1037" s="70">
        <v>6</v>
      </c>
      <c r="G1037" s="38" t="s">
        <v>135</v>
      </c>
      <c r="H1037" s="66" t="s">
        <v>1258</v>
      </c>
      <c r="I1037" s="39">
        <v>8.7750000000000004</v>
      </c>
      <c r="J1037" s="40"/>
      <c r="K1037" s="75">
        <f t="shared" si="94"/>
        <v>0</v>
      </c>
      <c r="L1037" s="41"/>
      <c r="N1037" s="45" t="str">
        <f t="shared" si="96"/>
        <v>-</v>
      </c>
      <c r="O1037" s="42" t="str">
        <f t="shared" si="100"/>
        <v>-</v>
      </c>
      <c r="P1037" s="43" t="str">
        <f t="shared" si="97"/>
        <v>-</v>
      </c>
      <c r="Q1037" s="46" t="str">
        <f t="shared" si="98"/>
        <v>-</v>
      </c>
      <c r="S1037" s="46" t="str">
        <f t="shared" si="99"/>
        <v>-</v>
      </c>
    </row>
    <row r="1038" spans="1:19" ht="15" x14ac:dyDescent="0.3">
      <c r="A1038" s="74">
        <v>5746983</v>
      </c>
      <c r="B1038" s="37">
        <v>84920</v>
      </c>
      <c r="C1038" s="69">
        <v>76280849202</v>
      </c>
      <c r="D1038" s="38" t="s">
        <v>1297</v>
      </c>
      <c r="E1038" s="64">
        <v>0.31919295076900006</v>
      </c>
      <c r="F1038" s="70">
        <v>6</v>
      </c>
      <c r="G1038" s="38" t="s">
        <v>1298</v>
      </c>
      <c r="H1038" s="66" t="s">
        <v>1258</v>
      </c>
      <c r="I1038" s="39">
        <v>17.55</v>
      </c>
      <c r="J1038" s="40"/>
      <c r="K1038" s="75">
        <f t="shared" si="94"/>
        <v>0</v>
      </c>
      <c r="L1038" s="41"/>
      <c r="N1038" s="45" t="str">
        <f t="shared" si="96"/>
        <v>-</v>
      </c>
      <c r="O1038" s="42" t="str">
        <f t="shared" si="100"/>
        <v>-</v>
      </c>
      <c r="P1038" s="43" t="str">
        <f t="shared" si="97"/>
        <v>-</v>
      </c>
      <c r="Q1038" s="46" t="str">
        <f t="shared" si="98"/>
        <v>-</v>
      </c>
      <c r="S1038" s="46" t="str">
        <f t="shared" si="99"/>
        <v>-</v>
      </c>
    </row>
    <row r="1039" spans="1:19" ht="15" x14ac:dyDescent="0.3">
      <c r="A1039" s="74">
        <v>7405170</v>
      </c>
      <c r="B1039" s="37">
        <v>96868</v>
      </c>
      <c r="C1039" s="69">
        <v>76280968682</v>
      </c>
      <c r="D1039" s="38" t="s">
        <v>1299</v>
      </c>
      <c r="E1039" s="64">
        <v>0.12870683498750002</v>
      </c>
      <c r="F1039" s="70">
        <v>6</v>
      </c>
      <c r="G1039" s="38" t="s">
        <v>34</v>
      </c>
      <c r="H1039" s="66" t="s">
        <v>1258</v>
      </c>
      <c r="I1039" s="39">
        <v>19.646250000000002</v>
      </c>
      <c r="J1039" s="40"/>
      <c r="K1039" s="75">
        <f t="shared" si="94"/>
        <v>0</v>
      </c>
      <c r="L1039" s="41"/>
      <c r="N1039" s="45" t="str">
        <f t="shared" si="96"/>
        <v>-</v>
      </c>
      <c r="O1039" s="42" t="str">
        <f t="shared" si="100"/>
        <v>-</v>
      </c>
      <c r="P1039" s="43" t="str">
        <f t="shared" si="97"/>
        <v>-</v>
      </c>
      <c r="Q1039" s="46" t="str">
        <f t="shared" si="98"/>
        <v>-</v>
      </c>
      <c r="S1039" s="46" t="str">
        <f t="shared" si="99"/>
        <v>-</v>
      </c>
    </row>
    <row r="1040" spans="1:19" ht="15" x14ac:dyDescent="0.3">
      <c r="A1040" s="74">
        <v>7756396</v>
      </c>
      <c r="B1040" s="37">
        <v>47798</v>
      </c>
      <c r="C1040" s="69">
        <v>76280477986</v>
      </c>
      <c r="D1040" s="38" t="s">
        <v>1300</v>
      </c>
      <c r="E1040" s="64">
        <v>8.7520647791500011E-2</v>
      </c>
      <c r="F1040" s="70">
        <v>6</v>
      </c>
      <c r="G1040" s="38" t="s">
        <v>34</v>
      </c>
      <c r="H1040" s="66" t="s">
        <v>1258</v>
      </c>
      <c r="I1040" s="39">
        <v>7.3125</v>
      </c>
      <c r="J1040" s="40"/>
      <c r="K1040" s="75">
        <f t="shared" si="94"/>
        <v>0</v>
      </c>
      <c r="L1040" s="41"/>
      <c r="N1040" s="45" t="str">
        <f t="shared" si="96"/>
        <v>-</v>
      </c>
      <c r="O1040" s="42" t="str">
        <f t="shared" si="100"/>
        <v>-</v>
      </c>
      <c r="P1040" s="43" t="str">
        <f t="shared" si="97"/>
        <v>-</v>
      </c>
      <c r="Q1040" s="46" t="str">
        <f t="shared" si="98"/>
        <v>-</v>
      </c>
      <c r="S1040" s="46" t="str">
        <f t="shared" si="99"/>
        <v>-</v>
      </c>
    </row>
    <row r="1041" spans="1:19" ht="15" x14ac:dyDescent="0.3">
      <c r="A1041" s="74">
        <v>7150042</v>
      </c>
      <c r="B1041" s="37">
        <v>39857</v>
      </c>
      <c r="C1041" s="69">
        <v>76280398571</v>
      </c>
      <c r="D1041" s="38" t="s">
        <v>1301</v>
      </c>
      <c r="E1041" s="64">
        <v>8.7520647791500011E-2</v>
      </c>
      <c r="F1041" s="70">
        <v>6</v>
      </c>
      <c r="G1041" s="38" t="s">
        <v>98</v>
      </c>
      <c r="H1041" s="66" t="s">
        <v>1258</v>
      </c>
      <c r="I1041" s="39">
        <v>21.9375</v>
      </c>
      <c r="J1041" s="40"/>
      <c r="K1041" s="75">
        <f t="shared" si="94"/>
        <v>0</v>
      </c>
      <c r="L1041" s="41"/>
      <c r="N1041" s="45" t="str">
        <f t="shared" si="96"/>
        <v>-</v>
      </c>
      <c r="O1041" s="42" t="str">
        <f t="shared" si="100"/>
        <v>-</v>
      </c>
      <c r="P1041" s="43" t="str">
        <f t="shared" si="97"/>
        <v>-</v>
      </c>
      <c r="Q1041" s="46" t="str">
        <f t="shared" si="98"/>
        <v>-</v>
      </c>
      <c r="S1041" s="46" t="str">
        <f t="shared" si="99"/>
        <v>-</v>
      </c>
    </row>
    <row r="1042" spans="1:19" ht="15" x14ac:dyDescent="0.3">
      <c r="A1042" s="74">
        <v>5623908</v>
      </c>
      <c r="B1042" s="37">
        <v>45329</v>
      </c>
      <c r="C1042" s="69">
        <v>76280453294</v>
      </c>
      <c r="D1042" s="38" t="s">
        <v>1302</v>
      </c>
      <c r="E1042" s="64">
        <v>0.38612050496250006</v>
      </c>
      <c r="F1042" s="70">
        <v>6</v>
      </c>
      <c r="G1042" s="38" t="s">
        <v>1303</v>
      </c>
      <c r="H1042" s="66" t="s">
        <v>1258</v>
      </c>
      <c r="I1042" s="39">
        <v>20.475000000000001</v>
      </c>
      <c r="J1042" s="40"/>
      <c r="K1042" s="75">
        <f t="shared" si="94"/>
        <v>0</v>
      </c>
      <c r="L1042" s="41"/>
      <c r="N1042" s="45" t="str">
        <f t="shared" si="96"/>
        <v>-</v>
      </c>
      <c r="O1042" s="42" t="str">
        <f t="shared" si="100"/>
        <v>-</v>
      </c>
      <c r="P1042" s="43" t="str">
        <f t="shared" si="97"/>
        <v>-</v>
      </c>
      <c r="Q1042" s="46" t="str">
        <f t="shared" si="98"/>
        <v>-</v>
      </c>
      <c r="S1042" s="46" t="str">
        <f t="shared" si="99"/>
        <v>-</v>
      </c>
    </row>
    <row r="1043" spans="1:19" ht="15" x14ac:dyDescent="0.3">
      <c r="A1043" s="74">
        <v>7598948</v>
      </c>
      <c r="B1043" s="37">
        <v>72850</v>
      </c>
      <c r="C1043" s="69">
        <v>76280728507</v>
      </c>
      <c r="D1043" s="38" t="s">
        <v>1304</v>
      </c>
      <c r="E1043" s="64">
        <v>0</v>
      </c>
      <c r="F1043" s="70">
        <v>6</v>
      </c>
      <c r="G1043" s="38" t="s">
        <v>98</v>
      </c>
      <c r="H1043" s="66" t="s">
        <v>1258</v>
      </c>
      <c r="I1043" s="39">
        <v>19.5</v>
      </c>
      <c r="J1043" s="40"/>
      <c r="K1043" s="75">
        <f t="shared" si="94"/>
        <v>0</v>
      </c>
      <c r="L1043" s="41"/>
      <c r="N1043" s="45" t="str">
        <f t="shared" si="96"/>
        <v>-</v>
      </c>
      <c r="O1043" s="42" t="str">
        <f t="shared" si="100"/>
        <v>-</v>
      </c>
      <c r="P1043" s="43" t="str">
        <f t="shared" si="97"/>
        <v>-</v>
      </c>
      <c r="Q1043" s="46" t="str">
        <f t="shared" si="98"/>
        <v>-</v>
      </c>
      <c r="S1043" s="46" t="str">
        <f t="shared" si="99"/>
        <v>-</v>
      </c>
    </row>
    <row r="1044" spans="1:19" ht="15" x14ac:dyDescent="0.3">
      <c r="A1044" s="74">
        <v>8272782</v>
      </c>
      <c r="B1044" s="37">
        <v>53931</v>
      </c>
      <c r="C1044" s="69">
        <v>76280539318</v>
      </c>
      <c r="D1044" s="38" t="s">
        <v>1305</v>
      </c>
      <c r="E1044" s="64">
        <v>0.68986863553300004</v>
      </c>
      <c r="F1044" s="70">
        <v>6</v>
      </c>
      <c r="G1044" s="38" t="s">
        <v>1306</v>
      </c>
      <c r="H1044" s="66" t="s">
        <v>1258</v>
      </c>
      <c r="I1044" s="39">
        <v>13.991250000000001</v>
      </c>
      <c r="J1044" s="40"/>
      <c r="K1044" s="75">
        <f t="shared" ref="K1044:K1072" si="101">J1044*I1044</f>
        <v>0</v>
      </c>
      <c r="L1044" s="41"/>
      <c r="N1044" s="45" t="str">
        <f t="shared" si="96"/>
        <v>-</v>
      </c>
      <c r="O1044" s="42" t="str">
        <f t="shared" si="100"/>
        <v>-</v>
      </c>
      <c r="P1044" s="43" t="str">
        <f t="shared" si="97"/>
        <v>-</v>
      </c>
      <c r="Q1044" s="46" t="str">
        <f t="shared" si="98"/>
        <v>-</v>
      </c>
      <c r="S1044" s="46" t="str">
        <f t="shared" si="99"/>
        <v>-</v>
      </c>
    </row>
    <row r="1045" spans="1:19" ht="15" x14ac:dyDescent="0.3">
      <c r="A1045" s="74">
        <v>6702771</v>
      </c>
      <c r="B1045" s="37">
        <v>98522</v>
      </c>
      <c r="C1045" s="69">
        <v>76280985221</v>
      </c>
      <c r="D1045" s="38" t="s">
        <v>1307</v>
      </c>
      <c r="E1045" s="64">
        <v>0.68986863553300004</v>
      </c>
      <c r="F1045" s="70">
        <v>6</v>
      </c>
      <c r="G1045" s="38" t="s">
        <v>1308</v>
      </c>
      <c r="H1045" s="66" t="s">
        <v>1258</v>
      </c>
      <c r="I1045" s="39">
        <v>16.8675</v>
      </c>
      <c r="J1045" s="40"/>
      <c r="K1045" s="75">
        <f t="shared" si="101"/>
        <v>0</v>
      </c>
      <c r="L1045" s="41"/>
      <c r="N1045" s="45" t="str">
        <f t="shared" si="96"/>
        <v>-</v>
      </c>
      <c r="O1045" s="42" t="str">
        <f t="shared" si="100"/>
        <v>-</v>
      </c>
      <c r="P1045" s="43" t="str">
        <f t="shared" si="97"/>
        <v>-</v>
      </c>
      <c r="Q1045" s="46" t="str">
        <f t="shared" si="98"/>
        <v>-</v>
      </c>
      <c r="S1045" s="46" t="str">
        <f t="shared" si="99"/>
        <v>-</v>
      </c>
    </row>
    <row r="1046" spans="1:19" ht="15" x14ac:dyDescent="0.3">
      <c r="A1046" s="74">
        <v>9512209</v>
      </c>
      <c r="B1046" s="37">
        <v>51251</v>
      </c>
      <c r="C1046" s="69">
        <v>76280512519</v>
      </c>
      <c r="D1046" s="38" t="s">
        <v>1309</v>
      </c>
      <c r="E1046" s="64">
        <v>7.7224100992499989E-2</v>
      </c>
      <c r="F1046" s="70">
        <v>6</v>
      </c>
      <c r="G1046" s="38" t="s">
        <v>135</v>
      </c>
      <c r="H1046" s="66" t="s">
        <v>1258</v>
      </c>
      <c r="I1046" s="39">
        <v>14.625</v>
      </c>
      <c r="J1046" s="40"/>
      <c r="K1046" s="75">
        <f t="shared" si="101"/>
        <v>0</v>
      </c>
      <c r="L1046" s="41"/>
      <c r="N1046" s="45" t="str">
        <f t="shared" si="96"/>
        <v>-</v>
      </c>
      <c r="O1046" s="42" t="str">
        <f t="shared" si="100"/>
        <v>-</v>
      </c>
      <c r="P1046" s="43" t="str">
        <f t="shared" si="97"/>
        <v>-</v>
      </c>
      <c r="Q1046" s="46" t="str">
        <f t="shared" si="98"/>
        <v>-</v>
      </c>
      <c r="S1046" s="46" t="str">
        <f t="shared" si="99"/>
        <v>-</v>
      </c>
    </row>
    <row r="1047" spans="1:19" ht="15" x14ac:dyDescent="0.3">
      <c r="A1047" s="74">
        <v>6593374</v>
      </c>
      <c r="B1047" s="37">
        <v>22150</v>
      </c>
      <c r="C1047" s="69">
        <v>76280221503</v>
      </c>
      <c r="D1047" s="38" t="s">
        <v>1310</v>
      </c>
      <c r="E1047" s="64">
        <v>0</v>
      </c>
      <c r="F1047" s="70">
        <v>6</v>
      </c>
      <c r="G1047" s="38" t="s">
        <v>756</v>
      </c>
      <c r="H1047" s="66" t="s">
        <v>1258</v>
      </c>
      <c r="I1047" s="39">
        <v>14.625</v>
      </c>
      <c r="J1047" s="40"/>
      <c r="K1047" s="75">
        <f t="shared" si="101"/>
        <v>0</v>
      </c>
      <c r="L1047" s="41"/>
      <c r="N1047" s="45" t="str">
        <f t="shared" si="96"/>
        <v>-</v>
      </c>
      <c r="O1047" s="42" t="str">
        <f t="shared" si="100"/>
        <v>-</v>
      </c>
      <c r="P1047" s="43" t="str">
        <f t="shared" si="97"/>
        <v>-</v>
      </c>
      <c r="Q1047" s="46" t="str">
        <f t="shared" si="98"/>
        <v>-</v>
      </c>
      <c r="S1047" s="46" t="str">
        <f t="shared" si="99"/>
        <v>-</v>
      </c>
    </row>
    <row r="1048" spans="1:19" ht="15" x14ac:dyDescent="0.3">
      <c r="A1048" s="74">
        <v>3739292</v>
      </c>
      <c r="B1048" s="37">
        <v>78802</v>
      </c>
      <c r="C1048" s="69">
        <v>76280788020</v>
      </c>
      <c r="D1048" s="38" t="s">
        <v>1311</v>
      </c>
      <c r="E1048" s="64">
        <v>0</v>
      </c>
      <c r="F1048" s="70">
        <v>6</v>
      </c>
      <c r="G1048" s="38" t="s">
        <v>1312</v>
      </c>
      <c r="H1048" s="66" t="s">
        <v>1258</v>
      </c>
      <c r="I1048" s="39">
        <v>21.9375</v>
      </c>
      <c r="J1048" s="40"/>
      <c r="K1048" s="75">
        <f t="shared" si="101"/>
        <v>0</v>
      </c>
      <c r="L1048" s="41"/>
      <c r="N1048" s="45" t="str">
        <f t="shared" si="96"/>
        <v>-</v>
      </c>
      <c r="O1048" s="42" t="str">
        <f t="shared" si="100"/>
        <v>-</v>
      </c>
      <c r="P1048" s="43" t="str">
        <f t="shared" si="97"/>
        <v>-</v>
      </c>
      <c r="Q1048" s="46" t="str">
        <f t="shared" si="98"/>
        <v>-</v>
      </c>
      <c r="S1048" s="46" t="str">
        <f t="shared" si="99"/>
        <v>-</v>
      </c>
    </row>
    <row r="1049" spans="1:19" ht="15" x14ac:dyDescent="0.3">
      <c r="A1049" s="74">
        <v>6417558</v>
      </c>
      <c r="B1049" s="37">
        <v>61557</v>
      </c>
      <c r="C1049" s="69">
        <v>76280615579</v>
      </c>
      <c r="D1049" s="38" t="s">
        <v>1313</v>
      </c>
      <c r="E1049" s="64">
        <v>0.10296546799000003</v>
      </c>
      <c r="F1049" s="70">
        <v>6</v>
      </c>
      <c r="G1049" s="38" t="s">
        <v>34</v>
      </c>
      <c r="H1049" s="66" t="s">
        <v>1258</v>
      </c>
      <c r="I1049" s="39">
        <v>14.625</v>
      </c>
      <c r="J1049" s="40"/>
      <c r="K1049" s="75">
        <f t="shared" si="101"/>
        <v>0</v>
      </c>
      <c r="L1049" s="41"/>
      <c r="N1049" s="45" t="str">
        <f t="shared" si="96"/>
        <v>-</v>
      </c>
      <c r="O1049" s="42" t="str">
        <f t="shared" si="100"/>
        <v>-</v>
      </c>
      <c r="P1049" s="43" t="str">
        <f t="shared" si="97"/>
        <v>-</v>
      </c>
      <c r="Q1049" s="46" t="str">
        <f t="shared" si="98"/>
        <v>-</v>
      </c>
      <c r="S1049" s="46" t="str">
        <f t="shared" si="99"/>
        <v>-</v>
      </c>
    </row>
    <row r="1050" spans="1:19" ht="15" x14ac:dyDescent="0.3">
      <c r="A1050" s="74">
        <v>2747732</v>
      </c>
      <c r="B1050" s="37">
        <v>18546</v>
      </c>
      <c r="C1050" s="69">
        <v>76280185461</v>
      </c>
      <c r="D1050" s="38" t="s">
        <v>1297</v>
      </c>
      <c r="E1050" s="64">
        <v>0.2728584901735</v>
      </c>
      <c r="F1050" s="70">
        <v>6</v>
      </c>
      <c r="G1050" s="38" t="s">
        <v>852</v>
      </c>
      <c r="H1050" s="66" t="s">
        <v>1258</v>
      </c>
      <c r="I1050" s="39">
        <v>17.55</v>
      </c>
      <c r="J1050" s="40"/>
      <c r="K1050" s="75">
        <f t="shared" si="101"/>
        <v>0</v>
      </c>
      <c r="L1050" s="41"/>
      <c r="N1050" s="45" t="str">
        <f t="shared" si="96"/>
        <v>-</v>
      </c>
      <c r="O1050" s="42" t="str">
        <f t="shared" si="100"/>
        <v>-</v>
      </c>
      <c r="P1050" s="43" t="str">
        <f t="shared" si="97"/>
        <v>-</v>
      </c>
      <c r="Q1050" s="46" t="str">
        <f t="shared" si="98"/>
        <v>-</v>
      </c>
      <c r="S1050" s="46" t="str">
        <f t="shared" si="99"/>
        <v>-</v>
      </c>
    </row>
    <row r="1051" spans="1:19" ht="15" x14ac:dyDescent="0.3">
      <c r="A1051" s="74">
        <v>2641988</v>
      </c>
      <c r="B1051" s="37">
        <v>93844</v>
      </c>
      <c r="C1051" s="69">
        <v>76280938449</v>
      </c>
      <c r="D1051" s="38" t="s">
        <v>301</v>
      </c>
      <c r="E1051" s="64">
        <v>0.10296546799000003</v>
      </c>
      <c r="F1051" s="70">
        <v>6</v>
      </c>
      <c r="G1051" s="38" t="s">
        <v>98</v>
      </c>
      <c r="H1051" s="66" t="s">
        <v>1258</v>
      </c>
      <c r="I1051" s="39">
        <v>18.037500000000001</v>
      </c>
      <c r="J1051" s="40"/>
      <c r="K1051" s="75">
        <f t="shared" si="101"/>
        <v>0</v>
      </c>
      <c r="L1051" s="41"/>
      <c r="N1051" s="45" t="str">
        <f t="shared" si="96"/>
        <v>-</v>
      </c>
      <c r="O1051" s="42" t="str">
        <f t="shared" si="100"/>
        <v>-</v>
      </c>
      <c r="P1051" s="43" t="str">
        <f t="shared" si="97"/>
        <v>-</v>
      </c>
      <c r="Q1051" s="46" t="str">
        <f t="shared" si="98"/>
        <v>-</v>
      </c>
      <c r="S1051" s="46" t="str">
        <f t="shared" si="99"/>
        <v>-</v>
      </c>
    </row>
    <row r="1052" spans="1:19" ht="15" x14ac:dyDescent="0.3">
      <c r="A1052" s="74">
        <v>7214824</v>
      </c>
      <c r="B1052" s="37">
        <v>73950</v>
      </c>
      <c r="C1052" s="69">
        <v>76280739503</v>
      </c>
      <c r="D1052" s="38" t="s">
        <v>1286</v>
      </c>
      <c r="E1052" s="64">
        <v>0</v>
      </c>
      <c r="F1052" s="70">
        <v>6</v>
      </c>
      <c r="G1052" s="38" t="s">
        <v>1314</v>
      </c>
      <c r="H1052" s="66" t="s">
        <v>1258</v>
      </c>
      <c r="I1052" s="39">
        <v>19.305</v>
      </c>
      <c r="J1052" s="40"/>
      <c r="K1052" s="75">
        <f t="shared" si="101"/>
        <v>0</v>
      </c>
      <c r="L1052" s="41"/>
      <c r="N1052" s="45" t="str">
        <f t="shared" si="96"/>
        <v>-</v>
      </c>
      <c r="O1052" s="42" t="str">
        <f t="shared" si="100"/>
        <v>-</v>
      </c>
      <c r="P1052" s="43" t="str">
        <f t="shared" si="97"/>
        <v>-</v>
      </c>
      <c r="Q1052" s="46" t="str">
        <f t="shared" si="98"/>
        <v>-</v>
      </c>
      <c r="S1052" s="46" t="str">
        <f t="shared" si="99"/>
        <v>-</v>
      </c>
    </row>
    <row r="1053" spans="1:19" ht="15" x14ac:dyDescent="0.3">
      <c r="A1053" s="74">
        <v>8855191</v>
      </c>
      <c r="B1053" s="37">
        <v>91547</v>
      </c>
      <c r="C1053" s="69">
        <v>645951915470</v>
      </c>
      <c r="D1053" s="38" t="s">
        <v>12</v>
      </c>
      <c r="E1053" s="64">
        <v>0.16989288359999999</v>
      </c>
      <c r="F1053" s="70">
        <v>6</v>
      </c>
      <c r="G1053" s="38" t="s">
        <v>13</v>
      </c>
      <c r="H1053" s="66" t="s">
        <v>1259</v>
      </c>
      <c r="I1053" s="39">
        <v>5.3690000000000007</v>
      </c>
      <c r="J1053" s="40"/>
      <c r="K1053" s="75">
        <f t="shared" si="101"/>
        <v>0</v>
      </c>
      <c r="L1053" s="41"/>
      <c r="N1053" s="45" t="str">
        <f t="shared" si="96"/>
        <v>-</v>
      </c>
      <c r="O1053" s="42" t="str">
        <f t="shared" si="100"/>
        <v>-</v>
      </c>
      <c r="P1053" s="43" t="str">
        <f t="shared" si="97"/>
        <v>-</v>
      </c>
      <c r="Q1053" s="46" t="str">
        <f t="shared" si="98"/>
        <v>-</v>
      </c>
      <c r="S1053" s="46" t="str">
        <f t="shared" si="99"/>
        <v>-</v>
      </c>
    </row>
    <row r="1054" spans="1:19" ht="15" x14ac:dyDescent="0.3">
      <c r="A1054" s="74">
        <v>8751708</v>
      </c>
      <c r="B1054" s="37">
        <v>40530</v>
      </c>
      <c r="C1054" s="69">
        <v>645951405308</v>
      </c>
      <c r="D1054" s="38" t="s">
        <v>6</v>
      </c>
      <c r="E1054" s="64">
        <v>0.38612018999999992</v>
      </c>
      <c r="F1054" s="70">
        <v>6</v>
      </c>
      <c r="G1054" s="38" t="s">
        <v>7</v>
      </c>
      <c r="H1054" s="66" t="s">
        <v>1258</v>
      </c>
      <c r="I1054" s="39">
        <v>7.2799999999999994</v>
      </c>
      <c r="J1054" s="40"/>
      <c r="K1054" s="75">
        <f t="shared" si="101"/>
        <v>0</v>
      </c>
      <c r="L1054" s="41"/>
      <c r="N1054" s="45" t="str">
        <f t="shared" si="96"/>
        <v>-</v>
      </c>
      <c r="O1054" s="42" t="str">
        <f t="shared" si="100"/>
        <v>-</v>
      </c>
      <c r="P1054" s="43" t="str">
        <f t="shared" si="97"/>
        <v>-</v>
      </c>
      <c r="Q1054" s="46" t="str">
        <f t="shared" si="98"/>
        <v>-</v>
      </c>
      <c r="S1054" s="46" t="str">
        <f t="shared" si="99"/>
        <v>-</v>
      </c>
    </row>
    <row r="1055" spans="1:19" ht="15" x14ac:dyDescent="0.3">
      <c r="A1055" s="74">
        <v>7813017</v>
      </c>
      <c r="B1055" s="37">
        <v>29132</v>
      </c>
      <c r="C1055" s="69">
        <v>645951291321</v>
      </c>
      <c r="D1055" s="38" t="s">
        <v>11</v>
      </c>
      <c r="E1055" s="64">
        <v>1.5856669135999999</v>
      </c>
      <c r="F1055" s="70">
        <v>6</v>
      </c>
      <c r="G1055" s="38" t="s">
        <v>20</v>
      </c>
      <c r="H1055" s="66" t="s">
        <v>1258</v>
      </c>
      <c r="I1055" s="39">
        <v>13.695500000000001</v>
      </c>
      <c r="J1055" s="40"/>
      <c r="K1055" s="75">
        <f t="shared" si="101"/>
        <v>0</v>
      </c>
      <c r="L1055" s="41"/>
      <c r="N1055" s="45" t="str">
        <f t="shared" si="96"/>
        <v>-</v>
      </c>
      <c r="O1055" s="42" t="str">
        <f t="shared" si="100"/>
        <v>-</v>
      </c>
      <c r="P1055" s="43" t="str">
        <f t="shared" si="97"/>
        <v>-</v>
      </c>
      <c r="Q1055" s="46" t="str">
        <f t="shared" si="98"/>
        <v>-</v>
      </c>
      <c r="S1055" s="46" t="str">
        <f t="shared" si="99"/>
        <v>-</v>
      </c>
    </row>
    <row r="1056" spans="1:19" ht="15" x14ac:dyDescent="0.3">
      <c r="A1056" s="74">
        <v>7054184</v>
      </c>
      <c r="B1056" s="37">
        <v>50618</v>
      </c>
      <c r="C1056" s="69">
        <v>645951506180</v>
      </c>
      <c r="D1056" s="38" t="s">
        <v>11</v>
      </c>
      <c r="E1056" s="64">
        <v>0.84946441799999994</v>
      </c>
      <c r="F1056" s="70">
        <v>6</v>
      </c>
      <c r="G1056" s="38" t="s">
        <v>45</v>
      </c>
      <c r="H1056" s="66" t="s">
        <v>1258</v>
      </c>
      <c r="I1056" s="39">
        <v>7.8715000000000002</v>
      </c>
      <c r="J1056" s="40"/>
      <c r="K1056" s="75">
        <f t="shared" si="101"/>
        <v>0</v>
      </c>
      <c r="L1056" s="41"/>
      <c r="N1056" s="45" t="str">
        <f t="shared" si="96"/>
        <v>-</v>
      </c>
      <c r="O1056" s="42" t="str">
        <f t="shared" si="100"/>
        <v>-</v>
      </c>
      <c r="P1056" s="43" t="str">
        <f t="shared" si="97"/>
        <v>-</v>
      </c>
      <c r="Q1056" s="46" t="str">
        <f t="shared" si="98"/>
        <v>-</v>
      </c>
      <c r="S1056" s="46" t="str">
        <f t="shared" si="99"/>
        <v>-</v>
      </c>
    </row>
    <row r="1057" spans="1:19" ht="15" x14ac:dyDescent="0.3">
      <c r="A1057" s="74">
        <v>8645616</v>
      </c>
      <c r="B1057" s="37">
        <v>64764</v>
      </c>
      <c r="C1057" s="69">
        <v>645951647647</v>
      </c>
      <c r="D1057" s="38" t="s">
        <v>43</v>
      </c>
      <c r="E1057" s="64">
        <v>0.18533769119999999</v>
      </c>
      <c r="F1057" s="70">
        <v>6</v>
      </c>
      <c r="G1057" s="38" t="s">
        <v>22</v>
      </c>
      <c r="H1057" s="66" t="s">
        <v>1258</v>
      </c>
      <c r="I1057" s="39">
        <v>14.833</v>
      </c>
      <c r="J1057" s="40"/>
      <c r="K1057" s="75">
        <f t="shared" si="101"/>
        <v>0</v>
      </c>
      <c r="L1057" s="41"/>
      <c r="N1057" s="45" t="str">
        <f t="shared" si="96"/>
        <v>-</v>
      </c>
      <c r="O1057" s="42" t="str">
        <f t="shared" si="100"/>
        <v>-</v>
      </c>
      <c r="P1057" s="43" t="str">
        <f t="shared" si="97"/>
        <v>-</v>
      </c>
      <c r="Q1057" s="46" t="str">
        <f t="shared" si="98"/>
        <v>-</v>
      </c>
      <c r="S1057" s="46" t="str">
        <f t="shared" si="99"/>
        <v>-</v>
      </c>
    </row>
    <row r="1058" spans="1:19" ht="15" x14ac:dyDescent="0.3">
      <c r="A1058" s="74">
        <v>5249025</v>
      </c>
      <c r="B1058" s="37">
        <v>73314</v>
      </c>
      <c r="C1058" s="69">
        <v>645951733142</v>
      </c>
      <c r="D1058" s="38" t="s">
        <v>15</v>
      </c>
      <c r="E1058" s="64">
        <v>0.54056826599999996</v>
      </c>
      <c r="F1058" s="70">
        <v>6</v>
      </c>
      <c r="G1058" s="38" t="s">
        <v>16</v>
      </c>
      <c r="H1058" s="66" t="s">
        <v>1258</v>
      </c>
      <c r="I1058" s="39">
        <v>9.6914999999999996</v>
      </c>
      <c r="J1058" s="40"/>
      <c r="K1058" s="75">
        <f t="shared" si="101"/>
        <v>0</v>
      </c>
      <c r="L1058" s="41"/>
      <c r="N1058" s="45" t="str">
        <f t="shared" si="96"/>
        <v>-</v>
      </c>
      <c r="O1058" s="42" t="str">
        <f t="shared" si="100"/>
        <v>-</v>
      </c>
      <c r="P1058" s="43" t="str">
        <f t="shared" si="97"/>
        <v>-</v>
      </c>
      <c r="Q1058" s="46" t="str">
        <f t="shared" si="98"/>
        <v>-</v>
      </c>
      <c r="S1058" s="46" t="str">
        <f t="shared" si="99"/>
        <v>-</v>
      </c>
    </row>
    <row r="1059" spans="1:19" ht="15" x14ac:dyDescent="0.3">
      <c r="A1059" s="74">
        <v>9120139</v>
      </c>
      <c r="B1059" s="37">
        <v>36013</v>
      </c>
      <c r="C1059" s="69">
        <v>645951360133</v>
      </c>
      <c r="D1059" s="38" t="s">
        <v>19</v>
      </c>
      <c r="E1059" s="64">
        <v>0.28315480600000004</v>
      </c>
      <c r="F1059" s="70">
        <v>6</v>
      </c>
      <c r="G1059" s="38" t="s">
        <v>7</v>
      </c>
      <c r="H1059" s="66" t="s">
        <v>1258</v>
      </c>
      <c r="I1059" s="39">
        <v>9.8734999999999999</v>
      </c>
      <c r="J1059" s="40"/>
      <c r="K1059" s="75">
        <f t="shared" si="101"/>
        <v>0</v>
      </c>
      <c r="L1059" s="41"/>
      <c r="N1059" s="45" t="str">
        <f t="shared" si="96"/>
        <v>-</v>
      </c>
      <c r="O1059" s="42" t="str">
        <f t="shared" si="100"/>
        <v>-</v>
      </c>
      <c r="P1059" s="43" t="str">
        <f t="shared" si="97"/>
        <v>-</v>
      </c>
      <c r="Q1059" s="46" t="str">
        <f t="shared" si="98"/>
        <v>-</v>
      </c>
      <c r="S1059" s="46" t="str">
        <f t="shared" si="99"/>
        <v>-</v>
      </c>
    </row>
    <row r="1060" spans="1:19" ht="15" x14ac:dyDescent="0.3">
      <c r="A1060" s="74">
        <v>7459696</v>
      </c>
      <c r="B1060" s="37">
        <v>92198</v>
      </c>
      <c r="C1060" s="69">
        <v>645951921983</v>
      </c>
      <c r="D1060" s="38" t="s">
        <v>23</v>
      </c>
      <c r="E1060" s="64">
        <v>0.15444807599999999</v>
      </c>
      <c r="F1060" s="70">
        <v>6</v>
      </c>
      <c r="G1060" s="38" t="s">
        <v>24</v>
      </c>
      <c r="H1060" s="66" t="s">
        <v>1258</v>
      </c>
      <c r="I1060" s="39">
        <v>6.4610000000000003</v>
      </c>
      <c r="J1060" s="40"/>
      <c r="K1060" s="75">
        <f t="shared" si="101"/>
        <v>0</v>
      </c>
      <c r="L1060" s="41"/>
      <c r="N1060" s="45" t="str">
        <f t="shared" si="96"/>
        <v>-</v>
      </c>
      <c r="O1060" s="42" t="str">
        <f t="shared" si="100"/>
        <v>-</v>
      </c>
      <c r="P1060" s="43" t="str">
        <f t="shared" si="97"/>
        <v>-</v>
      </c>
      <c r="Q1060" s="46" t="str">
        <f t="shared" si="98"/>
        <v>-</v>
      </c>
      <c r="S1060" s="46" t="str">
        <f t="shared" si="99"/>
        <v>-</v>
      </c>
    </row>
    <row r="1061" spans="1:19" ht="15" x14ac:dyDescent="0.3">
      <c r="A1061" s="74">
        <v>5323274</v>
      </c>
      <c r="B1061" s="37">
        <v>42535</v>
      </c>
      <c r="C1061" s="69">
        <v>645951425351</v>
      </c>
      <c r="D1061" s="38" t="s">
        <v>9</v>
      </c>
      <c r="E1061" s="64">
        <v>0.26770999839999998</v>
      </c>
      <c r="F1061" s="70">
        <v>6</v>
      </c>
      <c r="G1061" s="38" t="s">
        <v>10</v>
      </c>
      <c r="H1061" s="66" t="s">
        <v>1258</v>
      </c>
      <c r="I1061" s="39">
        <v>20.474999999999998</v>
      </c>
      <c r="J1061" s="40"/>
      <c r="K1061" s="75">
        <f t="shared" si="101"/>
        <v>0</v>
      </c>
      <c r="L1061" s="41"/>
      <c r="N1061" s="45" t="str">
        <f t="shared" si="96"/>
        <v>-</v>
      </c>
      <c r="O1061" s="42" t="str">
        <f t="shared" si="100"/>
        <v>-</v>
      </c>
      <c r="P1061" s="43" t="str">
        <f t="shared" si="97"/>
        <v>-</v>
      </c>
      <c r="Q1061" s="46" t="str">
        <f t="shared" si="98"/>
        <v>-</v>
      </c>
      <c r="S1061" s="46" t="str">
        <f t="shared" si="99"/>
        <v>-</v>
      </c>
    </row>
    <row r="1062" spans="1:19" ht="15" x14ac:dyDescent="0.3">
      <c r="A1062" s="74">
        <v>1393588</v>
      </c>
      <c r="B1062" s="37">
        <v>98586</v>
      </c>
      <c r="C1062" s="69">
        <v>645951985862</v>
      </c>
      <c r="D1062" s="38" t="s">
        <v>25</v>
      </c>
      <c r="E1062" s="64">
        <v>0.17504115280000002</v>
      </c>
      <c r="F1062" s="70">
        <v>6</v>
      </c>
      <c r="G1062" s="38" t="s">
        <v>10</v>
      </c>
      <c r="H1062" s="66" t="s">
        <v>1258</v>
      </c>
      <c r="I1062" s="39">
        <v>22.203999999999997</v>
      </c>
      <c r="J1062" s="40"/>
      <c r="K1062" s="75">
        <f t="shared" si="101"/>
        <v>0</v>
      </c>
      <c r="L1062" s="41"/>
      <c r="N1062" s="45" t="str">
        <f t="shared" si="96"/>
        <v>-</v>
      </c>
      <c r="O1062" s="42" t="str">
        <f t="shared" si="100"/>
        <v>-</v>
      </c>
      <c r="P1062" s="43" t="str">
        <f t="shared" si="97"/>
        <v>-</v>
      </c>
      <c r="Q1062" s="46" t="str">
        <f t="shared" si="98"/>
        <v>-</v>
      </c>
      <c r="S1062" s="46" t="str">
        <f t="shared" si="99"/>
        <v>-</v>
      </c>
    </row>
    <row r="1063" spans="1:19" ht="15" x14ac:dyDescent="0.3">
      <c r="A1063" s="74">
        <v>3792634</v>
      </c>
      <c r="B1063" s="37">
        <v>81008</v>
      </c>
      <c r="C1063" s="69">
        <v>645951810089</v>
      </c>
      <c r="D1063" s="38" t="s">
        <v>14</v>
      </c>
      <c r="E1063" s="64">
        <v>0.18533769119999999</v>
      </c>
      <c r="F1063" s="70">
        <v>6</v>
      </c>
      <c r="G1063" s="38" t="s">
        <v>10</v>
      </c>
      <c r="H1063" s="66" t="s">
        <v>1258</v>
      </c>
      <c r="I1063" s="39">
        <v>23.023</v>
      </c>
      <c r="J1063" s="40"/>
      <c r="K1063" s="75">
        <f t="shared" si="101"/>
        <v>0</v>
      </c>
      <c r="L1063" s="41"/>
      <c r="N1063" s="45" t="str">
        <f t="shared" si="96"/>
        <v>-</v>
      </c>
      <c r="O1063" s="42" t="str">
        <f t="shared" si="100"/>
        <v>-</v>
      </c>
      <c r="P1063" s="43" t="str">
        <f t="shared" si="97"/>
        <v>-</v>
      </c>
      <c r="Q1063" s="46" t="str">
        <f t="shared" si="98"/>
        <v>-</v>
      </c>
      <c r="S1063" s="46" t="str">
        <f t="shared" si="99"/>
        <v>-</v>
      </c>
    </row>
    <row r="1064" spans="1:19" ht="15" x14ac:dyDescent="0.3">
      <c r="A1064" s="74">
        <v>4826860</v>
      </c>
      <c r="B1064" s="37">
        <v>78725</v>
      </c>
      <c r="C1064" s="69">
        <v>645951787251</v>
      </c>
      <c r="D1064" s="38" t="s">
        <v>17</v>
      </c>
      <c r="E1064" s="64">
        <v>0.15444807599999999</v>
      </c>
      <c r="F1064" s="70">
        <v>6</v>
      </c>
      <c r="G1064" s="38" t="s">
        <v>18</v>
      </c>
      <c r="H1064" s="66" t="s">
        <v>1258</v>
      </c>
      <c r="I1064" s="39">
        <v>9.2364999999999995</v>
      </c>
      <c r="J1064" s="40"/>
      <c r="K1064" s="75">
        <f t="shared" si="101"/>
        <v>0</v>
      </c>
      <c r="L1064" s="41"/>
      <c r="N1064" s="45" t="str">
        <f t="shared" si="96"/>
        <v>-</v>
      </c>
      <c r="O1064" s="42" t="str">
        <f t="shared" si="100"/>
        <v>-</v>
      </c>
      <c r="P1064" s="43" t="str">
        <f t="shared" si="97"/>
        <v>-</v>
      </c>
      <c r="Q1064" s="46" t="str">
        <f t="shared" si="98"/>
        <v>-</v>
      </c>
      <c r="S1064" s="46" t="str">
        <f t="shared" si="99"/>
        <v>-</v>
      </c>
    </row>
    <row r="1065" spans="1:19" ht="15" x14ac:dyDescent="0.3">
      <c r="A1065" s="74">
        <v>5852903</v>
      </c>
      <c r="B1065" s="37">
        <v>70576</v>
      </c>
      <c r="C1065" s="69">
        <v>645951705767</v>
      </c>
      <c r="D1065" s="38" t="s">
        <v>26</v>
      </c>
      <c r="E1065" s="64">
        <v>0.54571653519999996</v>
      </c>
      <c r="F1065" s="70">
        <v>6</v>
      </c>
      <c r="G1065" s="38" t="s">
        <v>16</v>
      </c>
      <c r="H1065" s="66" t="s">
        <v>1258</v>
      </c>
      <c r="I1065" s="39">
        <v>11.284000000000001</v>
      </c>
      <c r="J1065" s="40"/>
      <c r="K1065" s="75">
        <f t="shared" si="101"/>
        <v>0</v>
      </c>
      <c r="L1065" s="41"/>
      <c r="N1065" s="45" t="str">
        <f t="shared" si="96"/>
        <v>-</v>
      </c>
      <c r="O1065" s="42" t="str">
        <f t="shared" si="100"/>
        <v>-</v>
      </c>
      <c r="P1065" s="43" t="str">
        <f t="shared" si="97"/>
        <v>-</v>
      </c>
      <c r="Q1065" s="46" t="str">
        <f t="shared" si="98"/>
        <v>-</v>
      </c>
      <c r="S1065" s="46" t="str">
        <f t="shared" si="99"/>
        <v>-</v>
      </c>
    </row>
    <row r="1066" spans="1:19" ht="15" x14ac:dyDescent="0.3">
      <c r="A1066" s="74">
        <v>3636693</v>
      </c>
      <c r="B1066" s="37">
        <v>28221</v>
      </c>
      <c r="C1066" s="69">
        <v>645951282213</v>
      </c>
      <c r="D1066" s="38" t="s">
        <v>27</v>
      </c>
      <c r="E1066" s="64">
        <v>0.16989288359999999</v>
      </c>
      <c r="F1066" s="70">
        <v>6</v>
      </c>
      <c r="G1066" s="38" t="s">
        <v>8</v>
      </c>
      <c r="H1066" s="66" t="s">
        <v>1258</v>
      </c>
      <c r="I1066" s="39">
        <v>5.3234999999999992</v>
      </c>
      <c r="J1066" s="40"/>
      <c r="K1066" s="75">
        <f t="shared" si="101"/>
        <v>0</v>
      </c>
      <c r="L1066" s="41"/>
      <c r="N1066" s="45" t="str">
        <f t="shared" si="96"/>
        <v>-</v>
      </c>
      <c r="O1066" s="42" t="str">
        <f t="shared" si="100"/>
        <v>-</v>
      </c>
      <c r="P1066" s="43" t="str">
        <f t="shared" si="97"/>
        <v>-</v>
      </c>
      <c r="Q1066" s="46" t="str">
        <f t="shared" si="98"/>
        <v>-</v>
      </c>
      <c r="S1066" s="46" t="str">
        <f t="shared" si="99"/>
        <v>-</v>
      </c>
    </row>
    <row r="1067" spans="1:19" ht="15" x14ac:dyDescent="0.3">
      <c r="A1067" s="74">
        <v>8501027</v>
      </c>
      <c r="B1067" s="37">
        <v>82130</v>
      </c>
      <c r="C1067" s="69">
        <v>645951821306</v>
      </c>
      <c r="D1067" s="38" t="s">
        <v>33</v>
      </c>
      <c r="E1067" s="64">
        <v>8.2372307199999995E-2</v>
      </c>
      <c r="F1067" s="70">
        <v>6</v>
      </c>
      <c r="G1067" s="38" t="s">
        <v>34</v>
      </c>
      <c r="H1067" s="66" t="s">
        <v>1258</v>
      </c>
      <c r="I1067" s="39">
        <v>21.612499999999997</v>
      </c>
      <c r="J1067" s="40"/>
      <c r="K1067" s="75">
        <f t="shared" si="101"/>
        <v>0</v>
      </c>
      <c r="L1067" s="41"/>
      <c r="N1067" s="45" t="str">
        <f t="shared" si="96"/>
        <v>-</v>
      </c>
      <c r="O1067" s="42" t="str">
        <f t="shared" si="100"/>
        <v>-</v>
      </c>
      <c r="P1067" s="43" t="str">
        <f t="shared" si="97"/>
        <v>-</v>
      </c>
      <c r="Q1067" s="46" t="str">
        <f t="shared" si="98"/>
        <v>-</v>
      </c>
      <c r="S1067" s="46" t="str">
        <f t="shared" si="99"/>
        <v>-</v>
      </c>
    </row>
    <row r="1068" spans="1:19" ht="15" x14ac:dyDescent="0.3">
      <c r="A1068" s="74">
        <v>5511013</v>
      </c>
      <c r="B1068" s="37">
        <v>35891</v>
      </c>
      <c r="C1068" s="69">
        <v>645951358918</v>
      </c>
      <c r="D1068" s="38" t="s">
        <v>28</v>
      </c>
      <c r="E1068" s="64">
        <v>5.6750000000000002E-2</v>
      </c>
      <c r="F1068" s="70">
        <v>6</v>
      </c>
      <c r="G1068" s="38" t="s">
        <v>29</v>
      </c>
      <c r="H1068" s="66" t="s">
        <v>1258</v>
      </c>
      <c r="I1068" s="39">
        <v>6.2789999999999999</v>
      </c>
      <c r="J1068" s="40"/>
      <c r="K1068" s="75">
        <f t="shared" si="101"/>
        <v>0</v>
      </c>
      <c r="L1068" s="41"/>
      <c r="N1068" s="45" t="str">
        <f t="shared" si="96"/>
        <v>-</v>
      </c>
      <c r="O1068" s="42" t="str">
        <f t="shared" si="100"/>
        <v>-</v>
      </c>
      <c r="P1068" s="43" t="str">
        <f t="shared" si="97"/>
        <v>-</v>
      </c>
      <c r="Q1068" s="46" t="str">
        <f t="shared" si="98"/>
        <v>-</v>
      </c>
      <c r="S1068" s="46" t="str">
        <f t="shared" si="99"/>
        <v>-</v>
      </c>
    </row>
    <row r="1069" spans="1:19" ht="15" x14ac:dyDescent="0.3">
      <c r="A1069" s="74">
        <v>9934268</v>
      </c>
      <c r="B1069" s="37">
        <v>74422</v>
      </c>
      <c r="C1069" s="69">
        <v>645951744223</v>
      </c>
      <c r="D1069" s="38" t="s">
        <v>35</v>
      </c>
      <c r="E1069" s="64">
        <v>0.10296538400000001</v>
      </c>
      <c r="F1069" s="70">
        <v>6</v>
      </c>
      <c r="G1069" s="38" t="s">
        <v>21</v>
      </c>
      <c r="H1069" s="66" t="s">
        <v>1258</v>
      </c>
      <c r="I1069" s="39">
        <v>13.649999999999999</v>
      </c>
      <c r="J1069" s="40"/>
      <c r="K1069" s="75">
        <f t="shared" si="101"/>
        <v>0</v>
      </c>
      <c r="L1069" s="41"/>
      <c r="N1069" s="45" t="str">
        <f t="shared" si="96"/>
        <v>-</v>
      </c>
      <c r="O1069" s="42" t="str">
        <f t="shared" si="100"/>
        <v>-</v>
      </c>
      <c r="P1069" s="43" t="str">
        <f t="shared" si="97"/>
        <v>-</v>
      </c>
      <c r="Q1069" s="46" t="str">
        <f t="shared" si="98"/>
        <v>-</v>
      </c>
      <c r="S1069" s="46" t="str">
        <f t="shared" si="99"/>
        <v>-</v>
      </c>
    </row>
    <row r="1070" spans="1:19" ht="15" x14ac:dyDescent="0.3">
      <c r="A1070" s="74">
        <v>4911031</v>
      </c>
      <c r="B1070" s="37">
        <v>99581</v>
      </c>
      <c r="C1070" s="69">
        <v>645951995816</v>
      </c>
      <c r="D1070" s="38" t="s">
        <v>30</v>
      </c>
      <c r="E1070" s="64">
        <v>0.13385499919999999</v>
      </c>
      <c r="F1070" s="70">
        <v>6</v>
      </c>
      <c r="G1070" s="38" t="s">
        <v>13</v>
      </c>
      <c r="H1070" s="66" t="s">
        <v>1258</v>
      </c>
      <c r="I1070" s="39">
        <v>13.8775</v>
      </c>
      <c r="J1070" s="40"/>
      <c r="K1070" s="75">
        <f t="shared" si="101"/>
        <v>0</v>
      </c>
      <c r="L1070" s="41"/>
      <c r="N1070" s="45" t="str">
        <f t="shared" si="96"/>
        <v>-</v>
      </c>
      <c r="O1070" s="42" t="str">
        <f t="shared" si="100"/>
        <v>-</v>
      </c>
      <c r="P1070" s="43" t="str">
        <f t="shared" si="97"/>
        <v>-</v>
      </c>
      <c r="Q1070" s="46" t="str">
        <f t="shared" si="98"/>
        <v>-</v>
      </c>
      <c r="S1070" s="46" t="str">
        <f t="shared" si="99"/>
        <v>-</v>
      </c>
    </row>
    <row r="1071" spans="1:19" ht="15" x14ac:dyDescent="0.3">
      <c r="A1071" s="74">
        <v>3826590</v>
      </c>
      <c r="B1071" s="37">
        <v>55642</v>
      </c>
      <c r="C1071" s="69">
        <v>645951556420</v>
      </c>
      <c r="D1071" s="38" t="s">
        <v>31</v>
      </c>
      <c r="E1071" s="64">
        <v>0.14415153760000002</v>
      </c>
      <c r="F1071" s="70">
        <v>6</v>
      </c>
      <c r="G1071" s="38" t="s">
        <v>13</v>
      </c>
      <c r="H1071" s="66" t="s">
        <v>1258</v>
      </c>
      <c r="I1071" s="39">
        <v>11.7845</v>
      </c>
      <c r="J1071" s="40"/>
      <c r="K1071" s="75">
        <f t="shared" si="101"/>
        <v>0</v>
      </c>
      <c r="L1071" s="41"/>
      <c r="N1071" s="45" t="str">
        <f t="shared" si="96"/>
        <v>-</v>
      </c>
      <c r="O1071" s="42" t="str">
        <f t="shared" si="100"/>
        <v>-</v>
      </c>
      <c r="P1071" s="43" t="str">
        <f t="shared" si="97"/>
        <v>-</v>
      </c>
      <c r="Q1071" s="46" t="str">
        <f t="shared" si="98"/>
        <v>-</v>
      </c>
      <c r="S1071" s="46" t="str">
        <f t="shared" si="99"/>
        <v>-</v>
      </c>
    </row>
    <row r="1072" spans="1:19" ht="15.6" thickBot="1" x14ac:dyDescent="0.35">
      <c r="A1072" s="76">
        <v>4728310</v>
      </c>
      <c r="B1072" s="77">
        <v>71311</v>
      </c>
      <c r="C1072" s="78">
        <v>645951713113</v>
      </c>
      <c r="D1072" s="79" t="s">
        <v>44</v>
      </c>
      <c r="E1072" s="80">
        <v>0.18018942199999999</v>
      </c>
      <c r="F1072" s="81">
        <v>6</v>
      </c>
      <c r="G1072" s="79" t="s">
        <v>32</v>
      </c>
      <c r="H1072" s="67" t="s">
        <v>1258</v>
      </c>
      <c r="I1072" s="82">
        <v>8.7359999999999989</v>
      </c>
      <c r="J1072" s="83"/>
      <c r="K1072" s="84">
        <f t="shared" si="101"/>
        <v>0</v>
      </c>
      <c r="L1072" s="41"/>
      <c r="N1072" s="45" t="str">
        <f t="shared" si="96"/>
        <v>-</v>
      </c>
      <c r="O1072" s="42" t="str">
        <f t="shared" si="100"/>
        <v>-</v>
      </c>
      <c r="P1072" s="43" t="str">
        <f t="shared" si="97"/>
        <v>-</v>
      </c>
      <c r="Q1072" s="46" t="str">
        <f t="shared" si="98"/>
        <v>-</v>
      </c>
      <c r="S1072" s="46" t="str">
        <f t="shared" si="99"/>
        <v>-</v>
      </c>
    </row>
    <row r="1075" spans="4:7" ht="15" thickBot="1" x14ac:dyDescent="0.35"/>
    <row r="1076" spans="4:7" ht="34.200000000000003" customHeight="1" x14ac:dyDescent="0.3">
      <c r="D1076" s="108" t="e" vm="2">
        <v>#VALUE!</v>
      </c>
      <c r="E1076" s="109"/>
      <c r="F1076" s="109"/>
      <c r="G1076" s="110"/>
    </row>
    <row r="1077" spans="4:7" x14ac:dyDescent="0.3">
      <c r="D1077" s="111" t="s">
        <v>1264</v>
      </c>
      <c r="E1077" s="112"/>
      <c r="F1077" s="112"/>
      <c r="G1077" s="113"/>
    </row>
    <row r="1078" spans="4:7" x14ac:dyDescent="0.3">
      <c r="D1078" s="111" t="s">
        <v>1265</v>
      </c>
      <c r="E1078" s="112"/>
      <c r="F1078" s="112"/>
      <c r="G1078" s="113"/>
    </row>
    <row r="1079" spans="4:7" ht="15" thickBot="1" x14ac:dyDescent="0.35">
      <c r="D1079" s="104" t="s">
        <v>39</v>
      </c>
      <c r="E1079" s="105"/>
      <c r="F1079" s="105"/>
      <c r="G1079" s="106"/>
    </row>
    <row r="1080" spans="4:7" x14ac:dyDescent="0.3">
      <c r="D1080" s="101" t="s">
        <v>40</v>
      </c>
      <c r="E1080" s="102"/>
      <c r="F1080" s="102"/>
      <c r="G1080" s="103"/>
    </row>
    <row r="1081" spans="4:7" ht="15" thickBot="1" x14ac:dyDescent="0.35">
      <c r="D1081" s="104" t="s">
        <v>41</v>
      </c>
      <c r="E1081" s="105"/>
      <c r="F1081" s="105"/>
      <c r="G1081" s="106"/>
    </row>
  </sheetData>
  <sheetProtection algorithmName="SHA-512" hashValue="I1ySAYP+5u5mhVg5haPq7PhXlBfJbKMMFQUHoSIcg9OrA+A+uK7P7PoSakT0MzN5+k7Ds2AizOfzdIpGKsPzjA==" saltValue="S91kX0/+IYpOKVgKvXebsQ==" spinCount="100000" sheet="1" formatCells="0" formatColumns="0" formatRows="0" insertColumns="0" insertRows="0" insertHyperlinks="0" deleteColumns="0" deleteRows="0" sort="0" autoFilter="0" pivotTables="0"/>
  <autoFilter ref="A2:K1072" xr:uid="{541E3C98-DD16-4102-B0A1-173C03185BA6}"/>
  <mergeCells count="8">
    <mergeCell ref="D1080:G1080"/>
    <mergeCell ref="D1081:G1081"/>
    <mergeCell ref="A1:K1"/>
    <mergeCell ref="O1:O2"/>
    <mergeCell ref="D1076:G1076"/>
    <mergeCell ref="D1077:G1077"/>
    <mergeCell ref="D1078:G1078"/>
    <mergeCell ref="D1079:G1079"/>
  </mergeCells>
  <conditionalFormatting sqref="H3:H1072">
    <cfRule type="containsText" dxfId="4" priority="1" operator="containsText" text="В">
      <formula>NOT(ISERROR(SEARCH("В",H3)))</formula>
    </cfRule>
    <cfRule type="containsText" dxfId="3" priority="2" operator="containsText" text="А">
      <formula>NOT(ISERROR(SEARCH("А",H3)))</formula>
    </cfRule>
    <cfRule type="containsText" dxfId="2" priority="3" operator="containsText" text="С">
      <formula>NOT(ISERROR(SEARCH("С",H3)))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048576">
    <cfRule type="containsText" dxfId="1" priority="6" operator="containsText" text="Please">
      <formula>NOT(ISERROR(SEARCH("Please",K3)))</formula>
    </cfRule>
  </conditionalFormatting>
  <conditionalFormatting sqref="S1">
    <cfRule type="expression" dxfId="0" priority="5">
      <formula>"&gt;0"</formula>
    </cfRule>
  </conditionalFormatting>
  <dataValidations count="1">
    <dataValidation type="custom" allowBlank="1" showInputMessage="1" showErrorMessage="1" prompt="Order quantity must be a multiple of Sales per Unit Case (See Column F)." sqref="J3:J1072" xr:uid="{6FC87261-E91A-4D62-9E87-9AC2BBE48E40}">
      <formula1>MOD(J3,F3)=0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DSN GROUP (LifeFlo)</vt:lpstr>
      <vt:lpstr>ALL BRANDS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Денис Хомик</cp:lastModifiedBy>
  <dcterms:created xsi:type="dcterms:W3CDTF">2023-10-23T07:10:01Z</dcterms:created>
  <dcterms:modified xsi:type="dcterms:W3CDTF">2026-04-30T13:37:42Z</dcterms:modified>
</cp:coreProperties>
</file>