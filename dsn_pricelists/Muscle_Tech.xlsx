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cer\Desktop\дсн\"/>
    </mc:Choice>
  </mc:AlternateContent>
  <xr:revisionPtr revIDLastSave="0" documentId="8_{EE03EF16-3936-44B7-96D0-5BAE350EA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1" i="1" l="1"/>
</calcChain>
</file>

<file path=xl/sharedStrings.xml><?xml version="1.0" encoding="utf-8"?>
<sst xmlns="http://schemas.openxmlformats.org/spreadsheetml/2006/main" count="733" uniqueCount="467">
  <si>
    <t>Base Item number</t>
  </si>
  <si>
    <t>Sku</t>
  </si>
  <si>
    <t>Item number</t>
  </si>
  <si>
    <t>UPC</t>
  </si>
  <si>
    <t>Category</t>
  </si>
  <si>
    <t>Brand</t>
  </si>
  <si>
    <t>Sub Brand</t>
  </si>
  <si>
    <t>Description</t>
  </si>
  <si>
    <t>Size</t>
  </si>
  <si>
    <t>Net price</t>
  </si>
  <si>
    <t>Order Quantity</t>
  </si>
  <si>
    <t>Net Value
Ordered</t>
  </si>
  <si>
    <t>B000001270</t>
  </si>
  <si>
    <t>SKU0001753</t>
  </si>
  <si>
    <t>N000010716</t>
  </si>
  <si>
    <t>Weight Loss</t>
  </si>
  <si>
    <t>HYDROXYCUT</t>
  </si>
  <si>
    <t>HYD MAX</t>
  </si>
  <si>
    <t>Hydroxycut + Women 60ct US (RB)</t>
  </si>
  <si>
    <t>60count</t>
  </si>
  <si>
    <t>B000000157</t>
  </si>
  <si>
    <t>SKU0001897</t>
  </si>
  <si>
    <t>N000011181</t>
  </si>
  <si>
    <t>HYD HARDCORE</t>
  </si>
  <si>
    <t>Hydroxycut Hardcore 60ct US (RB)</t>
  </si>
  <si>
    <t>B000000130</t>
  </si>
  <si>
    <t>SKU0001576</t>
  </si>
  <si>
    <t>N000010712</t>
  </si>
  <si>
    <t>HYD WHITEBOX</t>
  </si>
  <si>
    <t>Hydroxycut Original 72ct US (RB)</t>
  </si>
  <si>
    <t>72count</t>
  </si>
  <si>
    <t>B000005018</t>
  </si>
  <si>
    <t>SKU0000995</t>
  </si>
  <si>
    <t>N000005774</t>
  </si>
  <si>
    <t>Protein</t>
  </si>
  <si>
    <t>MUSCLETECH</t>
  </si>
  <si>
    <t>MT ISO WHEY CLEAR (RB)</t>
  </si>
  <si>
    <t>MuscleTech Iso Whey Clear Arctic Cherry Blast 1.1lbs US (RB)</t>
  </si>
  <si>
    <t>1.1lbs</t>
  </si>
  <si>
    <t>B000005017</t>
  </si>
  <si>
    <t>SKU0000994</t>
  </si>
  <si>
    <t>N000005773</t>
  </si>
  <si>
    <t>MuscleTech Iso Whey Clear Lemon Berry Blizzard 1.1lbs US (RB)</t>
  </si>
  <si>
    <t>B000005019</t>
  </si>
  <si>
    <t>SKU0000996</t>
  </si>
  <si>
    <t>N000005775</t>
  </si>
  <si>
    <t>MuscleTech Iso Whey Clear Orange Dreamsicle 1.1lbs US (RB)</t>
  </si>
  <si>
    <t>B000008419</t>
  </si>
  <si>
    <t>SKU0001426</t>
  </si>
  <si>
    <t>N000009167</t>
  </si>
  <si>
    <t>MT GRASSFED 100% WHEY (RB)</t>
  </si>
  <si>
    <t>MuscleTech Grass Fed 100% Whey Protein Deluxe Vanilla 1.8lbs US (RB)</t>
  </si>
  <si>
    <t>1.8lbs</t>
  </si>
  <si>
    <t>B000008418</t>
  </si>
  <si>
    <t>SKU0001425</t>
  </si>
  <si>
    <t>N000009166</t>
  </si>
  <si>
    <t>MuscleTech Grass Fed 100% Whey Protein Triple Chocolate 1.8lbs US (RB)</t>
  </si>
  <si>
    <t>B000001175</t>
  </si>
  <si>
    <t>SKU0000231</t>
  </si>
  <si>
    <t>N000005088</t>
  </si>
  <si>
    <t>MT HYD HARDCORE ELITE (RB)</t>
  </si>
  <si>
    <t>MuscleTech Hydroxycut Hardcore Elite 100ct US (RB)</t>
  </si>
  <si>
    <t>100count</t>
  </si>
  <si>
    <t>B000001314</t>
  </si>
  <si>
    <t>SKU0001346</t>
  </si>
  <si>
    <t>N000009010</t>
  </si>
  <si>
    <t>Healthy Lifestyle</t>
  </si>
  <si>
    <t>MT PLATINUM 100% FISH OIL (RB)</t>
  </si>
  <si>
    <t>MuscleTech Platinum 100% Omega Fish Oil 100ct US (RB)</t>
  </si>
  <si>
    <t>B000001480</t>
  </si>
  <si>
    <t>SKU0001785</t>
  </si>
  <si>
    <t>N000005127</t>
  </si>
  <si>
    <t>MT NITRO TECH</t>
  </si>
  <si>
    <t>MuscleTech Nitro Tech Milk Chocolate 10lbs US (RB)</t>
  </si>
  <si>
    <t>10lbs</t>
  </si>
  <si>
    <t>B000001502</t>
  </si>
  <si>
    <t>SKU0001786</t>
  </si>
  <si>
    <t>N000005128</t>
  </si>
  <si>
    <t>MuscleTech Nitro Tech Vanilla Cream 10lbs US (RB)</t>
  </si>
  <si>
    <t>B000001177</t>
  </si>
  <si>
    <t>SKU0001565</t>
  </si>
  <si>
    <t>N000009908</t>
  </si>
  <si>
    <t>MT HYD ELITE (RB)</t>
  </si>
  <si>
    <t>MuscleTech Hydroxycut Hardcore Elite 110ct US/INTL (RB)</t>
  </si>
  <si>
    <t>110count</t>
  </si>
  <si>
    <t>B000000754</t>
  </si>
  <si>
    <t>SKU0001191</t>
  </si>
  <si>
    <t>N000008187</t>
  </si>
  <si>
    <t>Testosterone</t>
  </si>
  <si>
    <t>MT ALPHA TEST (RB)</t>
  </si>
  <si>
    <t>MuscleTech Alpha Test 120ct US (RB)</t>
  </si>
  <si>
    <t>120count</t>
  </si>
  <si>
    <t>B000005771</t>
  </si>
  <si>
    <t>SKU0001025</t>
  </si>
  <si>
    <t>N000005771</t>
  </si>
  <si>
    <t>MT HYD HARDCORE S ELITE (RB)</t>
  </si>
  <si>
    <t>MuscleTech Hydroxycut Hardcore Super Elite 120ct US (RB)</t>
  </si>
  <si>
    <t>B000005772</t>
  </si>
  <si>
    <t>SKU0001012</t>
  </si>
  <si>
    <t>N000005772</t>
  </si>
  <si>
    <t>MT TEST HD ELITE (RB)</t>
  </si>
  <si>
    <t>MuscleTech Test HD Elite 120ct US (RB)</t>
  </si>
  <si>
    <t>B000000274</t>
  </si>
  <si>
    <t>SKU0000982</t>
  </si>
  <si>
    <t>N000005779</t>
  </si>
  <si>
    <t>Creatine</t>
  </si>
  <si>
    <t>MT CELL TECH CREACTOR (RB)</t>
  </si>
  <si>
    <t>MuscleTech Cell Tech Creactor 120 servings Fruit Punch Extreme US (RB)</t>
  </si>
  <si>
    <t>120serv</t>
  </si>
  <si>
    <t>B000001433</t>
  </si>
  <si>
    <t>SKU0000981</t>
  </si>
  <si>
    <t>N000005778</t>
  </si>
  <si>
    <t>MuscleTech Cell Tech Creactor 120 servings Unflavored US (RB)</t>
  </si>
  <si>
    <t>B000000279</t>
  </si>
  <si>
    <t>SKU0001356</t>
  </si>
  <si>
    <t>N000009020</t>
  </si>
  <si>
    <t>Pre-Workout</t>
  </si>
  <si>
    <t>MT 100% CAFFEINE (RB)</t>
  </si>
  <si>
    <t>MuscleTech 100% Caffeine 125ct US (RB)</t>
  </si>
  <si>
    <t>125count</t>
  </si>
  <si>
    <t>B000012458</t>
  </si>
  <si>
    <t>SKU0002210</t>
  </si>
  <si>
    <t xml:space="preserve">	
N000012458</t>
  </si>
  <si>
    <t>MT MASS TECH EXTREME 2000 (RB)</t>
  </si>
  <si>
    <t>MT Mass Tech Extreme 2000 Chocolate 12lbs US</t>
  </si>
  <si>
    <t>12lb</t>
  </si>
  <si>
    <t>B000012459</t>
  </si>
  <si>
    <t>SKU0002211</t>
  </si>
  <si>
    <t>N000012459</t>
  </si>
  <si>
    <t>MT Mass Tech Extreme 2000 Vanilla 12lbs US</t>
  </si>
  <si>
    <t>B000000454</t>
  </si>
  <si>
    <t>SKU0000405</t>
  </si>
  <si>
    <t>N000000454</t>
  </si>
  <si>
    <t>MT VITALIGENIX T10</t>
  </si>
  <si>
    <t>MT VitaliGenix T10 180ct US</t>
  </si>
  <si>
    <t>180count</t>
  </si>
  <si>
    <t>B000001215</t>
  </si>
  <si>
    <t>SKU0001788</t>
  </si>
  <si>
    <t>N000009391</t>
  </si>
  <si>
    <t>MT NITRO TECH (RB)</t>
  </si>
  <si>
    <t>MuscleTech Nitro Tech Cookies and Cream 2.2lbs US (RB)</t>
  </si>
  <si>
    <t>2.2lbs</t>
  </si>
  <si>
    <t>B000001214</t>
  </si>
  <si>
    <t>SKU0001789</t>
  </si>
  <si>
    <t>N000009012</t>
  </si>
  <si>
    <t>MuscleTech Nitro Tech Milk Chocolate 2.2lbs US (RB)</t>
  </si>
  <si>
    <t>B000001217</t>
  </si>
  <si>
    <t>SKU0001466</t>
  </si>
  <si>
    <t>N000009392</t>
  </si>
  <si>
    <t>MuscleTech Nitro Tech Strawberry 2.2lbs US (RB)</t>
  </si>
  <si>
    <t>B000001219</t>
  </si>
  <si>
    <t>SKU0001791</t>
  </si>
  <si>
    <t>N000009013</t>
  </si>
  <si>
    <t>MuscleTech Nitro Tech Vanilla Cream 2.2lbs US (RB)</t>
  </si>
  <si>
    <t>B000001190</t>
  </si>
  <si>
    <t>SKU0001900</t>
  </si>
  <si>
    <t>N000011188</t>
  </si>
  <si>
    <t>Gainer</t>
  </si>
  <si>
    <t>MuscleTech Mass Tech Extreme 2000 Triple Chocolate Brownie 20lbs US (RB)</t>
  </si>
  <si>
    <t>20lbs</t>
  </si>
  <si>
    <t>B000001301</t>
  </si>
  <si>
    <t>SKU0001901</t>
  </si>
  <si>
    <t>N000011189</t>
  </si>
  <si>
    <t>MuscleTech Mass Tech Extreme 2000 Vanilla Milkshake 20lbs US (RB)</t>
  </si>
  <si>
    <t>B000006892</t>
  </si>
  <si>
    <t>SKU0001096</t>
  </si>
  <si>
    <t>N000006892</t>
  </si>
  <si>
    <t>MT CELL TECH ELITE (RB)</t>
  </si>
  <si>
    <t>MuscleTech Cell Tech Elite 20 servings Cherry Burst US (RB)</t>
  </si>
  <si>
    <t>20serv</t>
  </si>
  <si>
    <t>B000006891</t>
  </si>
  <si>
    <t>SKU0001095</t>
  </si>
  <si>
    <t>N000006891</t>
  </si>
  <si>
    <t>MuscleTech Cell Tech Elite 20 servings Icy Berry Slushie US (RB)</t>
  </si>
  <si>
    <t>B000000337</t>
  </si>
  <si>
    <t>SKU0001772</t>
  </si>
  <si>
    <t>N000010614</t>
  </si>
  <si>
    <t>MT SHATTER (RB)</t>
  </si>
  <si>
    <t>MuscleTech Shatter 20 servings Rainbow Fruit Candy US (RB)</t>
  </si>
  <si>
    <t>B000006799</t>
  </si>
  <si>
    <t>SKU0001771</t>
  </si>
  <si>
    <t>N000010613</t>
  </si>
  <si>
    <t>MuscleTech Shatter 20 servings Sour Blue Razz US (RB)</t>
  </si>
  <si>
    <t>B000006843</t>
  </si>
  <si>
    <t>SKU0001058</t>
  </si>
  <si>
    <t>N000006843</t>
  </si>
  <si>
    <t>MT SHATTER ELITE (RB)</t>
  </si>
  <si>
    <t>MuscleTech Shatter Elite 25 servings Glacier Berry US (RB)</t>
  </si>
  <si>
    <t>25serv</t>
  </si>
  <si>
    <t>B000006851</t>
  </si>
  <si>
    <t>SKU0001059</t>
  </si>
  <si>
    <t>N000006851</t>
  </si>
  <si>
    <t>MuscleTech Shatter Elite 25 servings Icy Charge US (RB)</t>
  </si>
  <si>
    <t>B000006852</t>
  </si>
  <si>
    <t>SKU0001060</t>
  </si>
  <si>
    <t>N000006852</t>
  </si>
  <si>
    <t>MuscleTech Shatter Elite 25 servings Sour Burst Candy US (RB)</t>
  </si>
  <si>
    <t>B000000527</t>
  </si>
  <si>
    <t>SKU0001796</t>
  </si>
  <si>
    <t>N000010977</t>
  </si>
  <si>
    <t>MT NITRO TECH 100% WHEY</t>
  </si>
  <si>
    <t>MuscleTech Nitro Tech 100% Whey Gold Cookies and Cream 2lbs US (RB)</t>
  </si>
  <si>
    <t>2lbs</t>
  </si>
  <si>
    <t>B000000511</t>
  </si>
  <si>
    <t>SKU0001767</t>
  </si>
  <si>
    <t>N000010603</t>
  </si>
  <si>
    <t>MuscleTech Nitro Tech 100% Whey Gold Double Rich Chocolate 2lbs US (RB)</t>
  </si>
  <si>
    <t>B000000585</t>
  </si>
  <si>
    <t>SKU0001768</t>
  </si>
  <si>
    <t>N000010605</t>
  </si>
  <si>
    <t>MuscleTech Nitro Tech 100% Whey Gold French Vanilla Cream 2lbs US (RB)</t>
  </si>
  <si>
    <t>B000000561</t>
  </si>
  <si>
    <t>SKU0001797</t>
  </si>
  <si>
    <t>N000010978</t>
  </si>
  <si>
    <t>MT NITRO TECH 100% WHEY GOLD (RB)</t>
  </si>
  <si>
    <t>MuscleTech Nitro Tech 100% Whey Gold Strawberry Shortcake 2lbs US (RB)</t>
  </si>
  <si>
    <t>B000001481</t>
  </si>
  <si>
    <t>SKU0001775</t>
  </si>
  <si>
    <t>N000005776</t>
  </si>
  <si>
    <t>Protein + Weight Loss</t>
  </si>
  <si>
    <t>MT NITRO TECH RIPPED (RB)</t>
  </si>
  <si>
    <t>MuscleTech Nitro Tech Ripped Chocolate Fudge Brownie 2lbs US (RB)</t>
  </si>
  <si>
    <t>B000000581</t>
  </si>
  <si>
    <t>SKU0001776</t>
  </si>
  <si>
    <t>N000005777</t>
  </si>
  <si>
    <t>MuscleTech Nitro Tech Ripped French Vanilla Bean 2lbs US (RB)</t>
  </si>
  <si>
    <t>B000000298</t>
  </si>
  <si>
    <t>SKU0000247</t>
  </si>
  <si>
    <t>N000005110</t>
  </si>
  <si>
    <t>MT PLATINUM 100% GLUTAMINE (RB)</t>
  </si>
  <si>
    <t>MuscleTech 100% Glutamine 300g US (RB)</t>
  </si>
  <si>
    <t>300gram</t>
  </si>
  <si>
    <t>B000001334</t>
  </si>
  <si>
    <t>SKU0001462</t>
  </si>
  <si>
    <t>N000009388</t>
  </si>
  <si>
    <t>Musclebuilder</t>
  </si>
  <si>
    <t>MT MUSCLE BUILDER (RB)</t>
  </si>
  <si>
    <t>MuscleTech Muscle Builder 30ct US (RB)</t>
  </si>
  <si>
    <t>30count</t>
  </si>
  <si>
    <t>B000004578</t>
  </si>
  <si>
    <t>NNVN1-030-BR-I-US</t>
  </si>
  <si>
    <t>N000004578</t>
  </si>
  <si>
    <t>MT VAPOR X5 NEXT GEN</t>
  </si>
  <si>
    <t>MT Performance Series VaporX5 Next Gen 30 servings Blue Raspberry Fusion 8.04oz (228g) US/INTL</t>
  </si>
  <si>
    <t>30serv</t>
  </si>
  <si>
    <t>B000004577</t>
  </si>
  <si>
    <t>NNVN1-030-FP-I-US</t>
  </si>
  <si>
    <t>N000004577</t>
  </si>
  <si>
    <t>MT Performance Series VaporX5 Next Gen 30 servings Fruit Punch Blast 8.18oz (232g) US/INTL</t>
  </si>
  <si>
    <t>B000000623</t>
  </si>
  <si>
    <t>SKU0000505</t>
  </si>
  <si>
    <t>N000000623</t>
  </si>
  <si>
    <t>MT VAPOR X5 RIPPED</t>
  </si>
  <si>
    <t>MT Performance Series VaporX5 Ripped 30 servings Strawberry Limeade 6.5oz (184g) US</t>
  </si>
  <si>
    <t>B000001221</t>
  </si>
  <si>
    <t>SKU0001189</t>
  </si>
  <si>
    <t>N000008185</t>
  </si>
  <si>
    <t>MT VAPOR X5 (RB)</t>
  </si>
  <si>
    <t>MuscleTech VaporX5 30 servings Blue Razz Freeze US (RB)</t>
  </si>
  <si>
    <t>B000001512</t>
  </si>
  <si>
    <t>SKU0001190</t>
  </si>
  <si>
    <t>N000008186</t>
  </si>
  <si>
    <t>MuscleTech VaporX5 30 servings Miami Spring Break US (RB)</t>
  </si>
  <si>
    <t>B000000030</t>
  </si>
  <si>
    <t>SKU0001861</t>
  </si>
  <si>
    <t>N000010979</t>
  </si>
  <si>
    <t>MT CELL TECH (RB)</t>
  </si>
  <si>
    <t>MuscleTech Cell Tech Fruit Punch 3lbs US (RB)</t>
  </si>
  <si>
    <t>3lbs</t>
  </si>
  <si>
    <t>B000006864</t>
  </si>
  <si>
    <t>SKU0001774</t>
  </si>
  <si>
    <t>N000010616</t>
  </si>
  <si>
    <t>MuscleTech Cell Tech Tropical Citrus Punch 3lbs US (RB)</t>
  </si>
  <si>
    <t>B000001448</t>
  </si>
  <si>
    <t>SKU0001593</t>
  </si>
  <si>
    <t>N000009985</t>
  </si>
  <si>
    <t>MT PLATINUM 8 HOUR PROTEIN (RB)</t>
  </si>
  <si>
    <t>MuscleTech Platinum 8 hour Protein Milk Chocolate 4.6lbs US (RB)</t>
  </si>
  <si>
    <t>4.6lbs</t>
  </si>
  <si>
    <t>B000000402</t>
  </si>
  <si>
    <t>SKU0001594</t>
  </si>
  <si>
    <t>N000009987</t>
  </si>
  <si>
    <t>MuscleTech Platinum 8 hour Protein Vanilla Cream 4.6lbs US (RB)</t>
  </si>
  <si>
    <t>B000001460</t>
  </si>
  <si>
    <t>MTPM3-400-00-0-US</t>
  </si>
  <si>
    <t>N000001460</t>
  </si>
  <si>
    <t>MT PLATINUM 100% MICRONIZED CREATINE</t>
  </si>
  <si>
    <t>MuscleTech Essential Series Platinum 100% Creatine Unflavored 400g (14.11oz) US</t>
  </si>
  <si>
    <t>400gram</t>
  </si>
  <si>
    <t>B000006832</t>
  </si>
  <si>
    <t>SKU0001770</t>
  </si>
  <si>
    <t>N000010612</t>
  </si>
  <si>
    <t>Amino/BCAA</t>
  </si>
  <si>
    <t>MT AMINO BUILD (RB)</t>
  </si>
  <si>
    <t>MuscleTech Amino Build 40 servings Strawberry Watermelon US (RB)</t>
  </si>
  <si>
    <t>40serv</t>
  </si>
  <si>
    <t>B000006830</t>
  </si>
  <si>
    <t>SKU0001769</t>
  </si>
  <si>
    <t>N000010611</t>
  </si>
  <si>
    <t>MuscleTech Amino Build 40 servings Tropical Twist US (RB)</t>
  </si>
  <si>
    <t>B000004097</t>
  </si>
  <si>
    <t>SKU0001184</t>
  </si>
  <si>
    <t>N000008174</t>
  </si>
  <si>
    <t>Recovery</t>
  </si>
  <si>
    <t>MT CLEAR MUSCLE (RB)</t>
  </si>
  <si>
    <t>MuscleTech Clear Muscle 42ct US (RB)</t>
  </si>
  <si>
    <t>42count</t>
  </si>
  <si>
    <t>B000001216</t>
  </si>
  <si>
    <t>SKU0000267</t>
  </si>
  <si>
    <t>N000005129</t>
  </si>
  <si>
    <t>MuscleTech Nitro Tech Cookies and Cream 4lbs US (RB)</t>
  </si>
  <si>
    <t>4lbs</t>
  </si>
  <si>
    <t>B000001330</t>
  </si>
  <si>
    <t>SKU0001782</t>
  </si>
  <si>
    <t>N000005130</t>
  </si>
  <si>
    <t>MuscleTech Nitro Tech Milk Chocolate 4lbs US (RB)</t>
  </si>
  <si>
    <t>B000000514</t>
  </si>
  <si>
    <t>SKU0001800</t>
  </si>
  <si>
    <t>N000009016</t>
  </si>
  <si>
    <t>MuscleTech Nitro Tech Ripped Chocolate Fudge Brownie 4lbs US (RB)</t>
  </si>
  <si>
    <t>B000000589</t>
  </si>
  <si>
    <t>SKU0001801</t>
  </si>
  <si>
    <t>N000009017</t>
  </si>
  <si>
    <t>MuscleTech Nitro Tech Ripped French Vanilla Bean 4lbs US (RB)</t>
  </si>
  <si>
    <t>B000001218</t>
  </si>
  <si>
    <t>SKU0001783</t>
  </si>
  <si>
    <t>N000005132</t>
  </si>
  <si>
    <t>MuscleTech Nitro Tech Strawberry 4lbs US (RB)</t>
  </si>
  <si>
    <t>B000001220</t>
  </si>
  <si>
    <t>SKU0001784</t>
  </si>
  <si>
    <t>N000005133</t>
  </si>
  <si>
    <t>MuscleTech Nitro Tech Vanilla Cream 4lbs US (RB)</t>
  </si>
  <si>
    <t>B000000763</t>
  </si>
  <si>
    <t>SKU0001192</t>
  </si>
  <si>
    <t>N000008188</t>
  </si>
  <si>
    <t>MT 100% MASS GAINER (RB)</t>
  </si>
  <si>
    <t>MuscleTech 100% Mass Gainer Chocolate Fudge Brownie 5.15lbs US (RB)</t>
  </si>
  <si>
    <t>5.15lbs</t>
  </si>
  <si>
    <t>B000004814</t>
  </si>
  <si>
    <t>SKU0001193</t>
  </si>
  <si>
    <t>N000008189</t>
  </si>
  <si>
    <t>MuscleTech 100% Mass Gainer Vanilla Milkshake 5.15lbs US (RB)</t>
  </si>
  <si>
    <t>B000000529</t>
  </si>
  <si>
    <t>SKU0001792</t>
  </si>
  <si>
    <t>N000005122</t>
  </si>
  <si>
    <t>MuscleTech Nitro Tech 100% Whey Gold Cookies and Cream 5lbs US (RB)</t>
  </si>
  <si>
    <t>5lbs</t>
  </si>
  <si>
    <t>B000000503</t>
  </si>
  <si>
    <t>SKU0001794</t>
  </si>
  <si>
    <t>N000010056</t>
  </si>
  <si>
    <t>MuscleTech Nitro Tech 100% Whey Gold Double Rich Chocolate 5lbs US (RB)</t>
  </si>
  <si>
    <t>B000000593</t>
  </si>
  <si>
    <t>SKU0001795</t>
  </si>
  <si>
    <t>N000010057</t>
  </si>
  <si>
    <t>MuscleTech Nitro Tech 100% Whey Gold French Vanilla Cream 5lbs US (RB)</t>
  </si>
  <si>
    <t>B000000562</t>
  </si>
  <si>
    <t>SKU0001793</t>
  </si>
  <si>
    <t>N000009014</t>
  </si>
  <si>
    <t>631656710502</t>
  </si>
  <si>
    <t>MuscleTech Nitro Tech 100% Whey Gold Strawberry Shortcake 5lbs US (RB)</t>
  </si>
  <si>
    <t>B000000147</t>
  </si>
  <si>
    <t>SKU0000256</t>
  </si>
  <si>
    <t>N000005118</t>
  </si>
  <si>
    <t>MuscleTech Cell Tech Fruit Punch 6lbs US (RB)</t>
  </si>
  <si>
    <t>6lbs</t>
  </si>
  <si>
    <t>B000001295</t>
  </si>
  <si>
    <t>SKU0001894</t>
  </si>
  <si>
    <t>N000011178</t>
  </si>
  <si>
    <t>MT MASS TECH ELITE (RB)</t>
  </si>
  <si>
    <t>MuscleTech Mass Tech Elite Chocolate Fudge Cake 6lbs US (RB)</t>
  </si>
  <si>
    <t>B000001298</t>
  </si>
  <si>
    <t>SKU0001893</t>
  </si>
  <si>
    <t>N000011177</t>
  </si>
  <si>
    <t>MT MASS TECH (RB)</t>
  </si>
  <si>
    <t>MuscleTech Mass Tech Elite Cookies and Cream 6lbs US (RB)</t>
  </si>
  <si>
    <t>B000001200</t>
  </si>
  <si>
    <t>SKU0001895</t>
  </si>
  <si>
    <t>N000011179</t>
  </si>
  <si>
    <t>MuscleTech Mass Tech Elite Strawberry 6lbs US (RB)</t>
  </si>
  <si>
    <t>B000001303</t>
  </si>
  <si>
    <t>SKU0001896</t>
  </si>
  <si>
    <t>N000011180</t>
  </si>
  <si>
    <t>MuscleTech Mass Tech Elite Vanilla Cake 6lbs US (RB)</t>
  </si>
  <si>
    <t>B000001417</t>
  </si>
  <si>
    <t>SKU0001898</t>
  </si>
  <si>
    <t>N000011186</t>
  </si>
  <si>
    <t>MT MASS TECH EXTREME 2000</t>
  </si>
  <si>
    <t>MuscleTech Mass Tech Extreme 2000 Triple Chocolate Brownie 6lbs US (RB)</t>
  </si>
  <si>
    <t>B000001419</t>
  </si>
  <si>
    <t>SKU0002231</t>
  </si>
  <si>
    <t>N000012623</t>
  </si>
  <si>
    <t>MuscleTech Mass Tech Extreme 2000 Vanilla Milkshake 6lbs US (RB)</t>
  </si>
  <si>
    <t>B000004096</t>
  </si>
  <si>
    <t>SKU0000983</t>
  </si>
  <si>
    <t>N000005781</t>
  </si>
  <si>
    <t>MuscleTech Clear Muscle 84ct US (RB)</t>
  </si>
  <si>
    <t>84count</t>
  </si>
  <si>
    <t>B000000518</t>
  </si>
  <si>
    <t>SKU0001799</t>
  </si>
  <si>
    <t>N000009386</t>
  </si>
  <si>
    <t>MuscleTech Nitro Tech 100% Whey Gold Double Rich Chocolate 8lbs US (RB)</t>
  </si>
  <si>
    <t>8lbs</t>
  </si>
  <si>
    <t>B000000328</t>
  </si>
  <si>
    <t>SKU0001309</t>
  </si>
  <si>
    <t>N000000328</t>
  </si>
  <si>
    <t>MT MUSCLEBUILDER PM (RB)</t>
  </si>
  <si>
    <t>MuscleTech Muscle Builder PM 90ct US (RB)</t>
  </si>
  <si>
    <t>90count</t>
  </si>
  <si>
    <t>B000001327</t>
  </si>
  <si>
    <t>SKU0001431</t>
  </si>
  <si>
    <t>N000001327</t>
  </si>
  <si>
    <t>MT TEST HD THERMO</t>
  </si>
  <si>
    <t>MuscleTech Performance Series Test HD Thermo 90ct US</t>
  </si>
  <si>
    <t>B000001455</t>
  </si>
  <si>
    <t>SKU0001677</t>
  </si>
  <si>
    <t>N000008681</t>
  </si>
  <si>
    <t>MT 100% PREMIUM MULTI-VITAMIN (RB)</t>
  </si>
  <si>
    <t>MuscleTech Platinum Multi Vitamin 90ct US (RB)</t>
  </si>
  <si>
    <t>B000001123</t>
  </si>
  <si>
    <t>SKU0002212</t>
  </si>
  <si>
    <t>N000012466</t>
  </si>
  <si>
    <t>PURELY INSPIRED</t>
  </si>
  <si>
    <t>PI ORGANIC PROTEIN</t>
  </si>
  <si>
    <t>Purely Inspired Organic Protein Decadent Chocolate 1.5lbs US (RB)</t>
  </si>
  <si>
    <t>1.5lbs</t>
  </si>
  <si>
    <t>B000001138</t>
  </si>
  <si>
    <t>SKU0002213</t>
  </si>
  <si>
    <t>N000012467</t>
  </si>
  <si>
    <t>Purely Inspired Organic Protein French Vanilla 1.5lbs US (RB)</t>
  </si>
  <si>
    <t>B000000677</t>
  </si>
  <si>
    <t>SKU0000779</t>
  </si>
  <si>
    <t>N000005641</t>
  </si>
  <si>
    <t>PI ORGANIC GREENS</t>
  </si>
  <si>
    <t>Purely Inspired Organic Greens 24 servings Unflavored US (RB)</t>
  </si>
  <si>
    <t>24serv</t>
  </si>
  <si>
    <t>B000000919</t>
  </si>
  <si>
    <t>SKU0002176</t>
  </si>
  <si>
    <t>N000010694</t>
  </si>
  <si>
    <t>SIX STAR</t>
  </si>
  <si>
    <t>SS WHEY PROTEIN PLUS</t>
  </si>
  <si>
    <t>Six Star 100% Whey Protein Plus Strawberry Smoothie 1.8lbs US (RB)</t>
  </si>
  <si>
    <t>B000000928</t>
  </si>
  <si>
    <t>SKU0002177</t>
  </si>
  <si>
    <t>N000010692</t>
  </si>
  <si>
    <t>Six Star 100% Whey Protein Plus Vanilla Cream 1.8lbs US (RB)</t>
  </si>
  <si>
    <t>B000000897</t>
  </si>
  <si>
    <t>SKU0002175</t>
  </si>
  <si>
    <t>N000010693</t>
  </si>
  <si>
    <t>Six Star Elite Series 100% Whey Protein Plus Triple Chocolate 1.8lbs US</t>
  </si>
  <si>
    <t>B000001361</t>
  </si>
  <si>
    <t>SKU0002082</t>
  </si>
  <si>
    <t>N000011985</t>
  </si>
  <si>
    <t>SS PRE-WO EXPLOSION PWD</t>
  </si>
  <si>
    <t>Six Star Pre-Workout Explosion 30 servings Fruit Punch US</t>
  </si>
  <si>
    <t>B000000911</t>
  </si>
  <si>
    <t>SKU0002083</t>
  </si>
  <si>
    <t>N000011986</t>
  </si>
  <si>
    <t>Six Star Pre-Workout Explosion 30 servings Icy Rocket Freeze US</t>
  </si>
  <si>
    <t>B000001147</t>
  </si>
  <si>
    <t>SKU0001867</t>
  </si>
  <si>
    <t>N000010992</t>
  </si>
  <si>
    <t>Six Star Pre-Workout Explosion 30 servings Pink Lemonade US</t>
  </si>
  <si>
    <t>B000001115</t>
  </si>
  <si>
    <t>SSTE4-060-00-0-US</t>
  </si>
  <si>
    <t>N000001115</t>
  </si>
  <si>
    <t>SS TESTOSTERONE PILLS</t>
  </si>
  <si>
    <t>Six Star Elite Series Testosterone Booster 60ct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</si>
</sst>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₴_-;\-* #,##0.00\ _₴_-;_-* &quot;-&quot;??\ _₴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1" applyFont="1" applyBorder="1" applyAlignment="1" applyProtection="1">
      <alignment vertical="center" wrapText="1"/>
    </xf>
    <xf numFmtId="165" fontId="4" fillId="0" borderId="1" xfId="0" applyNumberFormat="1" applyFont="1" applyBorder="1" applyAlignment="1">
      <alignment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wrapText="1"/>
    </xf>
  </cellXfs>
  <cellStyles count="2">
    <cellStyle name="Грошовий" xfId="1" builtinId="4"/>
    <cellStyle name="Звичайни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="70" zoomScaleNormal="70" workbookViewId="0">
      <pane ySplit="1" topLeftCell="A2" activePane="bottomLeft" state="frozen"/>
      <selection pane="bottomLeft" activeCell="G3" sqref="G3"/>
    </sheetView>
  </sheetViews>
  <sheetFormatPr defaultColWidth="15.5546875" defaultRowHeight="14.4" x14ac:dyDescent="0.3"/>
  <cols>
    <col min="1" max="1" width="13.21875" style="10" customWidth="1"/>
    <col min="2" max="2" width="19.44140625" style="10" hidden="1" customWidth="1"/>
    <col min="3" max="3" width="12.6640625" style="10" hidden="1" customWidth="1"/>
    <col min="4" max="4" width="14.5546875" style="10" bestFit="1" customWidth="1"/>
    <col min="5" max="5" width="20.109375" style="10" bestFit="1" customWidth="1"/>
    <col min="6" max="6" width="15.77734375" style="10" bestFit="1" customWidth="1"/>
    <col min="7" max="7" width="34.6640625" style="10" customWidth="1"/>
    <col min="8" max="8" width="73.33203125" style="10" customWidth="1"/>
    <col min="9" max="9" width="10.88671875" style="10" customWidth="1"/>
    <col min="10" max="10" width="11.6640625" customWidth="1"/>
    <col min="11" max="11" width="15.88671875" style="10" customWidth="1"/>
    <col min="12" max="12" width="16.44140625" customWidth="1"/>
    <col min="13" max="16384" width="15.5546875" style="10"/>
  </cols>
  <sheetData>
    <row r="1" spans="1:14" s="4" customFormat="1" ht="28.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1" t="s">
        <v>9</v>
      </c>
      <c r="K1" s="2" t="s">
        <v>10</v>
      </c>
      <c r="L1" s="14" t="s">
        <v>11</v>
      </c>
      <c r="M1" s="13">
        <f>SUM(L2:L102)</f>
        <v>0</v>
      </c>
      <c r="N1" s="16">
        <v>44960</v>
      </c>
    </row>
    <row r="2" spans="1:14" s="4" customFormat="1" ht="27.75" customHeight="1" x14ac:dyDescent="0.3">
      <c r="A2" s="5" t="s">
        <v>12</v>
      </c>
      <c r="B2" s="5" t="s">
        <v>13</v>
      </c>
      <c r="C2" s="5" t="s">
        <v>14</v>
      </c>
      <c r="D2" s="6">
        <v>631656602524</v>
      </c>
      <c r="E2" s="7" t="s">
        <v>15</v>
      </c>
      <c r="F2" s="5" t="s">
        <v>16</v>
      </c>
      <c r="G2" s="5" t="s">
        <v>17</v>
      </c>
      <c r="H2" s="8" t="s">
        <v>18</v>
      </c>
      <c r="I2" s="7" t="s">
        <v>19</v>
      </c>
      <c r="J2" s="12">
        <v>13.788</v>
      </c>
      <c r="K2" s="1"/>
      <c r="L2" s="15">
        <f t="shared" ref="L2:L33" si="0">K2*J2</f>
        <v>0</v>
      </c>
      <c r="M2" s="9"/>
    </row>
    <row r="3" spans="1:14" s="4" customFormat="1" ht="27.75" customHeight="1" x14ac:dyDescent="0.3">
      <c r="A3" s="5" t="s">
        <v>20</v>
      </c>
      <c r="B3" s="5" t="s">
        <v>21</v>
      </c>
      <c r="C3" s="5" t="s">
        <v>22</v>
      </c>
      <c r="D3" s="6">
        <v>631656603200</v>
      </c>
      <c r="E3" s="7" t="s">
        <v>15</v>
      </c>
      <c r="F3" s="5" t="s">
        <v>16</v>
      </c>
      <c r="G3" s="5" t="s">
        <v>23</v>
      </c>
      <c r="H3" s="8" t="s">
        <v>24</v>
      </c>
      <c r="I3" s="7" t="s">
        <v>19</v>
      </c>
      <c r="J3" s="12">
        <v>12.587999999999999</v>
      </c>
      <c r="K3" s="1"/>
      <c r="L3" s="15">
        <f t="shared" si="0"/>
        <v>0</v>
      </c>
      <c r="M3" s="9"/>
    </row>
    <row r="4" spans="1:14" s="4" customFormat="1" ht="27.75" customHeight="1" x14ac:dyDescent="0.3">
      <c r="A4" s="5" t="s">
        <v>25</v>
      </c>
      <c r="B4" s="5" t="s">
        <v>26</v>
      </c>
      <c r="C4" s="5" t="s">
        <v>27</v>
      </c>
      <c r="D4" s="6">
        <v>631656608847</v>
      </c>
      <c r="E4" s="7" t="s">
        <v>15</v>
      </c>
      <c r="F4" s="5" t="s">
        <v>16</v>
      </c>
      <c r="G4" s="5" t="s">
        <v>28</v>
      </c>
      <c r="H4" s="8" t="s">
        <v>29</v>
      </c>
      <c r="I4" s="7" t="s">
        <v>30</v>
      </c>
      <c r="J4" s="12">
        <v>12.587999999999999</v>
      </c>
      <c r="K4" s="1"/>
      <c r="L4" s="15">
        <f t="shared" si="0"/>
        <v>0</v>
      </c>
      <c r="M4" s="9"/>
    </row>
    <row r="5" spans="1:14" s="4" customFormat="1" ht="27.75" customHeight="1" x14ac:dyDescent="0.3">
      <c r="A5" s="5" t="s">
        <v>31</v>
      </c>
      <c r="B5" s="5" t="s">
        <v>32</v>
      </c>
      <c r="C5" s="5" t="s">
        <v>33</v>
      </c>
      <c r="D5" s="6">
        <v>631656714838</v>
      </c>
      <c r="E5" s="7" t="s">
        <v>34</v>
      </c>
      <c r="F5" s="5" t="s">
        <v>35</v>
      </c>
      <c r="G5" s="5" t="s">
        <v>36</v>
      </c>
      <c r="H5" s="8" t="s">
        <v>37</v>
      </c>
      <c r="I5" s="7" t="s">
        <v>38</v>
      </c>
      <c r="J5" s="12">
        <v>25.787999999999997</v>
      </c>
      <c r="K5" s="1"/>
      <c r="L5" s="15">
        <f t="shared" si="0"/>
        <v>0</v>
      </c>
      <c r="M5" s="9"/>
    </row>
    <row r="6" spans="1:14" s="4" customFormat="1" ht="27.75" customHeight="1" x14ac:dyDescent="0.3">
      <c r="A6" s="5" t="s">
        <v>39</v>
      </c>
      <c r="B6" s="5" t="s">
        <v>40</v>
      </c>
      <c r="C6" s="5" t="s">
        <v>41</v>
      </c>
      <c r="D6" s="6">
        <v>631656714821</v>
      </c>
      <c r="E6" s="7" t="s">
        <v>34</v>
      </c>
      <c r="F6" s="5" t="s">
        <v>35</v>
      </c>
      <c r="G6" s="5" t="s">
        <v>36</v>
      </c>
      <c r="H6" s="8" t="s">
        <v>42</v>
      </c>
      <c r="I6" s="7" t="s">
        <v>38</v>
      </c>
      <c r="J6" s="12">
        <v>25.787999999999997</v>
      </c>
      <c r="K6" s="1"/>
      <c r="L6" s="15">
        <f t="shared" si="0"/>
        <v>0</v>
      </c>
      <c r="M6" s="9"/>
    </row>
    <row r="7" spans="1:14" s="4" customFormat="1" ht="27.75" customHeight="1" x14ac:dyDescent="0.3">
      <c r="A7" s="5" t="s">
        <v>43</v>
      </c>
      <c r="B7" s="5" t="s">
        <v>44</v>
      </c>
      <c r="C7" s="5" t="s">
        <v>45</v>
      </c>
      <c r="D7" s="6">
        <v>631656714845</v>
      </c>
      <c r="E7" s="7" t="s">
        <v>34</v>
      </c>
      <c r="F7" s="5" t="s">
        <v>35</v>
      </c>
      <c r="G7" s="5" t="s">
        <v>36</v>
      </c>
      <c r="H7" s="8" t="s">
        <v>46</v>
      </c>
      <c r="I7" s="7" t="s">
        <v>38</v>
      </c>
      <c r="J7" s="12">
        <v>25.787999999999997</v>
      </c>
      <c r="K7" s="1"/>
      <c r="L7" s="15">
        <f t="shared" si="0"/>
        <v>0</v>
      </c>
      <c r="M7" s="9"/>
    </row>
    <row r="8" spans="1:14" s="4" customFormat="1" ht="27.75" customHeight="1" x14ac:dyDescent="0.3">
      <c r="A8" s="5" t="s">
        <v>47</v>
      </c>
      <c r="B8" s="5" t="s">
        <v>48</v>
      </c>
      <c r="C8" s="5" t="s">
        <v>49</v>
      </c>
      <c r="D8" s="6">
        <v>631656715972</v>
      </c>
      <c r="E8" s="7" t="s">
        <v>34</v>
      </c>
      <c r="F8" s="5" t="s">
        <v>35</v>
      </c>
      <c r="G8" s="5" t="s">
        <v>50</v>
      </c>
      <c r="H8" s="8" t="s">
        <v>51</v>
      </c>
      <c r="I8" s="7" t="s">
        <v>52</v>
      </c>
      <c r="J8" s="12">
        <v>23.387999999999998</v>
      </c>
      <c r="K8" s="1"/>
      <c r="L8" s="15">
        <f t="shared" si="0"/>
        <v>0</v>
      </c>
      <c r="M8" s="9"/>
    </row>
    <row r="9" spans="1:14" s="4" customFormat="1" ht="27.75" customHeight="1" x14ac:dyDescent="0.3">
      <c r="A9" s="5" t="s">
        <v>53</v>
      </c>
      <c r="B9" s="5" t="s">
        <v>54</v>
      </c>
      <c r="C9" s="5" t="s">
        <v>55</v>
      </c>
      <c r="D9" s="6">
        <v>631656715965</v>
      </c>
      <c r="E9" s="7" t="s">
        <v>34</v>
      </c>
      <c r="F9" s="5" t="s">
        <v>35</v>
      </c>
      <c r="G9" s="5" t="s">
        <v>50</v>
      </c>
      <c r="H9" s="8" t="s">
        <v>56</v>
      </c>
      <c r="I9" s="7" t="s">
        <v>52</v>
      </c>
      <c r="J9" s="12">
        <v>23.387999999999998</v>
      </c>
      <c r="K9" s="1"/>
      <c r="L9" s="15">
        <f t="shared" si="0"/>
        <v>0</v>
      </c>
      <c r="M9" s="9"/>
    </row>
    <row r="10" spans="1:14" s="4" customFormat="1" ht="27.75" customHeight="1" x14ac:dyDescent="0.3">
      <c r="A10" s="5" t="s">
        <v>57</v>
      </c>
      <c r="B10" s="5" t="s">
        <v>58</v>
      </c>
      <c r="C10" s="5" t="s">
        <v>59</v>
      </c>
      <c r="D10" s="6">
        <v>631656603361</v>
      </c>
      <c r="E10" s="7" t="s">
        <v>15</v>
      </c>
      <c r="F10" s="5" t="s">
        <v>35</v>
      </c>
      <c r="G10" s="5" t="s">
        <v>60</v>
      </c>
      <c r="H10" s="8" t="s">
        <v>61</v>
      </c>
      <c r="I10" s="7" t="s">
        <v>62</v>
      </c>
      <c r="J10" s="12">
        <v>15.6</v>
      </c>
      <c r="K10" s="1"/>
      <c r="L10" s="15">
        <f t="shared" si="0"/>
        <v>0</v>
      </c>
      <c r="M10" s="9"/>
    </row>
    <row r="11" spans="1:14" s="4" customFormat="1" ht="27.75" customHeight="1" x14ac:dyDescent="0.3">
      <c r="A11" s="5" t="s">
        <v>63</v>
      </c>
      <c r="B11" s="5" t="s">
        <v>64</v>
      </c>
      <c r="C11" s="5" t="s">
        <v>65</v>
      </c>
      <c r="D11" s="6">
        <v>631656604481</v>
      </c>
      <c r="E11" s="7" t="s">
        <v>66</v>
      </c>
      <c r="F11" s="5" t="s">
        <v>35</v>
      </c>
      <c r="G11" s="5" t="s">
        <v>67</v>
      </c>
      <c r="H11" s="8" t="s">
        <v>68</v>
      </c>
      <c r="I11" s="7" t="s">
        <v>62</v>
      </c>
      <c r="J11" s="12">
        <v>8.4</v>
      </c>
      <c r="K11" s="1"/>
      <c r="L11" s="15">
        <f t="shared" si="0"/>
        <v>0</v>
      </c>
      <c r="M11" s="9"/>
    </row>
    <row r="12" spans="1:14" s="4" customFormat="1" ht="27.75" customHeight="1" x14ac:dyDescent="0.3">
      <c r="A12" s="5" t="s">
        <v>69</v>
      </c>
      <c r="B12" s="5" t="s">
        <v>70</v>
      </c>
      <c r="C12" s="5" t="s">
        <v>71</v>
      </c>
      <c r="D12" s="6">
        <v>631656709612</v>
      </c>
      <c r="E12" s="7" t="s">
        <v>34</v>
      </c>
      <c r="F12" s="5" t="s">
        <v>35</v>
      </c>
      <c r="G12" s="5" t="s">
        <v>72</v>
      </c>
      <c r="H12" s="8" t="s">
        <v>73</v>
      </c>
      <c r="I12" s="7" t="s">
        <v>74</v>
      </c>
      <c r="J12" s="12">
        <v>95.387999999999991</v>
      </c>
      <c r="K12" s="1"/>
      <c r="L12" s="15">
        <f t="shared" si="0"/>
        <v>0</v>
      </c>
      <c r="M12" s="9"/>
    </row>
    <row r="13" spans="1:14" s="4" customFormat="1" ht="27.75" customHeight="1" x14ac:dyDescent="0.3">
      <c r="A13" s="5" t="s">
        <v>75</v>
      </c>
      <c r="B13" s="5" t="s">
        <v>76</v>
      </c>
      <c r="C13" s="5" t="s">
        <v>77</v>
      </c>
      <c r="D13" s="6">
        <v>631656709629</v>
      </c>
      <c r="E13" s="7" t="s">
        <v>34</v>
      </c>
      <c r="F13" s="5" t="s">
        <v>35</v>
      </c>
      <c r="G13" s="5" t="s">
        <v>72</v>
      </c>
      <c r="H13" s="8" t="s">
        <v>78</v>
      </c>
      <c r="I13" s="7" t="s">
        <v>74</v>
      </c>
      <c r="J13" s="12">
        <v>95.387999999999991</v>
      </c>
      <c r="K13" s="1"/>
      <c r="L13" s="15">
        <f t="shared" si="0"/>
        <v>0</v>
      </c>
      <c r="M13" s="9"/>
    </row>
    <row r="14" spans="1:14" s="4" customFormat="1" ht="27.75" customHeight="1" x14ac:dyDescent="0.3">
      <c r="A14" s="5" t="s">
        <v>79</v>
      </c>
      <c r="B14" s="5" t="s">
        <v>80</v>
      </c>
      <c r="C14" s="5" t="s">
        <v>81</v>
      </c>
      <c r="D14" s="6">
        <v>631656202052</v>
      </c>
      <c r="E14" s="7" t="s">
        <v>15</v>
      </c>
      <c r="F14" s="5" t="s">
        <v>35</v>
      </c>
      <c r="G14" s="5" t="s">
        <v>82</v>
      </c>
      <c r="H14" s="8" t="s">
        <v>83</v>
      </c>
      <c r="I14" s="7" t="s">
        <v>84</v>
      </c>
      <c r="J14" s="12">
        <v>15.6</v>
      </c>
      <c r="K14" s="1"/>
      <c r="L14" s="15">
        <f t="shared" si="0"/>
        <v>0</v>
      </c>
      <c r="M14" s="9"/>
    </row>
    <row r="15" spans="1:14" s="4" customFormat="1" ht="27.75" customHeight="1" x14ac:dyDescent="0.3">
      <c r="A15" s="5" t="s">
        <v>85</v>
      </c>
      <c r="B15" s="5" t="s">
        <v>86</v>
      </c>
      <c r="C15" s="5" t="s">
        <v>87</v>
      </c>
      <c r="D15" s="6">
        <v>631656606768</v>
      </c>
      <c r="E15" s="7" t="s">
        <v>88</v>
      </c>
      <c r="F15" s="5" t="s">
        <v>35</v>
      </c>
      <c r="G15" s="5" t="s">
        <v>89</v>
      </c>
      <c r="H15" s="8" t="s">
        <v>90</v>
      </c>
      <c r="I15" s="7" t="s">
        <v>91</v>
      </c>
      <c r="J15" s="12">
        <v>19.920000000000002</v>
      </c>
      <c r="K15" s="1"/>
      <c r="L15" s="15">
        <f t="shared" si="0"/>
        <v>0</v>
      </c>
      <c r="M15" s="9"/>
    </row>
    <row r="16" spans="1:14" s="4" customFormat="1" ht="27.75" customHeight="1" x14ac:dyDescent="0.3">
      <c r="A16" s="5" t="s">
        <v>92</v>
      </c>
      <c r="B16" s="5" t="s">
        <v>93</v>
      </c>
      <c r="C16" s="5" t="s">
        <v>94</v>
      </c>
      <c r="D16" s="6">
        <v>631656610147</v>
      </c>
      <c r="E16" s="7" t="s">
        <v>15</v>
      </c>
      <c r="F16" s="5" t="s">
        <v>35</v>
      </c>
      <c r="G16" s="5" t="s">
        <v>95</v>
      </c>
      <c r="H16" s="8" t="s">
        <v>96</v>
      </c>
      <c r="I16" s="7" t="s">
        <v>91</v>
      </c>
      <c r="J16" s="12">
        <v>19.788</v>
      </c>
      <c r="K16" s="1"/>
      <c r="L16" s="15">
        <f t="shared" si="0"/>
        <v>0</v>
      </c>
      <c r="M16" s="9"/>
    </row>
    <row r="17" spans="1:13" s="4" customFormat="1" ht="27.75" customHeight="1" x14ac:dyDescent="0.3">
      <c r="A17" s="5" t="s">
        <v>97</v>
      </c>
      <c r="B17" s="5" t="s">
        <v>98</v>
      </c>
      <c r="C17" s="5" t="s">
        <v>99</v>
      </c>
      <c r="D17" s="6">
        <v>631656610130</v>
      </c>
      <c r="E17" s="7" t="s">
        <v>88</v>
      </c>
      <c r="F17" s="5" t="s">
        <v>35</v>
      </c>
      <c r="G17" s="5" t="s">
        <v>100</v>
      </c>
      <c r="H17" s="8" t="s">
        <v>101</v>
      </c>
      <c r="I17" s="7" t="s">
        <v>91</v>
      </c>
      <c r="J17" s="12">
        <v>22.187999999999999</v>
      </c>
      <c r="K17" s="1"/>
      <c r="L17" s="15">
        <f t="shared" si="0"/>
        <v>0</v>
      </c>
      <c r="M17" s="9"/>
    </row>
    <row r="18" spans="1:13" s="4" customFormat="1" ht="27.75" customHeight="1" x14ac:dyDescent="0.3">
      <c r="A18" s="5" t="s">
        <v>102</v>
      </c>
      <c r="B18" s="5" t="s">
        <v>103</v>
      </c>
      <c r="C18" s="5" t="s">
        <v>104</v>
      </c>
      <c r="D18" s="6">
        <v>631656708790</v>
      </c>
      <c r="E18" s="7" t="s">
        <v>105</v>
      </c>
      <c r="F18" s="5" t="s">
        <v>35</v>
      </c>
      <c r="G18" s="5" t="s">
        <v>106</v>
      </c>
      <c r="H18" s="8" t="s">
        <v>107</v>
      </c>
      <c r="I18" s="7" t="s">
        <v>108</v>
      </c>
      <c r="J18" s="12">
        <v>15.611999999999998</v>
      </c>
      <c r="K18" s="1"/>
      <c r="L18" s="15">
        <f t="shared" si="0"/>
        <v>0</v>
      </c>
      <c r="M18" s="9"/>
    </row>
    <row r="19" spans="1:13" s="4" customFormat="1" ht="27.75" customHeight="1" x14ac:dyDescent="0.3">
      <c r="A19" s="5" t="s">
        <v>109</v>
      </c>
      <c r="B19" s="5" t="s">
        <v>110</v>
      </c>
      <c r="C19" s="5" t="s">
        <v>111</v>
      </c>
      <c r="D19" s="6">
        <v>631656708172</v>
      </c>
      <c r="E19" s="7" t="s">
        <v>105</v>
      </c>
      <c r="F19" s="5" t="s">
        <v>35</v>
      </c>
      <c r="G19" s="5" t="s">
        <v>106</v>
      </c>
      <c r="H19" s="8" t="s">
        <v>112</v>
      </c>
      <c r="I19" s="7" t="s">
        <v>108</v>
      </c>
      <c r="J19" s="12">
        <v>15.611999999999998</v>
      </c>
      <c r="K19" s="1"/>
      <c r="L19" s="15">
        <f t="shared" si="0"/>
        <v>0</v>
      </c>
      <c r="M19" s="9"/>
    </row>
    <row r="20" spans="1:13" s="4" customFormat="1" ht="27.75" customHeight="1" x14ac:dyDescent="0.3">
      <c r="A20" s="5" t="s">
        <v>113</v>
      </c>
      <c r="B20" s="5" t="s">
        <v>114</v>
      </c>
      <c r="C20" s="5" t="s">
        <v>115</v>
      </c>
      <c r="D20" s="6">
        <v>631656609394</v>
      </c>
      <c r="E20" s="7" t="s">
        <v>116</v>
      </c>
      <c r="F20" s="5" t="s">
        <v>35</v>
      </c>
      <c r="G20" s="5" t="s">
        <v>117</v>
      </c>
      <c r="H20" s="8" t="s">
        <v>118</v>
      </c>
      <c r="I20" s="7" t="s">
        <v>119</v>
      </c>
      <c r="J20" s="12">
        <v>6.5880000000000001</v>
      </c>
      <c r="K20" s="1"/>
      <c r="L20" s="15">
        <f t="shared" si="0"/>
        <v>0</v>
      </c>
      <c r="M20" s="9"/>
    </row>
    <row r="21" spans="1:13" s="4" customFormat="1" ht="27.75" customHeight="1" x14ac:dyDescent="0.3">
      <c r="A21" s="5" t="s">
        <v>120</v>
      </c>
      <c r="B21" s="5" t="s">
        <v>121</v>
      </c>
      <c r="C21" s="5" t="s">
        <v>122</v>
      </c>
      <c r="D21" s="6">
        <v>631656259940</v>
      </c>
      <c r="E21" s="7" t="s">
        <v>34</v>
      </c>
      <c r="F21" s="5" t="s">
        <v>35</v>
      </c>
      <c r="G21" s="5" t="s">
        <v>123</v>
      </c>
      <c r="H21" s="8" t="s">
        <v>124</v>
      </c>
      <c r="I21" s="7" t="s">
        <v>125</v>
      </c>
      <c r="J21" s="12">
        <v>48.588000000000001</v>
      </c>
      <c r="K21" s="1"/>
      <c r="L21" s="15">
        <f t="shared" si="0"/>
        <v>0</v>
      </c>
      <c r="M21" s="9"/>
    </row>
    <row r="22" spans="1:13" s="4" customFormat="1" ht="27.75" customHeight="1" x14ac:dyDescent="0.3">
      <c r="A22" s="5" t="s">
        <v>126</v>
      </c>
      <c r="B22" s="5" t="s">
        <v>127</v>
      </c>
      <c r="C22" s="5" t="s">
        <v>128</v>
      </c>
      <c r="D22" s="6">
        <v>631656259957</v>
      </c>
      <c r="E22" s="7" t="s">
        <v>34</v>
      </c>
      <c r="F22" s="5" t="s">
        <v>35</v>
      </c>
      <c r="G22" s="5" t="s">
        <v>123</v>
      </c>
      <c r="H22" s="8" t="s">
        <v>129</v>
      </c>
      <c r="I22" s="7" t="s">
        <v>125</v>
      </c>
      <c r="J22" s="12">
        <v>48.588000000000001</v>
      </c>
      <c r="K22" s="1"/>
      <c r="L22" s="15">
        <f t="shared" si="0"/>
        <v>0</v>
      </c>
      <c r="M22" s="9"/>
    </row>
    <row r="23" spans="1:13" s="4" customFormat="1" ht="27.75" customHeight="1" x14ac:dyDescent="0.3">
      <c r="A23" s="5" t="s">
        <v>130</v>
      </c>
      <c r="B23" s="5" t="s">
        <v>131</v>
      </c>
      <c r="C23" s="5" t="s">
        <v>132</v>
      </c>
      <c r="D23" s="6">
        <v>631656607550</v>
      </c>
      <c r="E23" s="7" t="s">
        <v>88</v>
      </c>
      <c r="F23" s="5" t="s">
        <v>35</v>
      </c>
      <c r="G23" s="5" t="s">
        <v>133</v>
      </c>
      <c r="H23" s="8" t="s">
        <v>134</v>
      </c>
      <c r="I23" s="7" t="s">
        <v>135</v>
      </c>
      <c r="J23" s="12">
        <v>32.988</v>
      </c>
      <c r="K23" s="1"/>
      <c r="L23" s="15">
        <f t="shared" si="0"/>
        <v>0</v>
      </c>
      <c r="M23" s="9"/>
    </row>
    <row r="24" spans="1:13" s="4" customFormat="1" ht="27.75" customHeight="1" x14ac:dyDescent="0.3">
      <c r="A24" s="5" t="s">
        <v>136</v>
      </c>
      <c r="B24" s="5" t="s">
        <v>137</v>
      </c>
      <c r="C24" s="5" t="s">
        <v>138</v>
      </c>
      <c r="D24" s="6">
        <v>631656703276</v>
      </c>
      <c r="E24" s="7" t="s">
        <v>34</v>
      </c>
      <c r="F24" s="5" t="s">
        <v>35</v>
      </c>
      <c r="G24" s="5" t="s">
        <v>139</v>
      </c>
      <c r="H24" s="8" t="s">
        <v>140</v>
      </c>
      <c r="I24" s="7" t="s">
        <v>141</v>
      </c>
      <c r="J24" s="12">
        <v>24.587999999999997</v>
      </c>
      <c r="K24" s="1"/>
      <c r="L24" s="15">
        <f t="shared" si="0"/>
        <v>0</v>
      </c>
      <c r="M24" s="9"/>
    </row>
    <row r="25" spans="1:13" s="4" customFormat="1" ht="27.75" customHeight="1" x14ac:dyDescent="0.3">
      <c r="A25" s="5" t="s">
        <v>142</v>
      </c>
      <c r="B25" s="5" t="s">
        <v>143</v>
      </c>
      <c r="C25" s="5" t="s">
        <v>144</v>
      </c>
      <c r="D25" s="6">
        <v>631656703245</v>
      </c>
      <c r="E25" s="7" t="s">
        <v>34</v>
      </c>
      <c r="F25" s="5" t="s">
        <v>35</v>
      </c>
      <c r="G25" s="5" t="s">
        <v>72</v>
      </c>
      <c r="H25" s="8" t="s">
        <v>145</v>
      </c>
      <c r="I25" s="7" t="s">
        <v>141</v>
      </c>
      <c r="J25" s="12">
        <v>24.587999999999997</v>
      </c>
      <c r="K25" s="1"/>
      <c r="L25" s="15">
        <f t="shared" si="0"/>
        <v>0</v>
      </c>
      <c r="M25" s="9"/>
    </row>
    <row r="26" spans="1:13" s="4" customFormat="1" ht="27.75" customHeight="1" x14ac:dyDescent="0.3">
      <c r="A26" s="5" t="s">
        <v>146</v>
      </c>
      <c r="B26" s="5" t="s">
        <v>147</v>
      </c>
      <c r="C26" s="5" t="s">
        <v>148</v>
      </c>
      <c r="D26" s="6">
        <v>631656703269</v>
      </c>
      <c r="E26" s="7" t="s">
        <v>34</v>
      </c>
      <c r="F26" s="5" t="s">
        <v>35</v>
      </c>
      <c r="G26" s="5" t="s">
        <v>139</v>
      </c>
      <c r="H26" s="8" t="s">
        <v>149</v>
      </c>
      <c r="I26" s="7" t="s">
        <v>141</v>
      </c>
      <c r="J26" s="12">
        <v>24.587999999999997</v>
      </c>
      <c r="K26" s="1"/>
      <c r="L26" s="15">
        <f t="shared" si="0"/>
        <v>0</v>
      </c>
      <c r="M26" s="9"/>
    </row>
    <row r="27" spans="1:13" s="4" customFormat="1" ht="27.75" customHeight="1" x14ac:dyDescent="0.3">
      <c r="A27" s="5" t="s">
        <v>150</v>
      </c>
      <c r="B27" s="5" t="s">
        <v>151</v>
      </c>
      <c r="C27" s="5" t="s">
        <v>152</v>
      </c>
      <c r="D27" s="6">
        <v>631656703252</v>
      </c>
      <c r="E27" s="7" t="s">
        <v>34</v>
      </c>
      <c r="F27" s="5" t="s">
        <v>35</v>
      </c>
      <c r="G27" s="5" t="s">
        <v>139</v>
      </c>
      <c r="H27" s="8" t="s">
        <v>153</v>
      </c>
      <c r="I27" s="7" t="s">
        <v>141</v>
      </c>
      <c r="J27" s="12">
        <v>24.587999999999997</v>
      </c>
      <c r="K27" s="1"/>
      <c r="L27" s="15">
        <f t="shared" si="0"/>
        <v>0</v>
      </c>
      <c r="M27" s="9"/>
    </row>
    <row r="28" spans="1:13" s="4" customFormat="1" ht="27.75" customHeight="1" x14ac:dyDescent="0.3">
      <c r="A28" s="5" t="s">
        <v>154</v>
      </c>
      <c r="B28" s="5" t="s">
        <v>155</v>
      </c>
      <c r="C28" s="5" t="s">
        <v>156</v>
      </c>
      <c r="D28" s="6">
        <v>631656716986</v>
      </c>
      <c r="E28" s="7" t="s">
        <v>157</v>
      </c>
      <c r="F28" s="5" t="s">
        <v>35</v>
      </c>
      <c r="G28" s="5" t="s">
        <v>123</v>
      </c>
      <c r="H28" s="8" t="s">
        <v>158</v>
      </c>
      <c r="I28" s="7" t="s">
        <v>159</v>
      </c>
      <c r="J28" s="12">
        <v>79.787999999999997</v>
      </c>
      <c r="K28" s="1"/>
      <c r="L28" s="15">
        <f t="shared" si="0"/>
        <v>0</v>
      </c>
      <c r="M28" s="9"/>
    </row>
    <row r="29" spans="1:13" s="4" customFormat="1" ht="27.75" customHeight="1" x14ac:dyDescent="0.3">
      <c r="A29" s="5" t="s">
        <v>160</v>
      </c>
      <c r="B29" s="5" t="s">
        <v>161</v>
      </c>
      <c r="C29" s="5" t="s">
        <v>162</v>
      </c>
      <c r="D29" s="6">
        <v>631656716993</v>
      </c>
      <c r="E29" s="7" t="s">
        <v>157</v>
      </c>
      <c r="F29" s="5" t="s">
        <v>35</v>
      </c>
      <c r="G29" s="5" t="s">
        <v>123</v>
      </c>
      <c r="H29" s="8" t="s">
        <v>163</v>
      </c>
      <c r="I29" s="7" t="s">
        <v>159</v>
      </c>
      <c r="J29" s="12">
        <v>79.787999999999997</v>
      </c>
      <c r="K29" s="1"/>
      <c r="L29" s="15">
        <f t="shared" si="0"/>
        <v>0</v>
      </c>
      <c r="M29" s="9"/>
    </row>
    <row r="30" spans="1:13" s="4" customFormat="1" ht="27.75" customHeight="1" x14ac:dyDescent="0.3">
      <c r="A30" s="5" t="s">
        <v>164</v>
      </c>
      <c r="B30" s="5" t="s">
        <v>165</v>
      </c>
      <c r="C30" s="5" t="s">
        <v>166</v>
      </c>
      <c r="D30" s="6">
        <v>631656715644</v>
      </c>
      <c r="E30" s="7" t="s">
        <v>105</v>
      </c>
      <c r="F30" s="5" t="s">
        <v>35</v>
      </c>
      <c r="G30" s="5" t="s">
        <v>167</v>
      </c>
      <c r="H30" s="8" t="s">
        <v>168</v>
      </c>
      <c r="I30" s="7" t="s">
        <v>169</v>
      </c>
      <c r="J30" s="12">
        <v>24.587999999999997</v>
      </c>
      <c r="K30" s="1"/>
      <c r="L30" s="15">
        <f t="shared" si="0"/>
        <v>0</v>
      </c>
      <c r="M30" s="9"/>
    </row>
    <row r="31" spans="1:13" s="4" customFormat="1" ht="27.75" customHeight="1" x14ac:dyDescent="0.3">
      <c r="A31" s="5" t="s">
        <v>170</v>
      </c>
      <c r="B31" s="5" t="s">
        <v>171</v>
      </c>
      <c r="C31" s="5" t="s">
        <v>172</v>
      </c>
      <c r="D31" s="6">
        <v>631656715545</v>
      </c>
      <c r="E31" s="7" t="s">
        <v>105</v>
      </c>
      <c r="F31" s="5" t="s">
        <v>35</v>
      </c>
      <c r="G31" s="5" t="s">
        <v>167</v>
      </c>
      <c r="H31" s="8" t="s">
        <v>173</v>
      </c>
      <c r="I31" s="7" t="s">
        <v>169</v>
      </c>
      <c r="J31" s="12">
        <v>24.587999999999997</v>
      </c>
      <c r="K31" s="1"/>
      <c r="L31" s="15">
        <f t="shared" si="0"/>
        <v>0</v>
      </c>
      <c r="M31" s="9"/>
    </row>
    <row r="32" spans="1:13" s="4" customFormat="1" ht="27.75" customHeight="1" x14ac:dyDescent="0.3">
      <c r="A32" s="5" t="s">
        <v>174</v>
      </c>
      <c r="B32" s="5" t="s">
        <v>175</v>
      </c>
      <c r="C32" s="5" t="s">
        <v>176</v>
      </c>
      <c r="D32" s="6">
        <v>631656715699</v>
      </c>
      <c r="E32" s="7" t="s">
        <v>116</v>
      </c>
      <c r="F32" s="5" t="s">
        <v>35</v>
      </c>
      <c r="G32" s="5" t="s">
        <v>177</v>
      </c>
      <c r="H32" s="8" t="s">
        <v>178</v>
      </c>
      <c r="I32" s="7" t="s">
        <v>169</v>
      </c>
      <c r="J32" s="12">
        <v>20.987999999999996</v>
      </c>
      <c r="K32" s="1"/>
      <c r="L32" s="15">
        <f t="shared" si="0"/>
        <v>0</v>
      </c>
      <c r="M32" s="9"/>
    </row>
    <row r="33" spans="1:13" s="4" customFormat="1" ht="27.75" customHeight="1" x14ac:dyDescent="0.3">
      <c r="A33" s="5" t="s">
        <v>179</v>
      </c>
      <c r="B33" s="5" t="s">
        <v>180</v>
      </c>
      <c r="C33" s="5" t="s">
        <v>181</v>
      </c>
      <c r="D33" s="6">
        <v>631656715682</v>
      </c>
      <c r="E33" s="7" t="s">
        <v>116</v>
      </c>
      <c r="F33" s="5" t="s">
        <v>35</v>
      </c>
      <c r="G33" s="5" t="s">
        <v>177</v>
      </c>
      <c r="H33" s="8" t="s">
        <v>182</v>
      </c>
      <c r="I33" s="7" t="s">
        <v>169</v>
      </c>
      <c r="J33" s="12">
        <v>20.987999999999996</v>
      </c>
      <c r="K33" s="1"/>
      <c r="L33" s="15">
        <f t="shared" si="0"/>
        <v>0</v>
      </c>
      <c r="M33" s="9"/>
    </row>
    <row r="34" spans="1:13" s="4" customFormat="1" ht="27.75" customHeight="1" x14ac:dyDescent="0.3">
      <c r="A34" s="5" t="s">
        <v>183</v>
      </c>
      <c r="B34" s="5" t="s">
        <v>184</v>
      </c>
      <c r="C34" s="5" t="s">
        <v>185</v>
      </c>
      <c r="D34" s="6">
        <v>631656715538</v>
      </c>
      <c r="E34" s="7" t="s">
        <v>116</v>
      </c>
      <c r="F34" s="5" t="s">
        <v>35</v>
      </c>
      <c r="G34" s="5" t="s">
        <v>186</v>
      </c>
      <c r="H34" s="8" t="s">
        <v>187</v>
      </c>
      <c r="I34" s="7" t="s">
        <v>188</v>
      </c>
      <c r="J34" s="12">
        <v>26.987999999999996</v>
      </c>
      <c r="K34" s="1"/>
      <c r="L34" s="15">
        <f t="shared" ref="L34:L65" si="1">K34*J34</f>
        <v>0</v>
      </c>
      <c r="M34" s="9"/>
    </row>
    <row r="35" spans="1:13" s="4" customFormat="1" ht="27.75" customHeight="1" x14ac:dyDescent="0.3">
      <c r="A35" s="5" t="s">
        <v>189</v>
      </c>
      <c r="B35" s="5" t="s">
        <v>190</v>
      </c>
      <c r="C35" s="5" t="s">
        <v>191</v>
      </c>
      <c r="D35" s="6">
        <v>631656715668</v>
      </c>
      <c r="E35" s="7" t="s">
        <v>116</v>
      </c>
      <c r="F35" s="5" t="s">
        <v>35</v>
      </c>
      <c r="G35" s="5" t="s">
        <v>186</v>
      </c>
      <c r="H35" s="8" t="s">
        <v>192</v>
      </c>
      <c r="I35" s="7" t="s">
        <v>188</v>
      </c>
      <c r="J35" s="12">
        <v>26.987999999999996</v>
      </c>
      <c r="K35" s="1"/>
      <c r="L35" s="15">
        <f t="shared" si="1"/>
        <v>0</v>
      </c>
      <c r="M35" s="9"/>
    </row>
    <row r="36" spans="1:13" s="4" customFormat="1" ht="27.75" customHeight="1" x14ac:dyDescent="0.3">
      <c r="A36" s="5" t="s">
        <v>193</v>
      </c>
      <c r="B36" s="5" t="s">
        <v>194</v>
      </c>
      <c r="C36" s="5" t="s">
        <v>195</v>
      </c>
      <c r="D36" s="6">
        <v>631656715675</v>
      </c>
      <c r="E36" s="7" t="s">
        <v>116</v>
      </c>
      <c r="F36" s="5" t="s">
        <v>35</v>
      </c>
      <c r="G36" s="5" t="s">
        <v>186</v>
      </c>
      <c r="H36" s="8" t="s">
        <v>196</v>
      </c>
      <c r="I36" s="7" t="s">
        <v>188</v>
      </c>
      <c r="J36" s="12">
        <v>26.987999999999996</v>
      </c>
      <c r="K36" s="1"/>
      <c r="L36" s="15">
        <f t="shared" si="1"/>
        <v>0</v>
      </c>
      <c r="M36" s="9"/>
    </row>
    <row r="37" spans="1:13" s="4" customFormat="1" ht="27.75" customHeight="1" x14ac:dyDescent="0.3">
      <c r="A37" s="5" t="s">
        <v>197</v>
      </c>
      <c r="B37" s="5" t="s">
        <v>198</v>
      </c>
      <c r="C37" s="5" t="s">
        <v>199</v>
      </c>
      <c r="D37" s="6">
        <v>631656710441</v>
      </c>
      <c r="E37" s="7" t="s">
        <v>34</v>
      </c>
      <c r="F37" s="5" t="s">
        <v>35</v>
      </c>
      <c r="G37" s="5" t="s">
        <v>200</v>
      </c>
      <c r="H37" s="8" t="s">
        <v>201</v>
      </c>
      <c r="I37" s="7" t="s">
        <v>202</v>
      </c>
      <c r="J37" s="12">
        <v>27.276</v>
      </c>
      <c r="K37" s="1"/>
      <c r="L37" s="15">
        <f t="shared" si="1"/>
        <v>0</v>
      </c>
      <c r="M37" s="9"/>
    </row>
    <row r="38" spans="1:13" s="4" customFormat="1" ht="27.75" customHeight="1" x14ac:dyDescent="0.3">
      <c r="A38" s="5" t="s">
        <v>203</v>
      </c>
      <c r="B38" s="5" t="s">
        <v>204</v>
      </c>
      <c r="C38" s="5" t="s">
        <v>205</v>
      </c>
      <c r="D38" s="6">
        <v>631656710458</v>
      </c>
      <c r="E38" s="7" t="s">
        <v>34</v>
      </c>
      <c r="F38" s="5" t="s">
        <v>35</v>
      </c>
      <c r="G38" s="5" t="s">
        <v>200</v>
      </c>
      <c r="H38" s="8" t="s">
        <v>206</v>
      </c>
      <c r="I38" s="7" t="s">
        <v>202</v>
      </c>
      <c r="J38" s="12">
        <v>27.276</v>
      </c>
      <c r="K38" s="1"/>
      <c r="L38" s="15">
        <f t="shared" si="1"/>
        <v>0</v>
      </c>
      <c r="M38" s="9"/>
    </row>
    <row r="39" spans="1:13" s="4" customFormat="1" ht="27.75" customHeight="1" x14ac:dyDescent="0.3">
      <c r="A39" s="5" t="s">
        <v>207</v>
      </c>
      <c r="B39" s="5" t="s">
        <v>208</v>
      </c>
      <c r="C39" s="5" t="s">
        <v>209</v>
      </c>
      <c r="D39" s="6">
        <v>631656710472</v>
      </c>
      <c r="E39" s="7" t="s">
        <v>34</v>
      </c>
      <c r="F39" s="5" t="s">
        <v>35</v>
      </c>
      <c r="G39" s="5" t="s">
        <v>200</v>
      </c>
      <c r="H39" s="8" t="s">
        <v>210</v>
      </c>
      <c r="I39" s="7" t="s">
        <v>202</v>
      </c>
      <c r="J39" s="12">
        <v>27.276</v>
      </c>
      <c r="K39" s="1"/>
      <c r="L39" s="15">
        <f t="shared" si="1"/>
        <v>0</v>
      </c>
      <c r="M39" s="9"/>
    </row>
    <row r="40" spans="1:13" s="4" customFormat="1" ht="27.75" customHeight="1" x14ac:dyDescent="0.3">
      <c r="A40" s="5" t="s">
        <v>211</v>
      </c>
      <c r="B40" s="5" t="s">
        <v>212</v>
      </c>
      <c r="C40" s="5" t="s">
        <v>213</v>
      </c>
      <c r="D40" s="6">
        <v>631656710465</v>
      </c>
      <c r="E40" s="7" t="s">
        <v>34</v>
      </c>
      <c r="F40" s="5" t="s">
        <v>35</v>
      </c>
      <c r="G40" s="5" t="s">
        <v>214</v>
      </c>
      <c r="H40" s="8" t="s">
        <v>215</v>
      </c>
      <c r="I40" s="7" t="s">
        <v>202</v>
      </c>
      <c r="J40" s="12">
        <v>27.276</v>
      </c>
      <c r="K40" s="1"/>
      <c r="L40" s="15">
        <f t="shared" si="1"/>
        <v>0</v>
      </c>
      <c r="M40" s="9"/>
    </row>
    <row r="41" spans="1:13" s="4" customFormat="1" ht="27.75" customHeight="1" x14ac:dyDescent="0.3">
      <c r="A41" s="5" t="s">
        <v>216</v>
      </c>
      <c r="B41" s="5" t="s">
        <v>217</v>
      </c>
      <c r="C41" s="5" t="s">
        <v>218</v>
      </c>
      <c r="D41" s="6">
        <v>631656709445</v>
      </c>
      <c r="E41" s="7" t="s">
        <v>219</v>
      </c>
      <c r="F41" s="5" t="s">
        <v>35</v>
      </c>
      <c r="G41" s="5" t="s">
        <v>220</v>
      </c>
      <c r="H41" s="8" t="s">
        <v>221</v>
      </c>
      <c r="I41" s="7" t="s">
        <v>202</v>
      </c>
      <c r="J41" s="12">
        <v>27.599999999999998</v>
      </c>
      <c r="K41" s="1"/>
      <c r="L41" s="15">
        <f t="shared" si="1"/>
        <v>0</v>
      </c>
      <c r="M41" s="9"/>
    </row>
    <row r="42" spans="1:13" s="4" customFormat="1" ht="27.75" customHeight="1" x14ac:dyDescent="0.3">
      <c r="A42" s="5" t="s">
        <v>222</v>
      </c>
      <c r="B42" s="5" t="s">
        <v>223</v>
      </c>
      <c r="C42" s="5" t="s">
        <v>224</v>
      </c>
      <c r="D42" s="6">
        <v>631656709452</v>
      </c>
      <c r="E42" s="7" t="s">
        <v>219</v>
      </c>
      <c r="F42" s="5" t="s">
        <v>35</v>
      </c>
      <c r="G42" s="5" t="s">
        <v>220</v>
      </c>
      <c r="H42" s="8" t="s">
        <v>225</v>
      </c>
      <c r="I42" s="7" t="s">
        <v>202</v>
      </c>
      <c r="J42" s="12">
        <v>27.599999999999998</v>
      </c>
      <c r="K42" s="1"/>
      <c r="L42" s="15">
        <f t="shared" si="1"/>
        <v>0</v>
      </c>
      <c r="M42" s="9"/>
    </row>
    <row r="43" spans="1:13" s="4" customFormat="1" ht="27.75" customHeight="1" x14ac:dyDescent="0.3">
      <c r="A43" s="5" t="s">
        <v>226</v>
      </c>
      <c r="B43" s="5" t="s">
        <v>227</v>
      </c>
      <c r="C43" s="5" t="s">
        <v>228</v>
      </c>
      <c r="D43" s="6">
        <v>631656705706</v>
      </c>
      <c r="E43" s="7" t="s">
        <v>66</v>
      </c>
      <c r="F43" s="5" t="s">
        <v>35</v>
      </c>
      <c r="G43" s="5" t="s">
        <v>229</v>
      </c>
      <c r="H43" s="8" t="s">
        <v>230</v>
      </c>
      <c r="I43" s="7" t="s">
        <v>231</v>
      </c>
      <c r="J43" s="12">
        <v>11.988</v>
      </c>
      <c r="K43" s="1"/>
      <c r="L43" s="15">
        <f t="shared" si="1"/>
        <v>0</v>
      </c>
      <c r="M43" s="9"/>
    </row>
    <row r="44" spans="1:13" s="4" customFormat="1" ht="27.75" customHeight="1" x14ac:dyDescent="0.3">
      <c r="A44" s="5" t="s">
        <v>232</v>
      </c>
      <c r="B44" s="5" t="s">
        <v>233</v>
      </c>
      <c r="C44" s="5" t="s">
        <v>234</v>
      </c>
      <c r="D44" s="6">
        <v>631656606805</v>
      </c>
      <c r="E44" s="7" t="s">
        <v>235</v>
      </c>
      <c r="F44" s="5" t="s">
        <v>35</v>
      </c>
      <c r="G44" s="5" t="s">
        <v>236</v>
      </c>
      <c r="H44" s="8" t="s">
        <v>237</v>
      </c>
      <c r="I44" s="7" t="s">
        <v>238</v>
      </c>
      <c r="J44" s="12">
        <v>12.587999999999999</v>
      </c>
      <c r="K44" s="1"/>
      <c r="L44" s="15">
        <f t="shared" si="1"/>
        <v>0</v>
      </c>
      <c r="M44" s="9"/>
    </row>
    <row r="45" spans="1:13" s="4" customFormat="1" ht="27.75" customHeight="1" x14ac:dyDescent="0.3">
      <c r="A45" s="5" t="s">
        <v>239</v>
      </c>
      <c r="B45" s="5" t="s">
        <v>240</v>
      </c>
      <c r="C45" s="5" t="s">
        <v>241</v>
      </c>
      <c r="D45" s="6">
        <v>631656254013</v>
      </c>
      <c r="E45" s="7" t="s">
        <v>116</v>
      </c>
      <c r="F45" s="5" t="s">
        <v>35</v>
      </c>
      <c r="G45" s="5" t="s">
        <v>242</v>
      </c>
      <c r="H45" s="8" t="s">
        <v>243</v>
      </c>
      <c r="I45" s="7" t="s">
        <v>244</v>
      </c>
      <c r="J45" s="12">
        <v>15.792</v>
      </c>
      <c r="K45" s="1"/>
      <c r="L45" s="15">
        <f t="shared" si="1"/>
        <v>0</v>
      </c>
      <c r="M45" s="9"/>
    </row>
    <row r="46" spans="1:13" s="4" customFormat="1" ht="27.75" customHeight="1" x14ac:dyDescent="0.3">
      <c r="A46" s="5" t="s">
        <v>245</v>
      </c>
      <c r="B46" s="5" t="s">
        <v>246</v>
      </c>
      <c r="C46" s="5" t="s">
        <v>247</v>
      </c>
      <c r="D46" s="6">
        <v>631656254020</v>
      </c>
      <c r="E46" s="7" t="s">
        <v>116</v>
      </c>
      <c r="F46" s="5" t="s">
        <v>35</v>
      </c>
      <c r="G46" s="5" t="s">
        <v>242</v>
      </c>
      <c r="H46" s="8" t="s">
        <v>248</v>
      </c>
      <c r="I46" s="7" t="s">
        <v>244</v>
      </c>
      <c r="J46" s="12">
        <v>15.792</v>
      </c>
      <c r="K46" s="1"/>
      <c r="L46" s="15">
        <f t="shared" si="1"/>
        <v>0</v>
      </c>
      <c r="M46" s="9"/>
    </row>
    <row r="47" spans="1:13" s="4" customFormat="1" ht="27.75" customHeight="1" x14ac:dyDescent="0.3">
      <c r="A47" s="5" t="s">
        <v>249</v>
      </c>
      <c r="B47" s="5" t="s">
        <v>250</v>
      </c>
      <c r="C47" s="5" t="s">
        <v>251</v>
      </c>
      <c r="D47" s="6">
        <v>631656711080</v>
      </c>
      <c r="E47" s="7" t="s">
        <v>116</v>
      </c>
      <c r="F47" s="5" t="s">
        <v>35</v>
      </c>
      <c r="G47" s="5" t="s">
        <v>252</v>
      </c>
      <c r="H47" s="8" t="s">
        <v>253</v>
      </c>
      <c r="I47" s="7" t="s">
        <v>244</v>
      </c>
      <c r="J47" s="12">
        <v>18.323999999999998</v>
      </c>
      <c r="K47" s="1"/>
      <c r="L47" s="15">
        <f t="shared" si="1"/>
        <v>0</v>
      </c>
      <c r="M47" s="9"/>
    </row>
    <row r="48" spans="1:13" s="4" customFormat="1" ht="27.75" customHeight="1" x14ac:dyDescent="0.3">
      <c r="A48" s="5" t="s">
        <v>254</v>
      </c>
      <c r="B48" s="5" t="s">
        <v>255</v>
      </c>
      <c r="C48" s="5" t="s">
        <v>256</v>
      </c>
      <c r="D48" s="6">
        <v>631656710922</v>
      </c>
      <c r="E48" s="7" t="s">
        <v>116</v>
      </c>
      <c r="F48" s="5" t="s">
        <v>35</v>
      </c>
      <c r="G48" s="5" t="s">
        <v>257</v>
      </c>
      <c r="H48" s="8" t="s">
        <v>258</v>
      </c>
      <c r="I48" s="7" t="s">
        <v>244</v>
      </c>
      <c r="J48" s="12">
        <v>15.792</v>
      </c>
      <c r="K48" s="1"/>
      <c r="L48" s="15">
        <f t="shared" si="1"/>
        <v>0</v>
      </c>
      <c r="M48" s="9"/>
    </row>
    <row r="49" spans="1:13" s="4" customFormat="1" ht="27.75" customHeight="1" x14ac:dyDescent="0.3">
      <c r="A49" s="5" t="s">
        <v>259</v>
      </c>
      <c r="B49" s="5" t="s">
        <v>260</v>
      </c>
      <c r="C49" s="5" t="s">
        <v>261</v>
      </c>
      <c r="D49" s="6">
        <v>631656712322</v>
      </c>
      <c r="E49" s="7" t="s">
        <v>116</v>
      </c>
      <c r="F49" s="5" t="s">
        <v>35</v>
      </c>
      <c r="G49" s="5" t="s">
        <v>257</v>
      </c>
      <c r="H49" s="8" t="s">
        <v>262</v>
      </c>
      <c r="I49" s="7" t="s">
        <v>244</v>
      </c>
      <c r="J49" s="12">
        <v>15.792</v>
      </c>
      <c r="K49" s="1"/>
      <c r="L49" s="15">
        <f t="shared" si="1"/>
        <v>0</v>
      </c>
      <c r="M49" s="9"/>
    </row>
    <row r="50" spans="1:13" s="4" customFormat="1" ht="27.75" customHeight="1" x14ac:dyDescent="0.3">
      <c r="A50" s="5" t="s">
        <v>263</v>
      </c>
      <c r="B50" s="5" t="s">
        <v>264</v>
      </c>
      <c r="C50" s="5" t="s">
        <v>265</v>
      </c>
      <c r="D50" s="6">
        <v>631656703184</v>
      </c>
      <c r="E50" s="7" t="s">
        <v>105</v>
      </c>
      <c r="F50" s="5" t="s">
        <v>35</v>
      </c>
      <c r="G50" s="5" t="s">
        <v>266</v>
      </c>
      <c r="H50" s="8" t="s">
        <v>267</v>
      </c>
      <c r="I50" s="7" t="s">
        <v>268</v>
      </c>
      <c r="J50" s="12">
        <v>20.04</v>
      </c>
      <c r="K50" s="1"/>
      <c r="L50" s="15">
        <f t="shared" si="1"/>
        <v>0</v>
      </c>
      <c r="M50" s="9"/>
    </row>
    <row r="51" spans="1:13" s="4" customFormat="1" ht="27.75" customHeight="1" x14ac:dyDescent="0.3">
      <c r="A51" s="5" t="s">
        <v>269</v>
      </c>
      <c r="B51" s="5" t="s">
        <v>270</v>
      </c>
      <c r="C51" s="5" t="s">
        <v>271</v>
      </c>
      <c r="D51" s="6">
        <v>631656715828</v>
      </c>
      <c r="E51" s="7" t="s">
        <v>105</v>
      </c>
      <c r="F51" s="5" t="s">
        <v>35</v>
      </c>
      <c r="G51" s="5" t="s">
        <v>266</v>
      </c>
      <c r="H51" s="8" t="s">
        <v>272</v>
      </c>
      <c r="I51" s="7" t="s">
        <v>268</v>
      </c>
      <c r="J51" s="12">
        <v>20.04</v>
      </c>
      <c r="K51" s="1"/>
      <c r="L51" s="15">
        <f t="shared" si="1"/>
        <v>0</v>
      </c>
      <c r="M51" s="9"/>
    </row>
    <row r="52" spans="1:13" s="4" customFormat="1" ht="27.75" customHeight="1" x14ac:dyDescent="0.3">
      <c r="A52" s="5" t="s">
        <v>273</v>
      </c>
      <c r="B52" s="5" t="s">
        <v>274</v>
      </c>
      <c r="C52" s="5" t="s">
        <v>275</v>
      </c>
      <c r="D52" s="6">
        <v>631656703528</v>
      </c>
      <c r="E52" s="7" t="s">
        <v>34</v>
      </c>
      <c r="F52" s="5" t="s">
        <v>35</v>
      </c>
      <c r="G52" s="5" t="s">
        <v>276</v>
      </c>
      <c r="H52" s="8" t="s">
        <v>277</v>
      </c>
      <c r="I52" s="7" t="s">
        <v>278</v>
      </c>
      <c r="J52" s="12">
        <v>43.788000000000004</v>
      </c>
      <c r="K52" s="1"/>
      <c r="L52" s="15">
        <f t="shared" si="1"/>
        <v>0</v>
      </c>
      <c r="M52" s="9"/>
    </row>
    <row r="53" spans="1:13" s="4" customFormat="1" ht="27.75" customHeight="1" x14ac:dyDescent="0.3">
      <c r="A53" s="5" t="s">
        <v>279</v>
      </c>
      <c r="B53" s="5" t="s">
        <v>280</v>
      </c>
      <c r="C53" s="5" t="s">
        <v>281</v>
      </c>
      <c r="D53" s="6">
        <v>631656703535</v>
      </c>
      <c r="E53" s="7" t="s">
        <v>34</v>
      </c>
      <c r="F53" s="5" t="s">
        <v>35</v>
      </c>
      <c r="G53" s="5" t="s">
        <v>276</v>
      </c>
      <c r="H53" s="8" t="s">
        <v>282</v>
      </c>
      <c r="I53" s="7" t="s">
        <v>278</v>
      </c>
      <c r="J53" s="12">
        <v>43.788000000000004</v>
      </c>
      <c r="K53" s="1"/>
      <c r="L53" s="15">
        <f t="shared" si="1"/>
        <v>0</v>
      </c>
      <c r="M53" s="9"/>
    </row>
    <row r="54" spans="1:13" s="4" customFormat="1" ht="27.75" customHeight="1" x14ac:dyDescent="0.3">
      <c r="A54" s="5" t="s">
        <v>283</v>
      </c>
      <c r="B54" s="5" t="s">
        <v>284</v>
      </c>
      <c r="C54" s="5" t="s">
        <v>285</v>
      </c>
      <c r="D54" s="6">
        <v>631656705737</v>
      </c>
      <c r="E54" s="7" t="s">
        <v>105</v>
      </c>
      <c r="F54" s="5" t="s">
        <v>35</v>
      </c>
      <c r="G54" s="5" t="s">
        <v>286</v>
      </c>
      <c r="H54" s="8" t="s">
        <v>287</v>
      </c>
      <c r="I54" s="7" t="s">
        <v>288</v>
      </c>
      <c r="J54" s="12">
        <v>22.187999999999999</v>
      </c>
      <c r="K54" s="1"/>
      <c r="L54" s="15">
        <f t="shared" si="1"/>
        <v>0</v>
      </c>
      <c r="M54" s="9"/>
    </row>
    <row r="55" spans="1:13" s="4" customFormat="1" ht="27.75" customHeight="1" x14ac:dyDescent="0.3">
      <c r="A55" s="5" t="s">
        <v>289</v>
      </c>
      <c r="B55" s="5" t="s">
        <v>290</v>
      </c>
      <c r="C55" s="5" t="s">
        <v>291</v>
      </c>
      <c r="D55" s="6">
        <v>631656715811</v>
      </c>
      <c r="E55" s="7" t="s">
        <v>292</v>
      </c>
      <c r="F55" s="5" t="s">
        <v>35</v>
      </c>
      <c r="G55" s="5" t="s">
        <v>293</v>
      </c>
      <c r="H55" s="8" t="s">
        <v>294</v>
      </c>
      <c r="I55" s="7" t="s">
        <v>295</v>
      </c>
      <c r="J55" s="12">
        <v>18.311999999999998</v>
      </c>
      <c r="K55" s="1"/>
      <c r="L55" s="15">
        <f t="shared" si="1"/>
        <v>0</v>
      </c>
      <c r="M55" s="9"/>
    </row>
    <row r="56" spans="1:13" s="4" customFormat="1" ht="27.75" customHeight="1" x14ac:dyDescent="0.3">
      <c r="A56" s="5" t="s">
        <v>296</v>
      </c>
      <c r="B56" s="5" t="s">
        <v>297</v>
      </c>
      <c r="C56" s="5" t="s">
        <v>298</v>
      </c>
      <c r="D56" s="6">
        <v>631656715804</v>
      </c>
      <c r="E56" s="7" t="s">
        <v>292</v>
      </c>
      <c r="F56" s="5" t="s">
        <v>35</v>
      </c>
      <c r="G56" s="5" t="s">
        <v>293</v>
      </c>
      <c r="H56" s="8" t="s">
        <v>299</v>
      </c>
      <c r="I56" s="7" t="s">
        <v>295</v>
      </c>
      <c r="J56" s="12">
        <v>18.311999999999998</v>
      </c>
      <c r="K56" s="1"/>
      <c r="L56" s="15">
        <f t="shared" si="1"/>
        <v>0</v>
      </c>
      <c r="M56" s="9"/>
    </row>
    <row r="57" spans="1:13" s="4" customFormat="1" ht="27.75" customHeight="1" x14ac:dyDescent="0.3">
      <c r="A57" s="5" t="s">
        <v>300</v>
      </c>
      <c r="B57" s="5" t="s">
        <v>301</v>
      </c>
      <c r="C57" s="5" t="s">
        <v>302</v>
      </c>
      <c r="D57" s="6">
        <v>631656609080</v>
      </c>
      <c r="E57" s="7" t="s">
        <v>303</v>
      </c>
      <c r="F57" s="5" t="s">
        <v>35</v>
      </c>
      <c r="G57" s="5" t="s">
        <v>304</v>
      </c>
      <c r="H57" s="8" t="s">
        <v>305</v>
      </c>
      <c r="I57" s="7" t="s">
        <v>306</v>
      </c>
      <c r="J57" s="12">
        <v>20.987999999999996</v>
      </c>
      <c r="K57" s="1"/>
      <c r="L57" s="15">
        <f t="shared" si="1"/>
        <v>0</v>
      </c>
      <c r="M57" s="9"/>
    </row>
    <row r="58" spans="1:13" s="4" customFormat="1" ht="27.75" customHeight="1" x14ac:dyDescent="0.3">
      <c r="A58" s="5" t="s">
        <v>307</v>
      </c>
      <c r="B58" s="5" t="s">
        <v>308</v>
      </c>
      <c r="C58" s="5" t="s">
        <v>309</v>
      </c>
      <c r="D58" s="6">
        <v>631656703313</v>
      </c>
      <c r="E58" s="7" t="s">
        <v>34</v>
      </c>
      <c r="F58" s="5" t="s">
        <v>35</v>
      </c>
      <c r="G58" s="5" t="s">
        <v>72</v>
      </c>
      <c r="H58" s="8" t="s">
        <v>310</v>
      </c>
      <c r="I58" s="7" t="s">
        <v>311</v>
      </c>
      <c r="J58" s="12">
        <v>42.588000000000001</v>
      </c>
      <c r="K58" s="1"/>
      <c r="L58" s="15">
        <f t="shared" si="1"/>
        <v>0</v>
      </c>
      <c r="M58" s="9"/>
    </row>
    <row r="59" spans="1:13" s="4" customFormat="1" ht="27.75" customHeight="1" x14ac:dyDescent="0.3">
      <c r="A59" s="5" t="s">
        <v>312</v>
      </c>
      <c r="B59" s="5" t="s">
        <v>313</v>
      </c>
      <c r="C59" s="5" t="s">
        <v>314</v>
      </c>
      <c r="D59" s="6">
        <v>631656703283</v>
      </c>
      <c r="E59" s="7" t="s">
        <v>34</v>
      </c>
      <c r="F59" s="5" t="s">
        <v>35</v>
      </c>
      <c r="G59" s="5" t="s">
        <v>72</v>
      </c>
      <c r="H59" s="8" t="s">
        <v>315</v>
      </c>
      <c r="I59" s="7" t="s">
        <v>311</v>
      </c>
      <c r="J59" s="12">
        <v>42.588000000000001</v>
      </c>
      <c r="K59" s="1"/>
      <c r="L59" s="15">
        <f t="shared" si="1"/>
        <v>0</v>
      </c>
      <c r="M59" s="9"/>
    </row>
    <row r="60" spans="1:13" s="4" customFormat="1" ht="27.75" customHeight="1" x14ac:dyDescent="0.3">
      <c r="A60" s="5" t="s">
        <v>316</v>
      </c>
      <c r="B60" s="5" t="s">
        <v>317</v>
      </c>
      <c r="C60" s="5" t="s">
        <v>318</v>
      </c>
      <c r="D60" s="6">
        <v>631656709568</v>
      </c>
      <c r="E60" s="7" t="s">
        <v>219</v>
      </c>
      <c r="F60" s="5" t="s">
        <v>35</v>
      </c>
      <c r="G60" s="5" t="s">
        <v>220</v>
      </c>
      <c r="H60" s="8" t="s">
        <v>319</v>
      </c>
      <c r="I60" s="7" t="s">
        <v>311</v>
      </c>
      <c r="J60" s="12">
        <v>43.788000000000004</v>
      </c>
      <c r="K60" s="1"/>
      <c r="L60" s="15">
        <f t="shared" si="1"/>
        <v>0</v>
      </c>
      <c r="M60" s="9"/>
    </row>
    <row r="61" spans="1:13" s="4" customFormat="1" ht="27.75" customHeight="1" x14ac:dyDescent="0.3">
      <c r="A61" s="5" t="s">
        <v>320</v>
      </c>
      <c r="B61" s="5" t="s">
        <v>321</v>
      </c>
      <c r="C61" s="5" t="s">
        <v>322</v>
      </c>
      <c r="D61" s="6">
        <v>631656709575</v>
      </c>
      <c r="E61" s="7" t="s">
        <v>219</v>
      </c>
      <c r="F61" s="5" t="s">
        <v>35</v>
      </c>
      <c r="G61" s="5" t="s">
        <v>220</v>
      </c>
      <c r="H61" s="8" t="s">
        <v>323</v>
      </c>
      <c r="I61" s="7" t="s">
        <v>311</v>
      </c>
      <c r="J61" s="12">
        <v>43.788000000000004</v>
      </c>
      <c r="K61" s="1"/>
      <c r="L61" s="15">
        <f t="shared" si="1"/>
        <v>0</v>
      </c>
      <c r="M61" s="9"/>
    </row>
    <row r="62" spans="1:13" s="4" customFormat="1" ht="27.75" customHeight="1" x14ac:dyDescent="0.3">
      <c r="A62" s="5" t="s">
        <v>324</v>
      </c>
      <c r="B62" s="5" t="s">
        <v>325</v>
      </c>
      <c r="C62" s="5" t="s">
        <v>326</v>
      </c>
      <c r="D62" s="6">
        <v>631656703306</v>
      </c>
      <c r="E62" s="7" t="s">
        <v>34</v>
      </c>
      <c r="F62" s="5" t="s">
        <v>35</v>
      </c>
      <c r="G62" s="5" t="s">
        <v>72</v>
      </c>
      <c r="H62" s="8" t="s">
        <v>327</v>
      </c>
      <c r="I62" s="7" t="s">
        <v>311</v>
      </c>
      <c r="J62" s="12">
        <v>42.588000000000001</v>
      </c>
      <c r="K62" s="1"/>
      <c r="L62" s="15">
        <f t="shared" si="1"/>
        <v>0</v>
      </c>
      <c r="M62" s="9"/>
    </row>
    <row r="63" spans="1:13" s="4" customFormat="1" ht="27.75" customHeight="1" x14ac:dyDescent="0.3">
      <c r="A63" s="5" t="s">
        <v>328</v>
      </c>
      <c r="B63" s="5" t="s">
        <v>329</v>
      </c>
      <c r="C63" s="5" t="s">
        <v>330</v>
      </c>
      <c r="D63" s="6">
        <v>631656703290</v>
      </c>
      <c r="E63" s="7" t="s">
        <v>34</v>
      </c>
      <c r="F63" s="5" t="s">
        <v>35</v>
      </c>
      <c r="G63" s="5" t="s">
        <v>72</v>
      </c>
      <c r="H63" s="8" t="s">
        <v>331</v>
      </c>
      <c r="I63" s="7" t="s">
        <v>311</v>
      </c>
      <c r="J63" s="12">
        <v>42.588000000000001</v>
      </c>
      <c r="K63" s="1"/>
      <c r="L63" s="15">
        <f t="shared" si="1"/>
        <v>0</v>
      </c>
      <c r="M63" s="9"/>
    </row>
    <row r="64" spans="1:13" s="4" customFormat="1" ht="27.75" customHeight="1" x14ac:dyDescent="0.3">
      <c r="A64" s="5" t="s">
        <v>332</v>
      </c>
      <c r="B64" s="5" t="s">
        <v>333</v>
      </c>
      <c r="C64" s="5" t="s">
        <v>334</v>
      </c>
      <c r="D64" s="6">
        <v>631656711455</v>
      </c>
      <c r="E64" s="7" t="s">
        <v>157</v>
      </c>
      <c r="F64" s="5" t="s">
        <v>35</v>
      </c>
      <c r="G64" s="5" t="s">
        <v>335</v>
      </c>
      <c r="H64" s="8" t="s">
        <v>336</v>
      </c>
      <c r="I64" s="7" t="s">
        <v>337</v>
      </c>
      <c r="J64" s="12">
        <v>26.46</v>
      </c>
      <c r="K64" s="1"/>
      <c r="L64" s="15">
        <f t="shared" si="1"/>
        <v>0</v>
      </c>
      <c r="M64" s="9"/>
    </row>
    <row r="65" spans="1:13" s="4" customFormat="1" ht="27.75" customHeight="1" x14ac:dyDescent="0.3">
      <c r="A65" s="5" t="s">
        <v>338</v>
      </c>
      <c r="B65" s="5" t="s">
        <v>339</v>
      </c>
      <c r="C65" s="5" t="s">
        <v>340</v>
      </c>
      <c r="D65" s="6">
        <v>631656713824</v>
      </c>
      <c r="E65" s="7" t="s">
        <v>157</v>
      </c>
      <c r="F65" s="5" t="s">
        <v>35</v>
      </c>
      <c r="G65" s="5" t="s">
        <v>335</v>
      </c>
      <c r="H65" s="8" t="s">
        <v>341</v>
      </c>
      <c r="I65" s="7" t="s">
        <v>337</v>
      </c>
      <c r="J65" s="12">
        <v>26.46</v>
      </c>
      <c r="K65" s="1"/>
      <c r="L65" s="15">
        <f t="shared" si="1"/>
        <v>0</v>
      </c>
      <c r="M65" s="9"/>
    </row>
    <row r="66" spans="1:13" s="4" customFormat="1" ht="27.75" customHeight="1" x14ac:dyDescent="0.3">
      <c r="A66" s="5" t="s">
        <v>342</v>
      </c>
      <c r="B66" s="5" t="s">
        <v>343</v>
      </c>
      <c r="C66" s="5" t="s">
        <v>344</v>
      </c>
      <c r="D66" s="6">
        <v>631656710489</v>
      </c>
      <c r="E66" s="7" t="s">
        <v>34</v>
      </c>
      <c r="F66" s="5" t="s">
        <v>35</v>
      </c>
      <c r="G66" s="5" t="s">
        <v>200</v>
      </c>
      <c r="H66" s="8" t="s">
        <v>345</v>
      </c>
      <c r="I66" s="7" t="s">
        <v>346</v>
      </c>
      <c r="J66" s="12">
        <v>47.387999999999998</v>
      </c>
      <c r="K66" s="1"/>
      <c r="L66" s="15">
        <f t="shared" ref="L66:L91" si="2">K66*J66</f>
        <v>0</v>
      </c>
      <c r="M66" s="9"/>
    </row>
    <row r="67" spans="1:13" s="4" customFormat="1" ht="27.75" customHeight="1" x14ac:dyDescent="0.3">
      <c r="A67" s="5" t="s">
        <v>347</v>
      </c>
      <c r="B67" s="5" t="s">
        <v>348</v>
      </c>
      <c r="C67" s="5" t="s">
        <v>349</v>
      </c>
      <c r="D67" s="6">
        <v>631656710496</v>
      </c>
      <c r="E67" s="7" t="s">
        <v>34</v>
      </c>
      <c r="F67" s="5" t="s">
        <v>35</v>
      </c>
      <c r="G67" s="5" t="s">
        <v>200</v>
      </c>
      <c r="H67" s="8" t="s">
        <v>350</v>
      </c>
      <c r="I67" s="7" t="s">
        <v>346</v>
      </c>
      <c r="J67" s="12">
        <v>47.387999999999998</v>
      </c>
      <c r="K67" s="1"/>
      <c r="L67" s="15">
        <f t="shared" si="2"/>
        <v>0</v>
      </c>
      <c r="M67" s="9"/>
    </row>
    <row r="68" spans="1:13" s="4" customFormat="1" ht="27.75" customHeight="1" x14ac:dyDescent="0.3">
      <c r="A68" s="5" t="s">
        <v>351</v>
      </c>
      <c r="B68" s="5" t="s">
        <v>352</v>
      </c>
      <c r="C68" s="5" t="s">
        <v>353</v>
      </c>
      <c r="D68" s="6">
        <v>631656710519</v>
      </c>
      <c r="E68" s="7" t="s">
        <v>34</v>
      </c>
      <c r="F68" s="5" t="s">
        <v>35</v>
      </c>
      <c r="G68" s="5" t="s">
        <v>200</v>
      </c>
      <c r="H68" s="8" t="s">
        <v>354</v>
      </c>
      <c r="I68" s="7" t="s">
        <v>346</v>
      </c>
      <c r="J68" s="12">
        <v>47.387999999999998</v>
      </c>
      <c r="K68" s="1"/>
      <c r="L68" s="15">
        <f t="shared" si="2"/>
        <v>0</v>
      </c>
      <c r="M68" s="9"/>
    </row>
    <row r="69" spans="1:13" s="4" customFormat="1" ht="27.75" customHeight="1" x14ac:dyDescent="0.3">
      <c r="A69" s="5" t="s">
        <v>355</v>
      </c>
      <c r="B69" s="5" t="s">
        <v>356</v>
      </c>
      <c r="C69" s="5" t="s">
        <v>357</v>
      </c>
      <c r="D69" s="6" t="s">
        <v>358</v>
      </c>
      <c r="E69" s="7" t="s">
        <v>34</v>
      </c>
      <c r="F69" s="5" t="s">
        <v>35</v>
      </c>
      <c r="G69" s="5" t="s">
        <v>200</v>
      </c>
      <c r="H69" s="8" t="s">
        <v>359</v>
      </c>
      <c r="I69" s="7" t="s">
        <v>346</v>
      </c>
      <c r="J69" s="12">
        <v>47.387999999999998</v>
      </c>
      <c r="K69" s="1"/>
      <c r="L69" s="15">
        <f t="shared" si="2"/>
        <v>0</v>
      </c>
      <c r="M69" s="9"/>
    </row>
    <row r="70" spans="1:13" s="4" customFormat="1" ht="27.75" customHeight="1" x14ac:dyDescent="0.3">
      <c r="A70" s="5" t="s">
        <v>360</v>
      </c>
      <c r="B70" s="5" t="s">
        <v>361</v>
      </c>
      <c r="C70" s="5" t="s">
        <v>362</v>
      </c>
      <c r="D70" s="6">
        <v>631656703214</v>
      </c>
      <c r="E70" s="7" t="s">
        <v>105</v>
      </c>
      <c r="F70" s="5" t="s">
        <v>35</v>
      </c>
      <c r="G70" s="5" t="s">
        <v>266</v>
      </c>
      <c r="H70" s="8" t="s">
        <v>363</v>
      </c>
      <c r="I70" s="7" t="s">
        <v>364</v>
      </c>
      <c r="J70" s="12">
        <v>29.027999999999999</v>
      </c>
      <c r="K70" s="1"/>
      <c r="L70" s="15">
        <f t="shared" si="2"/>
        <v>0</v>
      </c>
      <c r="M70" s="9"/>
    </row>
    <row r="71" spans="1:13" s="4" customFormat="1" ht="27.75" customHeight="1" x14ac:dyDescent="0.3">
      <c r="A71" s="5" t="s">
        <v>365</v>
      </c>
      <c r="B71" s="5" t="s">
        <v>366</v>
      </c>
      <c r="C71" s="5" t="s">
        <v>367</v>
      </c>
      <c r="D71" s="6">
        <v>631656716894</v>
      </c>
      <c r="E71" s="7" t="s">
        <v>157</v>
      </c>
      <c r="F71" s="5" t="s">
        <v>35</v>
      </c>
      <c r="G71" s="5" t="s">
        <v>368</v>
      </c>
      <c r="H71" s="8" t="s">
        <v>369</v>
      </c>
      <c r="I71" s="7" t="s">
        <v>364</v>
      </c>
      <c r="J71" s="12">
        <v>37.14</v>
      </c>
      <c r="K71" s="1"/>
      <c r="L71" s="15">
        <f t="shared" si="2"/>
        <v>0</v>
      </c>
      <c r="M71" s="9"/>
    </row>
    <row r="72" spans="1:13" s="4" customFormat="1" ht="27.75" customHeight="1" x14ac:dyDescent="0.3">
      <c r="A72" s="5" t="s">
        <v>370</v>
      </c>
      <c r="B72" s="5" t="s">
        <v>371</v>
      </c>
      <c r="C72" s="5" t="s">
        <v>372</v>
      </c>
      <c r="D72" s="6">
        <v>631656716887</v>
      </c>
      <c r="E72" s="7" t="s">
        <v>157</v>
      </c>
      <c r="F72" s="5" t="s">
        <v>35</v>
      </c>
      <c r="G72" s="5" t="s">
        <v>373</v>
      </c>
      <c r="H72" s="8" t="s">
        <v>374</v>
      </c>
      <c r="I72" s="7" t="s">
        <v>364</v>
      </c>
      <c r="J72" s="12">
        <v>37.14</v>
      </c>
      <c r="K72" s="1"/>
      <c r="L72" s="15">
        <f t="shared" si="2"/>
        <v>0</v>
      </c>
      <c r="M72" s="9"/>
    </row>
    <row r="73" spans="1:13" s="4" customFormat="1" ht="27.75" customHeight="1" x14ac:dyDescent="0.3">
      <c r="A73" s="5" t="s">
        <v>375</v>
      </c>
      <c r="B73" s="5" t="s">
        <v>376</v>
      </c>
      <c r="C73" s="5" t="s">
        <v>377</v>
      </c>
      <c r="D73" s="6">
        <v>631656716900</v>
      </c>
      <c r="E73" s="7" t="s">
        <v>157</v>
      </c>
      <c r="F73" s="5" t="s">
        <v>35</v>
      </c>
      <c r="G73" s="5" t="s">
        <v>373</v>
      </c>
      <c r="H73" s="8" t="s">
        <v>378</v>
      </c>
      <c r="I73" s="7" t="s">
        <v>364</v>
      </c>
      <c r="J73" s="12">
        <v>37.14</v>
      </c>
      <c r="K73" s="1"/>
      <c r="L73" s="15">
        <f t="shared" si="2"/>
        <v>0</v>
      </c>
      <c r="M73" s="9"/>
    </row>
    <row r="74" spans="1:13" s="4" customFormat="1" ht="27.75" customHeight="1" x14ac:dyDescent="0.3">
      <c r="A74" s="5" t="s">
        <v>379</v>
      </c>
      <c r="B74" s="5" t="s">
        <v>380</v>
      </c>
      <c r="C74" s="5" t="s">
        <v>381</v>
      </c>
      <c r="D74" s="6">
        <v>631656716917</v>
      </c>
      <c r="E74" s="7" t="s">
        <v>157</v>
      </c>
      <c r="F74" s="5" t="s">
        <v>35</v>
      </c>
      <c r="G74" s="5" t="s">
        <v>368</v>
      </c>
      <c r="H74" s="8" t="s">
        <v>382</v>
      </c>
      <c r="I74" s="7" t="s">
        <v>364</v>
      </c>
      <c r="J74" s="12">
        <v>37.14</v>
      </c>
      <c r="K74" s="1"/>
      <c r="L74" s="15">
        <f t="shared" si="2"/>
        <v>0</v>
      </c>
      <c r="M74" s="9"/>
    </row>
    <row r="75" spans="1:13" s="4" customFormat="1" ht="27.75" customHeight="1" x14ac:dyDescent="0.3">
      <c r="A75" s="5" t="s">
        <v>383</v>
      </c>
      <c r="B75" s="5" t="s">
        <v>384</v>
      </c>
      <c r="C75" s="5" t="s">
        <v>385</v>
      </c>
      <c r="D75" s="6">
        <v>631656716962</v>
      </c>
      <c r="E75" s="7" t="s">
        <v>157</v>
      </c>
      <c r="F75" s="5" t="s">
        <v>35</v>
      </c>
      <c r="G75" s="5" t="s">
        <v>386</v>
      </c>
      <c r="H75" s="8" t="s">
        <v>387</v>
      </c>
      <c r="I75" s="7" t="s">
        <v>364</v>
      </c>
      <c r="J75" s="12">
        <v>27.3</v>
      </c>
      <c r="K75" s="1"/>
      <c r="L75" s="15">
        <f t="shared" si="2"/>
        <v>0</v>
      </c>
      <c r="M75" s="9"/>
    </row>
    <row r="76" spans="1:13" s="4" customFormat="1" ht="27.75" customHeight="1" x14ac:dyDescent="0.3">
      <c r="A76" s="5" t="s">
        <v>388</v>
      </c>
      <c r="B76" s="5" t="s">
        <v>389</v>
      </c>
      <c r="C76" s="5" t="s">
        <v>390</v>
      </c>
      <c r="D76" s="6">
        <v>631656716979</v>
      </c>
      <c r="E76" s="7" t="s">
        <v>157</v>
      </c>
      <c r="F76" s="5" t="s">
        <v>35</v>
      </c>
      <c r="G76" s="5" t="s">
        <v>386</v>
      </c>
      <c r="H76" s="8" t="s">
        <v>391</v>
      </c>
      <c r="I76" s="7" t="s">
        <v>364</v>
      </c>
      <c r="J76" s="12">
        <v>27.3</v>
      </c>
      <c r="K76" s="1"/>
      <c r="L76" s="15">
        <f t="shared" si="2"/>
        <v>0</v>
      </c>
      <c r="M76" s="9"/>
    </row>
    <row r="77" spans="1:13" s="4" customFormat="1" ht="27.75" customHeight="1" x14ac:dyDescent="0.3">
      <c r="A77" s="5" t="s">
        <v>392</v>
      </c>
      <c r="B77" s="5" t="s">
        <v>393</v>
      </c>
      <c r="C77" s="5" t="s">
        <v>394</v>
      </c>
      <c r="D77" s="6">
        <v>631656610154</v>
      </c>
      <c r="E77" s="7" t="s">
        <v>303</v>
      </c>
      <c r="F77" s="5" t="s">
        <v>35</v>
      </c>
      <c r="G77" s="5" t="s">
        <v>304</v>
      </c>
      <c r="H77" s="8" t="s">
        <v>395</v>
      </c>
      <c r="I77" s="7" t="s">
        <v>396</v>
      </c>
      <c r="J77" s="12">
        <v>37.631999999999998</v>
      </c>
      <c r="K77" s="1"/>
      <c r="L77" s="15">
        <f t="shared" si="2"/>
        <v>0</v>
      </c>
      <c r="M77" s="9"/>
    </row>
    <row r="78" spans="1:13" s="4" customFormat="1" ht="27.75" customHeight="1" x14ac:dyDescent="0.3">
      <c r="A78" s="5" t="s">
        <v>397</v>
      </c>
      <c r="B78" s="5" t="s">
        <v>398</v>
      </c>
      <c r="C78" s="5" t="s">
        <v>399</v>
      </c>
      <c r="D78" s="6">
        <v>631656711813</v>
      </c>
      <c r="E78" s="7" t="s">
        <v>34</v>
      </c>
      <c r="F78" s="5" t="s">
        <v>35</v>
      </c>
      <c r="G78" s="5" t="s">
        <v>200</v>
      </c>
      <c r="H78" s="8" t="s">
        <v>400</v>
      </c>
      <c r="I78" s="7" t="s">
        <v>401</v>
      </c>
      <c r="J78" s="12">
        <v>79.187999999999988</v>
      </c>
      <c r="K78" s="1"/>
      <c r="L78" s="15">
        <f t="shared" si="2"/>
        <v>0</v>
      </c>
      <c r="M78" s="9"/>
    </row>
    <row r="79" spans="1:13" s="4" customFormat="1" ht="27.75" customHeight="1" x14ac:dyDescent="0.3">
      <c r="A79" s="5" t="s">
        <v>402</v>
      </c>
      <c r="B79" s="5" t="s">
        <v>403</v>
      </c>
      <c r="C79" s="5" t="s">
        <v>404</v>
      </c>
      <c r="D79" s="6">
        <v>631656609462</v>
      </c>
      <c r="E79" s="7" t="s">
        <v>235</v>
      </c>
      <c r="F79" s="5" t="s">
        <v>35</v>
      </c>
      <c r="G79" s="5" t="s">
        <v>405</v>
      </c>
      <c r="H79" s="8" t="s">
        <v>406</v>
      </c>
      <c r="I79" s="7" t="s">
        <v>407</v>
      </c>
      <c r="J79" s="12">
        <v>17.387999999999998</v>
      </c>
      <c r="K79" s="1"/>
      <c r="L79" s="15">
        <f t="shared" si="2"/>
        <v>0</v>
      </c>
      <c r="M79" s="9"/>
    </row>
    <row r="80" spans="1:13" s="4" customFormat="1" ht="27.75" customHeight="1" x14ac:dyDescent="0.3">
      <c r="A80" s="5" t="s">
        <v>408</v>
      </c>
      <c r="B80" s="5" t="s">
        <v>409</v>
      </c>
      <c r="C80" s="5" t="s">
        <v>410</v>
      </c>
      <c r="D80" s="6">
        <v>631656609516</v>
      </c>
      <c r="E80" s="7" t="s">
        <v>88</v>
      </c>
      <c r="F80" s="5" t="s">
        <v>35</v>
      </c>
      <c r="G80" s="5" t="s">
        <v>411</v>
      </c>
      <c r="H80" s="8" t="s">
        <v>412</v>
      </c>
      <c r="I80" s="7" t="s">
        <v>407</v>
      </c>
      <c r="J80" s="12">
        <v>13.788</v>
      </c>
      <c r="K80" s="1"/>
      <c r="L80" s="15">
        <f t="shared" si="2"/>
        <v>0</v>
      </c>
      <c r="M80" s="9"/>
    </row>
    <row r="81" spans="1:13" s="4" customFormat="1" ht="27.75" customHeight="1" x14ac:dyDescent="0.3">
      <c r="A81" s="5" t="s">
        <v>413</v>
      </c>
      <c r="B81" s="5" t="s">
        <v>414</v>
      </c>
      <c r="C81" s="5" t="s">
        <v>415</v>
      </c>
      <c r="D81" s="6">
        <v>631656610178</v>
      </c>
      <c r="E81" s="7" t="s">
        <v>66</v>
      </c>
      <c r="F81" s="5" t="s">
        <v>35</v>
      </c>
      <c r="G81" s="5" t="s">
        <v>416</v>
      </c>
      <c r="H81" s="8" t="s">
        <v>417</v>
      </c>
      <c r="I81" s="7" t="s">
        <v>407</v>
      </c>
      <c r="J81" s="12">
        <v>9.36</v>
      </c>
      <c r="K81" s="1"/>
      <c r="L81" s="15">
        <f t="shared" si="2"/>
        <v>0</v>
      </c>
      <c r="M81" s="9"/>
    </row>
    <row r="82" spans="1:13" s="4" customFormat="1" ht="27.75" customHeight="1" x14ac:dyDescent="0.3">
      <c r="A82" s="5" t="s">
        <v>418</v>
      </c>
      <c r="B82" s="5" t="s">
        <v>419</v>
      </c>
      <c r="C82" s="5" t="s">
        <v>420</v>
      </c>
      <c r="D82" s="6">
        <v>631656603804</v>
      </c>
      <c r="E82" s="7" t="s">
        <v>34</v>
      </c>
      <c r="F82" s="5" t="s">
        <v>421</v>
      </c>
      <c r="G82" s="5" t="s">
        <v>422</v>
      </c>
      <c r="H82" s="8" t="s">
        <v>423</v>
      </c>
      <c r="I82" s="7" t="s">
        <v>424</v>
      </c>
      <c r="J82" s="12">
        <v>17.387999999999998</v>
      </c>
      <c r="K82" s="1"/>
      <c r="L82" s="15">
        <f t="shared" si="2"/>
        <v>0</v>
      </c>
      <c r="M82" s="9"/>
    </row>
    <row r="83" spans="1:13" s="4" customFormat="1" ht="27.75" customHeight="1" x14ac:dyDescent="0.3">
      <c r="A83" s="5" t="s">
        <v>425</v>
      </c>
      <c r="B83" s="5" t="s">
        <v>426</v>
      </c>
      <c r="C83" s="5" t="s">
        <v>427</v>
      </c>
      <c r="D83" s="6">
        <v>631656603828</v>
      </c>
      <c r="E83" s="7" t="s">
        <v>34</v>
      </c>
      <c r="F83" s="5" t="s">
        <v>421</v>
      </c>
      <c r="G83" s="5" t="s">
        <v>422</v>
      </c>
      <c r="H83" s="8" t="s">
        <v>428</v>
      </c>
      <c r="I83" s="7" t="s">
        <v>424</v>
      </c>
      <c r="J83" s="12">
        <v>17.387999999999998</v>
      </c>
      <c r="K83" s="1"/>
      <c r="L83" s="15">
        <f t="shared" si="2"/>
        <v>0</v>
      </c>
      <c r="M83" s="9"/>
    </row>
    <row r="84" spans="1:13" s="4" customFormat="1" ht="27.75" customHeight="1" x14ac:dyDescent="0.3">
      <c r="A84" s="5" t="s">
        <v>429</v>
      </c>
      <c r="B84" s="5" t="s">
        <v>430</v>
      </c>
      <c r="C84" s="5" t="s">
        <v>431</v>
      </c>
      <c r="D84" s="6">
        <v>631656708837</v>
      </c>
      <c r="E84" s="7" t="s">
        <v>66</v>
      </c>
      <c r="F84" s="5" t="s">
        <v>421</v>
      </c>
      <c r="G84" s="5" t="s">
        <v>432</v>
      </c>
      <c r="H84" s="8" t="s">
        <v>433</v>
      </c>
      <c r="I84" s="7" t="s">
        <v>434</v>
      </c>
      <c r="J84" s="12">
        <v>12.587999999999999</v>
      </c>
      <c r="K84" s="1"/>
      <c r="L84" s="15">
        <f t="shared" si="2"/>
        <v>0</v>
      </c>
      <c r="M84" s="9"/>
    </row>
    <row r="85" spans="1:13" s="4" customFormat="1" ht="27.75" customHeight="1" x14ac:dyDescent="0.3">
      <c r="A85" s="5" t="s">
        <v>435</v>
      </c>
      <c r="B85" s="5" t="s">
        <v>436</v>
      </c>
      <c r="C85" s="5" t="s">
        <v>437</v>
      </c>
      <c r="D85" s="6">
        <v>631656716733</v>
      </c>
      <c r="E85" s="7" t="s">
        <v>34</v>
      </c>
      <c r="F85" s="5" t="s">
        <v>438</v>
      </c>
      <c r="G85" s="5" t="s">
        <v>439</v>
      </c>
      <c r="H85" s="8" t="s">
        <v>440</v>
      </c>
      <c r="I85" s="7" t="s">
        <v>52</v>
      </c>
      <c r="J85" s="12">
        <v>20.987999999999996</v>
      </c>
      <c r="K85" s="1"/>
      <c r="L85" s="15">
        <f t="shared" si="2"/>
        <v>0</v>
      </c>
      <c r="M85" s="9"/>
    </row>
    <row r="86" spans="1:13" s="4" customFormat="1" ht="27.75" customHeight="1" x14ac:dyDescent="0.3">
      <c r="A86" s="5" t="s">
        <v>441</v>
      </c>
      <c r="B86" s="5" t="s">
        <v>442</v>
      </c>
      <c r="C86" s="5" t="s">
        <v>443</v>
      </c>
      <c r="D86" s="6">
        <v>631656716719</v>
      </c>
      <c r="E86" s="7" t="s">
        <v>34</v>
      </c>
      <c r="F86" s="5" t="s">
        <v>438</v>
      </c>
      <c r="G86" s="5" t="s">
        <v>439</v>
      </c>
      <c r="H86" s="8" t="s">
        <v>444</v>
      </c>
      <c r="I86" s="7" t="s">
        <v>52</v>
      </c>
      <c r="J86" s="12">
        <v>20.987999999999996</v>
      </c>
      <c r="K86" s="1"/>
      <c r="L86" s="15">
        <f t="shared" si="2"/>
        <v>0</v>
      </c>
      <c r="M86" s="9"/>
    </row>
    <row r="87" spans="1:13" s="4" customFormat="1" ht="27.75" customHeight="1" x14ac:dyDescent="0.3">
      <c r="A87" s="5" t="s">
        <v>445</v>
      </c>
      <c r="B87" s="5" t="s">
        <v>446</v>
      </c>
      <c r="C87" s="5" t="s">
        <v>447</v>
      </c>
      <c r="D87" s="6">
        <v>631656716726</v>
      </c>
      <c r="E87" s="7" t="s">
        <v>34</v>
      </c>
      <c r="F87" s="5" t="s">
        <v>438</v>
      </c>
      <c r="G87" s="5" t="s">
        <v>439</v>
      </c>
      <c r="H87" s="8" t="s">
        <v>448</v>
      </c>
      <c r="I87" s="7" t="s">
        <v>52</v>
      </c>
      <c r="J87" s="12">
        <v>20.987999999999996</v>
      </c>
      <c r="K87" s="1"/>
      <c r="L87" s="15">
        <f t="shared" si="2"/>
        <v>0</v>
      </c>
      <c r="M87" s="9"/>
    </row>
    <row r="88" spans="1:13" s="4" customFormat="1" ht="27.75" customHeight="1" x14ac:dyDescent="0.3">
      <c r="A88" s="5" t="s">
        <v>449</v>
      </c>
      <c r="B88" s="5" t="s">
        <v>450</v>
      </c>
      <c r="C88" s="5" t="s">
        <v>451</v>
      </c>
      <c r="D88" s="6">
        <v>631656716825</v>
      </c>
      <c r="E88" s="7" t="s">
        <v>116</v>
      </c>
      <c r="F88" s="5" t="s">
        <v>438</v>
      </c>
      <c r="G88" s="5" t="s">
        <v>452</v>
      </c>
      <c r="H88" s="8" t="s">
        <v>453</v>
      </c>
      <c r="I88" s="7" t="s">
        <v>244</v>
      </c>
      <c r="J88" s="12">
        <v>14.988</v>
      </c>
      <c r="K88" s="1"/>
      <c r="L88" s="15">
        <f t="shared" si="2"/>
        <v>0</v>
      </c>
      <c r="M88" s="9"/>
    </row>
    <row r="89" spans="1:13" s="4" customFormat="1" ht="27.75" customHeight="1" x14ac:dyDescent="0.3">
      <c r="A89" s="5" t="s">
        <v>454</v>
      </c>
      <c r="B89" s="5" t="s">
        <v>455</v>
      </c>
      <c r="C89" s="5" t="s">
        <v>456</v>
      </c>
      <c r="D89" s="6">
        <v>631656716832</v>
      </c>
      <c r="E89" s="7" t="s">
        <v>116</v>
      </c>
      <c r="F89" s="5" t="s">
        <v>438</v>
      </c>
      <c r="G89" s="5" t="s">
        <v>452</v>
      </c>
      <c r="H89" s="8" t="s">
        <v>457</v>
      </c>
      <c r="I89" s="7" t="s">
        <v>244</v>
      </c>
      <c r="J89" s="12">
        <v>14.988</v>
      </c>
      <c r="K89" s="1"/>
      <c r="L89" s="15">
        <f t="shared" si="2"/>
        <v>0</v>
      </c>
      <c r="M89" s="9"/>
    </row>
    <row r="90" spans="1:13" s="4" customFormat="1" ht="27.75" customHeight="1" x14ac:dyDescent="0.3">
      <c r="A90" s="5" t="s">
        <v>458</v>
      </c>
      <c r="B90" s="5" t="s">
        <v>459</v>
      </c>
      <c r="C90" s="5" t="s">
        <v>460</v>
      </c>
      <c r="D90" s="6">
        <v>631656716849</v>
      </c>
      <c r="E90" s="7" t="s">
        <v>116</v>
      </c>
      <c r="F90" s="5" t="s">
        <v>438</v>
      </c>
      <c r="G90" s="5" t="s">
        <v>452</v>
      </c>
      <c r="H90" s="8" t="s">
        <v>461</v>
      </c>
      <c r="I90" s="7" t="s">
        <v>244</v>
      </c>
      <c r="J90" s="12">
        <v>14.988</v>
      </c>
      <c r="K90" s="1"/>
      <c r="L90" s="15">
        <f t="shared" si="2"/>
        <v>0</v>
      </c>
      <c r="M90" s="9"/>
    </row>
    <row r="91" spans="1:13" s="4" customFormat="1" ht="27.75" customHeight="1" x14ac:dyDescent="0.3">
      <c r="A91" s="5" t="s">
        <v>462</v>
      </c>
      <c r="B91" s="5" t="s">
        <v>463</v>
      </c>
      <c r="C91" s="5" t="s">
        <v>464</v>
      </c>
      <c r="D91" s="6">
        <v>631656603118</v>
      </c>
      <c r="E91" s="7" t="s">
        <v>88</v>
      </c>
      <c r="F91" s="5" t="s">
        <v>438</v>
      </c>
      <c r="G91" s="5" t="s">
        <v>465</v>
      </c>
      <c r="H91" s="8" t="s">
        <v>466</v>
      </c>
      <c r="I91" s="7" t="s">
        <v>19</v>
      </c>
      <c r="J91" s="12">
        <v>8.9879999999999995</v>
      </c>
      <c r="K91" s="1"/>
      <c r="L91" s="15">
        <f t="shared" si="2"/>
        <v>0</v>
      </c>
      <c r="M91" s="9"/>
    </row>
  </sheetData>
  <sheetProtection algorithmName="SHA-512" hashValue="RiNFWnmZ1tX2OFd2vVT+bHQMagDOMjLisDd48qsOijBrnNF9b98tdvSaUj8vCi/o8c8m6vhm5wEeTjjqBVkiRQ==" saltValue="xw/WsyIXQ/UbN+qql9eZpw==" spinCount="100000" sheet="1" formatCells="0" formatColumns="0" formatRows="0" insertColumns="0" insertRows="0" insertHyperlinks="0" sort="0" autoFilter="0" pivotTables="0"/>
  <autoFilter ref="A1:L92" xr:uid="{00000000-0009-0000-0000-000000000000}"/>
  <conditionalFormatting sqref="B89:B90">
    <cfRule type="duplicateValues" dxfId="2" priority="1"/>
  </conditionalFormatting>
  <conditionalFormatting sqref="B91 B1:B88">
    <cfRule type="duplicateValues" dxfId="1" priority="2"/>
  </conditionalFormatting>
  <conditionalFormatting sqref="D1:D91"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c2d179-e1c0-4ba4-b391-c36caac63db6">
      <Terms xmlns="http://schemas.microsoft.com/office/infopath/2007/PartnerControls"/>
    </lcf76f155ced4ddcb4097134ff3c332f>
    <TaxCatchAll xmlns="73cfd51c-997c-4892-8dbc-29e913d541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5FD5A6127E84CB6A4790A52B44D0F" ma:contentTypeVersion="14" ma:contentTypeDescription="Create a new document." ma:contentTypeScope="" ma:versionID="2f4ef9c58413f308e9adf6a68287d2c2">
  <xsd:schema xmlns:xsd="http://www.w3.org/2001/XMLSchema" xmlns:xs="http://www.w3.org/2001/XMLSchema" xmlns:p="http://schemas.microsoft.com/office/2006/metadata/properties" xmlns:ns2="fcc2d179-e1c0-4ba4-b391-c36caac63db6" xmlns:ns3="73cfd51c-997c-4892-8dbc-29e913d541ad" targetNamespace="http://schemas.microsoft.com/office/2006/metadata/properties" ma:root="true" ma:fieldsID="08530678cc6d39af8fd3ab17a632c254" ns2:_="" ns3:_="">
    <xsd:import namespace="fcc2d179-e1c0-4ba4-b391-c36caac63db6"/>
    <xsd:import namespace="73cfd51c-997c-4892-8dbc-29e913d54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2d179-e1c0-4ba4-b391-c36caac63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a8f5543-9156-471b-bc20-f590a45ac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fd51c-997c-4892-8dbc-29e913d541a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ce93764-69d1-454a-8172-926b43afbbde}" ma:internalName="TaxCatchAll" ma:showField="CatchAllData" ma:web="73cfd51c-997c-4892-8dbc-29e913d54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F755A-58FA-4284-82BE-B2FEFA7AB731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73cfd51c-997c-4892-8dbc-29e913d541a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cc2d179-e1c0-4ba4-b391-c36caac63db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3E82DB-9D56-409B-B75E-8DD023FCD3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07745-98BE-4BE9-BF1D-BFDC4243C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2d179-e1c0-4ba4-b391-c36caac63db6"/>
    <ds:schemaRef ds:uri="73cfd51c-997c-4892-8dbc-29e913d54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2023-02-02T00:00:35Z</dcterms:created>
  <dcterms:modified xsi:type="dcterms:W3CDTF">2024-10-25T15:27:44Z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0x010100A6A5FD5A6127E84CB6A4790A52B44D0F</vt:lpwstr>
  </property>
  <property fmtid="{D5CDD505-2E9C-101B-9397-08002B2CF9AE}" pid="3" name="MediaServiceImageTags">
    <vt:lpwstr/>
  </property>
</Properties>
</file>