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rices\MHP\Продаж\"/>
    </mc:Choice>
  </mc:AlternateContent>
  <xr:revisionPtr revIDLastSave="0" documentId="13_ncr:1_{36FCB61A-7838-408F-B414-A325CD9B3B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MHP)" sheetId="1" r:id="rId1"/>
  </sheets>
  <definedNames>
    <definedName name="_xlnm._FilterDatabase" localSheetId="0" hidden="1">'DSN GROUP (MHP)'!$A$2:$J$54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1" i="1" l="1"/>
  <c r="M7" i="1"/>
  <c r="M4" i="1"/>
  <c r="N4" i="1"/>
  <c r="O4" i="1"/>
  <c r="P4" i="1"/>
  <c r="M5" i="1"/>
  <c r="N5" i="1"/>
  <c r="O5" i="1"/>
  <c r="P5" i="1"/>
  <c r="M6" i="1"/>
  <c r="N6" i="1"/>
  <c r="O6" i="1"/>
  <c r="P6" i="1"/>
  <c r="N7" i="1"/>
  <c r="O7" i="1"/>
  <c r="P7" i="1"/>
  <c r="M8" i="1"/>
  <c r="N8" i="1"/>
  <c r="O8" i="1"/>
  <c r="P8" i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M28" i="1"/>
  <c r="N28" i="1"/>
  <c r="O28" i="1"/>
  <c r="P28" i="1"/>
  <c r="M29" i="1"/>
  <c r="N29" i="1"/>
  <c r="O29" i="1"/>
  <c r="P29" i="1"/>
  <c r="M30" i="1"/>
  <c r="N30" i="1"/>
  <c r="O30" i="1"/>
  <c r="P30" i="1"/>
  <c r="M31" i="1"/>
  <c r="N31" i="1"/>
  <c r="O31" i="1"/>
  <c r="P31" i="1"/>
  <c r="M32" i="1"/>
  <c r="N32" i="1"/>
  <c r="O32" i="1"/>
  <c r="P32" i="1"/>
  <c r="M33" i="1"/>
  <c r="N33" i="1"/>
  <c r="O33" i="1"/>
  <c r="P33" i="1"/>
  <c r="M34" i="1"/>
  <c r="N34" i="1"/>
  <c r="O34" i="1"/>
  <c r="P34" i="1"/>
  <c r="M35" i="1"/>
  <c r="N35" i="1"/>
  <c r="O35" i="1"/>
  <c r="P35" i="1"/>
  <c r="M36" i="1"/>
  <c r="N36" i="1"/>
  <c r="O36" i="1"/>
  <c r="P36" i="1"/>
  <c r="M37" i="1"/>
  <c r="N37" i="1"/>
  <c r="O37" i="1"/>
  <c r="P37" i="1"/>
  <c r="M38" i="1"/>
  <c r="N38" i="1"/>
  <c r="O38" i="1"/>
  <c r="P38" i="1"/>
  <c r="M39" i="1"/>
  <c r="N39" i="1"/>
  <c r="O39" i="1"/>
  <c r="P39" i="1"/>
  <c r="M40" i="1"/>
  <c r="N40" i="1"/>
  <c r="O40" i="1"/>
  <c r="P40" i="1"/>
  <c r="M41" i="1"/>
  <c r="N41" i="1"/>
  <c r="O41" i="1"/>
  <c r="P41" i="1"/>
  <c r="M42" i="1"/>
  <c r="N42" i="1"/>
  <c r="O42" i="1"/>
  <c r="P42" i="1"/>
  <c r="M43" i="1"/>
  <c r="N43" i="1"/>
  <c r="O43" i="1"/>
  <c r="P43" i="1"/>
  <c r="M44" i="1"/>
  <c r="N44" i="1"/>
  <c r="O44" i="1"/>
  <c r="P44" i="1"/>
  <c r="M45" i="1"/>
  <c r="N45" i="1"/>
  <c r="O45" i="1"/>
  <c r="P45" i="1"/>
  <c r="M46" i="1"/>
  <c r="N46" i="1"/>
  <c r="O46" i="1"/>
  <c r="P46" i="1"/>
  <c r="M47" i="1"/>
  <c r="N47" i="1"/>
  <c r="O47" i="1"/>
  <c r="P47" i="1"/>
  <c r="M48" i="1"/>
  <c r="N48" i="1"/>
  <c r="O48" i="1"/>
  <c r="P48" i="1"/>
  <c r="M49" i="1"/>
  <c r="N49" i="1"/>
  <c r="O49" i="1"/>
  <c r="P49" i="1"/>
  <c r="M50" i="1"/>
  <c r="N50" i="1"/>
  <c r="O50" i="1"/>
  <c r="P50" i="1"/>
  <c r="M51" i="1"/>
  <c r="N51" i="1"/>
  <c r="O51" i="1"/>
  <c r="P51" i="1"/>
  <c r="M52" i="1"/>
  <c r="N52" i="1"/>
  <c r="O52" i="1"/>
  <c r="P52" i="1"/>
  <c r="M53" i="1"/>
  <c r="N53" i="1"/>
  <c r="O53" i="1"/>
  <c r="P53" i="1"/>
  <c r="M54" i="1"/>
  <c r="N54" i="1"/>
  <c r="O54" i="1"/>
  <c r="P54" i="1"/>
  <c r="O3" i="1"/>
  <c r="P3" i="1" s="1"/>
  <c r="M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3" i="1"/>
  <c r="R22" i="1" l="1"/>
  <c r="R42" i="1"/>
  <c r="R34" i="1"/>
  <c r="R13" i="1"/>
  <c r="R12" i="1"/>
  <c r="R17" i="1"/>
  <c r="R9" i="1"/>
  <c r="R30" i="1"/>
  <c r="R26" i="1"/>
  <c r="R21" i="1"/>
  <c r="R49" i="1"/>
  <c r="R39" i="1"/>
  <c r="R50" i="1"/>
  <c r="R44" i="1"/>
  <c r="R41" i="1"/>
  <c r="R11" i="1"/>
  <c r="R45" i="1"/>
  <c r="R35" i="1"/>
  <c r="R53" i="1"/>
  <c r="R51" i="1"/>
  <c r="R33" i="1"/>
  <c r="R28" i="1"/>
  <c r="R25" i="1"/>
  <c r="R23" i="1"/>
  <c r="R19" i="1"/>
  <c r="R36" i="1"/>
  <c r="R5" i="1"/>
  <c r="R54" i="1"/>
  <c r="R43" i="1"/>
  <c r="R29" i="1"/>
  <c r="R27" i="1"/>
  <c r="R7" i="1"/>
  <c r="R20" i="1"/>
  <c r="R47" i="1"/>
  <c r="R15" i="1"/>
  <c r="R48" i="1"/>
  <c r="R14" i="1"/>
  <c r="R37" i="1"/>
  <c r="R32" i="1"/>
  <c r="R6" i="1"/>
  <c r="R4" i="1"/>
  <c r="R40" i="1"/>
  <c r="R10" i="1"/>
  <c r="R31" i="1"/>
  <c r="R38" i="1"/>
  <c r="R8" i="1"/>
  <c r="R46" i="1"/>
  <c r="R18" i="1"/>
  <c r="R16" i="1"/>
  <c r="R52" i="1"/>
  <c r="R24" i="1"/>
  <c r="O2" i="1"/>
  <c r="R3" i="1"/>
  <c r="P2" i="1"/>
  <c r="N3" i="1" s="1"/>
  <c r="K2" i="1"/>
  <c r="R1" i="1" l="1"/>
</calcChain>
</file>

<file path=xl/sharedStrings.xml><?xml version="1.0" encoding="utf-8"?>
<sst xmlns="http://schemas.openxmlformats.org/spreadsheetml/2006/main" count="127" uniqueCount="87">
  <si>
    <t>Servings</t>
  </si>
  <si>
    <t>Flavor</t>
  </si>
  <si>
    <t>Vanilla Ice Cream</t>
  </si>
  <si>
    <t>Milk Chocolate</t>
  </si>
  <si>
    <t>Cookies &amp; Cream</t>
  </si>
  <si>
    <t>Blue Raspberry</t>
  </si>
  <si>
    <t>Fruit Punch</t>
  </si>
  <si>
    <t>French Vanilla Creme</t>
  </si>
  <si>
    <t>NA</t>
  </si>
  <si>
    <t>Blue Ice</t>
  </si>
  <si>
    <t>Item #</t>
  </si>
  <si>
    <t>UPC</t>
  </si>
  <si>
    <t>Product</t>
  </si>
  <si>
    <t>Units/case</t>
  </si>
  <si>
    <t>666222030005</t>
  </si>
  <si>
    <t>666222097404</t>
  </si>
  <si>
    <t>Chocolate</t>
  </si>
  <si>
    <t>Vanilla</t>
  </si>
  <si>
    <t>Orange</t>
  </si>
  <si>
    <t xml:space="preserve">Blue Raspberry </t>
  </si>
  <si>
    <t xml:space="preserve">Lemon Lime </t>
  </si>
  <si>
    <t xml:space="preserve">Chocolate </t>
  </si>
  <si>
    <t xml:space="preserve">Apple Cinnamon </t>
  </si>
  <si>
    <t xml:space="preserve">Wild Cherry </t>
  </si>
  <si>
    <t xml:space="preserve">Vanilla </t>
  </si>
  <si>
    <t xml:space="preserve">Chocolate Peanut Butter Pie </t>
  </si>
  <si>
    <t xml:space="preserve">Coffee Crumb Cake </t>
  </si>
  <si>
    <t xml:space="preserve">Strawberry Short Cake </t>
  </si>
  <si>
    <t>Strawberry Kiwi</t>
  </si>
  <si>
    <t xml:space="preserve">Peach </t>
  </si>
  <si>
    <t xml:space="preserve">Raspberry </t>
  </si>
  <si>
    <t xml:space="preserve">Peach Mango </t>
  </si>
  <si>
    <t xml:space="preserve">NA </t>
  </si>
  <si>
    <t xml:space="preserve">Pink Lemonade </t>
  </si>
  <si>
    <t xml:space="preserve">Orange </t>
  </si>
  <si>
    <t>Raspberry Lemonade</t>
  </si>
  <si>
    <t>Order</t>
  </si>
  <si>
    <t>Total</t>
  </si>
  <si>
    <t>USA → +13-322-093-910</t>
  </si>
  <si>
    <t>Poland → +48-459-568-603</t>
  </si>
  <si>
    <t>WhatsApp → +380-9871-54085</t>
  </si>
  <si>
    <t>E-mail → info@dsn.group</t>
  </si>
  <si>
    <t>Instagram → https://www.instagram.com/dsngroup.official/</t>
  </si>
  <si>
    <t>Price</t>
  </si>
  <si>
    <r>
      <rPr>
        <b/>
        <sz val="10"/>
        <color rgb="FFFF0000"/>
        <rFont val="Calibri"/>
        <family val="2"/>
        <scheme val="minor"/>
      </rPr>
      <t>Importantly!</t>
    </r>
    <r>
      <rPr>
        <sz val="10"/>
        <color theme="1"/>
        <rFont val="Calibri"/>
        <family val="2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
- - The factory can slightly reduce the price by a few percent for orders ranging from 30,000 to 50,000, but no additional discounts or special conditions are available.</t>
    </r>
  </si>
  <si>
    <t>Activite Sport Multi Tab 120ct</t>
  </si>
  <si>
    <t>Anadrox Tab 112ct</t>
  </si>
  <si>
    <t>Anadrox Tab 224ct</t>
  </si>
  <si>
    <t>Anadrox Powder  279g</t>
  </si>
  <si>
    <t>Anadrox Powder  279</t>
  </si>
  <si>
    <t>EAA Strong  300g</t>
  </si>
  <si>
    <t>Creatine Monohydrate 300gr</t>
  </si>
  <si>
    <t>Dark Matter 3.4lb</t>
  </si>
  <si>
    <t>Glutamine-SR 300gr</t>
  </si>
  <si>
    <t>Glutamine-SR 1000gr</t>
  </si>
  <si>
    <t>Hyper Crush  461g</t>
  </si>
  <si>
    <t>Hyper Crush  461G</t>
  </si>
  <si>
    <t>Maximum Whey 5lb</t>
  </si>
  <si>
    <t>Secretagogue Clinical Strength-Gold  30pk</t>
  </si>
  <si>
    <t>Secretagogue One  30pk</t>
  </si>
  <si>
    <t>Super Fat Burner + 60ct</t>
  </si>
  <si>
    <t>T-Bomb 3xtreme Tabs 168ct</t>
  </si>
  <si>
    <t>UYM XXXL 1350  6lb</t>
  </si>
  <si>
    <t>UYM XXXL 1350  12lb</t>
  </si>
  <si>
    <t xml:space="preserve">Probolic SR  4lb </t>
  </si>
  <si>
    <t xml:space="preserve">Probolic SR  2lb </t>
  </si>
  <si>
    <t xml:space="preserve">Xpel Caffeine Free  80ct </t>
  </si>
  <si>
    <t>Xpel Caps 80ct</t>
  </si>
  <si>
    <t xml:space="preserve">Impact Hydration Lemon Lime 30 serv 30ct </t>
  </si>
  <si>
    <t xml:space="preserve">Impact Hydration Lemon Lime 14 ct 14ct </t>
  </si>
  <si>
    <t>Fit &amp; Lean Meal Shake  1lb</t>
  </si>
  <si>
    <t xml:space="preserve">Fit &amp; lean Meal Shake  1lb </t>
  </si>
  <si>
    <t xml:space="preserve">Fit &amp; Lean Meal Shake  1lb </t>
  </si>
  <si>
    <t>Fit &amp; Lean N-CLA  30</t>
  </si>
  <si>
    <t>Fit &amp; Lean Matcha Amore Peach 30serv 30</t>
  </si>
  <si>
    <t>Fit &amp; Lean Matcha Amore Peach Stick Pack 10ct 10</t>
  </si>
  <si>
    <t>Fit &amp; Lean Matcha Amore Raspberry  30serv 30</t>
  </si>
  <si>
    <t>Fit &amp; Lean Matcha Amore Raspberry Stick Pack 10ct 10</t>
  </si>
  <si>
    <t>Fit &amp; Lean Amino Hydration &amp; Energy Pink Lemonade  30</t>
  </si>
  <si>
    <t xml:space="preserve">Fit &amp; Lean Amino Hydration Peach Mango  12.3oz </t>
  </si>
  <si>
    <t xml:space="preserve">Fit &amp; Lean Cacao Matcha  3.7oz </t>
  </si>
  <si>
    <t xml:space="preserve">Fit &amp; Lean Collaven  NA </t>
  </si>
  <si>
    <t>Weight, kg</t>
  </si>
  <si>
    <t>Unіt Freight Cost</t>
  </si>
  <si>
    <t>unit, key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</si>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</sst>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&quot;$&quot;#,##0.00"/>
    <numFmt numFmtId="166" formatCode="_-&quot;$&quot;* #,##0.00_-;\-&quot;$&quot;* #,##0.00_-;_-&quot;$&quot;* &quot;-&quot;??_-;_-@_-"/>
    <numFmt numFmtId="167" formatCode="00000"/>
    <numFmt numFmtId="168" formatCode="_-[$$-1009]* #,##0.00_-;\-[$$-1009]* #,##0.00_-;_-[$$-1009]* &quot;-&quot;??_-;_-@_-"/>
    <numFmt numFmtId="169" formatCode="_-[$$-409]* #,##0.00_ ;_-[$$-409]* \-#,##0.00\ ;_-[$$-409]* &quot;-&quot;??_ ;_-@_ "/>
    <numFmt numFmtId="170" formatCode="[$$-409]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1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/>
    </xf>
    <xf numFmtId="1" fontId="1" fillId="3" borderId="2" xfId="3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3" borderId="2" xfId="3" applyFill="1" applyBorder="1" applyAlignment="1">
      <alignment horizontal="center" vertical="center"/>
    </xf>
    <xf numFmtId="0" fontId="0" fillId="3" borderId="2" xfId="3" applyFont="1" applyFill="1" applyBorder="1" applyAlignment="1">
      <alignment horizontal="center" vertical="center"/>
    </xf>
    <xf numFmtId="165" fontId="3" fillId="3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5" fillId="4" borderId="2" xfId="0" applyFont="1" applyFill="1" applyBorder="1" applyAlignment="1" applyProtection="1">
      <alignment horizontal="center" vertical="center"/>
      <protection locked="0"/>
    </xf>
    <xf numFmtId="0" fontId="6" fillId="0" borderId="2" xfId="0" quotePrefix="1" applyFont="1" applyBorder="1" applyAlignment="1" applyProtection="1">
      <alignment horizontal="center" vertical="center"/>
      <protection locked="0"/>
    </xf>
    <xf numFmtId="49" fontId="2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65" fontId="3" fillId="3" borderId="9" xfId="1" applyNumberFormat="1" applyFont="1" applyFill="1" applyBorder="1" applyAlignment="1">
      <alignment horizontal="center" vertical="center"/>
    </xf>
    <xf numFmtId="165" fontId="0" fillId="0" borderId="2" xfId="0" applyNumberFormat="1" applyBorder="1"/>
    <xf numFmtId="0" fontId="1" fillId="3" borderId="10" xfId="3" applyFill="1" applyBorder="1" applyAlignment="1">
      <alignment horizontal="center" vertical="center"/>
    </xf>
    <xf numFmtId="165" fontId="7" fillId="3" borderId="9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3" fillId="0" borderId="9" xfId="1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0" fontId="9" fillId="0" borderId="13" xfId="0" applyFont="1" applyBorder="1" applyAlignment="1" applyProtection="1">
      <alignment horizontal="center"/>
      <protection hidden="1"/>
    </xf>
    <xf numFmtId="0" fontId="11" fillId="0" borderId="14" xfId="6" applyFont="1" applyBorder="1" applyAlignment="1" applyProtection="1">
      <alignment horizontal="center"/>
      <protection hidden="1"/>
    </xf>
    <xf numFmtId="0" fontId="11" fillId="0" borderId="15" xfId="6" applyFont="1" applyBorder="1" applyAlignment="1" applyProtection="1">
      <alignment horizontal="center"/>
      <protection hidden="1"/>
    </xf>
    <xf numFmtId="0" fontId="11" fillId="0" borderId="16" xfId="6" applyFont="1" applyBorder="1" applyAlignment="1" applyProtection="1">
      <alignment horizontal="center"/>
      <protection hidden="1"/>
    </xf>
    <xf numFmtId="0" fontId="11" fillId="0" borderId="17" xfId="6" applyFont="1" applyBorder="1" applyAlignment="1" applyProtection="1">
      <alignment horizontal="center"/>
      <protection hidden="1"/>
    </xf>
    <xf numFmtId="0" fontId="11" fillId="0" borderId="18" xfId="6" applyFont="1" applyBorder="1" applyAlignment="1" applyProtection="1">
      <alignment horizontal="center"/>
      <protection hidden="1"/>
    </xf>
    <xf numFmtId="0" fontId="0" fillId="0" borderId="7" xfId="0" applyBorder="1" applyAlignment="1">
      <alignment horizontal="left" vertical="center"/>
    </xf>
    <xf numFmtId="14" fontId="8" fillId="0" borderId="0" xfId="0" applyNumberFormat="1" applyFont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68" fontId="2" fillId="2" borderId="13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14" fontId="8" fillId="5" borderId="13" xfId="0" applyNumberFormat="1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169" fontId="14" fillId="5" borderId="13" xfId="0" applyNumberFormat="1" applyFont="1" applyFill="1" applyBorder="1" applyAlignment="1" applyProtection="1">
      <alignment horizontal="center" vertical="center" wrapText="1" readingOrder="1"/>
      <protection hidden="1"/>
    </xf>
    <xf numFmtId="170" fontId="8" fillId="5" borderId="13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 applyProtection="1">
      <alignment horizontal="center" vertical="center" wrapText="1" readingOrder="1"/>
      <protection locked="0"/>
    </xf>
    <xf numFmtId="4" fontId="8" fillId="3" borderId="21" xfId="0" applyNumberFormat="1" applyFont="1" applyFill="1" applyBorder="1" applyAlignment="1">
      <alignment horizontal="center" vertical="center"/>
    </xf>
    <xf numFmtId="169" fontId="14" fillId="3" borderId="13" xfId="0" applyNumberFormat="1" applyFont="1" applyFill="1" applyBorder="1" applyAlignment="1" applyProtection="1">
      <alignment horizontal="center" vertical="center" wrapText="1" readingOrder="1"/>
      <protection hidden="1"/>
    </xf>
    <xf numFmtId="169" fontId="14" fillId="0" borderId="0" xfId="0" applyNumberFormat="1" applyFont="1" applyAlignment="1" applyProtection="1">
      <alignment vertical="center" wrapText="1" readingOrder="1"/>
      <protection hidden="1"/>
    </xf>
    <xf numFmtId="0" fontId="8" fillId="6" borderId="13" xfId="0" applyFont="1" applyFill="1" applyBorder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70" fontId="8" fillId="0" borderId="0" xfId="0" applyNumberFormat="1" applyFont="1" applyAlignment="1">
      <alignment horizontal="center" vertical="center"/>
    </xf>
    <xf numFmtId="49" fontId="12" fillId="0" borderId="12" xfId="0" applyNumberFormat="1" applyFont="1" applyBorder="1" applyAlignment="1">
      <alignment horizontal="left" wrapText="1"/>
    </xf>
    <xf numFmtId="49" fontId="12" fillId="0" borderId="12" xfId="0" applyNumberFormat="1" applyFont="1" applyBorder="1" applyAlignment="1">
      <alignment horizontal="left"/>
    </xf>
    <xf numFmtId="14" fontId="8" fillId="5" borderId="20" xfId="0" applyNumberFormat="1" applyFont="1" applyFill="1" applyBorder="1" applyAlignment="1">
      <alignment horizontal="center" vertical="center" wrapText="1"/>
    </xf>
    <xf numFmtId="14" fontId="8" fillId="5" borderId="21" xfId="0" applyNumberFormat="1" applyFont="1" applyFill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0" borderId="2" xfId="0" quotePrefix="1" applyNumberFormat="1" applyBorder="1" applyAlignment="1">
      <alignment horizontal="center"/>
    </xf>
    <xf numFmtId="0" fontId="0" fillId="0" borderId="11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/>
    </xf>
    <xf numFmtId="2" fontId="0" fillId="0" borderId="7" xfId="0" applyNumberFormat="1" applyBorder="1" applyAlignment="1">
      <alignment horizontal="center" vertical="center"/>
    </xf>
  </cellXfs>
  <cellStyles count="7">
    <cellStyle name="Currency 2" xfId="4" xr:uid="{00000000-0005-0000-0000-000031000000}"/>
    <cellStyle name="Excel Built-in Normal" xfId="6" xr:uid="{DD608182-BCAC-4307-A790-4042DC44470F}"/>
    <cellStyle name="Normal 2" xfId="3" xr:uid="{00000000-0005-0000-0000-000002000000}"/>
    <cellStyle name="Normal 3" xfId="2" xr:uid="{00000000-0005-0000-0000-000003000000}"/>
    <cellStyle name="Percent 2" xfId="5" xr:uid="{00000000-0005-0000-0000-000032000000}"/>
    <cellStyle name="Грошовий" xfId="1" builtinId="4"/>
    <cellStyle name="Звичайний" xfId="0" builtinId="0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240030</xdr:colOff>
      <xdr:row>0</xdr:row>
      <xdr:rowOff>205740</xdr:rowOff>
    </xdr:from>
    <xdr:to>
      <xdr:col>9</xdr:col>
      <xdr:colOff>325120</xdr:colOff>
      <xdr:row>0</xdr:row>
      <xdr:rowOff>919987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2ED88E-ACD3-425B-8FC4-C156C2F45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0" y="205740"/>
          <a:ext cx="2332990" cy="714247"/>
        </a:xfrm>
        <a:prstGeom prst="rect">
          <a:avLst/>
        </a:prstGeom>
      </xdr:spPr>
    </xdr:pic>
    <xdr:clientData/>
  </xdr:twoCellAnchor>
  <xdr:twoCellAnchor>
    <xdr:from>
      <xdr:col>2</xdr:col>
      <xdr:colOff>1059180</xdr:colOff>
      <xdr:row>56</xdr:row>
      <xdr:rowOff>51974</xdr:rowOff>
    </xdr:from>
    <xdr:to>
      <xdr:col>2</xdr:col>
      <xdr:colOff>2529840</xdr:colOff>
      <xdr:row>56</xdr:row>
      <xdr:rowOff>364847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C0412BE4-F501-48A9-9EFA-E2AB38F778A4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12297314"/>
          <a:ext cx="1470660" cy="312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2"/>
  <sheetViews>
    <sheetView tabSelected="1" zoomScale="80" zoomScaleNormal="80" workbookViewId="0">
      <pane ySplit="2" topLeftCell="A3" activePane="bottomLeft" state="frozen"/>
      <selection pane="bottomLeft" activeCell="G6" sqref="G6"/>
    </sheetView>
  </sheetViews>
  <sheetFormatPr defaultRowHeight="14.4" x14ac:dyDescent="0.3"/>
  <cols>
    <col min="1" max="1" width="9.109375" style="2" customWidth="1"/>
    <col min="2" max="2" width="20.44140625" style="1" customWidth="1"/>
    <col min="3" max="3" width="52.109375" style="1" bestFit="1" customWidth="1"/>
    <col min="4" max="4" width="18.44140625" style="1" bestFit="1" customWidth="1"/>
    <col min="5" max="5" width="13.77734375" style="1" bestFit="1" customWidth="1"/>
    <col min="6" max="6" width="8.5546875" style="1" customWidth="1"/>
    <col min="7" max="7" width="10.88671875" style="1" customWidth="1"/>
    <col min="8" max="8" width="13" style="1" customWidth="1"/>
    <col min="10" max="10" width="10.88671875" customWidth="1"/>
    <col min="11" max="11" width="13.33203125" customWidth="1"/>
    <col min="12" max="12" width="4.88671875" customWidth="1"/>
    <col min="15" max="15" width="12.33203125" bestFit="1" customWidth="1"/>
    <col min="16" max="16" width="12.109375" bestFit="1" customWidth="1"/>
    <col min="17" max="17" width="4" customWidth="1"/>
    <col min="18" max="18" width="11" bestFit="1" customWidth="1"/>
  </cols>
  <sheetData>
    <row r="1" spans="1:18" ht="96" customHeight="1" thickBot="1" x14ac:dyDescent="0.35">
      <c r="A1" s="52" t="s">
        <v>44</v>
      </c>
      <c r="B1" s="53"/>
      <c r="C1" s="53"/>
      <c r="D1" s="53"/>
      <c r="E1" s="53"/>
      <c r="F1" s="53"/>
      <c r="G1" s="53"/>
      <c r="H1" s="53"/>
      <c r="I1" s="53"/>
      <c r="J1" s="53"/>
      <c r="K1" s="34">
        <v>45727</v>
      </c>
      <c r="M1" s="40" t="s">
        <v>83</v>
      </c>
      <c r="N1" s="54" t="s">
        <v>84</v>
      </c>
      <c r="O1" s="41" t="s">
        <v>82</v>
      </c>
      <c r="P1" s="42" t="s">
        <v>85</v>
      </c>
      <c r="R1" s="43" t="str">
        <f>IFERROR(IF(SUM(R3:R271)=0, "-", K2+P2), "-")</f>
        <v>-</v>
      </c>
    </row>
    <row r="2" spans="1:18" ht="31.8" customHeight="1" thickBot="1" x14ac:dyDescent="0.35">
      <c r="A2" s="12" t="s">
        <v>10</v>
      </c>
      <c r="B2" s="13" t="s">
        <v>11</v>
      </c>
      <c r="C2" s="14" t="s">
        <v>12</v>
      </c>
      <c r="D2" s="15" t="s">
        <v>1</v>
      </c>
      <c r="E2" s="15" t="s">
        <v>0</v>
      </c>
      <c r="F2" s="39" t="s">
        <v>82</v>
      </c>
      <c r="G2" s="15" t="s">
        <v>13</v>
      </c>
      <c r="H2" s="18" t="s">
        <v>43</v>
      </c>
      <c r="I2" s="35" t="s">
        <v>36</v>
      </c>
      <c r="J2" s="36" t="s">
        <v>37</v>
      </c>
      <c r="K2" s="37">
        <f>SUM(J3:J54)</f>
        <v>0</v>
      </c>
      <c r="M2" s="44"/>
      <c r="N2" s="55"/>
      <c r="O2" s="45" t="str">
        <f>IF(SUM(O3:O271)=0, "-", SUM(O3:O271))</f>
        <v>-</v>
      </c>
      <c r="P2" s="46" t="str">
        <f>IF(SUM(P3:P271)=0, "-", SUM(P3:P271))</f>
        <v>-</v>
      </c>
      <c r="Q2" s="47"/>
      <c r="R2" s="48" t="s">
        <v>86</v>
      </c>
    </row>
    <row r="3" spans="1:18" x14ac:dyDescent="0.3">
      <c r="A3" s="56">
        <v>7984</v>
      </c>
      <c r="B3" s="16">
        <v>666222097299</v>
      </c>
      <c r="C3" s="33" t="s">
        <v>45</v>
      </c>
      <c r="D3" s="17" t="s">
        <v>8</v>
      </c>
      <c r="E3" s="17">
        <v>30</v>
      </c>
      <c r="F3" s="17">
        <v>0.56999999999999995</v>
      </c>
      <c r="G3" s="17">
        <v>6</v>
      </c>
      <c r="H3" s="19">
        <v>17.188600000000001</v>
      </c>
      <c r="I3" s="38"/>
      <c r="J3" s="20">
        <f t="shared" ref="J3:J32" si="0">I3*H3</f>
        <v>0</v>
      </c>
      <c r="M3" s="49" t="str">
        <f>IFERROR(IF($M$2*F3=0, "-", $M$2*F3), "-")</f>
        <v>-</v>
      </c>
      <c r="N3" s="49" t="str">
        <f>IF(I3&gt;0,H3+F3*I3/$O$2*$P$2/I3,"-")</f>
        <v>-</v>
      </c>
      <c r="O3" s="50" t="str">
        <f>IF(I3&gt;0,I3*F3*1.113, "-")</f>
        <v>-</v>
      </c>
      <c r="P3" s="51" t="str">
        <f>IFERROR(IF($M$2&gt;0, $M$2*O3, "-"), "-")</f>
        <v>-</v>
      </c>
      <c r="R3" s="51" t="str">
        <f>IFERROR(IF(P3+J3=0, "-", IF(P3&gt;0, P3+J3, "-")), "-")</f>
        <v>-</v>
      </c>
    </row>
    <row r="4" spans="1:18" x14ac:dyDescent="0.3">
      <c r="A4" s="57">
        <v>942001</v>
      </c>
      <c r="B4" s="9">
        <v>666222942001</v>
      </c>
      <c r="C4" s="33" t="s">
        <v>46</v>
      </c>
      <c r="D4" s="8" t="s">
        <v>8</v>
      </c>
      <c r="E4" s="8">
        <v>28</v>
      </c>
      <c r="F4" s="17">
        <v>0.14000000000000001</v>
      </c>
      <c r="G4" s="8">
        <v>6</v>
      </c>
      <c r="H4" s="19">
        <v>17.653350000000003</v>
      </c>
      <c r="I4" s="38"/>
      <c r="J4" s="20">
        <f t="shared" si="0"/>
        <v>0</v>
      </c>
      <c r="M4" s="49" t="str">
        <f t="shared" ref="M4:M54" si="1">IFERROR(IF($M$2*F4=0, "-", $M$2*F4), "-")</f>
        <v>-</v>
      </c>
      <c r="N4" s="49" t="str">
        <f t="shared" ref="N4:N54" si="2">IF(I4&gt;0,H4+F4*I4/$O$2*$P$2/I4,"-")</f>
        <v>-</v>
      </c>
      <c r="O4" s="50" t="str">
        <f t="shared" ref="O4:O54" si="3">IF(I4&gt;0,I4*F4*1.113, "-")</f>
        <v>-</v>
      </c>
      <c r="P4" s="51" t="str">
        <f t="shared" ref="P4:P54" si="4">IFERROR(IF($M$2&gt;0, $M$2*O4, "-"), "-")</f>
        <v>-</v>
      </c>
      <c r="R4" s="51" t="str">
        <f t="shared" ref="R4:R54" si="5">IFERROR(IF(P4+J4=0, "-", IF(P4&gt;0, P4+J4, "-")), "-")</f>
        <v>-</v>
      </c>
    </row>
    <row r="5" spans="1:18" x14ac:dyDescent="0.3">
      <c r="A5" s="57">
        <v>942018</v>
      </c>
      <c r="B5" s="9">
        <v>666222942018</v>
      </c>
      <c r="C5" s="33" t="s">
        <v>47</v>
      </c>
      <c r="D5" s="8" t="s">
        <v>8</v>
      </c>
      <c r="E5" s="8">
        <v>56</v>
      </c>
      <c r="F5" s="17">
        <v>0.25</v>
      </c>
      <c r="G5" s="8">
        <v>6</v>
      </c>
      <c r="H5" s="19">
        <v>32.52535000000001</v>
      </c>
      <c r="I5" s="38"/>
      <c r="J5" s="20">
        <f t="shared" si="0"/>
        <v>0</v>
      </c>
      <c r="M5" s="49" t="str">
        <f t="shared" si="1"/>
        <v>-</v>
      </c>
      <c r="N5" s="49" t="str">
        <f t="shared" si="2"/>
        <v>-</v>
      </c>
      <c r="O5" s="50" t="str">
        <f t="shared" si="3"/>
        <v>-</v>
      </c>
      <c r="P5" s="51" t="str">
        <f t="shared" si="4"/>
        <v>-</v>
      </c>
      <c r="R5" s="51" t="str">
        <f t="shared" si="5"/>
        <v>-</v>
      </c>
    </row>
    <row r="6" spans="1:18" x14ac:dyDescent="0.3">
      <c r="A6" s="57">
        <v>9711</v>
      </c>
      <c r="B6" s="9">
        <v>666222009711</v>
      </c>
      <c r="C6" s="33" t="s">
        <v>48</v>
      </c>
      <c r="D6" s="8" t="s">
        <v>22</v>
      </c>
      <c r="E6" s="8">
        <v>30</v>
      </c>
      <c r="F6" s="62">
        <v>0.36</v>
      </c>
      <c r="G6" s="8">
        <v>12</v>
      </c>
      <c r="H6" s="19">
        <v>18.582850000000001</v>
      </c>
      <c r="I6" s="38"/>
      <c r="J6" s="20">
        <f t="shared" si="0"/>
        <v>0</v>
      </c>
      <c r="M6" s="49" t="str">
        <f t="shared" si="1"/>
        <v>-</v>
      </c>
      <c r="N6" s="49" t="str">
        <f t="shared" si="2"/>
        <v>-</v>
      </c>
      <c r="O6" s="50" t="str">
        <f t="shared" si="3"/>
        <v>-</v>
      </c>
      <c r="P6" s="51" t="str">
        <f t="shared" si="4"/>
        <v>-</v>
      </c>
      <c r="R6" s="51" t="str">
        <f t="shared" si="5"/>
        <v>-</v>
      </c>
    </row>
    <row r="7" spans="1:18" x14ac:dyDescent="0.3">
      <c r="A7" s="57">
        <v>9728</v>
      </c>
      <c r="B7" s="9">
        <v>666222009728</v>
      </c>
      <c r="C7" s="33" t="s">
        <v>49</v>
      </c>
      <c r="D7" s="8" t="s">
        <v>23</v>
      </c>
      <c r="E7" s="8">
        <v>30</v>
      </c>
      <c r="F7" s="62">
        <v>0.3775</v>
      </c>
      <c r="G7" s="8">
        <v>12</v>
      </c>
      <c r="H7" s="19">
        <v>18.582850000000001</v>
      </c>
      <c r="I7" s="38"/>
      <c r="J7" s="20">
        <f t="shared" si="0"/>
        <v>0</v>
      </c>
      <c r="M7" s="49" t="str">
        <f t="shared" si="1"/>
        <v>-</v>
      </c>
      <c r="N7" s="49" t="str">
        <f t="shared" si="2"/>
        <v>-</v>
      </c>
      <c r="O7" s="50" t="str">
        <f t="shared" si="3"/>
        <v>-</v>
      </c>
      <c r="P7" s="51" t="str">
        <f t="shared" si="4"/>
        <v>-</v>
      </c>
      <c r="R7" s="51" t="str">
        <f t="shared" si="5"/>
        <v>-</v>
      </c>
    </row>
    <row r="8" spans="1:18" x14ac:dyDescent="0.3">
      <c r="A8" s="57">
        <v>9643</v>
      </c>
      <c r="B8" s="9">
        <v>666222009643</v>
      </c>
      <c r="C8" s="33" t="s">
        <v>50</v>
      </c>
      <c r="D8" s="8" t="s">
        <v>19</v>
      </c>
      <c r="E8" s="8">
        <v>30</v>
      </c>
      <c r="F8" s="62">
        <v>0.42</v>
      </c>
      <c r="G8" s="8">
        <v>12</v>
      </c>
      <c r="H8" s="19">
        <v>18.582850000000001</v>
      </c>
      <c r="I8" s="38"/>
      <c r="J8" s="20">
        <f t="shared" si="0"/>
        <v>0</v>
      </c>
      <c r="M8" s="49" t="str">
        <f t="shared" si="1"/>
        <v>-</v>
      </c>
      <c r="N8" s="49" t="str">
        <f t="shared" si="2"/>
        <v>-</v>
      </c>
      <c r="O8" s="50" t="str">
        <f t="shared" si="3"/>
        <v>-</v>
      </c>
      <c r="P8" s="51" t="str">
        <f t="shared" si="4"/>
        <v>-</v>
      </c>
      <c r="R8" s="51" t="str">
        <f t="shared" si="5"/>
        <v>-</v>
      </c>
    </row>
    <row r="9" spans="1:18" x14ac:dyDescent="0.3">
      <c r="A9" s="57">
        <v>9636</v>
      </c>
      <c r="B9" s="9">
        <v>666222009636</v>
      </c>
      <c r="C9" s="33" t="s">
        <v>50</v>
      </c>
      <c r="D9" s="8" t="s">
        <v>20</v>
      </c>
      <c r="E9" s="8">
        <v>30</v>
      </c>
      <c r="F9" s="62">
        <v>0.42</v>
      </c>
      <c r="G9" s="8">
        <v>12</v>
      </c>
      <c r="H9" s="19">
        <v>18.582850000000001</v>
      </c>
      <c r="I9" s="38"/>
      <c r="J9" s="20">
        <f t="shared" si="0"/>
        <v>0</v>
      </c>
      <c r="M9" s="49" t="str">
        <f t="shared" si="1"/>
        <v>-</v>
      </c>
      <c r="N9" s="49" t="str">
        <f t="shared" si="2"/>
        <v>-</v>
      </c>
      <c r="O9" s="50" t="str">
        <f t="shared" si="3"/>
        <v>-</v>
      </c>
      <c r="P9" s="51" t="str">
        <f t="shared" si="4"/>
        <v>-</v>
      </c>
      <c r="R9" s="51" t="str">
        <f t="shared" si="5"/>
        <v>-</v>
      </c>
    </row>
    <row r="10" spans="1:18" x14ac:dyDescent="0.3">
      <c r="A10" s="23">
        <v>10281</v>
      </c>
      <c r="B10" s="9">
        <v>666222010281</v>
      </c>
      <c r="C10" s="33" t="s">
        <v>50</v>
      </c>
      <c r="D10" s="8" t="s">
        <v>35</v>
      </c>
      <c r="E10" s="8">
        <v>30</v>
      </c>
      <c r="F10" s="62">
        <v>0.42</v>
      </c>
      <c r="G10" s="8">
        <v>12</v>
      </c>
      <c r="H10" s="19">
        <v>18.582850000000001</v>
      </c>
      <c r="I10" s="38"/>
      <c r="J10" s="20">
        <f t="shared" si="0"/>
        <v>0</v>
      </c>
      <c r="M10" s="49" t="str">
        <f t="shared" si="1"/>
        <v>-</v>
      </c>
      <c r="N10" s="49" t="str">
        <f t="shared" si="2"/>
        <v>-</v>
      </c>
      <c r="O10" s="50" t="str">
        <f t="shared" si="3"/>
        <v>-</v>
      </c>
      <c r="P10" s="51" t="str">
        <f t="shared" si="4"/>
        <v>-</v>
      </c>
      <c r="R10" s="51" t="str">
        <f t="shared" si="5"/>
        <v>-</v>
      </c>
    </row>
    <row r="11" spans="1:18" x14ac:dyDescent="0.3">
      <c r="A11" s="57">
        <v>50515</v>
      </c>
      <c r="B11" s="9">
        <v>666222050515</v>
      </c>
      <c r="C11" s="33" t="s">
        <v>51</v>
      </c>
      <c r="D11" s="8" t="s">
        <v>8</v>
      </c>
      <c r="E11" s="8">
        <v>60</v>
      </c>
      <c r="F11" s="62">
        <v>0.4</v>
      </c>
      <c r="G11" s="8">
        <v>6</v>
      </c>
      <c r="H11" s="19">
        <v>20.906600000000001</v>
      </c>
      <c r="I11" s="38"/>
      <c r="J11" s="20">
        <f t="shared" si="0"/>
        <v>0</v>
      </c>
      <c r="M11" s="49" t="str">
        <f t="shared" si="1"/>
        <v>-</v>
      </c>
      <c r="N11" s="49" t="str">
        <f t="shared" si="2"/>
        <v>-</v>
      </c>
      <c r="O11" s="50" t="str">
        <f t="shared" si="3"/>
        <v>-</v>
      </c>
      <c r="P11" s="51" t="str">
        <f t="shared" si="4"/>
        <v>-</v>
      </c>
      <c r="R11" s="51" t="str">
        <f t="shared" si="5"/>
        <v>-</v>
      </c>
    </row>
    <row r="12" spans="1:18" x14ac:dyDescent="0.3">
      <c r="A12" s="58">
        <v>8752</v>
      </c>
      <c r="B12" s="3">
        <v>666222008752</v>
      </c>
      <c r="C12" s="33" t="s">
        <v>52</v>
      </c>
      <c r="D12" s="5" t="s">
        <v>5</v>
      </c>
      <c r="E12" s="5">
        <v>20</v>
      </c>
      <c r="F12" s="62">
        <v>1.71</v>
      </c>
      <c r="G12" s="5">
        <v>4</v>
      </c>
      <c r="H12" s="19">
        <v>30.668852500000003</v>
      </c>
      <c r="I12" s="38"/>
      <c r="J12" s="20">
        <f t="shared" si="0"/>
        <v>0</v>
      </c>
      <c r="M12" s="49" t="str">
        <f t="shared" si="1"/>
        <v>-</v>
      </c>
      <c r="N12" s="49" t="str">
        <f t="shared" si="2"/>
        <v>-</v>
      </c>
      <c r="O12" s="50" t="str">
        <f t="shared" si="3"/>
        <v>-</v>
      </c>
      <c r="P12" s="51" t="str">
        <f t="shared" si="4"/>
        <v>-</v>
      </c>
      <c r="R12" s="51" t="str">
        <f t="shared" si="5"/>
        <v>-</v>
      </c>
    </row>
    <row r="13" spans="1:18" x14ac:dyDescent="0.3">
      <c r="A13" s="58">
        <v>8769</v>
      </c>
      <c r="B13" s="3">
        <v>666222008769</v>
      </c>
      <c r="C13" s="33" t="s">
        <v>52</v>
      </c>
      <c r="D13" s="5" t="s">
        <v>6</v>
      </c>
      <c r="E13" s="5">
        <v>20</v>
      </c>
      <c r="F13" s="62">
        <v>1.72</v>
      </c>
      <c r="G13" s="5">
        <v>4</v>
      </c>
      <c r="H13" s="19">
        <v>30.668852500000003</v>
      </c>
      <c r="I13" s="38"/>
      <c r="J13" s="20">
        <f t="shared" si="0"/>
        <v>0</v>
      </c>
      <c r="M13" s="49" t="str">
        <f t="shared" si="1"/>
        <v>-</v>
      </c>
      <c r="N13" s="49" t="str">
        <f t="shared" si="2"/>
        <v>-</v>
      </c>
      <c r="O13" s="50" t="str">
        <f t="shared" si="3"/>
        <v>-</v>
      </c>
      <c r="P13" s="51" t="str">
        <f t="shared" si="4"/>
        <v>-</v>
      </c>
      <c r="R13" s="51" t="str">
        <f t="shared" si="5"/>
        <v>-</v>
      </c>
    </row>
    <row r="14" spans="1:18" x14ac:dyDescent="0.3">
      <c r="A14" s="58">
        <v>10137</v>
      </c>
      <c r="B14" s="3">
        <v>6662220010137</v>
      </c>
      <c r="C14" s="33" t="s">
        <v>52</v>
      </c>
      <c r="D14" s="5" t="s">
        <v>34</v>
      </c>
      <c r="E14" s="5">
        <v>20</v>
      </c>
      <c r="F14" s="62">
        <v>1.7553750000000001</v>
      </c>
      <c r="G14" s="5">
        <v>4</v>
      </c>
      <c r="H14" s="19">
        <v>30.668852500000003</v>
      </c>
      <c r="I14" s="38"/>
      <c r="J14" s="20">
        <f t="shared" si="0"/>
        <v>0</v>
      </c>
      <c r="M14" s="49" t="str">
        <f t="shared" si="1"/>
        <v>-</v>
      </c>
      <c r="N14" s="49" t="str">
        <f t="shared" si="2"/>
        <v>-</v>
      </c>
      <c r="O14" s="50" t="str">
        <f t="shared" si="3"/>
        <v>-</v>
      </c>
      <c r="P14" s="51" t="str">
        <f t="shared" si="4"/>
        <v>-</v>
      </c>
      <c r="R14" s="51" t="str">
        <f t="shared" si="5"/>
        <v>-</v>
      </c>
    </row>
    <row r="15" spans="1:18" x14ac:dyDescent="0.3">
      <c r="A15" s="57">
        <v>74207</v>
      </c>
      <c r="B15" s="9">
        <v>666222074207</v>
      </c>
      <c r="C15" s="33" t="s">
        <v>53</v>
      </c>
      <c r="D15" s="8" t="s">
        <v>8</v>
      </c>
      <c r="E15" s="8">
        <v>50</v>
      </c>
      <c r="F15" s="62">
        <v>0.39</v>
      </c>
      <c r="G15" s="8">
        <v>6</v>
      </c>
      <c r="H15" s="19">
        <v>13.93535</v>
      </c>
      <c r="I15" s="38"/>
      <c r="J15" s="20">
        <f t="shared" si="0"/>
        <v>0</v>
      </c>
      <c r="M15" s="49" t="str">
        <f t="shared" si="1"/>
        <v>-</v>
      </c>
      <c r="N15" s="49" t="str">
        <f t="shared" si="2"/>
        <v>-</v>
      </c>
      <c r="O15" s="50" t="str">
        <f t="shared" si="3"/>
        <v>-</v>
      </c>
      <c r="P15" s="51" t="str">
        <f t="shared" si="4"/>
        <v>-</v>
      </c>
      <c r="R15" s="51" t="str">
        <f t="shared" si="5"/>
        <v>-</v>
      </c>
    </row>
    <row r="16" spans="1:18" x14ac:dyDescent="0.3">
      <c r="A16" s="57">
        <v>74108</v>
      </c>
      <c r="B16" s="9">
        <v>666222074108</v>
      </c>
      <c r="C16" s="33" t="s">
        <v>54</v>
      </c>
      <c r="D16" s="8" t="s">
        <v>8</v>
      </c>
      <c r="E16" s="8">
        <v>167</v>
      </c>
      <c r="F16" s="62">
        <v>0.98149999999999993</v>
      </c>
      <c r="G16" s="8">
        <v>6</v>
      </c>
      <c r="H16" s="19">
        <v>32.52535000000001</v>
      </c>
      <c r="I16" s="38"/>
      <c r="J16" s="20">
        <f t="shared" si="0"/>
        <v>0</v>
      </c>
      <c r="M16" s="49" t="str">
        <f t="shared" si="1"/>
        <v>-</v>
      </c>
      <c r="N16" s="49" t="str">
        <f t="shared" si="2"/>
        <v>-</v>
      </c>
      <c r="O16" s="50" t="str">
        <f t="shared" si="3"/>
        <v>-</v>
      </c>
      <c r="P16" s="51" t="str">
        <f t="shared" si="4"/>
        <v>-</v>
      </c>
      <c r="R16" s="51" t="str">
        <f t="shared" si="5"/>
        <v>-</v>
      </c>
    </row>
    <row r="17" spans="1:18" x14ac:dyDescent="0.3">
      <c r="A17" s="58">
        <v>9988</v>
      </c>
      <c r="B17" s="3">
        <v>666222009988</v>
      </c>
      <c r="C17" s="33" t="s">
        <v>55</v>
      </c>
      <c r="D17" s="6" t="s">
        <v>28</v>
      </c>
      <c r="E17" s="4">
        <v>30</v>
      </c>
      <c r="F17" s="62">
        <v>0.56000000000000005</v>
      </c>
      <c r="G17" s="4">
        <v>6</v>
      </c>
      <c r="H17" s="19">
        <v>26.021352500000003</v>
      </c>
      <c r="I17" s="38"/>
      <c r="J17" s="20">
        <f t="shared" si="0"/>
        <v>0</v>
      </c>
      <c r="M17" s="49" t="str">
        <f t="shared" si="1"/>
        <v>-</v>
      </c>
      <c r="N17" s="49" t="str">
        <f t="shared" si="2"/>
        <v>-</v>
      </c>
      <c r="O17" s="50" t="str">
        <f t="shared" si="3"/>
        <v>-</v>
      </c>
      <c r="P17" s="51" t="str">
        <f t="shared" si="4"/>
        <v>-</v>
      </c>
      <c r="R17" s="51" t="str">
        <f t="shared" si="5"/>
        <v>-</v>
      </c>
    </row>
    <row r="18" spans="1:18" x14ac:dyDescent="0.3">
      <c r="A18" s="58">
        <v>9001</v>
      </c>
      <c r="B18" s="3">
        <v>666222009001</v>
      </c>
      <c r="C18" s="33" t="s">
        <v>56</v>
      </c>
      <c r="D18" s="6" t="s">
        <v>9</v>
      </c>
      <c r="E18" s="4">
        <v>30</v>
      </c>
      <c r="F18" s="62">
        <v>0.77</v>
      </c>
      <c r="G18" s="4">
        <v>12</v>
      </c>
      <c r="H18" s="19">
        <v>26.021352500000003</v>
      </c>
      <c r="I18" s="38"/>
      <c r="J18" s="20">
        <f t="shared" si="0"/>
        <v>0</v>
      </c>
      <c r="M18" s="49" t="str">
        <f t="shared" si="1"/>
        <v>-</v>
      </c>
      <c r="N18" s="49" t="str">
        <f t="shared" si="2"/>
        <v>-</v>
      </c>
      <c r="O18" s="50" t="str">
        <f t="shared" si="3"/>
        <v>-</v>
      </c>
      <c r="P18" s="51" t="str">
        <f t="shared" si="4"/>
        <v>-</v>
      </c>
      <c r="R18" s="51" t="str">
        <f t="shared" si="5"/>
        <v>-</v>
      </c>
    </row>
    <row r="19" spans="1:18" x14ac:dyDescent="0.3">
      <c r="A19" s="58">
        <v>8721</v>
      </c>
      <c r="B19" s="3">
        <v>666222008721</v>
      </c>
      <c r="C19" s="33" t="s">
        <v>57</v>
      </c>
      <c r="D19" s="5" t="s">
        <v>2</v>
      </c>
      <c r="E19" s="5">
        <v>62</v>
      </c>
      <c r="F19" s="62">
        <v>2.5707749999999998</v>
      </c>
      <c r="G19" s="5">
        <v>4</v>
      </c>
      <c r="H19" s="19">
        <v>48.79160000000001</v>
      </c>
      <c r="I19" s="38"/>
      <c r="J19" s="20">
        <f t="shared" si="0"/>
        <v>0</v>
      </c>
      <c r="M19" s="49" t="str">
        <f t="shared" si="1"/>
        <v>-</v>
      </c>
      <c r="N19" s="49" t="str">
        <f t="shared" si="2"/>
        <v>-</v>
      </c>
      <c r="O19" s="50" t="str">
        <f t="shared" si="3"/>
        <v>-</v>
      </c>
      <c r="P19" s="51" t="str">
        <f t="shared" si="4"/>
        <v>-</v>
      </c>
      <c r="R19" s="51" t="str">
        <f t="shared" si="5"/>
        <v>-</v>
      </c>
    </row>
    <row r="20" spans="1:18" x14ac:dyDescent="0.3">
      <c r="A20" s="58">
        <v>8738</v>
      </c>
      <c r="B20" s="3">
        <v>666222008738</v>
      </c>
      <c r="C20" s="33" t="s">
        <v>57</v>
      </c>
      <c r="D20" s="5" t="s">
        <v>3</v>
      </c>
      <c r="E20" s="5">
        <v>62</v>
      </c>
      <c r="F20" s="62">
        <v>2.718</v>
      </c>
      <c r="G20" s="5">
        <v>4</v>
      </c>
      <c r="H20" s="19">
        <v>48.79160000000001</v>
      </c>
      <c r="I20" s="38"/>
      <c r="J20" s="20">
        <f t="shared" si="0"/>
        <v>0</v>
      </c>
      <c r="M20" s="49" t="str">
        <f t="shared" si="1"/>
        <v>-</v>
      </c>
      <c r="N20" s="49" t="str">
        <f t="shared" si="2"/>
        <v>-</v>
      </c>
      <c r="O20" s="50" t="str">
        <f t="shared" si="3"/>
        <v>-</v>
      </c>
      <c r="P20" s="51" t="str">
        <f t="shared" si="4"/>
        <v>-</v>
      </c>
      <c r="R20" s="51" t="str">
        <f t="shared" si="5"/>
        <v>-</v>
      </c>
    </row>
    <row r="21" spans="1:18" x14ac:dyDescent="0.3">
      <c r="A21" s="58">
        <v>8745</v>
      </c>
      <c r="B21" s="3">
        <v>666222008745</v>
      </c>
      <c r="C21" s="33" t="s">
        <v>57</v>
      </c>
      <c r="D21" s="5" t="s">
        <v>4</v>
      </c>
      <c r="E21" s="5">
        <v>62</v>
      </c>
      <c r="F21" s="62">
        <v>2.718</v>
      </c>
      <c r="G21" s="5">
        <v>4</v>
      </c>
      <c r="H21" s="19">
        <v>48.79160000000001</v>
      </c>
      <c r="I21" s="38"/>
      <c r="J21" s="20">
        <f t="shared" si="0"/>
        <v>0</v>
      </c>
      <c r="M21" s="49" t="str">
        <f t="shared" si="1"/>
        <v>-</v>
      </c>
      <c r="N21" s="49" t="str">
        <f t="shared" si="2"/>
        <v>-</v>
      </c>
      <c r="O21" s="50" t="str">
        <f t="shared" si="3"/>
        <v>-</v>
      </c>
      <c r="P21" s="51" t="str">
        <f t="shared" si="4"/>
        <v>-</v>
      </c>
      <c r="R21" s="51" t="str">
        <f t="shared" si="5"/>
        <v>-</v>
      </c>
    </row>
    <row r="22" spans="1:18" x14ac:dyDescent="0.3">
      <c r="A22" s="57">
        <v>94434</v>
      </c>
      <c r="B22" s="9">
        <v>666222094434</v>
      </c>
      <c r="C22" s="33" t="s">
        <v>58</v>
      </c>
      <c r="D22" s="8" t="s">
        <v>18</v>
      </c>
      <c r="E22" s="8">
        <v>30</v>
      </c>
      <c r="F22" s="62">
        <v>0.56999999999999995</v>
      </c>
      <c r="G22" s="8">
        <v>4</v>
      </c>
      <c r="H22" s="19">
        <v>38.602850000000011</v>
      </c>
      <c r="I22" s="38"/>
      <c r="J22" s="20">
        <f t="shared" si="0"/>
        <v>0</v>
      </c>
      <c r="M22" s="49" t="str">
        <f t="shared" si="1"/>
        <v>-</v>
      </c>
      <c r="N22" s="49" t="str">
        <f t="shared" si="2"/>
        <v>-</v>
      </c>
      <c r="O22" s="50" t="str">
        <f t="shared" si="3"/>
        <v>-</v>
      </c>
      <c r="P22" s="51" t="str">
        <f t="shared" si="4"/>
        <v>-</v>
      </c>
      <c r="R22" s="51" t="str">
        <f t="shared" si="5"/>
        <v>-</v>
      </c>
    </row>
    <row r="23" spans="1:18" x14ac:dyDescent="0.3">
      <c r="A23" s="57">
        <v>30005</v>
      </c>
      <c r="B23" s="10" t="s">
        <v>14</v>
      </c>
      <c r="C23" s="33" t="s">
        <v>59</v>
      </c>
      <c r="D23" s="8" t="s">
        <v>18</v>
      </c>
      <c r="E23" s="8">
        <v>30</v>
      </c>
      <c r="F23" s="62">
        <v>0.56625000000000003</v>
      </c>
      <c r="G23" s="8">
        <v>6</v>
      </c>
      <c r="H23" s="19">
        <v>32.52535000000001</v>
      </c>
      <c r="I23" s="38"/>
      <c r="J23" s="20">
        <f t="shared" si="0"/>
        <v>0</v>
      </c>
      <c r="M23" s="49" t="str">
        <f t="shared" si="1"/>
        <v>-</v>
      </c>
      <c r="N23" s="49" t="str">
        <f t="shared" si="2"/>
        <v>-</v>
      </c>
      <c r="O23" s="50" t="str">
        <f t="shared" si="3"/>
        <v>-</v>
      </c>
      <c r="P23" s="51" t="str">
        <f t="shared" si="4"/>
        <v>-</v>
      </c>
      <c r="R23" s="51" t="str">
        <f t="shared" si="5"/>
        <v>-</v>
      </c>
    </row>
    <row r="24" spans="1:18" x14ac:dyDescent="0.3">
      <c r="A24" s="57">
        <v>97404</v>
      </c>
      <c r="B24" s="11" t="s">
        <v>15</v>
      </c>
      <c r="C24" s="33" t="s">
        <v>60</v>
      </c>
      <c r="D24" s="8" t="s">
        <v>8</v>
      </c>
      <c r="E24" s="8">
        <v>60</v>
      </c>
      <c r="F24" s="62">
        <v>8.4937499999999999E-2</v>
      </c>
      <c r="G24" s="8">
        <v>6</v>
      </c>
      <c r="H24" s="19">
        <v>8.78735</v>
      </c>
      <c r="I24" s="38"/>
      <c r="J24" s="20">
        <f t="shared" si="0"/>
        <v>0</v>
      </c>
      <c r="M24" s="49" t="str">
        <f t="shared" si="1"/>
        <v>-</v>
      </c>
      <c r="N24" s="49" t="str">
        <f t="shared" si="2"/>
        <v>-</v>
      </c>
      <c r="O24" s="50" t="str">
        <f t="shared" si="3"/>
        <v>-</v>
      </c>
      <c r="P24" s="51" t="str">
        <f t="shared" si="4"/>
        <v>-</v>
      </c>
      <c r="R24" s="51" t="str">
        <f t="shared" si="5"/>
        <v>-</v>
      </c>
    </row>
    <row r="25" spans="1:18" x14ac:dyDescent="0.3">
      <c r="A25" s="57">
        <v>93741</v>
      </c>
      <c r="B25" s="9">
        <v>666222097341</v>
      </c>
      <c r="C25" s="33" t="s">
        <v>61</v>
      </c>
      <c r="D25" s="8" t="s">
        <v>8</v>
      </c>
      <c r="E25" s="8">
        <v>56</v>
      </c>
      <c r="F25" s="62">
        <v>0.22650000000000001</v>
      </c>
      <c r="G25" s="8">
        <v>6</v>
      </c>
      <c r="H25" s="19">
        <v>31.653050000000007</v>
      </c>
      <c r="I25" s="38"/>
      <c r="J25" s="20">
        <f t="shared" si="0"/>
        <v>0</v>
      </c>
      <c r="M25" s="49" t="str">
        <f t="shared" si="1"/>
        <v>-</v>
      </c>
      <c r="N25" s="49" t="str">
        <f t="shared" si="2"/>
        <v>-</v>
      </c>
      <c r="O25" s="50" t="str">
        <f t="shared" si="3"/>
        <v>-</v>
      </c>
      <c r="P25" s="51" t="str">
        <f t="shared" si="4"/>
        <v>-</v>
      </c>
      <c r="R25" s="51" t="str">
        <f t="shared" si="5"/>
        <v>-</v>
      </c>
    </row>
    <row r="26" spans="1:18" x14ac:dyDescent="0.3">
      <c r="A26" s="58">
        <v>8783</v>
      </c>
      <c r="B26" s="3">
        <v>666222008783</v>
      </c>
      <c r="C26" s="33" t="s">
        <v>62</v>
      </c>
      <c r="D26" s="5" t="s">
        <v>3</v>
      </c>
      <c r="E26" s="5">
        <v>8</v>
      </c>
      <c r="F26" s="62">
        <v>3.05</v>
      </c>
      <c r="G26" s="21">
        <v>4</v>
      </c>
      <c r="H26" s="7">
        <v>33.919600000000003</v>
      </c>
      <c r="I26" s="38"/>
      <c r="J26" s="20">
        <f t="shared" si="0"/>
        <v>0</v>
      </c>
      <c r="M26" s="49" t="str">
        <f t="shared" si="1"/>
        <v>-</v>
      </c>
      <c r="N26" s="49" t="str">
        <f t="shared" si="2"/>
        <v>-</v>
      </c>
      <c r="O26" s="50" t="str">
        <f t="shared" si="3"/>
        <v>-</v>
      </c>
      <c r="P26" s="51" t="str">
        <f t="shared" si="4"/>
        <v>-</v>
      </c>
      <c r="R26" s="51" t="str">
        <f t="shared" si="5"/>
        <v>-</v>
      </c>
    </row>
    <row r="27" spans="1:18" x14ac:dyDescent="0.3">
      <c r="A27" s="58">
        <v>8790</v>
      </c>
      <c r="B27" s="3">
        <v>666222008790</v>
      </c>
      <c r="C27" s="33" t="s">
        <v>62</v>
      </c>
      <c r="D27" s="5" t="s">
        <v>7</v>
      </c>
      <c r="E27" s="5">
        <v>8</v>
      </c>
      <c r="F27" s="62">
        <v>3.04</v>
      </c>
      <c r="G27" s="21">
        <v>4</v>
      </c>
      <c r="H27" s="7">
        <v>33.919600000000003</v>
      </c>
      <c r="I27" s="38"/>
      <c r="J27" s="20">
        <f t="shared" si="0"/>
        <v>0</v>
      </c>
      <c r="M27" s="49" t="str">
        <f t="shared" si="1"/>
        <v>-</v>
      </c>
      <c r="N27" s="49" t="str">
        <f t="shared" si="2"/>
        <v>-</v>
      </c>
      <c r="O27" s="50" t="str">
        <f t="shared" si="3"/>
        <v>-</v>
      </c>
      <c r="P27" s="51" t="str">
        <f t="shared" si="4"/>
        <v>-</v>
      </c>
      <c r="R27" s="51" t="str">
        <f t="shared" si="5"/>
        <v>-</v>
      </c>
    </row>
    <row r="28" spans="1:18" x14ac:dyDescent="0.3">
      <c r="A28" s="58">
        <v>8806</v>
      </c>
      <c r="B28" s="3">
        <v>666222008806</v>
      </c>
      <c r="C28" s="33" t="s">
        <v>62</v>
      </c>
      <c r="D28" s="5" t="s">
        <v>4</v>
      </c>
      <c r="E28" s="5">
        <v>8</v>
      </c>
      <c r="F28" s="62">
        <v>3.03</v>
      </c>
      <c r="G28" s="21">
        <v>4</v>
      </c>
      <c r="H28" s="7">
        <v>33.919600000000003</v>
      </c>
      <c r="I28" s="38"/>
      <c r="J28" s="20">
        <f t="shared" si="0"/>
        <v>0</v>
      </c>
      <c r="M28" s="49" t="str">
        <f t="shared" si="1"/>
        <v>-</v>
      </c>
      <c r="N28" s="49" t="str">
        <f t="shared" si="2"/>
        <v>-</v>
      </c>
      <c r="O28" s="50" t="str">
        <f t="shared" si="3"/>
        <v>-</v>
      </c>
      <c r="P28" s="51" t="str">
        <f t="shared" si="4"/>
        <v>-</v>
      </c>
      <c r="R28" s="51" t="str">
        <f t="shared" si="5"/>
        <v>-</v>
      </c>
    </row>
    <row r="29" spans="1:18" x14ac:dyDescent="0.3">
      <c r="A29" s="58">
        <v>8813</v>
      </c>
      <c r="B29" s="3">
        <v>666222008813</v>
      </c>
      <c r="C29" s="33" t="s">
        <v>63</v>
      </c>
      <c r="D29" s="5" t="s">
        <v>3</v>
      </c>
      <c r="E29" s="5">
        <v>16</v>
      </c>
      <c r="F29" s="62">
        <v>5.6625000000000005</v>
      </c>
      <c r="G29" s="21">
        <v>2</v>
      </c>
      <c r="H29" s="7">
        <v>58.551350000000006</v>
      </c>
      <c r="I29" s="38"/>
      <c r="J29" s="20">
        <f t="shared" si="0"/>
        <v>0</v>
      </c>
      <c r="M29" s="49" t="str">
        <f t="shared" si="1"/>
        <v>-</v>
      </c>
      <c r="N29" s="49" t="str">
        <f t="shared" si="2"/>
        <v>-</v>
      </c>
      <c r="O29" s="50" t="str">
        <f t="shared" si="3"/>
        <v>-</v>
      </c>
      <c r="P29" s="51" t="str">
        <f t="shared" si="4"/>
        <v>-</v>
      </c>
      <c r="R29" s="51" t="str">
        <f t="shared" si="5"/>
        <v>-</v>
      </c>
    </row>
    <row r="30" spans="1:18" x14ac:dyDescent="0.3">
      <c r="A30" s="58">
        <v>8820</v>
      </c>
      <c r="B30" s="3">
        <v>666222008820</v>
      </c>
      <c r="C30" s="33" t="s">
        <v>63</v>
      </c>
      <c r="D30" s="5" t="s">
        <v>7</v>
      </c>
      <c r="E30" s="5">
        <v>16</v>
      </c>
      <c r="F30" s="62">
        <v>5.6625000000000005</v>
      </c>
      <c r="G30" s="21">
        <v>2</v>
      </c>
      <c r="H30" s="7">
        <v>58.551350000000006</v>
      </c>
      <c r="I30" s="38"/>
      <c r="J30" s="20">
        <f t="shared" si="0"/>
        <v>0</v>
      </c>
      <c r="M30" s="49" t="str">
        <f t="shared" si="1"/>
        <v>-</v>
      </c>
      <c r="N30" s="49" t="str">
        <f t="shared" si="2"/>
        <v>-</v>
      </c>
      <c r="O30" s="50" t="str">
        <f t="shared" si="3"/>
        <v>-</v>
      </c>
      <c r="P30" s="51" t="str">
        <f t="shared" si="4"/>
        <v>-</v>
      </c>
      <c r="R30" s="51" t="str">
        <f t="shared" si="5"/>
        <v>-</v>
      </c>
    </row>
    <row r="31" spans="1:18" x14ac:dyDescent="0.3">
      <c r="A31" s="58">
        <v>8837</v>
      </c>
      <c r="B31" s="3">
        <v>666222008837</v>
      </c>
      <c r="C31" s="33" t="s">
        <v>63</v>
      </c>
      <c r="D31" s="5" t="s">
        <v>4</v>
      </c>
      <c r="E31" s="5">
        <v>16</v>
      </c>
      <c r="F31" s="62">
        <v>5.6625000000000005</v>
      </c>
      <c r="G31" s="21">
        <v>2</v>
      </c>
      <c r="H31" s="7">
        <v>58.551350000000006</v>
      </c>
      <c r="I31" s="38"/>
      <c r="J31" s="20">
        <f t="shared" si="0"/>
        <v>0</v>
      </c>
      <c r="M31" s="49" t="str">
        <f t="shared" si="1"/>
        <v>-</v>
      </c>
      <c r="N31" s="49" t="str">
        <f t="shared" si="2"/>
        <v>-</v>
      </c>
      <c r="O31" s="50" t="str">
        <f t="shared" si="3"/>
        <v>-</v>
      </c>
      <c r="P31" s="51" t="str">
        <f t="shared" si="4"/>
        <v>-</v>
      </c>
      <c r="R31" s="51" t="str">
        <f t="shared" si="5"/>
        <v>-</v>
      </c>
    </row>
    <row r="32" spans="1:18" x14ac:dyDescent="0.3">
      <c r="A32" s="58">
        <v>8844</v>
      </c>
      <c r="B32" s="3">
        <v>666222009698</v>
      </c>
      <c r="C32" s="33" t="s">
        <v>64</v>
      </c>
      <c r="D32" s="5" t="s">
        <v>21</v>
      </c>
      <c r="E32" s="5">
        <v>52</v>
      </c>
      <c r="F32" s="62">
        <v>2.21</v>
      </c>
      <c r="G32" s="21">
        <v>4</v>
      </c>
      <c r="H32" s="7">
        <v>41.820350000000012</v>
      </c>
      <c r="I32" s="38"/>
      <c r="J32" s="20">
        <f t="shared" si="0"/>
        <v>0</v>
      </c>
      <c r="M32" s="49" t="str">
        <f t="shared" si="1"/>
        <v>-</v>
      </c>
      <c r="N32" s="49" t="str">
        <f t="shared" si="2"/>
        <v>-</v>
      </c>
      <c r="O32" s="50" t="str">
        <f t="shared" si="3"/>
        <v>-</v>
      </c>
      <c r="P32" s="51" t="str">
        <f t="shared" si="4"/>
        <v>-</v>
      </c>
      <c r="R32" s="51" t="str">
        <f t="shared" si="5"/>
        <v>-</v>
      </c>
    </row>
    <row r="33" spans="1:18" x14ac:dyDescent="0.3">
      <c r="A33" s="58">
        <v>9902</v>
      </c>
      <c r="B33" s="3">
        <v>666222009902</v>
      </c>
      <c r="C33" s="33" t="s">
        <v>65</v>
      </c>
      <c r="D33" s="5" t="s">
        <v>21</v>
      </c>
      <c r="E33" s="5">
        <v>26</v>
      </c>
      <c r="F33" s="62">
        <v>1.1599999999999999</v>
      </c>
      <c r="G33" s="5">
        <v>4</v>
      </c>
      <c r="H33" s="19">
        <v>25.554100000000005</v>
      </c>
      <c r="I33" s="38"/>
      <c r="J33" s="20">
        <f t="shared" ref="J33:J54" si="6">I33*H33</f>
        <v>0</v>
      </c>
      <c r="M33" s="49" t="str">
        <f t="shared" si="1"/>
        <v>-</v>
      </c>
      <c r="N33" s="49" t="str">
        <f t="shared" si="2"/>
        <v>-</v>
      </c>
      <c r="O33" s="50" t="str">
        <f t="shared" si="3"/>
        <v>-</v>
      </c>
      <c r="P33" s="51" t="str">
        <f t="shared" si="4"/>
        <v>-</v>
      </c>
      <c r="R33" s="51" t="str">
        <f t="shared" si="5"/>
        <v>-</v>
      </c>
    </row>
    <row r="34" spans="1:18" x14ac:dyDescent="0.3">
      <c r="A34" s="58">
        <v>9919</v>
      </c>
      <c r="B34" s="3">
        <v>666222009919</v>
      </c>
      <c r="C34" s="33" t="s">
        <v>65</v>
      </c>
      <c r="D34" s="5" t="s">
        <v>24</v>
      </c>
      <c r="E34" s="5">
        <v>26</v>
      </c>
      <c r="F34" s="62">
        <v>1.1599999999999999</v>
      </c>
      <c r="G34" s="5">
        <v>4</v>
      </c>
      <c r="H34" s="19">
        <v>25.554100000000005</v>
      </c>
      <c r="I34" s="38"/>
      <c r="J34" s="20">
        <f t="shared" si="6"/>
        <v>0</v>
      </c>
      <c r="M34" s="49" t="str">
        <f t="shared" si="1"/>
        <v>-</v>
      </c>
      <c r="N34" s="49" t="str">
        <f t="shared" si="2"/>
        <v>-</v>
      </c>
      <c r="O34" s="50" t="str">
        <f t="shared" si="3"/>
        <v>-</v>
      </c>
      <c r="P34" s="51" t="str">
        <f t="shared" si="4"/>
        <v>-</v>
      </c>
      <c r="R34" s="51" t="str">
        <f t="shared" si="5"/>
        <v>-</v>
      </c>
    </row>
    <row r="35" spans="1:18" x14ac:dyDescent="0.3">
      <c r="A35" s="58">
        <v>9926</v>
      </c>
      <c r="B35" s="3">
        <v>666222009926</v>
      </c>
      <c r="C35" s="33" t="s">
        <v>65</v>
      </c>
      <c r="D35" s="5" t="s">
        <v>4</v>
      </c>
      <c r="E35" s="5">
        <v>26</v>
      </c>
      <c r="F35" s="62">
        <v>1.1499999999999999</v>
      </c>
      <c r="G35" s="5">
        <v>4</v>
      </c>
      <c r="H35" s="19">
        <v>25.554100000000005</v>
      </c>
      <c r="I35" s="38"/>
      <c r="J35" s="20">
        <f t="shared" si="6"/>
        <v>0</v>
      </c>
      <c r="M35" s="49" t="str">
        <f t="shared" si="1"/>
        <v>-</v>
      </c>
      <c r="N35" s="49" t="str">
        <f t="shared" si="2"/>
        <v>-</v>
      </c>
      <c r="O35" s="50" t="str">
        <f t="shared" si="3"/>
        <v>-</v>
      </c>
      <c r="P35" s="51" t="str">
        <f t="shared" si="4"/>
        <v>-</v>
      </c>
      <c r="R35" s="51" t="str">
        <f t="shared" si="5"/>
        <v>-</v>
      </c>
    </row>
    <row r="36" spans="1:18" x14ac:dyDescent="0.3">
      <c r="A36" s="58">
        <v>10144</v>
      </c>
      <c r="B36" s="3">
        <v>6662220010144</v>
      </c>
      <c r="C36" s="33" t="s">
        <v>66</v>
      </c>
      <c r="D36" s="5" t="s">
        <v>8</v>
      </c>
      <c r="E36" s="5">
        <v>20</v>
      </c>
      <c r="F36" s="62">
        <v>0.11325</v>
      </c>
      <c r="G36" s="5">
        <v>4</v>
      </c>
      <c r="H36" s="19">
        <v>11.611600000000001</v>
      </c>
      <c r="I36" s="38"/>
      <c r="J36" s="20">
        <f t="shared" si="6"/>
        <v>0</v>
      </c>
      <c r="M36" s="49" t="str">
        <f t="shared" si="1"/>
        <v>-</v>
      </c>
      <c r="N36" s="49" t="str">
        <f t="shared" si="2"/>
        <v>-</v>
      </c>
      <c r="O36" s="50" t="str">
        <f t="shared" si="3"/>
        <v>-</v>
      </c>
      <c r="P36" s="51" t="str">
        <f t="shared" si="4"/>
        <v>-</v>
      </c>
      <c r="R36" s="51" t="str">
        <f t="shared" si="5"/>
        <v>-</v>
      </c>
    </row>
    <row r="37" spans="1:18" x14ac:dyDescent="0.3">
      <c r="A37" s="57">
        <v>941004</v>
      </c>
      <c r="B37" s="9">
        <v>666222941004</v>
      </c>
      <c r="C37" s="33" t="s">
        <v>67</v>
      </c>
      <c r="D37" s="8" t="s">
        <v>8</v>
      </c>
      <c r="E37" s="8">
        <v>20</v>
      </c>
      <c r="F37" s="62">
        <v>0.11</v>
      </c>
      <c r="G37" s="8">
        <v>6</v>
      </c>
      <c r="H37" s="19">
        <v>11.611600000000001</v>
      </c>
      <c r="I37" s="38"/>
      <c r="J37" s="20">
        <f t="shared" si="6"/>
        <v>0</v>
      </c>
      <c r="M37" s="49" t="str">
        <f t="shared" si="1"/>
        <v>-</v>
      </c>
      <c r="N37" s="49" t="str">
        <f t="shared" si="2"/>
        <v>-</v>
      </c>
      <c r="O37" s="50" t="str">
        <f t="shared" si="3"/>
        <v>-</v>
      </c>
      <c r="P37" s="51" t="str">
        <f t="shared" si="4"/>
        <v>-</v>
      </c>
      <c r="R37" s="51" t="str">
        <f t="shared" si="5"/>
        <v>-</v>
      </c>
    </row>
    <row r="38" spans="1:18" x14ac:dyDescent="0.3">
      <c r="A38" s="59">
        <v>10106</v>
      </c>
      <c r="B38" s="9">
        <v>666222010106</v>
      </c>
      <c r="C38" s="33" t="s">
        <v>68</v>
      </c>
      <c r="D38" s="8" t="s">
        <v>20</v>
      </c>
      <c r="E38" s="8">
        <v>30</v>
      </c>
      <c r="F38" s="62">
        <v>0.56000000000000005</v>
      </c>
      <c r="G38" s="8"/>
      <c r="H38" s="22">
        <v>18.585352500000003</v>
      </c>
      <c r="I38" s="38"/>
      <c r="J38" s="20">
        <f t="shared" si="6"/>
        <v>0</v>
      </c>
      <c r="M38" s="49" t="str">
        <f t="shared" si="1"/>
        <v>-</v>
      </c>
      <c r="N38" s="49" t="str">
        <f t="shared" si="2"/>
        <v>-</v>
      </c>
      <c r="O38" s="50" t="str">
        <f t="shared" si="3"/>
        <v>-</v>
      </c>
      <c r="P38" s="51" t="str">
        <f t="shared" si="4"/>
        <v>-</v>
      </c>
      <c r="R38" s="51" t="str">
        <f t="shared" si="5"/>
        <v>-</v>
      </c>
    </row>
    <row r="39" spans="1:18" x14ac:dyDescent="0.3">
      <c r="A39" s="59">
        <v>10113</v>
      </c>
      <c r="B39" s="9">
        <v>666222010113</v>
      </c>
      <c r="C39" s="33" t="s">
        <v>69</v>
      </c>
      <c r="D39" s="8" t="s">
        <v>20</v>
      </c>
      <c r="E39" s="8">
        <v>14</v>
      </c>
      <c r="F39" s="62">
        <v>0.28000000000000003</v>
      </c>
      <c r="G39" s="8"/>
      <c r="H39" s="22">
        <v>16.261602500000002</v>
      </c>
      <c r="I39" s="38"/>
      <c r="J39" s="20">
        <f t="shared" si="6"/>
        <v>0</v>
      </c>
      <c r="M39" s="49" t="str">
        <f t="shared" si="1"/>
        <v>-</v>
      </c>
      <c r="N39" s="49" t="str">
        <f t="shared" si="2"/>
        <v>-</v>
      </c>
      <c r="O39" s="50" t="str">
        <f t="shared" si="3"/>
        <v>-</v>
      </c>
      <c r="P39" s="51" t="str">
        <f t="shared" si="4"/>
        <v>-</v>
      </c>
      <c r="R39" s="51" t="str">
        <f t="shared" si="5"/>
        <v>-</v>
      </c>
    </row>
    <row r="40" spans="1:18" x14ac:dyDescent="0.3">
      <c r="A40" s="57">
        <v>95936</v>
      </c>
      <c r="B40" s="9">
        <v>666222095936</v>
      </c>
      <c r="C40" s="33" t="s">
        <v>70</v>
      </c>
      <c r="D40" s="8" t="s">
        <v>16</v>
      </c>
      <c r="E40" s="8">
        <v>10</v>
      </c>
      <c r="F40" s="62">
        <v>0.56000000000000005</v>
      </c>
      <c r="G40" s="8">
        <v>6</v>
      </c>
      <c r="H40" s="24">
        <v>18.118100000000002</v>
      </c>
      <c r="I40" s="38"/>
      <c r="J40" s="20">
        <f t="shared" si="6"/>
        <v>0</v>
      </c>
      <c r="M40" s="49" t="str">
        <f t="shared" si="1"/>
        <v>-</v>
      </c>
      <c r="N40" s="49" t="str">
        <f t="shared" si="2"/>
        <v>-</v>
      </c>
      <c r="O40" s="50" t="str">
        <f t="shared" si="3"/>
        <v>-</v>
      </c>
      <c r="P40" s="51" t="str">
        <f t="shared" si="4"/>
        <v>-</v>
      </c>
      <c r="R40" s="51" t="str">
        <f t="shared" si="5"/>
        <v>-</v>
      </c>
    </row>
    <row r="41" spans="1:18" x14ac:dyDescent="0.3">
      <c r="A41" s="57">
        <v>96445</v>
      </c>
      <c r="B41" s="9">
        <v>666222096445</v>
      </c>
      <c r="C41" s="33" t="s">
        <v>70</v>
      </c>
      <c r="D41" s="8" t="s">
        <v>17</v>
      </c>
      <c r="E41" s="8">
        <v>10</v>
      </c>
      <c r="F41" s="62">
        <v>0.55000000000000004</v>
      </c>
      <c r="G41" s="8">
        <v>6</v>
      </c>
      <c r="H41" s="24">
        <v>18.118100000000002</v>
      </c>
      <c r="I41" s="38"/>
      <c r="J41" s="20">
        <f t="shared" si="6"/>
        <v>0</v>
      </c>
      <c r="M41" s="49" t="str">
        <f t="shared" si="1"/>
        <v>-</v>
      </c>
      <c r="N41" s="49" t="str">
        <f t="shared" si="2"/>
        <v>-</v>
      </c>
      <c r="O41" s="50" t="str">
        <f t="shared" si="3"/>
        <v>-</v>
      </c>
      <c r="P41" s="51" t="str">
        <f t="shared" si="4"/>
        <v>-</v>
      </c>
      <c r="R41" s="51" t="str">
        <f t="shared" si="5"/>
        <v>-</v>
      </c>
    </row>
    <row r="42" spans="1:18" x14ac:dyDescent="0.3">
      <c r="A42" s="57">
        <v>95943</v>
      </c>
      <c r="B42" s="9">
        <v>666222095943</v>
      </c>
      <c r="C42" s="33" t="s">
        <v>70</v>
      </c>
      <c r="D42" s="8" t="s">
        <v>4</v>
      </c>
      <c r="E42" s="8">
        <v>10</v>
      </c>
      <c r="F42" s="62">
        <v>0.56000000000000005</v>
      </c>
      <c r="G42" s="8">
        <v>6</v>
      </c>
      <c r="H42" s="24">
        <v>18.118100000000002</v>
      </c>
      <c r="I42" s="38"/>
      <c r="J42" s="20">
        <f t="shared" si="6"/>
        <v>0</v>
      </c>
      <c r="M42" s="49" t="str">
        <f t="shared" si="1"/>
        <v>-</v>
      </c>
      <c r="N42" s="49" t="str">
        <f t="shared" si="2"/>
        <v>-</v>
      </c>
      <c r="O42" s="50" t="str">
        <f t="shared" si="3"/>
        <v>-</v>
      </c>
      <c r="P42" s="51" t="str">
        <f t="shared" si="4"/>
        <v>-</v>
      </c>
      <c r="R42" s="51" t="str">
        <f t="shared" si="5"/>
        <v>-</v>
      </c>
    </row>
    <row r="43" spans="1:18" x14ac:dyDescent="0.3">
      <c r="A43" s="60">
        <v>9964</v>
      </c>
      <c r="B43" s="9">
        <v>666222009964</v>
      </c>
      <c r="C43" s="33" t="s">
        <v>71</v>
      </c>
      <c r="D43" s="8" t="s">
        <v>25</v>
      </c>
      <c r="E43" s="8">
        <v>10</v>
      </c>
      <c r="F43" s="62">
        <v>0.49</v>
      </c>
      <c r="G43" s="8">
        <v>6</v>
      </c>
      <c r="H43" s="24">
        <v>18.118100000000002</v>
      </c>
      <c r="I43" s="38"/>
      <c r="J43" s="20">
        <f t="shared" si="6"/>
        <v>0</v>
      </c>
      <c r="M43" s="49" t="str">
        <f t="shared" si="1"/>
        <v>-</v>
      </c>
      <c r="N43" s="49" t="str">
        <f t="shared" si="2"/>
        <v>-</v>
      </c>
      <c r="O43" s="50" t="str">
        <f t="shared" si="3"/>
        <v>-</v>
      </c>
      <c r="P43" s="51" t="str">
        <f t="shared" si="4"/>
        <v>-</v>
      </c>
      <c r="R43" s="51" t="str">
        <f t="shared" si="5"/>
        <v>-</v>
      </c>
    </row>
    <row r="44" spans="1:18" x14ac:dyDescent="0.3">
      <c r="A44" s="60">
        <v>9957</v>
      </c>
      <c r="B44" s="9">
        <v>666222009957</v>
      </c>
      <c r="C44" s="33" t="s">
        <v>72</v>
      </c>
      <c r="D44" s="8" t="s">
        <v>26</v>
      </c>
      <c r="E44" s="8">
        <v>10</v>
      </c>
      <c r="F44" s="62">
        <v>0.46</v>
      </c>
      <c r="G44" s="8">
        <v>6</v>
      </c>
      <c r="H44" s="24">
        <v>18.118100000000002</v>
      </c>
      <c r="I44" s="38"/>
      <c r="J44" s="20">
        <f t="shared" si="6"/>
        <v>0</v>
      </c>
      <c r="M44" s="49" t="str">
        <f t="shared" si="1"/>
        <v>-</v>
      </c>
      <c r="N44" s="49" t="str">
        <f t="shared" si="2"/>
        <v>-</v>
      </c>
      <c r="O44" s="50" t="str">
        <f t="shared" si="3"/>
        <v>-</v>
      </c>
      <c r="P44" s="51" t="str">
        <f t="shared" si="4"/>
        <v>-</v>
      </c>
      <c r="R44" s="51" t="str">
        <f t="shared" si="5"/>
        <v>-</v>
      </c>
    </row>
    <row r="45" spans="1:18" x14ac:dyDescent="0.3">
      <c r="A45" s="60">
        <v>9940</v>
      </c>
      <c r="B45" s="9">
        <v>666222009940</v>
      </c>
      <c r="C45" s="33" t="s">
        <v>72</v>
      </c>
      <c r="D45" s="8" t="s">
        <v>27</v>
      </c>
      <c r="E45" s="8">
        <v>10</v>
      </c>
      <c r="F45" s="62">
        <v>0.45</v>
      </c>
      <c r="G45" s="8">
        <v>6</v>
      </c>
      <c r="H45" s="24">
        <v>18.118100000000002</v>
      </c>
      <c r="I45" s="38"/>
      <c r="J45" s="20">
        <f t="shared" si="6"/>
        <v>0</v>
      </c>
      <c r="M45" s="49" t="str">
        <f t="shared" si="1"/>
        <v>-</v>
      </c>
      <c r="N45" s="49" t="str">
        <f t="shared" si="2"/>
        <v>-</v>
      </c>
      <c r="O45" s="50" t="str">
        <f t="shared" si="3"/>
        <v>-</v>
      </c>
      <c r="P45" s="51" t="str">
        <f t="shared" si="4"/>
        <v>-</v>
      </c>
      <c r="R45" s="51" t="str">
        <f t="shared" si="5"/>
        <v>-</v>
      </c>
    </row>
    <row r="46" spans="1:18" x14ac:dyDescent="0.3">
      <c r="A46" s="61">
        <v>10014</v>
      </c>
      <c r="B46" s="9">
        <v>666222010014</v>
      </c>
      <c r="C46" s="33" t="s">
        <v>73</v>
      </c>
      <c r="D46" s="8" t="s">
        <v>8</v>
      </c>
      <c r="E46" s="8">
        <v>30</v>
      </c>
      <c r="F46" s="62">
        <v>0.23</v>
      </c>
      <c r="G46" s="8">
        <v>6</v>
      </c>
      <c r="H46" s="25">
        <v>13.93535</v>
      </c>
      <c r="I46" s="38"/>
      <c r="J46" s="20">
        <f t="shared" si="6"/>
        <v>0</v>
      </c>
      <c r="M46" s="49" t="str">
        <f t="shared" si="1"/>
        <v>-</v>
      </c>
      <c r="N46" s="49" t="str">
        <f t="shared" si="2"/>
        <v>-</v>
      </c>
      <c r="O46" s="50" t="str">
        <f t="shared" si="3"/>
        <v>-</v>
      </c>
      <c r="P46" s="51" t="str">
        <f t="shared" si="4"/>
        <v>-</v>
      </c>
      <c r="R46" s="51" t="str">
        <f t="shared" si="5"/>
        <v>-</v>
      </c>
    </row>
    <row r="47" spans="1:18" x14ac:dyDescent="0.3">
      <c r="A47" s="61">
        <v>10199</v>
      </c>
      <c r="B47" s="9">
        <v>666222010199</v>
      </c>
      <c r="C47" s="33" t="s">
        <v>74</v>
      </c>
      <c r="D47" s="8" t="s">
        <v>29</v>
      </c>
      <c r="E47" s="8">
        <v>30</v>
      </c>
      <c r="F47" s="62">
        <v>0.19</v>
      </c>
      <c r="G47" s="8">
        <v>6</v>
      </c>
      <c r="H47" s="25">
        <v>15.794350000000003</v>
      </c>
      <c r="I47" s="38"/>
      <c r="J47" s="20">
        <f t="shared" si="6"/>
        <v>0</v>
      </c>
      <c r="M47" s="49" t="str">
        <f t="shared" si="1"/>
        <v>-</v>
      </c>
      <c r="N47" s="49" t="str">
        <f t="shared" si="2"/>
        <v>-</v>
      </c>
      <c r="O47" s="50" t="str">
        <f t="shared" si="3"/>
        <v>-</v>
      </c>
      <c r="P47" s="51" t="str">
        <f t="shared" si="4"/>
        <v>-</v>
      </c>
      <c r="R47" s="51" t="str">
        <f t="shared" si="5"/>
        <v>-</v>
      </c>
    </row>
    <row r="48" spans="1:18" x14ac:dyDescent="0.3">
      <c r="A48" s="61">
        <v>10205</v>
      </c>
      <c r="B48" s="9">
        <v>666222010205</v>
      </c>
      <c r="C48" s="33" t="s">
        <v>75</v>
      </c>
      <c r="D48" s="8" t="s">
        <v>29</v>
      </c>
      <c r="E48" s="8">
        <v>10</v>
      </c>
      <c r="F48" s="62">
        <v>1.24</v>
      </c>
      <c r="G48" s="8">
        <v>6</v>
      </c>
      <c r="H48" s="25">
        <v>9.2878500000000006</v>
      </c>
      <c r="I48" s="38"/>
      <c r="J48" s="20">
        <f t="shared" si="6"/>
        <v>0</v>
      </c>
      <c r="M48" s="49" t="str">
        <f t="shared" si="1"/>
        <v>-</v>
      </c>
      <c r="N48" s="49" t="str">
        <f t="shared" si="2"/>
        <v>-</v>
      </c>
      <c r="O48" s="50" t="str">
        <f t="shared" si="3"/>
        <v>-</v>
      </c>
      <c r="P48" s="51" t="str">
        <f t="shared" si="4"/>
        <v>-</v>
      </c>
      <c r="R48" s="51" t="str">
        <f t="shared" si="5"/>
        <v>-</v>
      </c>
    </row>
    <row r="49" spans="1:18" x14ac:dyDescent="0.3">
      <c r="A49" s="61">
        <v>10212</v>
      </c>
      <c r="B49" s="9">
        <v>666222010212</v>
      </c>
      <c r="C49" s="33" t="s">
        <v>76</v>
      </c>
      <c r="D49" s="8" t="s">
        <v>30</v>
      </c>
      <c r="E49" s="8">
        <v>30</v>
      </c>
      <c r="F49" s="62">
        <v>0.18</v>
      </c>
      <c r="G49" s="8">
        <v>6</v>
      </c>
      <c r="H49" s="25">
        <v>15.794350000000003</v>
      </c>
      <c r="I49" s="38"/>
      <c r="J49" s="20">
        <f t="shared" si="6"/>
        <v>0</v>
      </c>
      <c r="M49" s="49" t="str">
        <f t="shared" si="1"/>
        <v>-</v>
      </c>
      <c r="N49" s="49" t="str">
        <f t="shared" si="2"/>
        <v>-</v>
      </c>
      <c r="O49" s="50" t="str">
        <f t="shared" si="3"/>
        <v>-</v>
      </c>
      <c r="P49" s="51" t="str">
        <f t="shared" si="4"/>
        <v>-</v>
      </c>
      <c r="R49" s="51" t="str">
        <f t="shared" si="5"/>
        <v>-</v>
      </c>
    </row>
    <row r="50" spans="1:18" x14ac:dyDescent="0.3">
      <c r="A50" s="61">
        <v>10229</v>
      </c>
      <c r="B50" s="9">
        <v>666222010229</v>
      </c>
      <c r="C50" s="33" t="s">
        <v>77</v>
      </c>
      <c r="D50" s="8" t="s">
        <v>30</v>
      </c>
      <c r="E50" s="8">
        <v>10</v>
      </c>
      <c r="F50" s="62">
        <v>1.24</v>
      </c>
      <c r="G50" s="8">
        <v>6</v>
      </c>
      <c r="H50" s="25">
        <v>9.2878500000000006</v>
      </c>
      <c r="I50" s="38"/>
      <c r="J50" s="20">
        <f t="shared" si="6"/>
        <v>0</v>
      </c>
      <c r="M50" s="49" t="str">
        <f t="shared" si="1"/>
        <v>-</v>
      </c>
      <c r="N50" s="49" t="str">
        <f t="shared" si="2"/>
        <v>-</v>
      </c>
      <c r="O50" s="50" t="str">
        <f t="shared" si="3"/>
        <v>-</v>
      </c>
      <c r="P50" s="51" t="str">
        <f t="shared" si="4"/>
        <v>-</v>
      </c>
      <c r="R50" s="51" t="str">
        <f t="shared" si="5"/>
        <v>-</v>
      </c>
    </row>
    <row r="51" spans="1:18" x14ac:dyDescent="0.3">
      <c r="A51" s="61">
        <v>10182</v>
      </c>
      <c r="B51" s="9">
        <v>666222010182</v>
      </c>
      <c r="C51" s="33" t="s">
        <v>78</v>
      </c>
      <c r="D51" s="8" t="s">
        <v>33</v>
      </c>
      <c r="E51" s="8">
        <v>30</v>
      </c>
      <c r="F51" s="62">
        <v>0.44</v>
      </c>
      <c r="G51" s="8">
        <v>6</v>
      </c>
      <c r="H51" s="25">
        <v>18.582850000000001</v>
      </c>
      <c r="I51" s="38"/>
      <c r="J51" s="20">
        <f t="shared" si="6"/>
        <v>0</v>
      </c>
      <c r="M51" s="49" t="str">
        <f t="shared" si="1"/>
        <v>-</v>
      </c>
      <c r="N51" s="49" t="str">
        <f t="shared" si="2"/>
        <v>-</v>
      </c>
      <c r="O51" s="50" t="str">
        <f t="shared" si="3"/>
        <v>-</v>
      </c>
      <c r="P51" s="51" t="str">
        <f t="shared" si="4"/>
        <v>-</v>
      </c>
      <c r="R51" s="51" t="str">
        <f t="shared" si="5"/>
        <v>-</v>
      </c>
    </row>
    <row r="52" spans="1:18" x14ac:dyDescent="0.3">
      <c r="A52" s="61">
        <v>10175</v>
      </c>
      <c r="B52" s="26">
        <v>666222010175</v>
      </c>
      <c r="C52" s="33" t="s">
        <v>79</v>
      </c>
      <c r="D52" s="8" t="s">
        <v>31</v>
      </c>
      <c r="E52" s="8">
        <v>30</v>
      </c>
      <c r="F52" s="62">
        <v>0.43</v>
      </c>
      <c r="G52" s="8">
        <v>6</v>
      </c>
      <c r="H52" s="25">
        <v>18.582850000000001</v>
      </c>
      <c r="I52" s="38"/>
      <c r="J52" s="20">
        <f t="shared" si="6"/>
        <v>0</v>
      </c>
      <c r="M52" s="49" t="str">
        <f t="shared" si="1"/>
        <v>-</v>
      </c>
      <c r="N52" s="49" t="str">
        <f t="shared" si="2"/>
        <v>-</v>
      </c>
      <c r="O52" s="50" t="str">
        <f t="shared" si="3"/>
        <v>-</v>
      </c>
      <c r="P52" s="51" t="str">
        <f t="shared" si="4"/>
        <v>-</v>
      </c>
      <c r="R52" s="51" t="str">
        <f t="shared" si="5"/>
        <v>-</v>
      </c>
    </row>
    <row r="53" spans="1:18" x14ac:dyDescent="0.3">
      <c r="A53" s="61">
        <v>10083</v>
      </c>
      <c r="B53" s="9">
        <v>666222010083</v>
      </c>
      <c r="C53" s="33" t="s">
        <v>80</v>
      </c>
      <c r="D53" s="8" t="s">
        <v>8</v>
      </c>
      <c r="E53" s="8">
        <v>30</v>
      </c>
      <c r="F53" s="62">
        <v>0.16</v>
      </c>
      <c r="G53" s="8">
        <v>6</v>
      </c>
      <c r="H53" s="25">
        <v>13.93535</v>
      </c>
      <c r="I53" s="38"/>
      <c r="J53" s="20">
        <f t="shared" si="6"/>
        <v>0</v>
      </c>
      <c r="M53" s="49" t="str">
        <f t="shared" si="1"/>
        <v>-</v>
      </c>
      <c r="N53" s="49" t="str">
        <f t="shared" si="2"/>
        <v>-</v>
      </c>
      <c r="O53" s="50" t="str">
        <f t="shared" si="3"/>
        <v>-</v>
      </c>
      <c r="P53" s="51" t="str">
        <f t="shared" si="4"/>
        <v>-</v>
      </c>
      <c r="R53" s="51" t="str">
        <f t="shared" si="5"/>
        <v>-</v>
      </c>
    </row>
    <row r="54" spans="1:18" x14ac:dyDescent="0.3">
      <c r="A54" s="61">
        <v>10236</v>
      </c>
      <c r="B54" s="26">
        <v>666222010236</v>
      </c>
      <c r="C54" s="33" t="s">
        <v>81</v>
      </c>
      <c r="D54" s="8" t="s">
        <v>32</v>
      </c>
      <c r="E54" s="8">
        <v>60</v>
      </c>
      <c r="F54" s="62">
        <v>0.08</v>
      </c>
      <c r="G54" s="8">
        <v>12</v>
      </c>
      <c r="H54" s="25">
        <v>23.237500000000001</v>
      </c>
      <c r="I54" s="38"/>
      <c r="J54" s="20">
        <f t="shared" si="6"/>
        <v>0</v>
      </c>
      <c r="M54" s="49" t="str">
        <f t="shared" si="1"/>
        <v>-</v>
      </c>
      <c r="N54" s="49" t="str">
        <f t="shared" si="2"/>
        <v>-</v>
      </c>
      <c r="O54" s="50" t="str">
        <f t="shared" si="3"/>
        <v>-</v>
      </c>
      <c r="P54" s="51" t="str">
        <f t="shared" si="4"/>
        <v>-</v>
      </c>
      <c r="R54" s="51" t="str">
        <f t="shared" si="5"/>
        <v>-</v>
      </c>
    </row>
    <row r="56" spans="1:18" ht="15" thickBot="1" x14ac:dyDescent="0.35"/>
    <row r="57" spans="1:18" ht="32.4" customHeight="1" thickBot="1" x14ac:dyDescent="0.35">
      <c r="C57" s="27"/>
    </row>
    <row r="58" spans="1:18" x14ac:dyDescent="0.3">
      <c r="C58" s="28" t="s">
        <v>38</v>
      </c>
    </row>
    <row r="59" spans="1:18" x14ac:dyDescent="0.3">
      <c r="C59" s="29" t="s">
        <v>39</v>
      </c>
    </row>
    <row r="60" spans="1:18" ht="15" thickBot="1" x14ac:dyDescent="0.35">
      <c r="C60" s="30" t="s">
        <v>40</v>
      </c>
    </row>
    <row r="61" spans="1:18" x14ac:dyDescent="0.3">
      <c r="C61" s="31" t="s">
        <v>41</v>
      </c>
    </row>
    <row r="62" spans="1:18" ht="15" thickBot="1" x14ac:dyDescent="0.35">
      <c r="C62" s="32" t="s">
        <v>42</v>
      </c>
    </row>
  </sheetData>
  <sheetProtection algorithmName="SHA-512" hashValue="IBiOmxCQuPsCd2amQBoCU/d4oc9S3/yKmfjDR3lR7e+rQO/Tx3EawBNfB8hgJxQpQ+QC2dv0iCyoFOuDyGGyeA==" saltValue="JJYeJ+pK42OrAufJDEAqdA==" spinCount="100000" sheet="1" formatCells="0" formatColumns="0" formatRows="0" insertColumns="0" insertRows="0" insertHyperlinks="0" deleteColumns="0" deleteRows="0" sort="0" autoFilter="0" pivotTables="0"/>
  <autoFilter ref="A2:J54" xr:uid="{00000000-0001-0000-0000-000000000000}"/>
  <mergeCells count="2">
    <mergeCell ref="A1:J1"/>
    <mergeCell ref="N1:N2"/>
  </mergeCells>
  <conditionalFormatting sqref="R1">
    <cfRule type="expression" dxfId="0" priority="1">
      <formula>"&gt;0"</formula>
    </cfRule>
  </conditionalFormatting>
  <dataValidations count="1">
    <dataValidation type="custom" allowBlank="1" showInputMessage="1" showErrorMessage="1" errorTitle="ERROR" error="Order quantity must be a multiple of Sales per Unit Case (See Column G)." prompt="Order quantity must be a multiple of Sales per Unit Case (See Column G)." sqref="I3:I54" xr:uid="{4A7F5580-8DC2-41B1-9F0F-9526FA42739A}">
      <formula1>MOD(I3,G3)=0</formula1>
    </dataValidation>
  </dataValidations>
  <pageMargins left="0.7" right="0.7" top="0.75" bottom="0.75" header="0.3" footer="0.3"/>
  <pageSetup scale="6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2E9C39805A044CA1913AE2A49F72DB" ma:contentTypeVersion="15" ma:contentTypeDescription="Create a new document." ma:contentTypeScope="" ma:versionID="7d77d3ab3ca6b103dcc5bbdc7ecac152">
  <xsd:schema xmlns:xsd="http://www.w3.org/2001/XMLSchema" xmlns:xs="http://www.w3.org/2001/XMLSchema" xmlns:p="http://schemas.microsoft.com/office/2006/metadata/properties" xmlns:ns3="2db6536d-e1ac-4ced-a33b-93775a332ecf" targetNamespace="http://schemas.microsoft.com/office/2006/metadata/properties" ma:root="true" ma:fieldsID="11870d1cedd860af33d9c2c9ef2bb13b" ns3:_="">
    <xsd:import namespace="2db6536d-e1ac-4ced-a33b-93775a332e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6536d-e1ac-4ced-a33b-93775a332e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db6536d-e1ac-4ced-a33b-93775a332ecf" xsi:nil="true"/>
  </documentManagement>
</p:properties>
</file>

<file path=customXml/itemProps1.xml><?xml version="1.0" encoding="utf-8"?>
<ds:datastoreItem xmlns:ds="http://schemas.openxmlformats.org/officeDocument/2006/customXml" ds:itemID="{62B22ABE-24E3-4F0A-8D3D-2C41289048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9A55C1-BC58-4B20-808C-F28C64DA22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6536d-e1ac-4ced-a33b-93775a332e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C8FC99-7969-4440-8162-4A0F003A019A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2db6536d-e1ac-4ced-a33b-93775a332ecf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DSN GROUP (MHP)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Tkachuk Valia</cp:lastModifiedBy>
  <cp:lastPrinted>2018-09-11T22:46:49Z</cp:lastPrinted>
  <dcterms:created xsi:type="dcterms:W3CDTF">2018-04-10T16:46:53Z</dcterms:created>
  <dcterms:modified xsi:type="dcterms:W3CDTF">2025-12-18T11:52:39Z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0x010100EF2E9C39805A044CA1913AE2A49F72DB</vt:lpwstr>
  </property>
</Properties>
</file>