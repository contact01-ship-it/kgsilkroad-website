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\Всяке\прайсики\Project X\Міжнародка\"/>
    </mc:Choice>
  </mc:AlternateContent>
  <xr:revisionPtr revIDLastSave="0" documentId="13_ncr:1_{17E452AC-17EE-463F-AE6D-0874D38D627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SN GROUP (Superior Source)" sheetId="6" r:id="rId1"/>
  </sheets>
  <definedNames>
    <definedName name="_xlnm._FilterDatabase" localSheetId="0" hidden="1">'DSN GROUP (Superior Source)'!$A$2:$I$107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6" i="6" l="1"/>
  <c r="M24" i="6"/>
  <c r="M25" i="6"/>
  <c r="M26" i="6"/>
  <c r="M32" i="6"/>
  <c r="M40" i="6"/>
  <c r="M41" i="6"/>
  <c r="M56" i="6"/>
  <c r="M64" i="6"/>
  <c r="M72" i="6"/>
  <c r="M73" i="6"/>
  <c r="M88" i="6"/>
  <c r="M89" i="6"/>
  <c r="M90" i="6"/>
  <c r="M96" i="6"/>
  <c r="M104" i="6"/>
  <c r="M105" i="6"/>
  <c r="N4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50" i="6"/>
  <c r="N51" i="6"/>
  <c r="N52" i="6"/>
  <c r="N53" i="6"/>
  <c r="N54" i="6"/>
  <c r="N55" i="6"/>
  <c r="N56" i="6"/>
  <c r="N57" i="6"/>
  <c r="N58" i="6"/>
  <c r="N59" i="6"/>
  <c r="N60" i="6"/>
  <c r="N61" i="6"/>
  <c r="N62" i="6"/>
  <c r="N63" i="6"/>
  <c r="N64" i="6"/>
  <c r="N65" i="6"/>
  <c r="N66" i="6"/>
  <c r="N67" i="6"/>
  <c r="N68" i="6"/>
  <c r="N69" i="6"/>
  <c r="N70" i="6"/>
  <c r="N71" i="6"/>
  <c r="N72" i="6"/>
  <c r="N73" i="6"/>
  <c r="N74" i="6"/>
  <c r="N75" i="6"/>
  <c r="N76" i="6"/>
  <c r="N77" i="6"/>
  <c r="N78" i="6"/>
  <c r="N79" i="6"/>
  <c r="N80" i="6"/>
  <c r="N81" i="6"/>
  <c r="N82" i="6"/>
  <c r="N83" i="6"/>
  <c r="N84" i="6"/>
  <c r="N85" i="6"/>
  <c r="N86" i="6"/>
  <c r="N87" i="6"/>
  <c r="N88" i="6"/>
  <c r="N89" i="6"/>
  <c r="N90" i="6"/>
  <c r="N91" i="6"/>
  <c r="N92" i="6"/>
  <c r="N93" i="6"/>
  <c r="N94" i="6"/>
  <c r="N95" i="6"/>
  <c r="N96" i="6"/>
  <c r="N97" i="6"/>
  <c r="N98" i="6"/>
  <c r="N99" i="6"/>
  <c r="N100" i="6"/>
  <c r="N101" i="6"/>
  <c r="N102" i="6"/>
  <c r="N103" i="6"/>
  <c r="N104" i="6"/>
  <c r="N105" i="6"/>
  <c r="N106" i="6"/>
  <c r="N107" i="6"/>
  <c r="N3" i="6"/>
  <c r="L4" i="6"/>
  <c r="M4" i="6" s="1"/>
  <c r="O4" i="6"/>
  <c r="L5" i="6"/>
  <c r="M5" i="6" s="1"/>
  <c r="O5" i="6"/>
  <c r="L6" i="6"/>
  <c r="M6" i="6" s="1"/>
  <c r="O6" i="6"/>
  <c r="L7" i="6"/>
  <c r="M7" i="6" s="1"/>
  <c r="O7" i="6"/>
  <c r="L8" i="6"/>
  <c r="M8" i="6" s="1"/>
  <c r="O8" i="6"/>
  <c r="L9" i="6"/>
  <c r="M9" i="6" s="1"/>
  <c r="O9" i="6"/>
  <c r="L10" i="6"/>
  <c r="M10" i="6" s="1"/>
  <c r="O10" i="6"/>
  <c r="L11" i="6"/>
  <c r="M11" i="6" s="1"/>
  <c r="O11" i="6"/>
  <c r="L12" i="6"/>
  <c r="M12" i="6" s="1"/>
  <c r="O12" i="6"/>
  <c r="L13" i="6"/>
  <c r="M13" i="6" s="1"/>
  <c r="O13" i="6"/>
  <c r="L14" i="6"/>
  <c r="M14" i="6" s="1"/>
  <c r="O14" i="6"/>
  <c r="L15" i="6"/>
  <c r="M15" i="6" s="1"/>
  <c r="O15" i="6"/>
  <c r="L16" i="6"/>
  <c r="O16" i="6"/>
  <c r="L17" i="6"/>
  <c r="M17" i="6" s="1"/>
  <c r="O17" i="6"/>
  <c r="L18" i="6"/>
  <c r="M18" i="6" s="1"/>
  <c r="O18" i="6"/>
  <c r="L19" i="6"/>
  <c r="M19" i="6" s="1"/>
  <c r="O19" i="6"/>
  <c r="L20" i="6"/>
  <c r="M20" i="6" s="1"/>
  <c r="O20" i="6"/>
  <c r="L21" i="6"/>
  <c r="M21" i="6" s="1"/>
  <c r="O21" i="6"/>
  <c r="L22" i="6"/>
  <c r="M22" i="6" s="1"/>
  <c r="O22" i="6"/>
  <c r="L23" i="6"/>
  <c r="M23" i="6" s="1"/>
  <c r="O23" i="6"/>
  <c r="L24" i="6"/>
  <c r="O24" i="6"/>
  <c r="L25" i="6"/>
  <c r="O25" i="6"/>
  <c r="L26" i="6"/>
  <c r="O26" i="6"/>
  <c r="L27" i="6"/>
  <c r="M27" i="6" s="1"/>
  <c r="O27" i="6"/>
  <c r="L28" i="6"/>
  <c r="M28" i="6" s="1"/>
  <c r="O28" i="6"/>
  <c r="L29" i="6"/>
  <c r="M29" i="6" s="1"/>
  <c r="O29" i="6"/>
  <c r="L30" i="6"/>
  <c r="M30" i="6" s="1"/>
  <c r="O30" i="6"/>
  <c r="L31" i="6"/>
  <c r="M31" i="6" s="1"/>
  <c r="O31" i="6"/>
  <c r="L32" i="6"/>
  <c r="O32" i="6"/>
  <c r="L33" i="6"/>
  <c r="M33" i="6" s="1"/>
  <c r="O33" i="6"/>
  <c r="L34" i="6"/>
  <c r="M34" i="6" s="1"/>
  <c r="O34" i="6"/>
  <c r="L35" i="6"/>
  <c r="M35" i="6" s="1"/>
  <c r="O35" i="6"/>
  <c r="L36" i="6"/>
  <c r="M36" i="6" s="1"/>
  <c r="O36" i="6"/>
  <c r="L37" i="6"/>
  <c r="M37" i="6" s="1"/>
  <c r="O37" i="6"/>
  <c r="L38" i="6"/>
  <c r="M38" i="6" s="1"/>
  <c r="O38" i="6"/>
  <c r="L39" i="6"/>
  <c r="M39" i="6" s="1"/>
  <c r="O39" i="6"/>
  <c r="L40" i="6"/>
  <c r="O40" i="6"/>
  <c r="L41" i="6"/>
  <c r="O41" i="6"/>
  <c r="L42" i="6"/>
  <c r="M42" i="6" s="1"/>
  <c r="O42" i="6"/>
  <c r="L43" i="6"/>
  <c r="M43" i="6" s="1"/>
  <c r="O43" i="6"/>
  <c r="L44" i="6"/>
  <c r="M44" i="6" s="1"/>
  <c r="O44" i="6"/>
  <c r="L45" i="6"/>
  <c r="M45" i="6" s="1"/>
  <c r="O45" i="6"/>
  <c r="L46" i="6"/>
  <c r="M46" i="6" s="1"/>
  <c r="O46" i="6"/>
  <c r="L47" i="6"/>
  <c r="M47" i="6" s="1"/>
  <c r="O47" i="6"/>
  <c r="L48" i="6"/>
  <c r="M48" i="6" s="1"/>
  <c r="O48" i="6"/>
  <c r="L49" i="6"/>
  <c r="M49" i="6" s="1"/>
  <c r="O49" i="6"/>
  <c r="L50" i="6"/>
  <c r="M50" i="6" s="1"/>
  <c r="O50" i="6"/>
  <c r="L51" i="6"/>
  <c r="M51" i="6" s="1"/>
  <c r="O51" i="6"/>
  <c r="L52" i="6"/>
  <c r="M52" i="6" s="1"/>
  <c r="O52" i="6"/>
  <c r="L53" i="6"/>
  <c r="M53" i="6" s="1"/>
  <c r="O53" i="6"/>
  <c r="L54" i="6"/>
  <c r="M54" i="6" s="1"/>
  <c r="O54" i="6"/>
  <c r="L55" i="6"/>
  <c r="M55" i="6" s="1"/>
  <c r="O55" i="6"/>
  <c r="L56" i="6"/>
  <c r="O56" i="6"/>
  <c r="L57" i="6"/>
  <c r="M57" i="6" s="1"/>
  <c r="O57" i="6"/>
  <c r="L58" i="6"/>
  <c r="M58" i="6" s="1"/>
  <c r="O58" i="6"/>
  <c r="L59" i="6"/>
  <c r="M59" i="6" s="1"/>
  <c r="O59" i="6"/>
  <c r="L60" i="6"/>
  <c r="M60" i="6" s="1"/>
  <c r="O60" i="6"/>
  <c r="L61" i="6"/>
  <c r="M61" i="6" s="1"/>
  <c r="O61" i="6"/>
  <c r="L62" i="6"/>
  <c r="M62" i="6" s="1"/>
  <c r="O62" i="6"/>
  <c r="L63" i="6"/>
  <c r="M63" i="6" s="1"/>
  <c r="O63" i="6"/>
  <c r="L64" i="6"/>
  <c r="O64" i="6"/>
  <c r="L65" i="6"/>
  <c r="M65" i="6" s="1"/>
  <c r="O65" i="6"/>
  <c r="L66" i="6"/>
  <c r="M66" i="6" s="1"/>
  <c r="O66" i="6"/>
  <c r="L67" i="6"/>
  <c r="M67" i="6" s="1"/>
  <c r="O67" i="6"/>
  <c r="L68" i="6"/>
  <c r="M68" i="6" s="1"/>
  <c r="O68" i="6"/>
  <c r="L69" i="6"/>
  <c r="M69" i="6" s="1"/>
  <c r="O69" i="6"/>
  <c r="L70" i="6"/>
  <c r="M70" i="6" s="1"/>
  <c r="O70" i="6"/>
  <c r="L71" i="6"/>
  <c r="M71" i="6" s="1"/>
  <c r="O71" i="6"/>
  <c r="L72" i="6"/>
  <c r="O72" i="6"/>
  <c r="L73" i="6"/>
  <c r="O73" i="6"/>
  <c r="L74" i="6"/>
  <c r="M74" i="6" s="1"/>
  <c r="O74" i="6"/>
  <c r="L75" i="6"/>
  <c r="M75" i="6" s="1"/>
  <c r="O75" i="6"/>
  <c r="L76" i="6"/>
  <c r="M76" i="6" s="1"/>
  <c r="O76" i="6"/>
  <c r="L77" i="6"/>
  <c r="M77" i="6" s="1"/>
  <c r="O77" i="6"/>
  <c r="L78" i="6"/>
  <c r="M78" i="6" s="1"/>
  <c r="O78" i="6"/>
  <c r="L79" i="6"/>
  <c r="M79" i="6" s="1"/>
  <c r="O79" i="6"/>
  <c r="L80" i="6"/>
  <c r="M80" i="6" s="1"/>
  <c r="O80" i="6"/>
  <c r="L81" i="6"/>
  <c r="M81" i="6" s="1"/>
  <c r="O81" i="6"/>
  <c r="L82" i="6"/>
  <c r="M82" i="6" s="1"/>
  <c r="O82" i="6"/>
  <c r="L83" i="6"/>
  <c r="M83" i="6" s="1"/>
  <c r="O83" i="6"/>
  <c r="L84" i="6"/>
  <c r="M84" i="6" s="1"/>
  <c r="O84" i="6"/>
  <c r="L85" i="6"/>
  <c r="M85" i="6" s="1"/>
  <c r="O85" i="6"/>
  <c r="L86" i="6"/>
  <c r="M86" i="6" s="1"/>
  <c r="O86" i="6"/>
  <c r="L87" i="6"/>
  <c r="M87" i="6" s="1"/>
  <c r="O87" i="6"/>
  <c r="L88" i="6"/>
  <c r="O88" i="6"/>
  <c r="L89" i="6"/>
  <c r="O89" i="6"/>
  <c r="L90" i="6"/>
  <c r="O90" i="6"/>
  <c r="L91" i="6"/>
  <c r="M91" i="6" s="1"/>
  <c r="O91" i="6"/>
  <c r="L92" i="6"/>
  <c r="M92" i="6" s="1"/>
  <c r="O92" i="6"/>
  <c r="L93" i="6"/>
  <c r="M93" i="6" s="1"/>
  <c r="O93" i="6"/>
  <c r="L94" i="6"/>
  <c r="M94" i="6" s="1"/>
  <c r="O94" i="6"/>
  <c r="L95" i="6"/>
  <c r="M95" i="6" s="1"/>
  <c r="O95" i="6"/>
  <c r="L96" i="6"/>
  <c r="O96" i="6"/>
  <c r="L97" i="6"/>
  <c r="M97" i="6" s="1"/>
  <c r="O97" i="6"/>
  <c r="L98" i="6"/>
  <c r="M98" i="6" s="1"/>
  <c r="O98" i="6"/>
  <c r="L99" i="6"/>
  <c r="M99" i="6" s="1"/>
  <c r="O99" i="6"/>
  <c r="L100" i="6"/>
  <c r="M100" i="6" s="1"/>
  <c r="O100" i="6"/>
  <c r="L101" i="6"/>
  <c r="M101" i="6" s="1"/>
  <c r="O101" i="6"/>
  <c r="L102" i="6"/>
  <c r="M102" i="6" s="1"/>
  <c r="O102" i="6"/>
  <c r="L103" i="6"/>
  <c r="M103" i="6" s="1"/>
  <c r="O103" i="6"/>
  <c r="L104" i="6"/>
  <c r="O104" i="6"/>
  <c r="L105" i="6"/>
  <c r="O105" i="6"/>
  <c r="L106" i="6"/>
  <c r="M106" i="6" s="1"/>
  <c r="O106" i="6"/>
  <c r="L107" i="6"/>
  <c r="M107" i="6" s="1"/>
  <c r="O107" i="6"/>
  <c r="O3" i="6"/>
  <c r="L3" i="6"/>
  <c r="M3" i="6" l="1"/>
  <c r="N2" i="6"/>
  <c r="O2" i="6"/>
  <c r="I4" i="6" l="1"/>
  <c r="Q4" i="6" s="1"/>
  <c r="I5" i="6"/>
  <c r="Q5" i="6" s="1"/>
  <c r="I6" i="6"/>
  <c r="Q6" i="6" s="1"/>
  <c r="I7" i="6"/>
  <c r="Q7" i="6" s="1"/>
  <c r="I8" i="6"/>
  <c r="Q8" i="6" s="1"/>
  <c r="I9" i="6"/>
  <c r="Q9" i="6" s="1"/>
  <c r="I10" i="6"/>
  <c r="Q10" i="6" s="1"/>
  <c r="I11" i="6"/>
  <c r="Q11" i="6" s="1"/>
  <c r="I12" i="6"/>
  <c r="Q12" i="6" s="1"/>
  <c r="I13" i="6"/>
  <c r="Q13" i="6" s="1"/>
  <c r="I14" i="6"/>
  <c r="Q14" i="6" s="1"/>
  <c r="I15" i="6"/>
  <c r="Q15" i="6" s="1"/>
  <c r="I16" i="6"/>
  <c r="Q16" i="6" s="1"/>
  <c r="I17" i="6"/>
  <c r="Q17" i="6" s="1"/>
  <c r="I18" i="6"/>
  <c r="Q18" i="6" s="1"/>
  <c r="I19" i="6"/>
  <c r="Q19" i="6" s="1"/>
  <c r="I20" i="6"/>
  <c r="Q20" i="6" s="1"/>
  <c r="I21" i="6"/>
  <c r="Q21" i="6" s="1"/>
  <c r="I22" i="6"/>
  <c r="Q22" i="6" s="1"/>
  <c r="I23" i="6"/>
  <c r="Q23" i="6" s="1"/>
  <c r="I24" i="6"/>
  <c r="Q24" i="6" s="1"/>
  <c r="I25" i="6"/>
  <c r="Q25" i="6" s="1"/>
  <c r="I26" i="6"/>
  <c r="Q26" i="6" s="1"/>
  <c r="I27" i="6"/>
  <c r="Q27" i="6" s="1"/>
  <c r="I28" i="6"/>
  <c r="Q28" i="6" s="1"/>
  <c r="I29" i="6"/>
  <c r="Q29" i="6" s="1"/>
  <c r="I30" i="6"/>
  <c r="Q30" i="6" s="1"/>
  <c r="I31" i="6"/>
  <c r="Q31" i="6" s="1"/>
  <c r="I32" i="6"/>
  <c r="Q32" i="6" s="1"/>
  <c r="I33" i="6"/>
  <c r="Q33" i="6" s="1"/>
  <c r="I34" i="6"/>
  <c r="Q34" i="6" s="1"/>
  <c r="I35" i="6"/>
  <c r="Q35" i="6" s="1"/>
  <c r="I36" i="6"/>
  <c r="Q36" i="6" s="1"/>
  <c r="I37" i="6"/>
  <c r="Q37" i="6" s="1"/>
  <c r="I38" i="6"/>
  <c r="Q38" i="6" s="1"/>
  <c r="I39" i="6"/>
  <c r="Q39" i="6" s="1"/>
  <c r="I40" i="6"/>
  <c r="Q40" i="6" s="1"/>
  <c r="I41" i="6"/>
  <c r="Q41" i="6" s="1"/>
  <c r="I42" i="6"/>
  <c r="Q42" i="6" s="1"/>
  <c r="I43" i="6"/>
  <c r="Q43" i="6" s="1"/>
  <c r="I44" i="6"/>
  <c r="Q44" i="6" s="1"/>
  <c r="I45" i="6"/>
  <c r="Q45" i="6" s="1"/>
  <c r="I46" i="6"/>
  <c r="Q46" i="6" s="1"/>
  <c r="I47" i="6"/>
  <c r="Q47" i="6" s="1"/>
  <c r="I48" i="6"/>
  <c r="Q48" i="6" s="1"/>
  <c r="I49" i="6"/>
  <c r="Q49" i="6" s="1"/>
  <c r="I50" i="6"/>
  <c r="Q50" i="6" s="1"/>
  <c r="I51" i="6"/>
  <c r="Q51" i="6" s="1"/>
  <c r="I52" i="6"/>
  <c r="Q52" i="6" s="1"/>
  <c r="I53" i="6"/>
  <c r="Q53" i="6" s="1"/>
  <c r="I54" i="6"/>
  <c r="Q54" i="6" s="1"/>
  <c r="I55" i="6"/>
  <c r="Q55" i="6" s="1"/>
  <c r="I56" i="6"/>
  <c r="Q56" i="6" s="1"/>
  <c r="I57" i="6"/>
  <c r="Q57" i="6" s="1"/>
  <c r="I58" i="6"/>
  <c r="Q58" i="6" s="1"/>
  <c r="I59" i="6"/>
  <c r="Q59" i="6" s="1"/>
  <c r="I60" i="6"/>
  <c r="Q60" i="6" s="1"/>
  <c r="I61" i="6"/>
  <c r="Q61" i="6" s="1"/>
  <c r="I62" i="6"/>
  <c r="Q62" i="6" s="1"/>
  <c r="I63" i="6"/>
  <c r="Q63" i="6" s="1"/>
  <c r="I64" i="6"/>
  <c r="Q64" i="6" s="1"/>
  <c r="I65" i="6"/>
  <c r="Q65" i="6" s="1"/>
  <c r="I66" i="6"/>
  <c r="Q66" i="6" s="1"/>
  <c r="I67" i="6"/>
  <c r="Q67" i="6" s="1"/>
  <c r="I68" i="6"/>
  <c r="Q68" i="6" s="1"/>
  <c r="I69" i="6"/>
  <c r="Q69" i="6" s="1"/>
  <c r="I70" i="6"/>
  <c r="Q70" i="6" s="1"/>
  <c r="I71" i="6"/>
  <c r="Q71" i="6" s="1"/>
  <c r="I72" i="6"/>
  <c r="Q72" i="6" s="1"/>
  <c r="I73" i="6"/>
  <c r="Q73" i="6" s="1"/>
  <c r="I74" i="6"/>
  <c r="Q74" i="6" s="1"/>
  <c r="I75" i="6"/>
  <c r="Q75" i="6" s="1"/>
  <c r="I76" i="6"/>
  <c r="Q76" i="6" s="1"/>
  <c r="I77" i="6"/>
  <c r="Q77" i="6" s="1"/>
  <c r="I78" i="6"/>
  <c r="Q78" i="6" s="1"/>
  <c r="I79" i="6"/>
  <c r="Q79" i="6" s="1"/>
  <c r="I80" i="6"/>
  <c r="Q80" i="6" s="1"/>
  <c r="I81" i="6"/>
  <c r="Q81" i="6" s="1"/>
  <c r="I82" i="6"/>
  <c r="Q82" i="6" s="1"/>
  <c r="I83" i="6"/>
  <c r="Q83" i="6" s="1"/>
  <c r="I84" i="6"/>
  <c r="Q84" i="6" s="1"/>
  <c r="I85" i="6"/>
  <c r="Q85" i="6" s="1"/>
  <c r="I86" i="6"/>
  <c r="Q86" i="6" s="1"/>
  <c r="I87" i="6"/>
  <c r="Q87" i="6" s="1"/>
  <c r="I88" i="6"/>
  <c r="Q88" i="6" s="1"/>
  <c r="I89" i="6"/>
  <c r="Q89" i="6" s="1"/>
  <c r="I90" i="6"/>
  <c r="Q90" i="6" s="1"/>
  <c r="I91" i="6"/>
  <c r="Q91" i="6" s="1"/>
  <c r="I92" i="6"/>
  <c r="Q92" i="6" s="1"/>
  <c r="I93" i="6"/>
  <c r="Q93" i="6" s="1"/>
  <c r="I94" i="6"/>
  <c r="Q94" i="6" s="1"/>
  <c r="I95" i="6"/>
  <c r="Q95" i="6" s="1"/>
  <c r="I96" i="6"/>
  <c r="Q96" i="6" s="1"/>
  <c r="I97" i="6"/>
  <c r="Q97" i="6" s="1"/>
  <c r="I98" i="6"/>
  <c r="Q98" i="6" s="1"/>
  <c r="I99" i="6"/>
  <c r="Q99" i="6" s="1"/>
  <c r="I100" i="6"/>
  <c r="Q100" i="6" s="1"/>
  <c r="I101" i="6"/>
  <c r="Q101" i="6" s="1"/>
  <c r="I102" i="6"/>
  <c r="Q102" i="6" s="1"/>
  <c r="I103" i="6"/>
  <c r="Q103" i="6" s="1"/>
  <c r="I104" i="6"/>
  <c r="Q104" i="6" s="1"/>
  <c r="I105" i="6"/>
  <c r="Q105" i="6" s="1"/>
  <c r="I106" i="6"/>
  <c r="Q106" i="6" s="1"/>
  <c r="I107" i="6"/>
  <c r="Q107" i="6" s="1"/>
  <c r="I3" i="6"/>
  <c r="Q3" i="6" s="1"/>
  <c r="Q1" i="6" l="1"/>
  <c r="J2" i="6"/>
</calcChain>
</file>

<file path=xl/sharedStrings.xml><?xml version="1.0" encoding="utf-8"?>
<sst xmlns="http://schemas.openxmlformats.org/spreadsheetml/2006/main" count="133" uniqueCount="123">
  <si>
    <r>
      <rPr>
        <b/>
        <sz val="8"/>
        <rFont val="Tahoma"/>
        <family val="2"/>
      </rPr>
      <t>Item #</t>
    </r>
  </si>
  <si>
    <r>
      <rPr>
        <b/>
        <sz val="8"/>
        <rFont val="Tahoma"/>
        <family val="2"/>
      </rPr>
      <t>PRODUCT DESCRIPTION</t>
    </r>
  </si>
  <si>
    <r>
      <rPr>
        <sz val="8"/>
        <rFont val="Tahoma"/>
        <family val="2"/>
      </rPr>
      <t xml:space="preserve">No Shot Methylcobalamin B12 1,000 mcg/B6/Methylfolate: </t>
    </r>
    <r>
      <rPr>
        <sz val="7.5"/>
        <rFont val="Tahoma"/>
        <family val="2"/>
      </rPr>
      <t xml:space="preserve">Vit. B12
</t>
    </r>
    <r>
      <rPr>
        <sz val="7.5"/>
        <rFont val="Tahoma"/>
        <family val="2"/>
      </rPr>
      <t>(as Methylcobalamin) 1,000 mcg Vit. B6 (as Pyridoxal-5’-phosphate) 2 mg, Methylfolate (as L-5 methyltetrahydrofolate) 1,000 mcg</t>
    </r>
  </si>
  <si>
    <r>
      <rPr>
        <sz val="8"/>
        <rFont val="Tahoma"/>
        <family val="2"/>
      </rPr>
      <t xml:space="preserve">No Shot Methylcobalamin B12 2,000 mcg/B6/Methylfolate: </t>
    </r>
    <r>
      <rPr>
        <sz val="7.5"/>
        <rFont val="Tahoma"/>
        <family val="2"/>
      </rPr>
      <t xml:space="preserve">Vit. B12
</t>
    </r>
    <r>
      <rPr>
        <sz val="7.5"/>
        <rFont val="Tahoma"/>
        <family val="2"/>
      </rPr>
      <t>(as Methylcobalamin) 2,000 mcg Vit. B6 (as Pyridoxal-5’-phosphate) 2 mg, Methylfolate (as L-5 methyltetrahydrofolate) 1,200 mcg</t>
    </r>
  </si>
  <si>
    <r>
      <rPr>
        <sz val="8"/>
        <rFont val="Tahoma"/>
        <family val="2"/>
      </rPr>
      <t>No Shot Advanced B12, 2,000 mcg</t>
    </r>
    <r>
      <rPr>
        <sz val="7.5"/>
        <rFont val="Tahoma"/>
        <family val="2"/>
      </rPr>
      <t>(1,000 mcg Methylcobalamin/1,000 mcg Dibencozide)</t>
    </r>
  </si>
  <si>
    <r>
      <rPr>
        <sz val="8"/>
        <rFont val="Tahoma"/>
        <family val="2"/>
      </rPr>
      <t xml:space="preserve">No Shot Advanced B12/B6/Folic Acid, 2,000 mcg </t>
    </r>
    <r>
      <rPr>
        <sz val="7.5"/>
        <rFont val="Tahoma"/>
        <family val="2"/>
      </rPr>
      <t>B12/B6 2 mg/Folic Acid 600 mcg (1,000 mcg Methylcobalamin/1,000 mcg Dibencozide)</t>
    </r>
  </si>
  <si>
    <r>
      <rPr>
        <sz val="8"/>
        <rFont val="Tahoma"/>
        <family val="2"/>
      </rPr>
      <t>No Shot Methylcobalamin B12 1,000 mcg</t>
    </r>
  </si>
  <si>
    <r>
      <rPr>
        <sz val="8"/>
        <rFont val="Tahoma"/>
        <family val="2"/>
      </rPr>
      <t xml:space="preserve">No Shot Methylcobalamin B12 w/Folic Acid, </t>
    </r>
    <r>
      <rPr>
        <sz val="7.5"/>
        <rFont val="Tahoma"/>
        <family val="2"/>
      </rPr>
      <t>Vit. B12 (as Methylcobalamin) 1,000 mcg, Folic Acid 400 mcg</t>
    </r>
  </si>
  <si>
    <r>
      <rPr>
        <sz val="8"/>
        <rFont val="Tahoma"/>
        <family val="2"/>
      </rPr>
      <t xml:space="preserve">No Shot Methylcobalamin B12/B6/Folic Acid
</t>
    </r>
    <r>
      <rPr>
        <sz val="7.5"/>
        <rFont val="Tahoma"/>
        <family val="2"/>
      </rPr>
      <t>Vit. B6 (as Pyridoxine HCl) 2 mg, Vit. B12 (as Methylcobalamin) 1,000 mcg, Folic Acid 400 mcg</t>
    </r>
  </si>
  <si>
    <r>
      <rPr>
        <sz val="8"/>
        <rFont val="Tahoma"/>
        <family val="2"/>
      </rPr>
      <t xml:space="preserve">No Shot Methylcobalamin B12/B6/Folic Acid 800mcg
</t>
    </r>
    <r>
      <rPr>
        <sz val="7.5"/>
        <rFont val="Tahoma"/>
        <family val="2"/>
      </rPr>
      <t>Vit. B6 (as Pyridoxine HCl) 2 mg, Vit. B12 (as Methylcobalamin) 1,000 mcg, Folic Acid 800 mcg</t>
    </r>
  </si>
  <si>
    <r>
      <rPr>
        <sz val="8"/>
        <rFont val="Tahoma"/>
        <family val="2"/>
      </rPr>
      <t>No Shot Methylcobalamin B12 2,500 mcg</t>
    </r>
  </si>
  <si>
    <r>
      <rPr>
        <sz val="8"/>
        <rFont val="Tahoma"/>
        <family val="2"/>
      </rPr>
      <t>No Shot Methylcobalamin B12 5,000 mcg</t>
    </r>
  </si>
  <si>
    <r>
      <rPr>
        <sz val="8"/>
        <rFont val="Tahoma"/>
        <family val="2"/>
      </rPr>
      <t xml:space="preserve">No Shot Methylcobalamin B12 5,000 mcg/B6/Folic Acid 800 mcg
</t>
    </r>
    <r>
      <rPr>
        <sz val="7.5"/>
        <rFont val="Tahoma"/>
        <family val="2"/>
      </rPr>
      <t>Vit. B6 (as Pyridoxine HCl) 2 mg, Vit. B12 (as Methylcobalamin) 5,000 mcg, Folic Acid 800 mcg</t>
    </r>
  </si>
  <si>
    <r>
      <rPr>
        <sz val="8"/>
        <rFont val="Tahoma"/>
        <family val="2"/>
      </rPr>
      <t>No Shot Methylcobalamin  B12, 5,000 mcg &amp; Vit. D3 5,000 IU</t>
    </r>
  </si>
  <si>
    <r>
      <rPr>
        <sz val="8"/>
        <rFont val="Tahoma"/>
        <family val="2"/>
      </rPr>
      <t>No Shot Methylcobalamin B12 10,000 mcg</t>
    </r>
  </si>
  <si>
    <r>
      <rPr>
        <sz val="8"/>
        <rFont val="Tahoma"/>
        <family val="2"/>
      </rPr>
      <t xml:space="preserve">No Shot Methylcobalamin B12 10,000 mcg/B6/Folic Acid 1,200 mcg
</t>
    </r>
    <r>
      <rPr>
        <sz val="7.5"/>
        <rFont val="Tahoma"/>
        <family val="2"/>
      </rPr>
      <t>Vit. B6 (as Pyridoxine HCl) 2 mg, Vit. B12 (as Methylcobalamin) 10,000 mcg, Folic Acid 1,200 mcg</t>
    </r>
  </si>
  <si>
    <r>
      <rPr>
        <sz val="8"/>
        <rFont val="Tahoma"/>
        <family val="2"/>
      </rPr>
      <t>No Shot B6/B12/Folic Acid</t>
    </r>
  </si>
  <si>
    <r>
      <rPr>
        <sz val="8"/>
        <rFont val="Tahoma"/>
        <family val="2"/>
      </rPr>
      <t xml:space="preserve">No Shot B6/B12/Folic Acid
</t>
    </r>
    <r>
      <rPr>
        <sz val="7.5"/>
        <rFont val="Tahoma"/>
        <family val="2"/>
      </rPr>
      <t>Vit. B6 (as Pyridoxine HCl) 2 mg, Vit. B12 (as Cyanocobalamin) 1,000 mcg, Folic Acid 400 mcg</t>
    </r>
  </si>
  <si>
    <r>
      <rPr>
        <sz val="7.5"/>
        <rFont val="Tahoma"/>
        <family val="2"/>
      </rPr>
      <t xml:space="preserve">No Shot </t>
    </r>
    <r>
      <rPr>
        <sz val="8"/>
        <rFont val="Tahoma"/>
        <family val="2"/>
      </rPr>
      <t xml:space="preserve">Quick B12 Energy Burst: </t>
    </r>
    <r>
      <rPr>
        <sz val="7.5"/>
        <rFont val="Tahoma"/>
        <family val="2"/>
      </rPr>
      <t xml:space="preserve">Vit. B12 (as Cyanocobalamin) 1,000 mcg, Niacin 1 mg, Caffeine,
</t>
    </r>
    <r>
      <rPr>
        <sz val="7.5"/>
        <rFont val="Tahoma"/>
        <family val="2"/>
      </rPr>
      <t>Stevia Leaf Extract, Guarana Seed Extract</t>
    </r>
  </si>
  <si>
    <r>
      <rPr>
        <sz val="8"/>
        <rFont val="Tahoma"/>
        <family val="2"/>
      </rPr>
      <t>No Shot B12 1,000 mcg (as Cyanocobalamin)</t>
    </r>
  </si>
  <si>
    <r>
      <rPr>
        <sz val="8"/>
        <rFont val="Tahoma"/>
        <family val="2"/>
      </rPr>
      <t>No Shot B12 5,000 mcg (as Cyanocobalamin)</t>
    </r>
  </si>
  <si>
    <r>
      <rPr>
        <sz val="8"/>
        <rFont val="Tahoma"/>
        <family val="2"/>
      </rPr>
      <t xml:space="preserve">No Shot B12 5,000 mcg /B6/Folic Acid 800 mcg
</t>
    </r>
    <r>
      <rPr>
        <sz val="7.5"/>
        <rFont val="Tahoma"/>
        <family val="2"/>
      </rPr>
      <t>Vit. B6 (as Pyridoxine HCl) 2 mg, Vit. B12(as Cyanocobalamin) 5,000 mcg, Folic Acid 800 mcg</t>
    </r>
  </si>
  <si>
    <r>
      <rPr>
        <sz val="8"/>
        <rFont val="Tahoma"/>
        <family val="2"/>
      </rPr>
      <t>No Shot B12 10,000 mcg (as Cyanocobalamin)</t>
    </r>
  </si>
  <si>
    <r>
      <rPr>
        <sz val="8"/>
        <rFont val="Tahoma"/>
        <family val="2"/>
      </rPr>
      <t xml:space="preserve">No Shot B12 10,000 mcg/B-6/Folic Acid 1,200 mcg
</t>
    </r>
    <r>
      <rPr>
        <sz val="7.5"/>
        <rFont val="Tahoma"/>
        <family val="2"/>
      </rPr>
      <t>Vitamin B12 10,000 mcg (as Cyanocobalamin),  B6 2 mg, Folic Acid 1,200 mcg, Stevia 2 mg</t>
    </r>
  </si>
  <si>
    <r>
      <rPr>
        <sz val="8"/>
        <rFont val="Tahoma"/>
        <family val="2"/>
      </rPr>
      <t>No Shot B12 1,000 mcg (</t>
    </r>
    <r>
      <rPr>
        <sz val="7.5"/>
        <rFont val="Tahoma"/>
        <family val="2"/>
      </rPr>
      <t>as Cyanocobalamin</t>
    </r>
    <r>
      <rPr>
        <sz val="8"/>
        <rFont val="Tahoma"/>
        <family val="2"/>
      </rPr>
      <t>)/Folic Acid 400 mcg</t>
    </r>
  </si>
  <si>
    <r>
      <rPr>
        <sz val="8"/>
        <rFont val="Tahoma"/>
        <family val="2"/>
      </rPr>
      <t xml:space="preserve">No Shot Triple B12 3,000 mcg </t>
    </r>
    <r>
      <rPr>
        <sz val="7"/>
        <rFont val="Tahoma"/>
        <family val="2"/>
      </rPr>
      <t>(as Methylcobalamin, Adenosylcobalamin and Cyanocobalamin)</t>
    </r>
  </si>
  <si>
    <r>
      <rPr>
        <sz val="8"/>
        <rFont val="Tahoma"/>
        <family val="2"/>
      </rPr>
      <t xml:space="preserve">No Shot Triple </t>
    </r>
    <r>
      <rPr>
        <sz val="7"/>
        <rFont val="Tahoma"/>
        <family val="2"/>
      </rPr>
      <t xml:space="preserve">B12 3,000 mcg </t>
    </r>
    <r>
      <rPr>
        <sz val="6.5"/>
        <rFont val="Tahoma"/>
        <family val="2"/>
      </rPr>
      <t xml:space="preserve">(as Methylcobalamin, Adenosylcobalamin and Cyanocobalamin) </t>
    </r>
    <r>
      <rPr>
        <sz val="7"/>
        <rFont val="Tahoma"/>
        <family val="2"/>
      </rPr>
      <t>Plus B6 &amp; Folic Acid</t>
    </r>
  </si>
  <si>
    <r>
      <rPr>
        <sz val="8"/>
        <rFont val="Tahoma"/>
        <family val="2"/>
      </rPr>
      <t xml:space="preserve">Women’s B Complex B12 &amp; Folic Acid, 2 tablets: </t>
    </r>
    <r>
      <rPr>
        <sz val="7.5"/>
        <rFont val="Tahoma"/>
        <family val="2"/>
      </rPr>
      <t>Vit. B1 15 mg, Vit. B2 15 mg, Niacin 15 mg, Vit. B6 15 mg, Folate 800 mcg, Vit. B12 1,000 mcg (as Cyanocobalamin), Biotin 600 mcg, Pantothenic Acid 20 mg, PABA 10 mg</t>
    </r>
  </si>
  <si>
    <r>
      <rPr>
        <sz val="8"/>
        <rFont val="Tahoma"/>
        <family val="2"/>
      </rPr>
      <t xml:space="preserve">Balance B Complex Folic Acid &amp; Biotin, 2 tablets: </t>
    </r>
    <r>
      <rPr>
        <sz val="7.5"/>
        <rFont val="Tahoma"/>
        <family val="2"/>
      </rPr>
      <t>Vit. B1 20 mg, Vit. B2 20 mg, Niacin 20 mg, Vit. B6 20 mg, Folic Acid 800 mcg, Vit. B12 12 mcg (as Cyanocobalamin), Biotin 600 mcg, Pantothenic Acid 20 mg, PABA 20 mg</t>
    </r>
  </si>
  <si>
    <r>
      <rPr>
        <sz val="8"/>
        <rFont val="Tahoma"/>
        <family val="2"/>
      </rPr>
      <t>No Shot B12 1,000 mcg (as Cyanocobalamin)/B6 2 mg/Folic Acid 800 mcg</t>
    </r>
  </si>
  <si>
    <r>
      <rPr>
        <sz val="8"/>
        <rFont val="Tahoma"/>
        <family val="2"/>
      </rPr>
      <t xml:space="preserve">No Shot B12 1,000 mcg/B6/Folic Acid/with Vitamin D3 1,000 IU: </t>
    </r>
    <r>
      <rPr>
        <sz val="7.5"/>
        <rFont val="Tahoma"/>
        <family val="2"/>
      </rPr>
      <t>Vitamin B6 (as Pyridoxine HCl) 2 mg, Vitamin B12 (as Cyanocobalamin) 1,000 mcg, Folic Acid 600 mcg, Vitamin D 1,000 IU</t>
    </r>
  </si>
  <si>
    <r>
      <rPr>
        <sz val="8"/>
        <rFont val="Tahoma"/>
        <family val="2"/>
      </rPr>
      <t>Methylfolate 1,000 mcg (as L-5 methyltetrahydrofolate)</t>
    </r>
  </si>
  <si>
    <r>
      <rPr>
        <sz val="8"/>
        <rFont val="Tahoma"/>
        <family val="2"/>
      </rPr>
      <t xml:space="preserve">Methylfolate 2,500 mcg (as L-5 methyltetrahydrofolate) </t>
    </r>
    <r>
      <rPr>
        <b/>
        <sz val="8"/>
        <color rgb="FFFF0000"/>
        <rFont val="Tahoma"/>
        <family val="2"/>
      </rPr>
      <t>NEW  ITEM</t>
    </r>
  </si>
  <si>
    <r>
      <rPr>
        <sz val="8"/>
        <rFont val="Tahoma"/>
        <family val="2"/>
      </rPr>
      <t>Folic Acid 1,200 mcg - Extra Strength</t>
    </r>
  </si>
  <si>
    <r>
      <rPr>
        <sz val="8"/>
        <rFont val="Tahoma"/>
        <family val="2"/>
      </rPr>
      <t xml:space="preserve">Folic Acid 10,000 mcg - Extra Strength </t>
    </r>
    <r>
      <rPr>
        <b/>
        <sz val="8"/>
        <color rgb="FFFF0000"/>
        <rFont val="Tahoma"/>
        <family val="2"/>
      </rPr>
      <t>NEW  ITEM</t>
    </r>
  </si>
  <si>
    <r>
      <rPr>
        <sz val="8"/>
        <rFont val="Tahoma"/>
        <family val="2"/>
      </rPr>
      <t>Vitamin B1 100 mg</t>
    </r>
  </si>
  <si>
    <r>
      <rPr>
        <sz val="8"/>
        <rFont val="Tahoma"/>
        <family val="2"/>
      </rPr>
      <t>Biotin 10,000 mcg</t>
    </r>
  </si>
  <si>
    <r>
      <rPr>
        <sz val="8"/>
        <rFont val="Tahoma"/>
        <family val="2"/>
      </rPr>
      <t>Biotin 5,000 mcg</t>
    </r>
  </si>
  <si>
    <r>
      <rPr>
        <sz val="8"/>
        <rFont val="Tahoma"/>
        <family val="2"/>
      </rPr>
      <t>Biotin 1,000 mcg</t>
    </r>
  </si>
  <si>
    <r>
      <rPr>
        <sz val="8"/>
        <rFont val="Tahoma"/>
        <family val="2"/>
      </rPr>
      <t>Vitamin A 10,000 IU (Acetate)</t>
    </r>
  </si>
  <si>
    <r>
      <rPr>
        <sz val="8"/>
        <rFont val="Tahoma"/>
        <family val="2"/>
      </rPr>
      <t>Vitamin D3 400 IU (as Cholecalciferol)</t>
    </r>
  </si>
  <si>
    <r>
      <rPr>
        <sz val="8"/>
        <rFont val="Tahoma"/>
        <family val="2"/>
      </rPr>
      <t>Vitamin D3 1,000 IU - Extra Strength</t>
    </r>
  </si>
  <si>
    <r>
      <rPr>
        <sz val="8"/>
        <rFont val="Tahoma"/>
        <family val="2"/>
      </rPr>
      <t>Vitamin D3 5,000 IU - Extra Strength</t>
    </r>
  </si>
  <si>
    <r>
      <rPr>
        <sz val="8"/>
        <rFont val="Tahoma"/>
        <family val="2"/>
      </rPr>
      <t>Vitamin D3 10,000 IU - Extra Strength</t>
    </r>
  </si>
  <si>
    <r>
      <rPr>
        <sz val="8"/>
        <color rgb="FF231F20"/>
        <rFont val="Tahoma"/>
        <family val="2"/>
      </rPr>
      <t>Vitamin K1 100 mcg (Phytonadione)</t>
    </r>
  </si>
  <si>
    <r>
      <rPr>
        <sz val="8"/>
        <color rgb="FF231F20"/>
        <rFont val="Tahoma"/>
        <family val="2"/>
      </rPr>
      <t>Vitamin K1 500 mcg (Phytonadione)</t>
    </r>
  </si>
  <si>
    <r>
      <rPr>
        <sz val="8"/>
        <color rgb="FF231F20"/>
        <rFont val="Tahoma"/>
        <family val="2"/>
      </rPr>
      <t>90405-1</t>
    </r>
  </si>
  <si>
    <r>
      <rPr>
        <sz val="8"/>
        <color rgb="FF231F20"/>
        <rFont val="Tahoma"/>
        <family val="2"/>
      </rPr>
      <t>Vitamin K2 500 mcg (Menaquinone-4)</t>
    </r>
  </si>
  <si>
    <r>
      <rPr>
        <sz val="8"/>
        <color rgb="FF231F20"/>
        <rFont val="Tahoma"/>
        <family val="2"/>
      </rPr>
      <t>Vitamin K2 100 mcg (Menaquinone-7)</t>
    </r>
  </si>
  <si>
    <r>
      <rPr>
        <sz val="8"/>
        <color rgb="FF231F20"/>
        <rFont val="Tahoma"/>
        <family val="2"/>
      </rPr>
      <t>Vitamin K2 300 mcg (Menaquinone-7)</t>
    </r>
  </si>
  <si>
    <r>
      <rPr>
        <sz val="8"/>
        <color rgb="FF231F20"/>
        <rFont val="Tahoma"/>
        <family val="2"/>
      </rPr>
      <t>Vitamin K2 100 mcg (Menaquinone-7) / D3 125 mcg (5,000 IU)</t>
    </r>
  </si>
  <si>
    <r>
      <rPr>
        <sz val="8"/>
        <color rgb="FF231F20"/>
        <rFont val="Tahoma"/>
        <family val="2"/>
      </rPr>
      <t>Advanced Triple K (500 mcg K1, 500 mcg K2-MK4, 50 mcg K2-MK7)</t>
    </r>
  </si>
  <si>
    <r>
      <rPr>
        <sz val="8"/>
        <rFont val="Tahoma"/>
        <family val="2"/>
      </rPr>
      <t>Chromium 200 mcg (Chromium Picolinate)</t>
    </r>
  </si>
  <si>
    <r>
      <rPr>
        <sz val="8"/>
        <color rgb="FF231F20"/>
        <rFont val="Tahoma"/>
        <family val="2"/>
      </rPr>
      <t>Chromium 500 mcg (Chromium Picolinate)</t>
    </r>
  </si>
  <si>
    <r>
      <rPr>
        <sz val="8"/>
        <rFont val="Tahoma"/>
        <family val="2"/>
      </rPr>
      <t>Selenium 200 mcg (from Selenomethionine)</t>
    </r>
  </si>
  <si>
    <r>
      <rPr>
        <sz val="8"/>
        <rFont val="Tahoma"/>
        <family val="2"/>
      </rPr>
      <t xml:space="preserve">Zinc Lozenjets, Each tablet contains: </t>
    </r>
    <r>
      <rPr>
        <sz val="7.5"/>
        <rFont val="Tahoma"/>
        <family val="2"/>
      </rPr>
      <t>Zinc 5 mg (from Zinc Oxide &amp; Gluconate), Vit. C 15 mg</t>
    </r>
  </si>
  <si>
    <r>
      <rPr>
        <sz val="8"/>
        <rFont val="Tahoma"/>
        <family val="2"/>
      </rPr>
      <t>Zinc Plus, Each tablet provides: Zinc 5 mg (from Zinc Oxide and Gluconate), Vitamin C 30 mg, D3 1,000 IU, Elderberry Extract 50 mg</t>
    </r>
  </si>
  <si>
    <r>
      <rPr>
        <sz val="8"/>
        <rFont val="Tahoma"/>
        <family val="2"/>
      </rPr>
      <t>Advanced Zinc + D3: Zinc 25 mg, D3 5,000 IU</t>
    </r>
  </si>
  <si>
    <r>
      <rPr>
        <sz val="8"/>
        <rFont val="Tahoma"/>
        <family val="2"/>
      </rPr>
      <t>One Daily Value Multi-Vitamin</t>
    </r>
    <r>
      <rPr>
        <b/>
        <sz val="8"/>
        <rFont val="Tahoma"/>
        <family val="2"/>
      </rPr>
      <t xml:space="preserve">, </t>
    </r>
    <r>
      <rPr>
        <sz val="8"/>
        <rFont val="Tahoma"/>
        <family val="2"/>
      </rPr>
      <t xml:space="preserve">1 tablet: Vit. A 5,000 IU, Vit. C 60 mg, Vit. D3 400 IU,
</t>
    </r>
    <r>
      <rPr>
        <sz val="8"/>
        <rFont val="Tahoma"/>
        <family val="2"/>
      </rPr>
      <t>Vit. B1 1.5 mg, Vit. B2 1.7 mg, Niacin 20 mg, Vit. B6 2 mg, Folate 400 mcg, Vit. B12 6 mcg, Biotin 300 mcg, Pantothenic Acid 10 mg</t>
    </r>
  </si>
  <si>
    <r>
      <rPr>
        <sz val="8"/>
        <rFont val="Tahoma"/>
        <family val="2"/>
      </rPr>
      <t>Just Women - Iron 25 mg (as Ferrous Fumarate)</t>
    </r>
  </si>
  <si>
    <r>
      <rPr>
        <sz val="8"/>
        <rFont val="Tahoma"/>
        <family val="2"/>
      </rPr>
      <t>Just Men - Testeral</t>
    </r>
  </si>
  <si>
    <r>
      <rPr>
        <sz val="8"/>
        <rFont val="Tahoma"/>
        <family val="2"/>
      </rPr>
      <t>Just Men - Sex Drive</t>
    </r>
  </si>
  <si>
    <r>
      <rPr>
        <sz val="8"/>
        <rFont val="Tahoma"/>
        <family val="2"/>
      </rPr>
      <t>DHEA  25 mg</t>
    </r>
  </si>
  <si>
    <r>
      <rPr>
        <sz val="8"/>
        <rFont val="Tahoma"/>
        <family val="2"/>
      </rPr>
      <t>DHEA  50 mg</t>
    </r>
  </si>
  <si>
    <r>
      <rPr>
        <sz val="8"/>
        <rFont val="Tahoma"/>
        <family val="2"/>
      </rPr>
      <t>Pregnenolone 50 mg</t>
    </r>
  </si>
  <si>
    <r>
      <rPr>
        <sz val="8"/>
        <rFont val="Tahoma"/>
        <family val="2"/>
      </rPr>
      <t>GABA (Gamma-Aminobutyric Acid) 100 mg</t>
    </r>
  </si>
  <si>
    <r>
      <rPr>
        <sz val="8"/>
        <rFont val="Tahoma"/>
        <family val="2"/>
      </rPr>
      <t>Melatonin 1 mg (with Chamomile)</t>
    </r>
  </si>
  <si>
    <r>
      <rPr>
        <sz val="8"/>
        <rFont val="Tahoma"/>
        <family val="2"/>
      </rPr>
      <t>Melatonin 3 mg (with Chamomile)</t>
    </r>
  </si>
  <si>
    <r>
      <rPr>
        <sz val="8"/>
        <rFont val="Tahoma"/>
        <family val="2"/>
      </rPr>
      <t>Melatonin 5 mg (with Chamomile)</t>
    </r>
  </si>
  <si>
    <r>
      <rPr>
        <sz val="8"/>
        <rFont val="Tahoma"/>
        <family val="2"/>
      </rPr>
      <t>Melatonin 10 mg (with Chamomile)</t>
    </r>
  </si>
  <si>
    <r>
      <rPr>
        <sz val="8"/>
        <rFont val="Tahoma"/>
        <family val="2"/>
      </rPr>
      <t>Melatonin 25 mg - Extra Strength</t>
    </r>
  </si>
  <si>
    <r>
      <rPr>
        <sz val="8"/>
        <rFont val="Tahoma"/>
        <family val="2"/>
      </rPr>
      <t>Sleep &amp; Immune : Vitamin C 30 mg, Zinc 5 mg, D3 1,000 IU, Melatonin 5 mg, Elderberry Extract 10:1 50 mg</t>
    </r>
  </si>
  <si>
    <r>
      <rPr>
        <sz val="8"/>
        <rFont val="Tahoma"/>
        <family val="2"/>
      </rPr>
      <t>Calming Formula, 2 tablets: L-Theanine 200 mg, 5-HTP 30 mg, Melatonin 3 mg</t>
    </r>
  </si>
  <si>
    <r>
      <rPr>
        <sz val="8"/>
        <color rgb="FF231F20"/>
        <rFont val="Tahoma"/>
        <family val="2"/>
      </rPr>
      <t>Super Slumber Helper: Melatonin 5 mg, Proprietary Blend with L-Theanine and GABA</t>
    </r>
  </si>
  <si>
    <r>
      <rPr>
        <sz val="8"/>
        <color rgb="FF231F20"/>
        <rFont val="Tahoma"/>
        <family val="2"/>
      </rPr>
      <t>L-Theanine 200 mg</t>
    </r>
  </si>
  <si>
    <r>
      <rPr>
        <sz val="8"/>
        <rFont val="Tahoma"/>
        <family val="2"/>
      </rPr>
      <t>Kid’s Clean Melts - Vitamin C 125 MG</t>
    </r>
  </si>
  <si>
    <r>
      <rPr>
        <sz val="8"/>
        <rFont val="Tahoma"/>
        <family val="2"/>
      </rPr>
      <t>Kid’s Clean Melts - Vitamin C + D: Vitamin C (125 mg) and D</t>
    </r>
    <r>
      <rPr>
        <sz val="5"/>
        <rFont val="Tahoma"/>
        <family val="2"/>
      </rPr>
      <t xml:space="preserve">3  </t>
    </r>
    <r>
      <rPr>
        <sz val="8"/>
        <rFont val="Tahoma"/>
        <family val="2"/>
      </rPr>
      <t>(400 IU)</t>
    </r>
  </si>
  <si>
    <r>
      <rPr>
        <sz val="8"/>
        <rFont val="Tahoma"/>
        <family val="2"/>
      </rPr>
      <t>Kid’s Clean Melts - Immune: Vitamin C (30mg), D</t>
    </r>
    <r>
      <rPr>
        <sz val="5"/>
        <rFont val="Tahoma"/>
        <family val="2"/>
      </rPr>
      <t xml:space="preserve">3  </t>
    </r>
    <r>
      <rPr>
        <sz val="8"/>
        <rFont val="Tahoma"/>
        <family val="2"/>
      </rPr>
      <t>(400 IU), and Zinc (2mg)</t>
    </r>
  </si>
  <si>
    <r>
      <rPr>
        <sz val="8"/>
        <rFont val="Tahoma"/>
        <family val="2"/>
      </rPr>
      <t>Kid’s Clean Melts - Sleep: L-Theanine (5mg), GABA (5mg) and Melatonin (1mg)</t>
    </r>
  </si>
  <si>
    <r>
      <rPr>
        <sz val="8"/>
        <rFont val="Tahoma"/>
        <family val="2"/>
      </rPr>
      <t>Kid’s Clean Melts - D3 + K2 (MK-4): Vitamin D</t>
    </r>
    <r>
      <rPr>
        <sz val="5"/>
        <rFont val="Tahoma"/>
        <family val="2"/>
      </rPr>
      <t xml:space="preserve">3  </t>
    </r>
    <r>
      <rPr>
        <sz val="8"/>
        <rFont val="Tahoma"/>
        <family val="2"/>
      </rPr>
      <t>(200 IU) and K2 (MK-4) (15 mcg)</t>
    </r>
  </si>
  <si>
    <r>
      <rPr>
        <sz val="8"/>
        <rFont val="Tahoma"/>
        <family val="2"/>
      </rPr>
      <t>Baby D Infant Formula: Vitamin D3 (Cholecalciferol) 200 IU</t>
    </r>
  </si>
  <si>
    <r>
      <rPr>
        <sz val="8"/>
        <rFont val="Tahoma"/>
        <family val="2"/>
      </rPr>
      <t>Children’s D: Vitamin D3 (Cholecalciferol) 400 IU</t>
    </r>
  </si>
  <si>
    <r>
      <rPr>
        <sz val="8"/>
        <rFont val="Tahoma"/>
        <family val="2"/>
      </rPr>
      <t>Children’s B Complex with Vitamin C</t>
    </r>
    <r>
      <rPr>
        <sz val="7"/>
        <rFont val="Tahoma"/>
        <family val="2"/>
      </rPr>
      <t xml:space="preserve">: </t>
    </r>
    <r>
      <rPr>
        <sz val="7.5"/>
        <rFont val="Tahoma"/>
        <family val="2"/>
      </rPr>
      <t>Vitamin C 20 mg, Thiamin 0.4 mg, Riboflavin 0.5 mg, Niacin 4.6 mg, Vitamin B6 0.4 mg, Folic Acid 200 mcg, Vitamin B12 4 mcg, Biotin 150 mcg, Pantothenic Acid 2.5 mg, Stevia Leaf Extract 2 mg</t>
    </r>
  </si>
  <si>
    <r>
      <rPr>
        <sz val="8"/>
        <rFont val="Tahoma"/>
        <family val="2"/>
      </rPr>
      <t xml:space="preserve">Children’s Echinacea &amp; Zinc Lozenjets: </t>
    </r>
    <r>
      <rPr>
        <sz val="7.5"/>
        <rFont val="Tahoma"/>
        <family val="2"/>
      </rPr>
      <t>Zinc 1 mg, Herbal Blend (Echinacea Root Extract, Slippery Elm Bark, Stevia Leaf Extract)</t>
    </r>
  </si>
  <si>
    <r>
      <rPr>
        <sz val="8"/>
        <rFont val="Tahoma"/>
        <family val="2"/>
      </rPr>
      <t>Children’s Iron: Iron 5 mg (as Ferrous Fumarate)</t>
    </r>
  </si>
  <si>
    <r>
      <rPr>
        <sz val="8"/>
        <rFont val="Tahoma"/>
        <family val="2"/>
      </rPr>
      <t>5-HTP 50 mg</t>
    </r>
  </si>
  <si>
    <r>
      <rPr>
        <sz val="8"/>
        <rFont val="Tahoma"/>
        <family val="2"/>
      </rPr>
      <t>5-HTP 75 mg</t>
    </r>
  </si>
  <si>
    <r>
      <rPr>
        <sz val="8"/>
        <color rgb="FF231F20"/>
        <rFont val="Tahoma"/>
        <family val="2"/>
      </rPr>
      <t xml:space="preserve">Super Slumber Helper: </t>
    </r>
    <r>
      <rPr>
        <sz val="7.5"/>
        <color rgb="FF231F20"/>
        <rFont val="Tahoma"/>
        <family val="2"/>
      </rPr>
      <t>Melatonin 5 mg, Proprietary Blend (Valerian Root, L-Theanine, Chamomile Flowers Extract, Gama-Aminobutyric acid (GABA)</t>
    </r>
  </si>
  <si>
    <r>
      <rPr>
        <sz val="8"/>
        <rFont val="Tahoma"/>
        <family val="2"/>
      </rPr>
      <t>Cinnamon 150 mg, 2 tablets: Cinnamon Bark Powder 150 mg</t>
    </r>
  </si>
  <si>
    <r>
      <rPr>
        <sz val="8"/>
        <rFont val="Tahoma"/>
        <family val="2"/>
      </rPr>
      <t>Resveratrol, 100 mg</t>
    </r>
  </si>
  <si>
    <r>
      <rPr>
        <sz val="8"/>
        <rFont val="Tahoma"/>
        <family val="2"/>
      </rPr>
      <t>Valerian Root 100 mg</t>
    </r>
  </si>
  <si>
    <r>
      <rPr>
        <sz val="8"/>
        <rFont val="Tahoma"/>
        <family val="2"/>
      </rPr>
      <t xml:space="preserve">Vitamin C </t>
    </r>
    <r>
      <rPr>
        <sz val="7"/>
        <rFont val="Tahoma"/>
        <family val="2"/>
      </rPr>
      <t>“</t>
    </r>
    <r>
      <rPr>
        <sz val="8"/>
        <rFont val="Tahoma"/>
        <family val="2"/>
      </rPr>
      <t xml:space="preserve">Tangy” Orange Melts, 500 mg (as ascorbic acid and sodium ascorbate),
</t>
    </r>
    <r>
      <rPr>
        <sz val="7"/>
        <rFont val="Tahoma"/>
        <family val="2"/>
      </rPr>
      <t>Stevia Leaf Extract</t>
    </r>
  </si>
  <si>
    <r>
      <rPr>
        <sz val="8"/>
        <rFont val="Tahoma"/>
        <family val="2"/>
      </rPr>
      <t xml:space="preserve">Vitamin C </t>
    </r>
    <r>
      <rPr>
        <sz val="7"/>
        <rFont val="Tahoma"/>
        <family val="2"/>
      </rPr>
      <t>“</t>
    </r>
    <r>
      <rPr>
        <sz val="8"/>
        <rFont val="Tahoma"/>
        <family val="2"/>
      </rPr>
      <t xml:space="preserve">Sour” Cherry Melts, 500 mg (as ascorbic acid and sodium ascorbate),
</t>
    </r>
    <r>
      <rPr>
        <sz val="7"/>
        <rFont val="Tahoma"/>
        <family val="2"/>
      </rPr>
      <t>Stevia Leaf Extract</t>
    </r>
  </si>
  <si>
    <r>
      <rPr>
        <sz val="8"/>
        <rFont val="Tahoma"/>
        <family val="2"/>
      </rPr>
      <t>No Shot Quick B12 Energy Burst</t>
    </r>
    <r>
      <rPr>
        <sz val="7"/>
        <rFont val="Tahoma"/>
        <family val="2"/>
      </rPr>
      <t xml:space="preserve">: </t>
    </r>
    <r>
      <rPr>
        <sz val="7.5"/>
        <rFont val="Tahoma"/>
        <family val="2"/>
      </rPr>
      <t xml:space="preserve">Vit. B12 (as Cyanocobalamin) 1,000 mcg, Niacin 1 mg,
</t>
    </r>
    <r>
      <rPr>
        <sz val="7.5"/>
        <rFont val="Tahoma"/>
        <family val="2"/>
      </rPr>
      <t>Caffeine, Stevia Leaf Extract, Guarana Seed Extract</t>
    </r>
  </si>
  <si>
    <r>
      <rPr>
        <sz val="8"/>
        <rFont val="Tahoma"/>
        <family val="2"/>
      </rPr>
      <t xml:space="preserve">NMN (Nicotinamide Mononucleotide) 125 mg </t>
    </r>
    <r>
      <rPr>
        <b/>
        <sz val="8"/>
        <color rgb="FFFF0000"/>
        <rFont val="Tahoma"/>
        <family val="2"/>
      </rPr>
      <t>NEW  ITEM</t>
    </r>
  </si>
  <si>
    <r>
      <rPr>
        <sz val="7.5"/>
        <rFont val="Tahoma"/>
        <family val="2"/>
      </rPr>
      <t>KETO Collagen Protein Powder, Chocolate, each serving provides: Hydrolyzed Bovine Collagen (Types 1 &amp; 3) 10 g, MTC’s (Medium Chain Triglycerides) from coconuts 5 g, Acacia Fiber, Stevia, 10 g of protein, 80 Calories, Paleo and KETO Friendly, Non-GMO (14 oz)</t>
    </r>
  </si>
  <si>
    <r>
      <rPr>
        <sz val="8"/>
        <rFont val="Tahoma"/>
        <family val="2"/>
      </rPr>
      <t xml:space="preserve">23
</t>
    </r>
    <r>
      <rPr>
        <sz val="8"/>
        <rFont val="Tahoma"/>
        <family val="2"/>
      </rPr>
      <t>serv.</t>
    </r>
  </si>
  <si>
    <r>
      <rPr>
        <sz val="7.5"/>
        <rFont val="Tahoma"/>
        <family val="2"/>
      </rPr>
      <t>Collagen Peptides, Each serving provides: 20 g Collagen Peptides (from Hydrolyzed Bovine Collagen; Types 1 &amp; 3), Protein 18 g, 70 Calories, Grass-Fed, Paleo and KETO Friendly, Unflavored, Non-GMO (12 oz)</t>
    </r>
  </si>
  <si>
    <r>
      <rPr>
        <sz val="8"/>
        <rFont val="Tahoma"/>
        <family val="2"/>
      </rPr>
      <t xml:space="preserve">18
</t>
    </r>
    <r>
      <rPr>
        <sz val="8"/>
        <rFont val="Tahoma"/>
        <family val="2"/>
      </rPr>
      <t>serv.</t>
    </r>
  </si>
  <si>
    <r>
      <rPr>
        <sz val="7.5"/>
        <rFont val="Tahoma"/>
        <family val="2"/>
      </rPr>
      <t>Beauty Collagen - Hair, Skin and Nail Support, each serving provides: 9 g Collagen Peptides (from Hydrolyzed Bovine Collagen; Types 1 &amp; 3), Hyaluronic Acid 50 mg, Vitamin C 50 mg and Biotin 5,000 mcg, Grass-Fed, Paleo and KETO Friendly, Unflavored, Non-GMO (16 oz)</t>
    </r>
  </si>
  <si>
    <r>
      <rPr>
        <sz val="8"/>
        <rFont val="Tahoma"/>
        <family val="2"/>
      </rPr>
      <t xml:space="preserve">36
</t>
    </r>
    <r>
      <rPr>
        <sz val="8"/>
        <rFont val="Tahoma"/>
        <family val="2"/>
      </rPr>
      <t>serv.</t>
    </r>
  </si>
  <si>
    <r>
      <rPr>
        <sz val="8"/>
        <color rgb="FF231F20"/>
        <rFont val="Tahoma"/>
        <family val="2"/>
      </rPr>
      <t>Organic Beet Root &amp; Apple Cider Vinegar Powder, Each serving provides: 6g Organic Beet Root Powder, 1g Organic Apple Cider Vinegar Powder (11.3 oz)</t>
    </r>
  </si>
  <si>
    <r>
      <rPr>
        <sz val="8"/>
        <rFont val="Tahoma"/>
        <family val="2"/>
      </rPr>
      <t xml:space="preserve">30
</t>
    </r>
    <r>
      <rPr>
        <sz val="8"/>
        <rFont val="Tahoma"/>
        <family val="2"/>
      </rPr>
      <t>serv.</t>
    </r>
  </si>
  <si>
    <r>
      <rPr>
        <sz val="8"/>
        <rFont val="Tahoma"/>
        <family val="2"/>
      </rPr>
      <t xml:space="preserve">Beet Root Apple Cider Vinegar Clean Melts™ (60 ct) </t>
    </r>
    <r>
      <rPr>
        <b/>
        <sz val="8"/>
        <color rgb="FFFF0000"/>
        <rFont val="Tahoma"/>
        <family val="2"/>
      </rPr>
      <t>NEW  ITEM</t>
    </r>
  </si>
  <si>
    <r>
      <rPr>
        <sz val="8"/>
        <rFont val="Tahoma"/>
        <family val="2"/>
      </rPr>
      <t>Organic Mushroom Infusion - Sleep: L-Theanine, GABA, Melatonin 2.1 oz (60g)</t>
    </r>
  </si>
  <si>
    <r>
      <rPr>
        <sz val="8"/>
        <rFont val="Tahoma"/>
        <family val="2"/>
      </rPr>
      <t>Organic Mushroom Infusion - Immunity: Vitamin C, D3, Zinc &amp; Elderberry 2.6 oz (73.5g)</t>
    </r>
  </si>
  <si>
    <r>
      <rPr>
        <sz val="8"/>
        <rFont val="Tahoma"/>
        <family val="2"/>
      </rPr>
      <t>Organic Mushroom Infusion - Cordyceps &amp; Cocoa 3.175 oz (90g) Each serving provides 1,500 mg of organic cordyceps</t>
    </r>
  </si>
  <si>
    <t>UPC</t>
  </si>
  <si>
    <t>Order</t>
  </si>
  <si>
    <t>Total</t>
  </si>
  <si>
    <r>
      <rPr>
        <b/>
        <sz val="8"/>
        <rFont val="Tahoma"/>
        <family val="2"/>
      </rPr>
      <t>Size</t>
    </r>
  </si>
  <si>
    <r>
      <rPr>
        <b/>
        <sz val="8"/>
        <rFont val="Tahoma"/>
        <family val="2"/>
      </rPr>
      <t>Case Pack</t>
    </r>
  </si>
  <si>
    <r>
      <rPr>
        <b/>
        <sz val="8"/>
        <rFont val="Tahoma"/>
        <family val="2"/>
      </rPr>
      <t>Unit Cost</t>
    </r>
  </si>
  <si>
    <r>
      <rPr>
        <sz val="9"/>
        <color rgb="FFFF0000"/>
        <rFont val="Times New Roman"/>
        <family val="1"/>
        <charset val="204"/>
      </rPr>
      <t>Importantly!</t>
    </r>
    <r>
      <rPr>
        <sz val="9"/>
        <color rgb="FF000000"/>
        <rFont val="Times New Roman"/>
        <family val="1"/>
        <charset val="204"/>
      </rPr>
      <t xml:space="preserve">
- The minimum order amount is € / $ 5,000 per brand
- delivery EX Work from the Poland / US warehouse! 
- this offer is valid within the current month
- order is possible only rounded by boxes
- due to the raw material crisis in the market, prices could be changed without prior notice</t>
    </r>
  </si>
  <si>
    <t>USA → +13-322-093-910</t>
  </si>
  <si>
    <t>Poland → +48-459-568-603</t>
  </si>
  <si>
    <t>WhatsApp → +380-9871-54085</t>
  </si>
  <si>
    <t>Instagram → https://www.instagram.com/dsngroup.official/</t>
  </si>
  <si>
    <t>Weight, kg</t>
  </si>
  <si>
    <t>Unіt Freight Cost</t>
  </si>
  <si>
    <t>unit, key</t>
  </si>
  <si>
    <t>Logistic Price</t>
  </si>
  <si>
    <t>Landed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</si>
</sst>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[$$-1409]* #,##0.00_-;\-[$$-1409]* #,##0.00_-;_-[$$-1409]* &quot;-&quot;??_-;_-@_-"/>
    <numFmt numFmtId="165" formatCode="_-[$$-409]* #,##0.00_ ;_-[$$-409]* \-#,##0.00\ ;_-[$$-409]* &quot;-&quot;??_ ;_-@_ "/>
    <numFmt numFmtId="166" formatCode="[$$-409]#,##0.00"/>
  </numFmts>
  <fonts count="33">
    <font>
      <sz val="10"/>
      <color rgb="FF000000"/>
      <name val="Times New Roman"/>
      <charset val="204"/>
    </font>
    <font>
      <sz val="8"/>
      <color rgb="FF000000"/>
      <name val="Arial MT"/>
      <family val="2"/>
    </font>
    <font>
      <b/>
      <sz val="8"/>
      <color rgb="FF000000"/>
      <name val="Arial"/>
      <family val="2"/>
    </font>
    <font>
      <sz val="8"/>
      <name val="Tahoma"/>
      <family val="2"/>
      <charset val="204"/>
    </font>
    <font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231F20"/>
      <name val="Tahoma"/>
      <family val="2"/>
    </font>
    <font>
      <b/>
      <sz val="8"/>
      <color rgb="FF231F20"/>
      <name val="Tahoma"/>
      <family val="2"/>
    </font>
    <font>
      <sz val="7.5"/>
      <name val="Tahoma"/>
      <family val="2"/>
      <charset val="204"/>
    </font>
    <font>
      <b/>
      <sz val="8"/>
      <name val="Tahoma"/>
      <family val="2"/>
    </font>
    <font>
      <sz val="8"/>
      <name val="Tahoma"/>
      <family val="2"/>
    </font>
    <font>
      <sz val="7.5"/>
      <name val="Tahoma"/>
      <family val="2"/>
    </font>
    <font>
      <sz val="7"/>
      <name val="Tahoma"/>
      <family val="2"/>
    </font>
    <font>
      <sz val="6.5"/>
      <name val="Tahoma"/>
      <family val="2"/>
    </font>
    <font>
      <b/>
      <sz val="8"/>
      <color rgb="FFFF0000"/>
      <name val="Tahoma"/>
      <family val="2"/>
    </font>
    <font>
      <sz val="5"/>
      <name val="Tahoma"/>
      <family val="2"/>
    </font>
    <font>
      <sz val="7.5"/>
      <color rgb="FF231F20"/>
      <name val="Tahoma"/>
      <family val="2"/>
    </font>
    <font>
      <sz val="9"/>
      <color rgb="FF000000"/>
      <name val="Times New Roman"/>
      <family val="1"/>
      <charset val="204"/>
    </font>
    <font>
      <b/>
      <sz val="8"/>
      <name val="Tahoma"/>
      <family val="2"/>
      <charset val="204"/>
    </font>
    <font>
      <sz val="8"/>
      <color rgb="FF000000"/>
      <name val="Tahoma"/>
      <family val="2"/>
      <charset val="204"/>
    </font>
    <font>
      <sz val="8"/>
      <color rgb="FF231F20"/>
      <name val="Tahoma"/>
      <family val="2"/>
      <charset val="204"/>
    </font>
    <font>
      <sz val="8"/>
      <color rgb="FF000000"/>
      <name val="Times New Roman"/>
      <family val="1"/>
      <charset val="204"/>
    </font>
    <font>
      <b/>
      <sz val="8"/>
      <color rgb="FF000000"/>
      <name val="Arial MT"/>
      <family val="2"/>
      <charset val="204"/>
    </font>
    <font>
      <b/>
      <sz val="10"/>
      <color rgb="FF000000"/>
      <name val="Times New Roman"/>
      <family val="1"/>
      <charset val="204"/>
    </font>
    <font>
      <b/>
      <sz val="9"/>
      <color rgb="FF000000"/>
      <name val="Times New Roman"/>
      <family val="1"/>
      <charset val="204"/>
    </font>
    <font>
      <sz val="9"/>
      <color rgb="FFFF0000"/>
      <name val="Times New Roman"/>
      <family val="1"/>
      <charset val="204"/>
    </font>
    <font>
      <sz val="10"/>
      <name val="Arial"/>
      <family val="2"/>
      <charset val="1"/>
    </font>
    <font>
      <sz val="8"/>
      <name val="Calibri"/>
      <family val="2"/>
      <charset val="204"/>
    </font>
    <font>
      <b/>
      <sz val="8"/>
      <color rgb="FF000000"/>
      <name val="Times New Roman"/>
      <family val="1"/>
      <charset val="204"/>
    </font>
    <font>
      <sz val="8"/>
      <name val="Tahoma"/>
      <family val="2"/>
      <charset val="204"/>
    </font>
    <font>
      <b/>
      <sz val="9"/>
      <color theme="1"/>
      <name val="Calibri"/>
      <family val="2"/>
      <charset val="204"/>
      <scheme val="minor"/>
    </font>
    <font>
      <b/>
      <sz val="9"/>
      <name val="Calibri"/>
      <family val="2"/>
      <charset val="204"/>
    </font>
    <font>
      <b/>
      <sz val="9"/>
      <color rgb="FFFF0000"/>
      <name val="Calibri"/>
      <family val="2"/>
      <charset val="204"/>
    </font>
  </fonts>
  <fills count="5">
    <fill>
      <patternFill patternType="none"/>
    </fill>
    <fill>
      <patternFill patternType="gray125"/>
    </fill>
    <fill>
      <gradientFill degree="270">
        <stop position="0">
          <color theme="0"/>
        </stop>
        <stop position="1">
          <color theme="4"/>
        </stop>
      </gradientFill>
    </fill>
    <fill>
      <patternFill patternType="solid">
        <fgColor theme="0"/>
        <bgColor indexed="64"/>
      </patternFill>
    </fill>
    <fill>
      <gradientFill degree="90">
        <stop position="0">
          <color theme="0"/>
        </stop>
        <stop position="1">
          <color theme="4"/>
        </stop>
      </gradientFill>
    </fill>
  </fills>
  <borders count="5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231F20"/>
      </bottom>
      <diagonal/>
    </border>
    <border>
      <left style="thin">
        <color rgb="FF000000"/>
      </left>
      <right/>
      <top style="thin">
        <color rgb="FF000000"/>
      </top>
      <bottom style="thin">
        <color rgb="FF231F2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231F20"/>
      </top>
      <bottom style="thin">
        <color rgb="FF000000"/>
      </bottom>
      <diagonal/>
    </border>
    <border>
      <left style="thin">
        <color rgb="FF000000"/>
      </left>
      <right/>
      <top style="thin">
        <color rgb="FF231F20"/>
      </top>
      <bottom style="thin">
        <color rgb="FF000000"/>
      </bottom>
      <diagonal/>
    </border>
    <border>
      <left style="thin">
        <color rgb="FF231F20"/>
      </left>
      <right style="thin">
        <color rgb="FF231F20"/>
      </right>
      <top style="thin">
        <color rgb="FF231F20"/>
      </top>
      <bottom style="thin">
        <color rgb="FF231F20"/>
      </bottom>
      <diagonal/>
    </border>
    <border>
      <left style="thin">
        <color rgb="FF231F20"/>
      </left>
      <right/>
      <top style="thin">
        <color rgb="FF231F20"/>
      </top>
      <bottom style="thin">
        <color rgb="FF231F20"/>
      </bottom>
      <diagonal/>
    </border>
    <border>
      <left style="thin">
        <color rgb="FF000000"/>
      </left>
      <right style="thin">
        <color rgb="FF000000"/>
      </right>
      <top style="thin">
        <color rgb="FF231F20"/>
      </top>
      <bottom style="thin">
        <color rgb="FF231F20"/>
      </bottom>
      <diagonal/>
    </border>
    <border>
      <left style="thin">
        <color rgb="FF000000"/>
      </left>
      <right/>
      <top style="thin">
        <color rgb="FF231F20"/>
      </top>
      <bottom style="thin">
        <color rgb="FF231F2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20302"/>
      </bottom>
      <diagonal/>
    </border>
    <border>
      <left style="thin">
        <color rgb="FF000000"/>
      </left>
      <right/>
      <top style="thin">
        <color rgb="FF000000"/>
      </top>
      <bottom style="thin">
        <color rgb="FF02030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231F20"/>
      </bottom>
      <diagonal/>
    </border>
    <border>
      <left style="medium">
        <color indexed="64"/>
      </left>
      <right style="thin">
        <color rgb="FF000000"/>
      </right>
      <top style="thin">
        <color rgb="FF231F20"/>
      </top>
      <bottom style="thin">
        <color rgb="FF000000"/>
      </bottom>
      <diagonal/>
    </border>
    <border>
      <left style="medium">
        <color indexed="64"/>
      </left>
      <right style="thin">
        <color rgb="FF231F20"/>
      </right>
      <top style="thin">
        <color rgb="FF231F20"/>
      </top>
      <bottom style="thin">
        <color rgb="FF231F20"/>
      </bottom>
      <diagonal/>
    </border>
    <border>
      <left style="medium">
        <color indexed="64"/>
      </left>
      <right style="thin">
        <color rgb="FF000000"/>
      </right>
      <top style="thin">
        <color rgb="FF231F20"/>
      </top>
      <bottom style="thin">
        <color rgb="FF231F2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20302"/>
      </bottom>
      <diagonal/>
    </border>
    <border>
      <left style="medium">
        <color indexed="64"/>
      </left>
      <right style="thin">
        <color rgb="FF000000"/>
      </right>
      <top style="thin">
        <color rgb="FF020302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20302"/>
      </top>
      <bottom style="medium">
        <color indexed="64"/>
      </bottom>
      <diagonal/>
    </border>
    <border>
      <left style="thin">
        <color rgb="FF000000"/>
      </left>
      <right/>
      <top style="thin">
        <color rgb="FF020302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6" fillId="0" borderId="0"/>
  </cellStyleXfs>
  <cellXfs count="145">
    <xf numFmtId="0" fontId="0" fillId="0" borderId="0" xfId="0" applyAlignment="1">
      <alignment horizontal="left" vertical="top"/>
    </xf>
    <xf numFmtId="0" fontId="17" fillId="0" borderId="0" xfId="0" applyFont="1" applyAlignment="1">
      <alignment horizontal="left" vertical="top"/>
    </xf>
    <xf numFmtId="0" fontId="21" fillId="0" borderId="0" xfId="0" applyFont="1" applyAlignment="1">
      <alignment horizontal="left" vertical="top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1" fontId="19" fillId="0" borderId="3" xfId="0" applyNumberFormat="1" applyFont="1" applyBorder="1" applyAlignment="1">
      <alignment horizontal="center" vertical="center" shrinkToFit="1"/>
    </xf>
    <xf numFmtId="0" fontId="0" fillId="0" borderId="3" xfId="0" applyBorder="1" applyAlignment="1">
      <alignment horizontal="left" vertical="center" wrapText="1"/>
    </xf>
    <xf numFmtId="1" fontId="19" fillId="0" borderId="1" xfId="0" applyNumberFormat="1" applyFont="1" applyBorder="1" applyAlignment="1">
      <alignment horizontal="center" vertical="center" shrinkToFit="1"/>
    </xf>
    <xf numFmtId="0" fontId="3" fillId="0" borderId="1" xfId="0" applyFont="1" applyBorder="1" applyAlignment="1">
      <alignment horizontal="left" vertical="center" wrapText="1"/>
    </xf>
    <xf numFmtId="1" fontId="19" fillId="0" borderId="5" xfId="0" applyNumberFormat="1" applyFont="1" applyBorder="1" applyAlignment="1">
      <alignment horizontal="center" vertical="center" shrinkToFit="1"/>
    </xf>
    <xf numFmtId="0" fontId="0" fillId="0" borderId="5" xfId="0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1" fontId="19" fillId="0" borderId="7" xfId="0" applyNumberFormat="1" applyFont="1" applyBorder="1" applyAlignment="1">
      <alignment horizontal="center" vertical="center" shrinkToFit="1"/>
    </xf>
    <xf numFmtId="0" fontId="3" fillId="0" borderId="7" xfId="0" applyFont="1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1" fontId="19" fillId="0" borderId="9" xfId="0" applyNumberFormat="1" applyFont="1" applyBorder="1" applyAlignment="1">
      <alignment horizontal="center" vertical="center" shrinkToFit="1"/>
    </xf>
    <xf numFmtId="0" fontId="0" fillId="0" borderId="9" xfId="0" applyBorder="1" applyAlignment="1">
      <alignment horizontal="left" vertical="center" wrapText="1"/>
    </xf>
    <xf numFmtId="0" fontId="3" fillId="0" borderId="4" xfId="0" applyFont="1" applyBorder="1" applyAlignment="1">
      <alignment vertical="center" wrapText="1"/>
    </xf>
    <xf numFmtId="1" fontId="20" fillId="0" borderId="3" xfId="0" applyNumberFormat="1" applyFont="1" applyBorder="1" applyAlignment="1">
      <alignment horizontal="center" vertical="center" shrinkToFit="1"/>
    </xf>
    <xf numFmtId="0" fontId="0" fillId="0" borderId="2" xfId="0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0" fillId="0" borderId="6" xfId="0" applyBorder="1" applyAlignment="1">
      <alignment vertical="center" wrapText="1"/>
    </xf>
    <xf numFmtId="1" fontId="20" fillId="0" borderId="1" xfId="0" applyNumberFormat="1" applyFont="1" applyBorder="1" applyAlignment="1">
      <alignment horizontal="center" vertical="center" shrinkToFit="1"/>
    </xf>
    <xf numFmtId="1" fontId="20" fillId="0" borderId="9" xfId="0" applyNumberFormat="1" applyFont="1" applyBorder="1" applyAlignment="1">
      <alignment horizontal="center" vertical="center" shrinkToFit="1"/>
    </xf>
    <xf numFmtId="0" fontId="3" fillId="0" borderId="9" xfId="0" applyFont="1" applyBorder="1" applyAlignment="1">
      <alignment horizontal="left" vertical="center" wrapText="1"/>
    </xf>
    <xf numFmtId="0" fontId="0" fillId="0" borderId="4" xfId="0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8" fillId="0" borderId="4" xfId="0" applyFont="1" applyBorder="1" applyAlignment="1">
      <alignment vertical="center" wrapText="1"/>
    </xf>
    <xf numFmtId="1" fontId="19" fillId="0" borderId="11" xfId="0" applyNumberFormat="1" applyFont="1" applyBorder="1" applyAlignment="1">
      <alignment horizontal="center" vertical="center" shrinkToFit="1"/>
    </xf>
    <xf numFmtId="0" fontId="3" fillId="0" borderId="12" xfId="0" applyFont="1" applyBorder="1" applyAlignment="1">
      <alignment vertical="center" wrapText="1"/>
    </xf>
    <xf numFmtId="0" fontId="0" fillId="0" borderId="0" xfId="0" applyAlignment="1">
      <alignment horizontal="left" vertical="top" wrapText="1"/>
    </xf>
    <xf numFmtId="0" fontId="21" fillId="0" borderId="0" xfId="0" applyFont="1" applyAlignment="1">
      <alignment horizontal="center" vertical="center" wrapText="1"/>
    </xf>
    <xf numFmtId="1" fontId="19" fillId="0" borderId="4" xfId="0" applyNumberFormat="1" applyFont="1" applyBorder="1" applyAlignment="1">
      <alignment horizontal="center" vertical="center" shrinkToFit="1"/>
    </xf>
    <xf numFmtId="0" fontId="21" fillId="0" borderId="0" xfId="0" applyFont="1" applyAlignment="1">
      <alignment horizontal="center" vertical="top"/>
    </xf>
    <xf numFmtId="1" fontId="1" fillId="0" borderId="4" xfId="0" applyNumberFormat="1" applyFont="1" applyBorder="1" applyAlignment="1">
      <alignment horizontal="center" vertical="center" wrapText="1" shrinkToFit="1"/>
    </xf>
    <xf numFmtId="1" fontId="1" fillId="0" borderId="2" xfId="0" applyNumberFormat="1" applyFont="1" applyBorder="1" applyAlignment="1">
      <alignment horizontal="center" vertical="center" wrapText="1" shrinkToFit="1"/>
    </xf>
    <xf numFmtId="1" fontId="1" fillId="0" borderId="6" xfId="0" applyNumberFormat="1" applyFont="1" applyBorder="1" applyAlignment="1">
      <alignment horizontal="center" vertical="center" wrapText="1" shrinkToFit="1"/>
    </xf>
    <xf numFmtId="1" fontId="1" fillId="0" borderId="8" xfId="0" applyNumberFormat="1" applyFont="1" applyBorder="1" applyAlignment="1">
      <alignment horizontal="center" vertical="center" wrapText="1" shrinkToFit="1"/>
    </xf>
    <xf numFmtId="1" fontId="1" fillId="0" borderId="10" xfId="0" applyNumberFormat="1" applyFont="1" applyBorder="1" applyAlignment="1">
      <alignment horizontal="center" vertical="center" wrapText="1" shrinkToFit="1"/>
    </xf>
    <xf numFmtId="1" fontId="1" fillId="0" borderId="3" xfId="0" applyNumberFormat="1" applyFont="1" applyBorder="1" applyAlignment="1">
      <alignment horizontal="center" vertical="center" wrapText="1" shrinkToFit="1"/>
    </xf>
    <xf numFmtId="1" fontId="4" fillId="0" borderId="3" xfId="0" applyNumberFormat="1" applyFont="1" applyBorder="1" applyAlignment="1">
      <alignment horizontal="center" vertical="center" wrapText="1" shrinkToFit="1"/>
    </xf>
    <xf numFmtId="1" fontId="6" fillId="0" borderId="3" xfId="0" applyNumberFormat="1" applyFont="1" applyBorder="1" applyAlignment="1">
      <alignment horizontal="center" vertical="center" wrapText="1" shrinkToFit="1"/>
    </xf>
    <xf numFmtId="1" fontId="4" fillId="0" borderId="1" xfId="0" applyNumberFormat="1" applyFont="1" applyBorder="1" applyAlignment="1">
      <alignment horizontal="center" vertical="center" wrapText="1" shrinkToFit="1"/>
    </xf>
    <xf numFmtId="1" fontId="4" fillId="0" borderId="9" xfId="0" applyNumberFormat="1" applyFont="1" applyBorder="1" applyAlignment="1">
      <alignment horizontal="center" vertical="center" wrapText="1" shrinkToFit="1"/>
    </xf>
    <xf numFmtId="1" fontId="4" fillId="0" borderId="5" xfId="0" applyNumberFormat="1" applyFont="1" applyBorder="1" applyAlignment="1">
      <alignment horizontal="center" vertical="center" wrapText="1" shrinkToFit="1"/>
    </xf>
    <xf numFmtId="1" fontId="6" fillId="0" borderId="1" xfId="0" applyNumberFormat="1" applyFont="1" applyBorder="1" applyAlignment="1">
      <alignment horizontal="center" vertical="center" wrapText="1" shrinkToFit="1"/>
    </xf>
    <xf numFmtId="1" fontId="6" fillId="0" borderId="9" xfId="0" applyNumberFormat="1" applyFont="1" applyBorder="1" applyAlignment="1">
      <alignment horizontal="center" vertical="center" wrapText="1" shrinkToFit="1"/>
    </xf>
    <xf numFmtId="1" fontId="4" fillId="0" borderId="4" xfId="0" applyNumberFormat="1" applyFont="1" applyBorder="1" applyAlignment="1">
      <alignment horizontal="center" vertical="center" wrapText="1" shrinkToFit="1"/>
    </xf>
    <xf numFmtId="1" fontId="4" fillId="0" borderId="2" xfId="0" applyNumberFormat="1" applyFont="1" applyBorder="1" applyAlignment="1">
      <alignment horizontal="center" vertical="center" wrapText="1" shrinkToFit="1"/>
    </xf>
    <xf numFmtId="1" fontId="6" fillId="0" borderId="4" xfId="0" applyNumberFormat="1" applyFont="1" applyBorder="1" applyAlignment="1">
      <alignment horizontal="center" vertical="center" wrapText="1" shrinkToFit="1"/>
    </xf>
    <xf numFmtId="1" fontId="4" fillId="0" borderId="10" xfId="0" applyNumberFormat="1" applyFont="1" applyBorder="1" applyAlignment="1">
      <alignment horizontal="center" vertical="center" wrapText="1" shrinkToFit="1"/>
    </xf>
    <xf numFmtId="0" fontId="0" fillId="0" borderId="3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left" vertical="center"/>
    </xf>
    <xf numFmtId="14" fontId="24" fillId="0" borderId="0" xfId="0" applyNumberFormat="1" applyFont="1" applyAlignment="1">
      <alignment horizontal="center" vertical="center"/>
    </xf>
    <xf numFmtId="164" fontId="18" fillId="0" borderId="14" xfId="0" applyNumberFormat="1" applyFont="1" applyBorder="1" applyAlignment="1">
      <alignment horizontal="center" vertical="center" wrapText="1"/>
    </xf>
    <xf numFmtId="1" fontId="19" fillId="0" borderId="15" xfId="0" applyNumberFormat="1" applyFont="1" applyBorder="1" applyAlignment="1">
      <alignment horizontal="center" vertical="center" shrinkToFit="1"/>
    </xf>
    <xf numFmtId="1" fontId="19" fillId="0" borderId="16" xfId="0" applyNumberFormat="1" applyFont="1" applyBorder="1" applyAlignment="1">
      <alignment horizontal="center" vertical="center" shrinkToFit="1"/>
    </xf>
    <xf numFmtId="0" fontId="0" fillId="0" borderId="16" xfId="0" applyBorder="1" applyAlignment="1">
      <alignment horizontal="left" vertical="center" wrapText="1"/>
    </xf>
    <xf numFmtId="1" fontId="1" fillId="0" borderId="17" xfId="0" applyNumberFormat="1" applyFont="1" applyBorder="1" applyAlignment="1">
      <alignment horizontal="center" vertical="center" wrapText="1" shrinkToFit="1"/>
    </xf>
    <xf numFmtId="1" fontId="19" fillId="0" borderId="18" xfId="0" applyNumberFormat="1" applyFont="1" applyBorder="1" applyAlignment="1">
      <alignment horizontal="center" vertical="center" shrinkToFit="1"/>
    </xf>
    <xf numFmtId="1" fontId="19" fillId="0" borderId="19" xfId="0" applyNumberFormat="1" applyFont="1" applyBorder="1" applyAlignment="1">
      <alignment horizontal="center" vertical="center" shrinkToFit="1"/>
    </xf>
    <xf numFmtId="1" fontId="19" fillId="0" borderId="20" xfId="0" applyNumberFormat="1" applyFont="1" applyBorder="1" applyAlignment="1">
      <alignment horizontal="center" vertical="center" shrinkToFit="1"/>
    </xf>
    <xf numFmtId="1" fontId="19" fillId="0" borderId="21" xfId="0" applyNumberFormat="1" applyFont="1" applyBorder="1" applyAlignment="1">
      <alignment horizontal="center" vertical="center" shrinkToFit="1"/>
    </xf>
    <xf numFmtId="1" fontId="19" fillId="0" borderId="22" xfId="0" applyNumberFormat="1" applyFont="1" applyBorder="1" applyAlignment="1">
      <alignment horizontal="center" vertical="center" shrinkToFit="1"/>
    </xf>
    <xf numFmtId="1" fontId="19" fillId="0" borderId="23" xfId="0" applyNumberFormat="1" applyFont="1" applyBorder="1" applyAlignment="1">
      <alignment horizontal="center" vertical="center" shrinkToFit="1"/>
    </xf>
    <xf numFmtId="1" fontId="20" fillId="0" borderId="18" xfId="0" applyNumberFormat="1" applyFont="1" applyBorder="1" applyAlignment="1">
      <alignment horizontal="center" vertical="center" shrinkToFit="1"/>
    </xf>
    <xf numFmtId="1" fontId="20" fillId="0" borderId="19" xfId="0" applyNumberFormat="1" applyFont="1" applyBorder="1" applyAlignment="1">
      <alignment horizontal="center" vertical="center" shrinkToFit="1"/>
    </xf>
    <xf numFmtId="1" fontId="20" fillId="0" borderId="22" xfId="0" applyNumberFormat="1" applyFont="1" applyBorder="1" applyAlignment="1">
      <alignment horizontal="center" vertical="center" shrinkToFit="1"/>
    </xf>
    <xf numFmtId="1" fontId="19" fillId="0" borderId="24" xfId="0" applyNumberFormat="1" applyFont="1" applyBorder="1" applyAlignment="1">
      <alignment horizontal="center" vertical="center" shrinkToFit="1"/>
    </xf>
    <xf numFmtId="1" fontId="19" fillId="0" borderId="25" xfId="0" applyNumberFormat="1" applyFont="1" applyBorder="1" applyAlignment="1">
      <alignment horizontal="center" vertical="center" shrinkToFit="1"/>
    </xf>
    <xf numFmtId="1" fontId="19" fillId="0" borderId="26" xfId="0" applyNumberFormat="1" applyFont="1" applyBorder="1" applyAlignment="1">
      <alignment horizontal="center" vertical="center" shrinkToFit="1"/>
    </xf>
    <xf numFmtId="0" fontId="3" fillId="0" borderId="27" xfId="0" applyFont="1" applyBorder="1" applyAlignment="1">
      <alignment vertical="center" wrapText="1"/>
    </xf>
    <xf numFmtId="0" fontId="0" fillId="0" borderId="26" xfId="0" applyBorder="1" applyAlignment="1">
      <alignment horizontal="center" vertical="center" wrapText="1"/>
    </xf>
    <xf numFmtId="164" fontId="2" fillId="0" borderId="28" xfId="0" applyNumberFormat="1" applyFont="1" applyBorder="1" applyAlignment="1">
      <alignment horizontal="center" vertical="center" shrinkToFit="1"/>
    </xf>
    <xf numFmtId="164" fontId="2" fillId="0" borderId="29" xfId="0" applyNumberFormat="1" applyFont="1" applyBorder="1" applyAlignment="1">
      <alignment horizontal="center" vertical="center" shrinkToFit="1"/>
    </xf>
    <xf numFmtId="164" fontId="5" fillId="0" borderId="29" xfId="0" applyNumberFormat="1" applyFont="1" applyBorder="1" applyAlignment="1">
      <alignment horizontal="center" vertical="center" shrinkToFit="1"/>
    </xf>
    <xf numFmtId="164" fontId="7" fillId="0" borderId="29" xfId="0" applyNumberFormat="1" applyFont="1" applyBorder="1" applyAlignment="1">
      <alignment horizontal="center" vertical="center" shrinkToFit="1"/>
    </xf>
    <xf numFmtId="0" fontId="18" fillId="0" borderId="35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164" fontId="18" fillId="0" borderId="37" xfId="0" applyNumberFormat="1" applyFont="1" applyBorder="1" applyAlignment="1">
      <alignment horizontal="center" vertical="center" wrapText="1"/>
    </xf>
    <xf numFmtId="0" fontId="27" fillId="0" borderId="13" xfId="0" applyFont="1" applyBorder="1" applyAlignment="1">
      <alignment horizontal="center"/>
    </xf>
    <xf numFmtId="0" fontId="21" fillId="0" borderId="0" xfId="0" applyFont="1" applyAlignment="1">
      <alignment horizontal="center" vertical="center"/>
    </xf>
    <xf numFmtId="164" fontId="21" fillId="0" borderId="0" xfId="0" applyNumberFormat="1" applyFont="1" applyAlignment="1">
      <alignment horizontal="left" vertical="center"/>
    </xf>
    <xf numFmtId="0" fontId="29" fillId="0" borderId="31" xfId="1" applyFont="1" applyBorder="1" applyAlignment="1">
      <alignment horizontal="center"/>
    </xf>
    <xf numFmtId="0" fontId="29" fillId="0" borderId="32" xfId="1" applyFont="1" applyBorder="1" applyAlignment="1">
      <alignment horizontal="center"/>
    </xf>
    <xf numFmtId="0" fontId="29" fillId="0" borderId="33" xfId="1" applyFont="1" applyBorder="1" applyAlignment="1">
      <alignment horizontal="center"/>
    </xf>
    <xf numFmtId="0" fontId="29" fillId="0" borderId="34" xfId="1" applyFont="1" applyBorder="1" applyAlignment="1">
      <alignment horizontal="center"/>
    </xf>
    <xf numFmtId="0" fontId="18" fillId="0" borderId="35" xfId="0" applyFont="1" applyBorder="1" applyAlignment="1" applyProtection="1">
      <alignment horizontal="center" vertical="center" wrapText="1"/>
      <protection locked="0"/>
    </xf>
    <xf numFmtId="0" fontId="23" fillId="0" borderId="0" xfId="0" applyFont="1" applyAlignment="1" applyProtection="1">
      <alignment horizontal="left" vertical="center"/>
      <protection locked="0"/>
    </xf>
    <xf numFmtId="0" fontId="28" fillId="0" borderId="0" xfId="0" applyFont="1" applyAlignment="1" applyProtection="1">
      <alignment horizontal="left" vertical="center"/>
      <protection locked="0"/>
    </xf>
    <xf numFmtId="1" fontId="1" fillId="0" borderId="17" xfId="0" applyNumberFormat="1" applyFont="1" applyBorder="1" applyAlignment="1">
      <alignment horizontal="center" vertical="center" shrinkToFit="1"/>
    </xf>
    <xf numFmtId="1" fontId="1" fillId="0" borderId="4" xfId="0" applyNumberFormat="1" applyFont="1" applyBorder="1" applyAlignment="1">
      <alignment horizontal="center" vertical="center" shrinkToFit="1"/>
    </xf>
    <xf numFmtId="1" fontId="1" fillId="0" borderId="2" xfId="0" applyNumberFormat="1" applyFont="1" applyBorder="1" applyAlignment="1">
      <alignment horizontal="center" vertical="center" shrinkToFit="1"/>
    </xf>
    <xf numFmtId="1" fontId="1" fillId="0" borderId="6" xfId="0" applyNumberFormat="1" applyFont="1" applyBorder="1" applyAlignment="1">
      <alignment horizontal="center" vertical="center" shrinkToFit="1"/>
    </xf>
    <xf numFmtId="1" fontId="1" fillId="0" borderId="8" xfId="0" applyNumberFormat="1" applyFont="1" applyBorder="1" applyAlignment="1">
      <alignment horizontal="center" vertical="center" shrinkToFit="1"/>
    </xf>
    <xf numFmtId="1" fontId="4" fillId="0" borderId="4" xfId="0" applyNumberFormat="1" applyFont="1" applyBorder="1" applyAlignment="1">
      <alignment horizontal="center" vertical="center" shrinkToFit="1"/>
    </xf>
    <xf numFmtId="1" fontId="6" fillId="0" borderId="4" xfId="0" applyNumberFormat="1" applyFont="1" applyBorder="1" applyAlignment="1">
      <alignment horizontal="center" vertical="center" shrinkToFit="1"/>
    </xf>
    <xf numFmtId="1" fontId="4" fillId="0" borderId="2" xfId="0" applyNumberFormat="1" applyFont="1" applyBorder="1" applyAlignment="1">
      <alignment horizontal="center" vertical="center" shrinkToFit="1"/>
    </xf>
    <xf numFmtId="1" fontId="4" fillId="0" borderId="10" xfId="0" applyNumberFormat="1" applyFont="1" applyBorder="1" applyAlignment="1">
      <alignment horizontal="center" vertical="center" shrinkToFit="1"/>
    </xf>
    <xf numFmtId="1" fontId="4" fillId="0" borderId="6" xfId="0" applyNumberFormat="1" applyFont="1" applyBorder="1" applyAlignment="1">
      <alignment horizontal="center" vertical="center" shrinkToFit="1"/>
    </xf>
    <xf numFmtId="1" fontId="6" fillId="0" borderId="2" xfId="0" applyNumberFormat="1" applyFont="1" applyBorder="1" applyAlignment="1">
      <alignment horizontal="center" vertical="center" shrinkToFit="1"/>
    </xf>
    <xf numFmtId="1" fontId="6" fillId="0" borderId="10" xfId="0" applyNumberFormat="1" applyFont="1" applyBorder="1" applyAlignment="1">
      <alignment horizontal="center" vertical="center" shrinkToFit="1"/>
    </xf>
    <xf numFmtId="1" fontId="4" fillId="0" borderId="12" xfId="0" applyNumberFormat="1" applyFont="1" applyBorder="1" applyAlignment="1">
      <alignment horizontal="center" vertical="center" shrinkToFit="1"/>
    </xf>
    <xf numFmtId="1" fontId="4" fillId="0" borderId="27" xfId="0" applyNumberFormat="1" applyFont="1" applyBorder="1" applyAlignment="1">
      <alignment horizontal="center" vertical="center" shrinkToFit="1"/>
    </xf>
    <xf numFmtId="2" fontId="18" fillId="0" borderId="37" xfId="0" applyNumberFormat="1" applyFont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/>
    </xf>
    <xf numFmtId="2" fontId="21" fillId="0" borderId="0" xfId="0" applyNumberFormat="1" applyFont="1" applyAlignment="1">
      <alignment horizontal="center" vertical="center"/>
    </xf>
    <xf numFmtId="1" fontId="22" fillId="0" borderId="38" xfId="0" applyNumberFormat="1" applyFont="1" applyBorder="1" applyAlignment="1" applyProtection="1">
      <alignment horizontal="center" vertical="center" shrinkToFit="1"/>
      <protection locked="0"/>
    </xf>
    <xf numFmtId="1" fontId="22" fillId="0" borderId="39" xfId="0" applyNumberFormat="1" applyFont="1" applyBorder="1" applyAlignment="1" applyProtection="1">
      <alignment horizontal="center" vertical="center" shrinkToFit="1"/>
      <protection locked="0"/>
    </xf>
    <xf numFmtId="1" fontId="22" fillId="0" borderId="40" xfId="0" applyNumberFormat="1" applyFont="1" applyBorder="1" applyAlignment="1" applyProtection="1">
      <alignment horizontal="center" vertical="center" shrinkToFit="1"/>
      <protection locked="0"/>
    </xf>
    <xf numFmtId="2" fontId="1" fillId="0" borderId="41" xfId="0" applyNumberFormat="1" applyFont="1" applyBorder="1" applyAlignment="1">
      <alignment horizontal="center" vertical="center" shrinkToFit="1"/>
    </xf>
    <xf numFmtId="164" fontId="2" fillId="0" borderId="42" xfId="0" applyNumberFormat="1" applyFont="1" applyBorder="1" applyAlignment="1">
      <alignment horizontal="center" vertical="center" shrinkToFit="1"/>
    </xf>
    <xf numFmtId="2" fontId="1" fillId="0" borderId="43" xfId="0" applyNumberFormat="1" applyFont="1" applyBorder="1" applyAlignment="1">
      <alignment horizontal="center" vertical="center" shrinkToFit="1"/>
    </xf>
    <xf numFmtId="164" fontId="2" fillId="0" borderId="44" xfId="0" applyNumberFormat="1" applyFont="1" applyBorder="1" applyAlignment="1">
      <alignment horizontal="center" vertical="center" shrinkToFit="1"/>
    </xf>
    <xf numFmtId="2" fontId="4" fillId="0" borderId="43" xfId="0" applyNumberFormat="1" applyFont="1" applyBorder="1" applyAlignment="1">
      <alignment horizontal="center" vertical="center" shrinkToFit="1"/>
    </xf>
    <xf numFmtId="164" fontId="5" fillId="0" borderId="44" xfId="0" applyNumberFormat="1" applyFont="1" applyBorder="1" applyAlignment="1">
      <alignment horizontal="center" vertical="center" shrinkToFit="1"/>
    </xf>
    <xf numFmtId="2" fontId="6" fillId="0" borderId="43" xfId="0" applyNumberFormat="1" applyFont="1" applyBorder="1" applyAlignment="1">
      <alignment horizontal="center" vertical="center" shrinkToFit="1"/>
    </xf>
    <xf numFmtId="164" fontId="7" fillId="0" borderId="44" xfId="0" applyNumberFormat="1" applyFont="1" applyBorder="1" applyAlignment="1">
      <alignment horizontal="center" vertical="center" shrinkToFit="1"/>
    </xf>
    <xf numFmtId="14" fontId="30" fillId="2" borderId="13" xfId="0" applyNumberFormat="1" applyFont="1" applyFill="1" applyBorder="1" applyAlignment="1">
      <alignment horizontal="center" vertical="center" wrapText="1"/>
    </xf>
    <xf numFmtId="0" fontId="30" fillId="2" borderId="13" xfId="0" applyFont="1" applyFill="1" applyBorder="1" applyAlignment="1">
      <alignment horizontal="center" vertical="center" wrapText="1"/>
    </xf>
    <xf numFmtId="165" fontId="31" fillId="2" borderId="13" xfId="0" applyNumberFormat="1" applyFont="1" applyFill="1" applyBorder="1" applyAlignment="1" applyProtection="1">
      <alignment horizontal="center" vertical="center" wrapText="1" readingOrder="1"/>
      <protection hidden="1"/>
    </xf>
    <xf numFmtId="0" fontId="17" fillId="0" borderId="0" xfId="0" applyFont="1"/>
    <xf numFmtId="166" fontId="30" fillId="2" borderId="13" xfId="0" applyNumberFormat="1" applyFont="1" applyFill="1" applyBorder="1" applyAlignment="1">
      <alignment horizontal="center" vertical="center"/>
    </xf>
    <xf numFmtId="0" fontId="32" fillId="3" borderId="13" xfId="0" applyFont="1" applyFill="1" applyBorder="1" applyAlignment="1" applyProtection="1">
      <alignment horizontal="center" vertical="center" wrapText="1" readingOrder="1"/>
      <protection locked="0"/>
    </xf>
    <xf numFmtId="4" fontId="30" fillId="3" borderId="47" xfId="0" applyNumberFormat="1" applyFont="1" applyFill="1" applyBorder="1" applyAlignment="1">
      <alignment horizontal="center" vertical="center"/>
    </xf>
    <xf numFmtId="165" fontId="31" fillId="3" borderId="13" xfId="0" applyNumberFormat="1" applyFont="1" applyFill="1" applyBorder="1" applyAlignment="1" applyProtection="1">
      <alignment horizontal="center" vertical="center" wrapText="1" readingOrder="1"/>
      <protection hidden="1"/>
    </xf>
    <xf numFmtId="165" fontId="31" fillId="0" borderId="0" xfId="0" applyNumberFormat="1" applyFont="1" applyAlignment="1" applyProtection="1">
      <alignment vertical="center" wrapText="1" readingOrder="1"/>
      <protection hidden="1"/>
    </xf>
    <xf numFmtId="0" fontId="30" fillId="4" borderId="13" xfId="0" applyFont="1" applyFill="1" applyBorder="1" applyAlignment="1">
      <alignment horizontal="center" vertical="center" wrapText="1"/>
    </xf>
    <xf numFmtId="4" fontId="30" fillId="0" borderId="0" xfId="0" applyNumberFormat="1" applyFont="1" applyAlignment="1">
      <alignment horizontal="center" vertical="center"/>
    </xf>
    <xf numFmtId="4" fontId="17" fillId="0" borderId="0" xfId="0" applyNumberFormat="1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164" fontId="18" fillId="0" borderId="48" xfId="0" applyNumberFormat="1" applyFont="1" applyBorder="1" applyAlignment="1">
      <alignment horizontal="center" vertical="center" wrapText="1"/>
    </xf>
    <xf numFmtId="2" fontId="1" fillId="0" borderId="49" xfId="0" applyNumberFormat="1" applyFont="1" applyBorder="1" applyAlignment="1">
      <alignment horizontal="center" vertical="center" shrinkToFit="1"/>
    </xf>
    <xf numFmtId="164" fontId="5" fillId="0" borderId="45" xfId="0" applyNumberFormat="1" applyFont="1" applyBorder="1" applyAlignment="1">
      <alignment horizontal="center" vertical="center" shrinkToFit="1"/>
    </xf>
    <xf numFmtId="164" fontId="5" fillId="0" borderId="30" xfId="0" applyNumberFormat="1" applyFont="1" applyBorder="1" applyAlignment="1">
      <alignment horizontal="center" vertical="center" shrinkToFit="1"/>
    </xf>
    <xf numFmtId="0" fontId="17" fillId="0" borderId="0" xfId="0" applyFont="1" applyAlignment="1">
      <alignment horizontal="left" vertical="center" wrapText="1"/>
    </xf>
    <xf numFmtId="0" fontId="17" fillId="0" borderId="0" xfId="0" applyFont="1" applyAlignment="1">
      <alignment horizontal="left" vertical="center"/>
    </xf>
    <xf numFmtId="14" fontId="30" fillId="2" borderId="46" xfId="0" applyNumberFormat="1" applyFont="1" applyFill="1" applyBorder="1" applyAlignment="1">
      <alignment horizontal="center" vertical="center" wrapText="1"/>
    </xf>
    <xf numFmtId="14" fontId="30" fillId="2" borderId="47" xfId="0" applyNumberFormat="1" applyFont="1" applyFill="1" applyBorder="1" applyAlignment="1">
      <alignment horizontal="center" vertical="center" wrapText="1"/>
    </xf>
  </cellXfs>
  <cellStyles count="2">
    <cellStyle name="Excel Built-in Normal" xfId="1" xr:uid="{00000000-0005-0000-0000-000000000000}"/>
    <cellStyle name="Звичайний" xfId="0" builtinId="0"/>
  </cellStyles>
  <dxfs count="1">
    <dxf>
      <fill>
        <patternFill>
          <bgColor rgb="FF92D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441959</xdr:colOff>
      <xdr:row>0</xdr:row>
      <xdr:rowOff>213360</xdr:rowOff>
    </xdr:from>
    <xdr:to>
      <xdr:col>7</xdr:col>
      <xdr:colOff>229074</xdr:colOff>
      <xdr:row>0</xdr:row>
      <xdr:rowOff>739140</xdr:rowOff>
    </xdr:to>
    <xdr:pic>
      <xdr:nvPicPr>
        <xdr:cNvPr id="2" name="Рисунок 1" descr="Home - Superior Source Vitamins">
          <a:extLst>
            <a:ext uri="{FF2B5EF4-FFF2-40B4-BE49-F238E27FC236}">
              <a16:creationId xmlns:a16="http://schemas.microsoft.com/office/drawing/2014/main" id="{F3096721-350E-7A43-A111-119871F586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86599" y="213360"/>
          <a:ext cx="2530315" cy="525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1938202</xdr:colOff>
      <xdr:row>109</xdr:row>
      <xdr:rowOff>29114</xdr:rowOff>
    </xdr:from>
    <xdr:to>
      <xdr:col>2</xdr:col>
      <xdr:colOff>3467100</xdr:colOff>
      <xdr:row>109</xdr:row>
      <xdr:rowOff>328046</xdr:rowOff>
    </xdr:to>
    <xdr:pic>
      <xdr:nvPicPr>
        <xdr:cNvPr id="3" name="image1.png">
          <a:extLst>
            <a:ext uri="{FF2B5EF4-FFF2-40B4-BE49-F238E27FC236}">
              <a16:creationId xmlns:a16="http://schemas.microsoft.com/office/drawing/2014/main" id="{C5FFBF63-5EBF-4A53-A16C-E267F67F699F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5022" y="22599554"/>
          <a:ext cx="1528898" cy="2989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4"/>
  <sheetViews>
    <sheetView tabSelected="1" zoomScale="85" zoomScaleNormal="85" workbookViewId="0">
      <pane ySplit="2" topLeftCell="A3" activePane="bottomLeft" state="frozen"/>
      <selection pane="bottomLeft" activeCell="J6" sqref="J6"/>
    </sheetView>
  </sheetViews>
  <sheetFormatPr defaultRowHeight="13.2"/>
  <cols>
    <col min="1" max="1" width="7.88671875" style="35" bestFit="1" customWidth="1"/>
    <col min="2" max="2" width="10" style="35" bestFit="1" customWidth="1"/>
    <col min="3" max="3" width="79" style="32" customWidth="1"/>
    <col min="4" max="4" width="9.88671875" style="55" customWidth="1"/>
    <col min="5" max="5" width="10.109375" style="56" customWidth="1"/>
    <col min="6" max="6" width="10.109375" style="111" customWidth="1"/>
    <col min="7" max="7" width="9.88671875" style="57" customWidth="1"/>
    <col min="8" max="8" width="9.88671875" style="94" customWidth="1"/>
    <col min="9" max="9" width="11.33203125" style="57" customWidth="1"/>
    <col min="10" max="10" width="12.21875" customWidth="1"/>
    <col min="11" max="11" width="4" customWidth="1"/>
    <col min="12" max="12" width="8.88671875" style="1"/>
    <col min="13" max="13" width="10.77734375" style="1" customWidth="1"/>
    <col min="14" max="14" width="8.88671875" style="1"/>
    <col min="15" max="15" width="9.77734375" style="1" bestFit="1" customWidth="1"/>
    <col min="16" max="16" width="8.88671875" style="1"/>
    <col min="17" max="17" width="11.77734375" style="1" bestFit="1" customWidth="1"/>
  </cols>
  <sheetData>
    <row r="1" spans="1:17" s="1" customFormat="1" ht="73.8" customHeight="1" thickBot="1">
      <c r="A1" s="141" t="s">
        <v>113</v>
      </c>
      <c r="B1" s="142"/>
      <c r="C1" s="142"/>
      <c r="D1" s="142"/>
      <c r="E1" s="142"/>
      <c r="F1" s="142"/>
      <c r="G1" s="142"/>
      <c r="H1" s="142"/>
      <c r="I1" s="142"/>
      <c r="J1" s="58">
        <v>46104</v>
      </c>
      <c r="L1" s="124" t="s">
        <v>119</v>
      </c>
      <c r="M1" s="143" t="s">
        <v>120</v>
      </c>
      <c r="N1" s="125" t="s">
        <v>118</v>
      </c>
      <c r="O1" s="126" t="s">
        <v>121</v>
      </c>
      <c r="P1" s="127"/>
      <c r="Q1" s="128" t="str">
        <f>IFERROR(IF(SUM(Q3:Q277)=0, "-", J2+O2), "-")</f>
        <v>-</v>
      </c>
    </row>
    <row r="2" spans="1:17" s="33" customFormat="1" ht="25.2" customHeight="1" thickBot="1">
      <c r="A2" s="83" t="s">
        <v>107</v>
      </c>
      <c r="B2" s="84" t="s">
        <v>0</v>
      </c>
      <c r="C2" s="84" t="s">
        <v>1</v>
      </c>
      <c r="D2" s="82" t="s">
        <v>110</v>
      </c>
      <c r="E2" s="84" t="s">
        <v>111</v>
      </c>
      <c r="F2" s="110" t="s">
        <v>118</v>
      </c>
      <c r="G2" s="85" t="s">
        <v>112</v>
      </c>
      <c r="H2" s="93" t="s">
        <v>108</v>
      </c>
      <c r="I2" s="137" t="s">
        <v>109</v>
      </c>
      <c r="J2" s="59">
        <f>SUM(I3:I107)</f>
        <v>0</v>
      </c>
      <c r="L2" s="129"/>
      <c r="M2" s="144"/>
      <c r="N2" s="130" t="str">
        <f>IF(SUM(N3:N277)=0, "-", SUM(N3:N277))</f>
        <v>-</v>
      </c>
      <c r="O2" s="131" t="str">
        <f>IF(SUM(O3:O277)=0, "-", SUM(O3:O277))</f>
        <v>-</v>
      </c>
      <c r="P2" s="132"/>
      <c r="Q2" s="133" t="s">
        <v>122</v>
      </c>
    </row>
    <row r="3" spans="1:17" s="3" customFormat="1" ht="30.6">
      <c r="A3" s="60">
        <v>904709</v>
      </c>
      <c r="B3" s="61">
        <v>90470</v>
      </c>
      <c r="C3" s="62" t="s">
        <v>2</v>
      </c>
      <c r="D3" s="63">
        <v>60</v>
      </c>
      <c r="E3" s="96">
        <v>12</v>
      </c>
      <c r="F3" s="116">
        <v>3.4049999999999997E-2</v>
      </c>
      <c r="G3" s="117">
        <v>23.688000000000002</v>
      </c>
      <c r="H3" s="113"/>
      <c r="I3" s="78">
        <f>H3*G3</f>
        <v>0</v>
      </c>
      <c r="L3" s="134" t="str">
        <f t="shared" ref="L3:L34" si="0">IFERROR(IF($L$2*F3=0, "-", $L$2*F3), "-")</f>
        <v>-</v>
      </c>
      <c r="M3" s="134" t="str">
        <f>IFERROR(IF(L3&gt;0,G3+L3,"-"),"-")</f>
        <v>-</v>
      </c>
      <c r="N3" s="135" t="str">
        <f t="shared" ref="N3:N34" si="1">IF(H3&gt;0,H3*F3, "-")</f>
        <v>-</v>
      </c>
      <c r="O3" s="136" t="str">
        <f>IFERROR(IF($L$2&gt;0, $L$2*N3, "-"), "-")</f>
        <v>-</v>
      </c>
      <c r="P3" s="127"/>
      <c r="Q3" s="136" t="str">
        <f>IFERROR(IF(O3+I3=0, "-", IF(O3&gt;0, O3+I3, "-")), "-")</f>
        <v>-</v>
      </c>
    </row>
    <row r="4" spans="1:17" s="3" customFormat="1" ht="30.6">
      <c r="A4" s="64">
        <v>904754</v>
      </c>
      <c r="B4" s="5">
        <v>90475</v>
      </c>
      <c r="C4" s="6" t="s">
        <v>3</v>
      </c>
      <c r="D4" s="36">
        <v>60</v>
      </c>
      <c r="E4" s="97">
        <v>12</v>
      </c>
      <c r="F4" s="118">
        <v>3.4049999999999997E-2</v>
      </c>
      <c r="G4" s="119">
        <v>27.285999999999998</v>
      </c>
      <c r="H4" s="114"/>
      <c r="I4" s="79">
        <f t="shared" ref="I4:I67" si="2">H4*G4</f>
        <v>0</v>
      </c>
      <c r="L4" s="134" t="str">
        <f t="shared" si="0"/>
        <v>-</v>
      </c>
      <c r="M4" s="134" t="str">
        <f t="shared" ref="M4:M67" si="3">IFERROR(IF(L4&gt;0,G4+L4,"-"),"-")</f>
        <v>-</v>
      </c>
      <c r="N4" s="135" t="str">
        <f t="shared" si="1"/>
        <v>-</v>
      </c>
      <c r="O4" s="136" t="str">
        <f t="shared" ref="O4:O67" si="4">IFERROR(IF($L$2&gt;0, $L$2*N4, "-"), "-")</f>
        <v>-</v>
      </c>
      <c r="P4" s="127"/>
      <c r="Q4" s="136" t="str">
        <f t="shared" ref="Q4:Q67" si="5">IFERROR(IF(O4+I4=0, "-", IF(O4&gt;0, O4+I4, "-")), "-")</f>
        <v>-</v>
      </c>
    </row>
    <row r="5" spans="1:17" s="3" customFormat="1">
      <c r="A5" s="64">
        <v>920303</v>
      </c>
      <c r="B5" s="5">
        <v>92030</v>
      </c>
      <c r="C5" s="6" t="s">
        <v>4</v>
      </c>
      <c r="D5" s="36">
        <v>60</v>
      </c>
      <c r="E5" s="97">
        <v>12</v>
      </c>
      <c r="F5" s="118">
        <v>3.4049999999999997E-2</v>
      </c>
      <c r="G5" s="119">
        <v>17.135999999999999</v>
      </c>
      <c r="H5" s="114"/>
      <c r="I5" s="79">
        <f t="shared" si="2"/>
        <v>0</v>
      </c>
      <c r="L5" s="134" t="str">
        <f t="shared" si="0"/>
        <v>-</v>
      </c>
      <c r="M5" s="134" t="str">
        <f t="shared" si="3"/>
        <v>-</v>
      </c>
      <c r="N5" s="135" t="str">
        <f t="shared" si="1"/>
        <v>-</v>
      </c>
      <c r="O5" s="136" t="str">
        <f t="shared" si="4"/>
        <v>-</v>
      </c>
      <c r="P5" s="127"/>
      <c r="Q5" s="136" t="str">
        <f t="shared" si="5"/>
        <v>-</v>
      </c>
    </row>
    <row r="6" spans="1:17" s="3" customFormat="1" ht="20.399999999999999">
      <c r="A6" s="64">
        <v>920402</v>
      </c>
      <c r="B6" s="5">
        <v>92040</v>
      </c>
      <c r="C6" s="6" t="s">
        <v>5</v>
      </c>
      <c r="D6" s="36">
        <v>60</v>
      </c>
      <c r="E6" s="97">
        <v>12</v>
      </c>
      <c r="F6" s="118">
        <v>0</v>
      </c>
      <c r="G6" s="119">
        <v>19.782</v>
      </c>
      <c r="H6" s="114"/>
      <c r="I6" s="79">
        <f t="shared" si="2"/>
        <v>0</v>
      </c>
      <c r="L6" s="134" t="str">
        <f t="shared" si="0"/>
        <v>-</v>
      </c>
      <c r="M6" s="134" t="str">
        <f t="shared" si="3"/>
        <v>-</v>
      </c>
      <c r="N6" s="135" t="str">
        <f t="shared" si="1"/>
        <v>-</v>
      </c>
      <c r="O6" s="136" t="str">
        <f t="shared" si="4"/>
        <v>-</v>
      </c>
      <c r="P6" s="127"/>
      <c r="Q6" s="136" t="str">
        <f t="shared" si="5"/>
        <v>-</v>
      </c>
    </row>
    <row r="7" spans="1:17" s="3" customFormat="1">
      <c r="A7" s="65">
        <v>906703</v>
      </c>
      <c r="B7" s="7">
        <v>90670</v>
      </c>
      <c r="C7" s="8" t="s">
        <v>6</v>
      </c>
      <c r="D7" s="37">
        <v>60</v>
      </c>
      <c r="E7" s="98">
        <v>12</v>
      </c>
      <c r="F7" s="118">
        <v>3.4049999999999997E-2</v>
      </c>
      <c r="G7" s="119">
        <v>10.331999999999999</v>
      </c>
      <c r="H7" s="114"/>
      <c r="I7" s="79">
        <f t="shared" si="2"/>
        <v>0</v>
      </c>
      <c r="L7" s="134" t="str">
        <f t="shared" si="0"/>
        <v>-</v>
      </c>
      <c r="M7" s="134" t="str">
        <f t="shared" si="3"/>
        <v>-</v>
      </c>
      <c r="N7" s="135" t="str">
        <f t="shared" si="1"/>
        <v>-</v>
      </c>
      <c r="O7" s="136" t="str">
        <f t="shared" si="4"/>
        <v>-</v>
      </c>
      <c r="P7" s="127"/>
      <c r="Q7" s="136" t="str">
        <f t="shared" si="5"/>
        <v>-</v>
      </c>
    </row>
    <row r="8" spans="1:17" s="3" customFormat="1">
      <c r="A8" s="66">
        <v>906802</v>
      </c>
      <c r="B8" s="9">
        <v>90680</v>
      </c>
      <c r="C8" s="10" t="s">
        <v>7</v>
      </c>
      <c r="D8" s="38">
        <v>60</v>
      </c>
      <c r="E8" s="99">
        <v>12</v>
      </c>
      <c r="F8" s="118">
        <v>3.4049999999999997E-2</v>
      </c>
      <c r="G8" s="119">
        <v>11.157999999999999</v>
      </c>
      <c r="H8" s="114"/>
      <c r="I8" s="79">
        <f t="shared" si="2"/>
        <v>0</v>
      </c>
      <c r="L8" s="134" t="str">
        <f t="shared" si="0"/>
        <v>-</v>
      </c>
      <c r="M8" s="134" t="str">
        <f t="shared" si="3"/>
        <v>-</v>
      </c>
      <c r="N8" s="135" t="str">
        <f t="shared" si="1"/>
        <v>-</v>
      </c>
      <c r="O8" s="136" t="str">
        <f t="shared" si="4"/>
        <v>-</v>
      </c>
      <c r="P8" s="127"/>
      <c r="Q8" s="136" t="str">
        <f t="shared" si="5"/>
        <v>-</v>
      </c>
    </row>
    <row r="9" spans="1:17" s="3" customFormat="1" ht="20.399999999999999">
      <c r="A9" s="64">
        <v>906901</v>
      </c>
      <c r="B9" s="5">
        <v>90690</v>
      </c>
      <c r="C9" s="6" t="s">
        <v>8</v>
      </c>
      <c r="D9" s="36">
        <v>60</v>
      </c>
      <c r="E9" s="97">
        <v>12</v>
      </c>
      <c r="F9" s="118">
        <v>5.6750000000000002E-2</v>
      </c>
      <c r="G9" s="119">
        <v>11.536</v>
      </c>
      <c r="H9" s="114"/>
      <c r="I9" s="79">
        <f t="shared" si="2"/>
        <v>0</v>
      </c>
      <c r="L9" s="134" t="str">
        <f t="shared" si="0"/>
        <v>-</v>
      </c>
      <c r="M9" s="134" t="str">
        <f t="shared" si="3"/>
        <v>-</v>
      </c>
      <c r="N9" s="135" t="str">
        <f t="shared" si="1"/>
        <v>-</v>
      </c>
      <c r="O9" s="136" t="str">
        <f t="shared" si="4"/>
        <v>-</v>
      </c>
      <c r="P9" s="127"/>
      <c r="Q9" s="136" t="str">
        <f t="shared" si="5"/>
        <v>-</v>
      </c>
    </row>
    <row r="10" spans="1:17" s="3" customFormat="1" ht="20.399999999999999">
      <c r="A10" s="64">
        <v>907007</v>
      </c>
      <c r="B10" s="5">
        <v>90700</v>
      </c>
      <c r="C10" s="6" t="s">
        <v>9</v>
      </c>
      <c r="D10" s="36">
        <v>60</v>
      </c>
      <c r="E10" s="97">
        <v>12</v>
      </c>
      <c r="F10" s="118">
        <v>5.6750000000000002E-2</v>
      </c>
      <c r="G10" s="119">
        <v>11.787999999999998</v>
      </c>
      <c r="H10" s="114"/>
      <c r="I10" s="79">
        <f t="shared" si="2"/>
        <v>0</v>
      </c>
      <c r="L10" s="134" t="str">
        <f t="shared" si="0"/>
        <v>-</v>
      </c>
      <c r="M10" s="134" t="str">
        <f t="shared" si="3"/>
        <v>-</v>
      </c>
      <c r="N10" s="135" t="str">
        <f t="shared" si="1"/>
        <v>-</v>
      </c>
      <c r="O10" s="136" t="str">
        <f t="shared" si="4"/>
        <v>-</v>
      </c>
      <c r="P10" s="127"/>
      <c r="Q10" s="136" t="str">
        <f t="shared" si="5"/>
        <v>-</v>
      </c>
    </row>
    <row r="11" spans="1:17" s="3" customFormat="1">
      <c r="A11" s="64">
        <v>910656</v>
      </c>
      <c r="B11" s="5">
        <v>91065</v>
      </c>
      <c r="C11" s="11" t="s">
        <v>10</v>
      </c>
      <c r="D11" s="36">
        <v>90</v>
      </c>
      <c r="E11" s="97">
        <v>12</v>
      </c>
      <c r="F11" s="118">
        <v>3.4049999999999997E-2</v>
      </c>
      <c r="G11" s="119">
        <v>17.135999999999999</v>
      </c>
      <c r="H11" s="114"/>
      <c r="I11" s="79">
        <f t="shared" si="2"/>
        <v>0</v>
      </c>
      <c r="L11" s="134" t="str">
        <f t="shared" si="0"/>
        <v>-</v>
      </c>
      <c r="M11" s="134" t="str">
        <f t="shared" si="3"/>
        <v>-</v>
      </c>
      <c r="N11" s="135" t="str">
        <f t="shared" si="1"/>
        <v>-</v>
      </c>
      <c r="O11" s="136" t="str">
        <f t="shared" si="4"/>
        <v>-</v>
      </c>
      <c r="P11" s="127"/>
      <c r="Q11" s="136" t="str">
        <f t="shared" si="5"/>
        <v>-</v>
      </c>
    </row>
    <row r="12" spans="1:17" s="3" customFormat="1">
      <c r="A12" s="64">
        <v>907502</v>
      </c>
      <c r="B12" s="5">
        <v>90750</v>
      </c>
      <c r="C12" s="11" t="s">
        <v>11</v>
      </c>
      <c r="D12" s="36">
        <v>60</v>
      </c>
      <c r="E12" s="97">
        <v>12</v>
      </c>
      <c r="F12" s="118">
        <v>3.4049999999999997E-2</v>
      </c>
      <c r="G12" s="119">
        <v>23.688000000000002</v>
      </c>
      <c r="H12" s="114"/>
      <c r="I12" s="79">
        <f t="shared" si="2"/>
        <v>0</v>
      </c>
      <c r="L12" s="134" t="str">
        <f t="shared" si="0"/>
        <v>-</v>
      </c>
      <c r="M12" s="134" t="str">
        <f t="shared" si="3"/>
        <v>-</v>
      </c>
      <c r="N12" s="135" t="str">
        <f t="shared" si="1"/>
        <v>-</v>
      </c>
      <c r="O12" s="136" t="str">
        <f t="shared" si="4"/>
        <v>-</v>
      </c>
      <c r="P12" s="127"/>
      <c r="Q12" s="136" t="str">
        <f t="shared" si="5"/>
        <v>-</v>
      </c>
    </row>
    <row r="13" spans="1:17" s="3" customFormat="1" ht="20.399999999999999">
      <c r="A13" s="64">
        <v>907601</v>
      </c>
      <c r="B13" s="5">
        <v>90760</v>
      </c>
      <c r="C13" s="6" t="s">
        <v>12</v>
      </c>
      <c r="D13" s="36">
        <v>60</v>
      </c>
      <c r="E13" s="97">
        <v>12</v>
      </c>
      <c r="F13" s="118">
        <v>5.6750000000000002E-2</v>
      </c>
      <c r="G13" s="119">
        <v>25.018000000000001</v>
      </c>
      <c r="H13" s="114"/>
      <c r="I13" s="79">
        <f t="shared" si="2"/>
        <v>0</v>
      </c>
      <c r="L13" s="134" t="str">
        <f t="shared" si="0"/>
        <v>-</v>
      </c>
      <c r="M13" s="134" t="str">
        <f t="shared" si="3"/>
        <v>-</v>
      </c>
      <c r="N13" s="135" t="str">
        <f t="shared" si="1"/>
        <v>-</v>
      </c>
      <c r="O13" s="136" t="str">
        <f t="shared" si="4"/>
        <v>-</v>
      </c>
      <c r="P13" s="127"/>
      <c r="Q13" s="136" t="str">
        <f t="shared" si="5"/>
        <v>-</v>
      </c>
    </row>
    <row r="14" spans="1:17" s="3" customFormat="1">
      <c r="A14" s="64">
        <v>909803</v>
      </c>
      <c r="B14" s="5">
        <v>90980</v>
      </c>
      <c r="C14" s="11" t="s">
        <v>13</v>
      </c>
      <c r="D14" s="36">
        <v>100</v>
      </c>
      <c r="E14" s="97">
        <v>12</v>
      </c>
      <c r="F14" s="118">
        <v>3.4049999999999997E-2</v>
      </c>
      <c r="G14" s="119">
        <v>35.601999999999997</v>
      </c>
      <c r="H14" s="114"/>
      <c r="I14" s="79">
        <f t="shared" si="2"/>
        <v>0</v>
      </c>
      <c r="L14" s="134" t="str">
        <f t="shared" si="0"/>
        <v>-</v>
      </c>
      <c r="M14" s="134" t="str">
        <f t="shared" si="3"/>
        <v>-</v>
      </c>
      <c r="N14" s="135" t="str">
        <f t="shared" si="1"/>
        <v>-</v>
      </c>
      <c r="O14" s="136" t="str">
        <f t="shared" si="4"/>
        <v>-</v>
      </c>
      <c r="P14" s="127"/>
      <c r="Q14" s="136" t="str">
        <f t="shared" si="5"/>
        <v>-</v>
      </c>
    </row>
    <row r="15" spans="1:17" s="3" customFormat="1">
      <c r="A15" s="64">
        <v>909605</v>
      </c>
      <c r="B15" s="5">
        <v>90960</v>
      </c>
      <c r="C15" s="11" t="s">
        <v>14</v>
      </c>
      <c r="D15" s="36">
        <v>30</v>
      </c>
      <c r="E15" s="97">
        <v>12</v>
      </c>
      <c r="F15" s="118">
        <v>3.4049999999999997E-2</v>
      </c>
      <c r="G15" s="119">
        <v>25.703999999999997</v>
      </c>
      <c r="H15" s="114"/>
      <c r="I15" s="79">
        <f t="shared" si="2"/>
        <v>0</v>
      </c>
      <c r="L15" s="134" t="str">
        <f t="shared" si="0"/>
        <v>-</v>
      </c>
      <c r="M15" s="134" t="str">
        <f t="shared" si="3"/>
        <v>-</v>
      </c>
      <c r="N15" s="135" t="str">
        <f t="shared" si="1"/>
        <v>-</v>
      </c>
      <c r="O15" s="136" t="str">
        <f t="shared" si="4"/>
        <v>-</v>
      </c>
      <c r="P15" s="127"/>
      <c r="Q15" s="136" t="str">
        <f t="shared" si="5"/>
        <v>-</v>
      </c>
    </row>
    <row r="16" spans="1:17" s="3" customFormat="1" ht="20.399999999999999">
      <c r="A16" s="65">
        <v>909704</v>
      </c>
      <c r="B16" s="7">
        <v>90970</v>
      </c>
      <c r="C16" s="12" t="s">
        <v>15</v>
      </c>
      <c r="D16" s="37">
        <v>30</v>
      </c>
      <c r="E16" s="98">
        <v>12</v>
      </c>
      <c r="F16" s="118">
        <v>3.4049999999999997E-2</v>
      </c>
      <c r="G16" s="119">
        <v>27.285999999999998</v>
      </c>
      <c r="H16" s="114"/>
      <c r="I16" s="79">
        <f t="shared" si="2"/>
        <v>0</v>
      </c>
      <c r="L16" s="134" t="str">
        <f t="shared" si="0"/>
        <v>-</v>
      </c>
      <c r="M16" s="134" t="str">
        <f t="shared" si="3"/>
        <v>-</v>
      </c>
      <c r="N16" s="135" t="str">
        <f t="shared" si="1"/>
        <v>-</v>
      </c>
      <c r="O16" s="136" t="str">
        <f t="shared" si="4"/>
        <v>-</v>
      </c>
      <c r="P16" s="127"/>
      <c r="Q16" s="136" t="str">
        <f t="shared" si="5"/>
        <v>-</v>
      </c>
    </row>
    <row r="17" spans="1:17" s="3" customFormat="1">
      <c r="A17" s="67">
        <v>901302</v>
      </c>
      <c r="B17" s="13">
        <v>90130</v>
      </c>
      <c r="C17" s="14" t="s">
        <v>16</v>
      </c>
      <c r="D17" s="39">
        <v>60</v>
      </c>
      <c r="E17" s="100">
        <v>12</v>
      </c>
      <c r="F17" s="118">
        <v>3.4049999999999997E-2</v>
      </c>
      <c r="G17" s="119">
        <v>7.63</v>
      </c>
      <c r="H17" s="114"/>
      <c r="I17" s="79">
        <f t="shared" si="2"/>
        <v>0</v>
      </c>
      <c r="L17" s="134" t="str">
        <f t="shared" si="0"/>
        <v>-</v>
      </c>
      <c r="M17" s="134" t="str">
        <f t="shared" si="3"/>
        <v>-</v>
      </c>
      <c r="N17" s="135" t="str">
        <f t="shared" si="1"/>
        <v>-</v>
      </c>
      <c r="O17" s="136" t="str">
        <f t="shared" si="4"/>
        <v>-</v>
      </c>
      <c r="P17" s="127"/>
      <c r="Q17" s="136" t="str">
        <f t="shared" si="5"/>
        <v>-</v>
      </c>
    </row>
    <row r="18" spans="1:17" s="3" customFormat="1" ht="20.399999999999999">
      <c r="A18" s="67">
        <v>901319</v>
      </c>
      <c r="B18" s="13">
        <v>90131</v>
      </c>
      <c r="C18" s="15" t="s">
        <v>17</v>
      </c>
      <c r="D18" s="39">
        <v>100</v>
      </c>
      <c r="E18" s="100">
        <v>12</v>
      </c>
      <c r="F18" s="118">
        <v>3.4049999999999997E-2</v>
      </c>
      <c r="G18" s="119">
        <v>11.661999999999999</v>
      </c>
      <c r="H18" s="114"/>
      <c r="I18" s="79">
        <f t="shared" si="2"/>
        <v>0</v>
      </c>
      <c r="L18" s="134" t="str">
        <f t="shared" si="0"/>
        <v>-</v>
      </c>
      <c r="M18" s="134" t="str">
        <f t="shared" si="3"/>
        <v>-</v>
      </c>
      <c r="N18" s="135" t="str">
        <f t="shared" si="1"/>
        <v>-</v>
      </c>
      <c r="O18" s="136" t="str">
        <f t="shared" si="4"/>
        <v>-</v>
      </c>
      <c r="P18" s="127"/>
      <c r="Q18" s="136" t="str">
        <f t="shared" si="5"/>
        <v>-</v>
      </c>
    </row>
    <row r="19" spans="1:17" s="3" customFormat="1" ht="20.399999999999999">
      <c r="A19" s="67">
        <v>907908</v>
      </c>
      <c r="B19" s="13">
        <v>90790</v>
      </c>
      <c r="C19" s="15" t="s">
        <v>18</v>
      </c>
      <c r="D19" s="39">
        <v>100</v>
      </c>
      <c r="E19" s="100">
        <v>12</v>
      </c>
      <c r="F19" s="118">
        <v>4.5400000000000003E-2</v>
      </c>
      <c r="G19" s="119">
        <v>11.661999999999999</v>
      </c>
      <c r="H19" s="114"/>
      <c r="I19" s="79">
        <f t="shared" si="2"/>
        <v>0</v>
      </c>
      <c r="L19" s="134" t="str">
        <f t="shared" si="0"/>
        <v>-</v>
      </c>
      <c r="M19" s="134" t="str">
        <f t="shared" si="3"/>
        <v>-</v>
      </c>
      <c r="N19" s="135" t="str">
        <f t="shared" si="1"/>
        <v>-</v>
      </c>
      <c r="O19" s="136" t="str">
        <f t="shared" si="4"/>
        <v>-</v>
      </c>
      <c r="P19" s="127"/>
      <c r="Q19" s="136" t="str">
        <f t="shared" si="5"/>
        <v>-</v>
      </c>
    </row>
    <row r="20" spans="1:17" s="3" customFormat="1">
      <c r="A20" s="66">
        <v>900305</v>
      </c>
      <c r="B20" s="9">
        <v>90030</v>
      </c>
      <c r="C20" s="16" t="s">
        <v>19</v>
      </c>
      <c r="D20" s="38">
        <v>100</v>
      </c>
      <c r="E20" s="99">
        <v>12</v>
      </c>
      <c r="F20" s="118">
        <v>3.4049999999999997E-2</v>
      </c>
      <c r="G20" s="119">
        <v>10.331999999999999</v>
      </c>
      <c r="H20" s="114"/>
      <c r="I20" s="79">
        <f t="shared" si="2"/>
        <v>0</v>
      </c>
      <c r="L20" s="134" t="str">
        <f t="shared" si="0"/>
        <v>-</v>
      </c>
      <c r="M20" s="134" t="str">
        <f t="shared" si="3"/>
        <v>-</v>
      </c>
      <c r="N20" s="135" t="str">
        <f t="shared" si="1"/>
        <v>-</v>
      </c>
      <c r="O20" s="136" t="str">
        <f t="shared" si="4"/>
        <v>-</v>
      </c>
      <c r="P20" s="127"/>
      <c r="Q20" s="136" t="str">
        <f t="shared" si="5"/>
        <v>-</v>
      </c>
    </row>
    <row r="21" spans="1:17" s="3" customFormat="1">
      <c r="A21" s="64">
        <v>907700</v>
      </c>
      <c r="B21" s="5">
        <v>90770</v>
      </c>
      <c r="C21" s="11" t="s">
        <v>20</v>
      </c>
      <c r="D21" s="36">
        <v>100</v>
      </c>
      <c r="E21" s="97">
        <v>12</v>
      </c>
      <c r="F21" s="118">
        <v>3.4049999999999997E-2</v>
      </c>
      <c r="G21" s="119">
        <v>23.688000000000002</v>
      </c>
      <c r="H21" s="114"/>
      <c r="I21" s="79">
        <f t="shared" si="2"/>
        <v>0</v>
      </c>
      <c r="L21" s="134" t="str">
        <f t="shared" si="0"/>
        <v>-</v>
      </c>
      <c r="M21" s="134" t="str">
        <f t="shared" si="3"/>
        <v>-</v>
      </c>
      <c r="N21" s="135" t="str">
        <f t="shared" si="1"/>
        <v>-</v>
      </c>
      <c r="O21" s="136" t="str">
        <f t="shared" si="4"/>
        <v>-</v>
      </c>
      <c r="P21" s="127"/>
      <c r="Q21" s="136" t="str">
        <f t="shared" si="5"/>
        <v>-</v>
      </c>
    </row>
    <row r="22" spans="1:17" s="3" customFormat="1" ht="20.399999999999999">
      <c r="A22" s="64">
        <v>907809</v>
      </c>
      <c r="B22" s="5">
        <v>90780</v>
      </c>
      <c r="C22" s="6" t="s">
        <v>21</v>
      </c>
      <c r="D22" s="36">
        <v>100</v>
      </c>
      <c r="E22" s="97">
        <v>12</v>
      </c>
      <c r="F22" s="118">
        <v>3.4049999999999997E-2</v>
      </c>
      <c r="G22" s="119">
        <v>25.018000000000001</v>
      </c>
      <c r="H22" s="114"/>
      <c r="I22" s="79">
        <f t="shared" si="2"/>
        <v>0</v>
      </c>
      <c r="L22" s="134" t="str">
        <f t="shared" si="0"/>
        <v>-</v>
      </c>
      <c r="M22" s="134" t="str">
        <f t="shared" si="3"/>
        <v>-</v>
      </c>
      <c r="N22" s="135" t="str">
        <f t="shared" si="1"/>
        <v>-</v>
      </c>
      <c r="O22" s="136" t="str">
        <f t="shared" si="4"/>
        <v>-</v>
      </c>
      <c r="P22" s="127"/>
      <c r="Q22" s="136" t="str">
        <f t="shared" si="5"/>
        <v>-</v>
      </c>
    </row>
    <row r="23" spans="1:17" s="3" customFormat="1">
      <c r="A23" s="64">
        <v>908004</v>
      </c>
      <c r="B23" s="5">
        <v>90800</v>
      </c>
      <c r="C23" s="11" t="s">
        <v>22</v>
      </c>
      <c r="D23" s="36">
        <v>60</v>
      </c>
      <c r="E23" s="97">
        <v>12</v>
      </c>
      <c r="F23" s="118">
        <v>3.4049999999999997E-2</v>
      </c>
      <c r="G23" s="119">
        <v>25.703999999999997</v>
      </c>
      <c r="H23" s="114"/>
      <c r="I23" s="79">
        <f t="shared" si="2"/>
        <v>0</v>
      </c>
      <c r="L23" s="134" t="str">
        <f t="shared" si="0"/>
        <v>-</v>
      </c>
      <c r="M23" s="134" t="str">
        <f t="shared" si="3"/>
        <v>-</v>
      </c>
      <c r="N23" s="135" t="str">
        <f t="shared" si="1"/>
        <v>-</v>
      </c>
      <c r="O23" s="136" t="str">
        <f t="shared" si="4"/>
        <v>-</v>
      </c>
      <c r="P23" s="127"/>
      <c r="Q23" s="136" t="str">
        <f t="shared" si="5"/>
        <v>-</v>
      </c>
    </row>
    <row r="24" spans="1:17" s="3" customFormat="1" ht="20.399999999999999">
      <c r="A24" s="65">
        <v>908103</v>
      </c>
      <c r="B24" s="7">
        <v>90810</v>
      </c>
      <c r="C24" s="12" t="s">
        <v>23</v>
      </c>
      <c r="D24" s="37">
        <v>60</v>
      </c>
      <c r="E24" s="98">
        <v>12</v>
      </c>
      <c r="F24" s="118">
        <v>3.4049999999999997E-2</v>
      </c>
      <c r="G24" s="119">
        <v>27.285999999999998</v>
      </c>
      <c r="H24" s="114"/>
      <c r="I24" s="79">
        <f t="shared" si="2"/>
        <v>0</v>
      </c>
      <c r="L24" s="134" t="str">
        <f t="shared" si="0"/>
        <v>-</v>
      </c>
      <c r="M24" s="134" t="str">
        <f t="shared" si="3"/>
        <v>-</v>
      </c>
      <c r="N24" s="135" t="str">
        <f t="shared" si="1"/>
        <v>-</v>
      </c>
      <c r="O24" s="136" t="str">
        <f t="shared" si="4"/>
        <v>-</v>
      </c>
      <c r="P24" s="127"/>
      <c r="Q24" s="136" t="str">
        <f t="shared" si="5"/>
        <v>-</v>
      </c>
    </row>
    <row r="25" spans="1:17" s="3" customFormat="1">
      <c r="A25" s="67">
        <v>900404</v>
      </c>
      <c r="B25" s="13">
        <v>90040</v>
      </c>
      <c r="C25" s="15" t="s">
        <v>24</v>
      </c>
      <c r="D25" s="39">
        <v>100</v>
      </c>
      <c r="E25" s="100">
        <v>12</v>
      </c>
      <c r="F25" s="118">
        <v>3.4049999999999997E-2</v>
      </c>
      <c r="G25" s="119">
        <v>11.157999999999999</v>
      </c>
      <c r="H25" s="114"/>
      <c r="I25" s="79">
        <f t="shared" si="2"/>
        <v>0</v>
      </c>
      <c r="L25" s="134" t="str">
        <f t="shared" si="0"/>
        <v>-</v>
      </c>
      <c r="M25" s="134" t="str">
        <f t="shared" si="3"/>
        <v>-</v>
      </c>
      <c r="N25" s="135" t="str">
        <f t="shared" si="1"/>
        <v>-</v>
      </c>
      <c r="O25" s="136" t="str">
        <f t="shared" si="4"/>
        <v>-</v>
      </c>
      <c r="P25" s="127"/>
      <c r="Q25" s="136" t="str">
        <f t="shared" si="5"/>
        <v>-</v>
      </c>
    </row>
    <row r="26" spans="1:17" s="3" customFormat="1">
      <c r="A26" s="66">
        <v>900411</v>
      </c>
      <c r="B26" s="9">
        <v>90041</v>
      </c>
      <c r="C26" s="10" t="s">
        <v>24</v>
      </c>
      <c r="D26" s="38">
        <v>60</v>
      </c>
      <c r="E26" s="99">
        <v>12</v>
      </c>
      <c r="F26" s="118">
        <v>3.4049999999999997E-2</v>
      </c>
      <c r="G26" s="119">
        <v>7.1819999999999995</v>
      </c>
      <c r="H26" s="114"/>
      <c r="I26" s="79">
        <f t="shared" si="2"/>
        <v>0</v>
      </c>
      <c r="L26" s="134" t="str">
        <f t="shared" si="0"/>
        <v>-</v>
      </c>
      <c r="M26" s="134" t="str">
        <f t="shared" si="3"/>
        <v>-</v>
      </c>
      <c r="N26" s="135" t="str">
        <f t="shared" si="1"/>
        <v>-</v>
      </c>
      <c r="O26" s="136" t="str">
        <f t="shared" si="4"/>
        <v>-</v>
      </c>
      <c r="P26" s="127"/>
      <c r="Q26" s="136" t="str">
        <f t="shared" si="5"/>
        <v>-</v>
      </c>
    </row>
    <row r="27" spans="1:17" s="3" customFormat="1">
      <c r="A27" s="64">
        <v>910106</v>
      </c>
      <c r="B27" s="5">
        <v>91010</v>
      </c>
      <c r="C27" s="6" t="s">
        <v>25</v>
      </c>
      <c r="D27" s="36">
        <v>60</v>
      </c>
      <c r="E27" s="97">
        <v>12</v>
      </c>
      <c r="F27" s="118">
        <v>3.4049999999999997E-2</v>
      </c>
      <c r="G27" s="119">
        <v>21.041999999999998</v>
      </c>
      <c r="H27" s="114"/>
      <c r="I27" s="79">
        <f t="shared" si="2"/>
        <v>0</v>
      </c>
      <c r="L27" s="134" t="str">
        <f t="shared" si="0"/>
        <v>-</v>
      </c>
      <c r="M27" s="134" t="str">
        <f t="shared" si="3"/>
        <v>-</v>
      </c>
      <c r="N27" s="135" t="str">
        <f t="shared" si="1"/>
        <v>-</v>
      </c>
      <c r="O27" s="136" t="str">
        <f t="shared" si="4"/>
        <v>-</v>
      </c>
      <c r="P27" s="127"/>
      <c r="Q27" s="136" t="str">
        <f t="shared" si="5"/>
        <v>-</v>
      </c>
    </row>
    <row r="28" spans="1:17" s="3" customFormat="1">
      <c r="A28" s="64">
        <v>910304</v>
      </c>
      <c r="B28" s="5">
        <v>91030</v>
      </c>
      <c r="C28" s="6" t="s">
        <v>26</v>
      </c>
      <c r="D28" s="36">
        <v>60</v>
      </c>
      <c r="E28" s="97">
        <v>12</v>
      </c>
      <c r="F28" s="118">
        <v>3.4049999999999997E-2</v>
      </c>
      <c r="G28" s="119">
        <v>22.372</v>
      </c>
      <c r="H28" s="114"/>
      <c r="I28" s="79">
        <f t="shared" si="2"/>
        <v>0</v>
      </c>
      <c r="L28" s="134" t="str">
        <f t="shared" si="0"/>
        <v>-</v>
      </c>
      <c r="M28" s="134" t="str">
        <f t="shared" si="3"/>
        <v>-</v>
      </c>
      <c r="N28" s="135" t="str">
        <f t="shared" si="1"/>
        <v>-</v>
      </c>
      <c r="O28" s="136" t="str">
        <f t="shared" si="4"/>
        <v>-</v>
      </c>
      <c r="P28" s="127"/>
      <c r="Q28" s="136" t="str">
        <f t="shared" si="5"/>
        <v>-</v>
      </c>
    </row>
    <row r="29" spans="1:17" s="3" customFormat="1" ht="20.399999999999999">
      <c r="A29" s="64">
        <v>904402</v>
      </c>
      <c r="B29" s="5">
        <v>90440</v>
      </c>
      <c r="C29" s="6" t="s">
        <v>27</v>
      </c>
      <c r="D29" s="36">
        <v>60</v>
      </c>
      <c r="E29" s="97">
        <v>12</v>
      </c>
      <c r="F29" s="118">
        <v>5.6750000000000002E-2</v>
      </c>
      <c r="G29" s="119">
        <v>6.3699999999999992</v>
      </c>
      <c r="H29" s="114"/>
      <c r="I29" s="79">
        <f t="shared" si="2"/>
        <v>0</v>
      </c>
      <c r="L29" s="134" t="str">
        <f t="shared" si="0"/>
        <v>-</v>
      </c>
      <c r="M29" s="134" t="str">
        <f t="shared" si="3"/>
        <v>-</v>
      </c>
      <c r="N29" s="135" t="str">
        <f t="shared" si="1"/>
        <v>-</v>
      </c>
      <c r="O29" s="136" t="str">
        <f t="shared" si="4"/>
        <v>-</v>
      </c>
      <c r="P29" s="127"/>
      <c r="Q29" s="136" t="str">
        <f t="shared" si="5"/>
        <v>-</v>
      </c>
    </row>
    <row r="30" spans="1:17" s="3" customFormat="1" ht="20.399999999999999">
      <c r="A30" s="64">
        <v>903702</v>
      </c>
      <c r="B30" s="5">
        <v>90370</v>
      </c>
      <c r="C30" s="6" t="s">
        <v>28</v>
      </c>
      <c r="D30" s="36">
        <v>60</v>
      </c>
      <c r="E30" s="97">
        <v>12</v>
      </c>
      <c r="F30" s="118">
        <v>3.4049999999999997E-2</v>
      </c>
      <c r="G30" s="119">
        <v>6.3699999999999992</v>
      </c>
      <c r="H30" s="114"/>
      <c r="I30" s="79">
        <f t="shared" si="2"/>
        <v>0</v>
      </c>
      <c r="L30" s="134" t="str">
        <f t="shared" si="0"/>
        <v>-</v>
      </c>
      <c r="M30" s="134" t="str">
        <f t="shared" si="3"/>
        <v>-</v>
      </c>
      <c r="N30" s="135" t="str">
        <f t="shared" si="1"/>
        <v>-</v>
      </c>
      <c r="O30" s="136" t="str">
        <f t="shared" si="4"/>
        <v>-</v>
      </c>
      <c r="P30" s="127"/>
      <c r="Q30" s="136" t="str">
        <f t="shared" si="5"/>
        <v>-</v>
      </c>
    </row>
    <row r="31" spans="1:17" s="3" customFormat="1">
      <c r="A31" s="64">
        <v>906000</v>
      </c>
      <c r="B31" s="5">
        <v>90600</v>
      </c>
      <c r="C31" s="11" t="s">
        <v>29</v>
      </c>
      <c r="D31" s="36">
        <v>60</v>
      </c>
      <c r="E31" s="97">
        <v>12</v>
      </c>
      <c r="F31" s="118">
        <v>3.4049999999999997E-2</v>
      </c>
      <c r="G31" s="119">
        <v>7.9379999999999997</v>
      </c>
      <c r="H31" s="114"/>
      <c r="I31" s="79">
        <f t="shared" si="2"/>
        <v>0</v>
      </c>
      <c r="L31" s="134" t="str">
        <f t="shared" si="0"/>
        <v>-</v>
      </c>
      <c r="M31" s="134" t="str">
        <f t="shared" si="3"/>
        <v>-</v>
      </c>
      <c r="N31" s="135" t="str">
        <f t="shared" si="1"/>
        <v>-</v>
      </c>
      <c r="O31" s="136" t="str">
        <f t="shared" si="4"/>
        <v>-</v>
      </c>
      <c r="P31" s="127"/>
      <c r="Q31" s="136" t="str">
        <f t="shared" si="5"/>
        <v>-</v>
      </c>
    </row>
    <row r="32" spans="1:17" s="3" customFormat="1" ht="20.399999999999999">
      <c r="A32" s="64">
        <v>909506</v>
      </c>
      <c r="B32" s="5">
        <v>90950</v>
      </c>
      <c r="C32" s="6" t="s">
        <v>30</v>
      </c>
      <c r="D32" s="36">
        <v>100</v>
      </c>
      <c r="E32" s="97">
        <v>12</v>
      </c>
      <c r="F32" s="118">
        <v>3.4049999999999997E-2</v>
      </c>
      <c r="G32" s="119">
        <v>14.489999999999998</v>
      </c>
      <c r="H32" s="114"/>
      <c r="I32" s="79">
        <f t="shared" si="2"/>
        <v>0</v>
      </c>
      <c r="L32" s="134" t="str">
        <f t="shared" si="0"/>
        <v>-</v>
      </c>
      <c r="M32" s="134" t="str">
        <f t="shared" si="3"/>
        <v>-</v>
      </c>
      <c r="N32" s="135" t="str">
        <f t="shared" si="1"/>
        <v>-</v>
      </c>
      <c r="O32" s="136" t="str">
        <f t="shared" si="4"/>
        <v>-</v>
      </c>
      <c r="P32" s="127"/>
      <c r="Q32" s="136" t="str">
        <f t="shared" si="5"/>
        <v>-</v>
      </c>
    </row>
    <row r="33" spans="1:17" s="3" customFormat="1">
      <c r="A33" s="64">
        <v>902507</v>
      </c>
      <c r="B33" s="5">
        <v>90250</v>
      </c>
      <c r="C33" s="11" t="s">
        <v>31</v>
      </c>
      <c r="D33" s="36">
        <v>60</v>
      </c>
      <c r="E33" s="97">
        <v>12</v>
      </c>
      <c r="F33" s="118">
        <v>3.4049999999999997E-2</v>
      </c>
      <c r="G33" s="119">
        <v>14.308</v>
      </c>
      <c r="H33" s="114"/>
      <c r="I33" s="79">
        <f t="shared" si="2"/>
        <v>0</v>
      </c>
      <c r="L33" s="134" t="str">
        <f t="shared" si="0"/>
        <v>-</v>
      </c>
      <c r="M33" s="134" t="str">
        <f t="shared" si="3"/>
        <v>-</v>
      </c>
      <c r="N33" s="135" t="str">
        <f t="shared" si="1"/>
        <v>-</v>
      </c>
      <c r="O33" s="136" t="str">
        <f t="shared" si="4"/>
        <v>-</v>
      </c>
      <c r="P33" s="127"/>
      <c r="Q33" s="136" t="str">
        <f t="shared" si="5"/>
        <v>-</v>
      </c>
    </row>
    <row r="34" spans="1:17" s="3" customFormat="1">
      <c r="A34" s="64">
        <v>902552</v>
      </c>
      <c r="B34" s="5">
        <v>90255</v>
      </c>
      <c r="C34" s="6" t="s">
        <v>32</v>
      </c>
      <c r="D34" s="36">
        <v>30</v>
      </c>
      <c r="E34" s="97">
        <v>12</v>
      </c>
      <c r="F34" s="118">
        <v>0</v>
      </c>
      <c r="G34" s="119">
        <v>14.308</v>
      </c>
      <c r="H34" s="114"/>
      <c r="I34" s="79">
        <f t="shared" si="2"/>
        <v>0</v>
      </c>
      <c r="L34" s="134" t="str">
        <f t="shared" si="0"/>
        <v>-</v>
      </c>
      <c r="M34" s="134" t="str">
        <f t="shared" si="3"/>
        <v>-</v>
      </c>
      <c r="N34" s="135" t="str">
        <f t="shared" si="1"/>
        <v>-</v>
      </c>
      <c r="O34" s="136" t="str">
        <f t="shared" si="4"/>
        <v>-</v>
      </c>
      <c r="P34" s="127"/>
      <c r="Q34" s="136" t="str">
        <f t="shared" si="5"/>
        <v>-</v>
      </c>
    </row>
    <row r="35" spans="1:17" s="3" customFormat="1">
      <c r="A35" s="65">
        <v>908400</v>
      </c>
      <c r="B35" s="7">
        <v>90840</v>
      </c>
      <c r="C35" s="8" t="s">
        <v>33</v>
      </c>
      <c r="D35" s="37">
        <v>100</v>
      </c>
      <c r="E35" s="97">
        <v>12</v>
      </c>
      <c r="F35" s="118">
        <v>3.4049999999999997E-2</v>
      </c>
      <c r="G35" s="119">
        <v>5.613999999999999</v>
      </c>
      <c r="H35" s="114"/>
      <c r="I35" s="79">
        <f t="shared" si="2"/>
        <v>0</v>
      </c>
      <c r="L35" s="134" t="str">
        <f t="shared" ref="L35:L66" si="6">IFERROR(IF($L$2*F35=0, "-", $L$2*F35), "-")</f>
        <v>-</v>
      </c>
      <c r="M35" s="134" t="str">
        <f t="shared" si="3"/>
        <v>-</v>
      </c>
      <c r="N35" s="135" t="str">
        <f t="shared" ref="N35:N66" si="7">IF(H35&gt;0,H35*F35, "-")</f>
        <v>-</v>
      </c>
      <c r="O35" s="136" t="str">
        <f t="shared" si="4"/>
        <v>-</v>
      </c>
      <c r="P35" s="127"/>
      <c r="Q35" s="136" t="str">
        <f t="shared" si="5"/>
        <v>-</v>
      </c>
    </row>
    <row r="36" spans="1:17" s="3" customFormat="1">
      <c r="A36" s="68">
        <v>921400</v>
      </c>
      <c r="B36" s="17">
        <v>92140</v>
      </c>
      <c r="C36" s="18" t="s">
        <v>34</v>
      </c>
      <c r="D36" s="40">
        <v>100</v>
      </c>
      <c r="E36" s="97">
        <v>12</v>
      </c>
      <c r="F36" s="118">
        <v>0</v>
      </c>
      <c r="G36" s="119">
        <v>15.063999999999998</v>
      </c>
      <c r="H36" s="114"/>
      <c r="I36" s="79">
        <f t="shared" si="2"/>
        <v>0</v>
      </c>
      <c r="L36" s="134" t="str">
        <f t="shared" si="6"/>
        <v>-</v>
      </c>
      <c r="M36" s="134" t="str">
        <f t="shared" si="3"/>
        <v>-</v>
      </c>
      <c r="N36" s="135" t="str">
        <f t="shared" si="7"/>
        <v>-</v>
      </c>
      <c r="O36" s="136" t="str">
        <f t="shared" si="4"/>
        <v>-</v>
      </c>
      <c r="P36" s="127"/>
      <c r="Q36" s="136" t="str">
        <f t="shared" si="5"/>
        <v>-</v>
      </c>
    </row>
    <row r="37" spans="1:17" s="3" customFormat="1">
      <c r="A37" s="69">
        <v>905102</v>
      </c>
      <c r="B37" s="34">
        <v>90510</v>
      </c>
      <c r="C37" s="19" t="s">
        <v>35</v>
      </c>
      <c r="D37" s="41">
        <v>100</v>
      </c>
      <c r="E37" s="97">
        <v>12</v>
      </c>
      <c r="F37" s="118">
        <v>5.6750000000000002E-2</v>
      </c>
      <c r="G37" s="119">
        <v>5.04</v>
      </c>
      <c r="H37" s="114"/>
      <c r="I37" s="79">
        <f t="shared" si="2"/>
        <v>0</v>
      </c>
      <c r="L37" s="134" t="str">
        <f t="shared" si="6"/>
        <v>-</v>
      </c>
      <c r="M37" s="134" t="str">
        <f t="shared" si="3"/>
        <v>-</v>
      </c>
      <c r="N37" s="135" t="str">
        <f t="shared" si="7"/>
        <v>-</v>
      </c>
      <c r="O37" s="136" t="str">
        <f t="shared" si="4"/>
        <v>-</v>
      </c>
      <c r="P37" s="127"/>
      <c r="Q37" s="136" t="str">
        <f t="shared" si="5"/>
        <v>-</v>
      </c>
    </row>
    <row r="38" spans="1:17" s="3" customFormat="1">
      <c r="A38" s="69">
        <v>904907</v>
      </c>
      <c r="B38" s="34">
        <v>90490</v>
      </c>
      <c r="C38" s="19" t="s">
        <v>36</v>
      </c>
      <c r="D38" s="41">
        <v>60</v>
      </c>
      <c r="E38" s="97">
        <v>12</v>
      </c>
      <c r="F38" s="118">
        <v>3.4049999999999997E-2</v>
      </c>
      <c r="G38" s="119">
        <v>15.82</v>
      </c>
      <c r="H38" s="114"/>
      <c r="I38" s="79">
        <f t="shared" si="2"/>
        <v>0</v>
      </c>
      <c r="K38" s="4"/>
      <c r="L38" s="134" t="str">
        <f t="shared" si="6"/>
        <v>-</v>
      </c>
      <c r="M38" s="134" t="str">
        <f t="shared" si="3"/>
        <v>-</v>
      </c>
      <c r="N38" s="135" t="str">
        <f t="shared" si="7"/>
        <v>-</v>
      </c>
      <c r="O38" s="136" t="str">
        <f t="shared" si="4"/>
        <v>-</v>
      </c>
      <c r="P38" s="127"/>
      <c r="Q38" s="136" t="str">
        <f t="shared" si="5"/>
        <v>-</v>
      </c>
    </row>
    <row r="39" spans="1:17" s="3" customFormat="1">
      <c r="A39" s="69">
        <v>903108</v>
      </c>
      <c r="B39" s="34">
        <v>90310</v>
      </c>
      <c r="C39" s="19" t="s">
        <v>37</v>
      </c>
      <c r="D39" s="41">
        <v>100</v>
      </c>
      <c r="E39" s="97">
        <v>12</v>
      </c>
      <c r="F39" s="118">
        <v>3.4049999999999997E-2</v>
      </c>
      <c r="G39" s="119">
        <v>11.844000000000001</v>
      </c>
      <c r="H39" s="114"/>
      <c r="I39" s="79">
        <f t="shared" si="2"/>
        <v>0</v>
      </c>
      <c r="L39" s="134" t="str">
        <f t="shared" si="6"/>
        <v>-</v>
      </c>
      <c r="M39" s="134" t="str">
        <f t="shared" si="3"/>
        <v>-</v>
      </c>
      <c r="N39" s="135" t="str">
        <f t="shared" si="7"/>
        <v>-</v>
      </c>
      <c r="O39" s="136" t="str">
        <f t="shared" si="4"/>
        <v>-</v>
      </c>
      <c r="P39" s="127"/>
      <c r="Q39" s="136" t="str">
        <f t="shared" si="5"/>
        <v>-</v>
      </c>
    </row>
    <row r="40" spans="1:17" s="3" customFormat="1">
      <c r="A40" s="69">
        <v>900909</v>
      </c>
      <c r="B40" s="34">
        <v>90090</v>
      </c>
      <c r="C40" s="19" t="s">
        <v>38</v>
      </c>
      <c r="D40" s="41">
        <v>100</v>
      </c>
      <c r="E40" s="97">
        <v>12</v>
      </c>
      <c r="F40" s="118">
        <v>3.4049999999999997E-2</v>
      </c>
      <c r="G40" s="119">
        <v>7.1819999999999995</v>
      </c>
      <c r="H40" s="114"/>
      <c r="I40" s="79">
        <f t="shared" si="2"/>
        <v>0</v>
      </c>
      <c r="L40" s="134" t="str">
        <f t="shared" si="6"/>
        <v>-</v>
      </c>
      <c r="M40" s="134" t="str">
        <f t="shared" si="3"/>
        <v>-</v>
      </c>
      <c r="N40" s="135" t="str">
        <f t="shared" si="7"/>
        <v>-</v>
      </c>
      <c r="O40" s="136" t="str">
        <f t="shared" si="4"/>
        <v>-</v>
      </c>
      <c r="P40" s="127"/>
      <c r="Q40" s="136" t="str">
        <f t="shared" si="5"/>
        <v>-</v>
      </c>
    </row>
    <row r="41" spans="1:17" s="3" customFormat="1">
      <c r="A41" s="64">
        <v>905300</v>
      </c>
      <c r="B41" s="5">
        <v>90530</v>
      </c>
      <c r="C41" s="19" t="s">
        <v>39</v>
      </c>
      <c r="D41" s="42">
        <v>100</v>
      </c>
      <c r="E41" s="101">
        <v>12</v>
      </c>
      <c r="F41" s="118">
        <v>0</v>
      </c>
      <c r="G41" s="121">
        <v>5.04</v>
      </c>
      <c r="H41" s="114"/>
      <c r="I41" s="80">
        <f t="shared" si="2"/>
        <v>0</v>
      </c>
      <c r="L41" s="134" t="str">
        <f t="shared" si="6"/>
        <v>-</v>
      </c>
      <c r="M41" s="134" t="str">
        <f t="shared" si="3"/>
        <v>-</v>
      </c>
      <c r="N41" s="135" t="str">
        <f t="shared" si="7"/>
        <v>-</v>
      </c>
      <c r="O41" s="136" t="str">
        <f t="shared" si="4"/>
        <v>-</v>
      </c>
      <c r="P41" s="127"/>
      <c r="Q41" s="136" t="str">
        <f t="shared" si="5"/>
        <v>-</v>
      </c>
    </row>
    <row r="42" spans="1:17" s="3" customFormat="1">
      <c r="A42" s="64">
        <v>904501</v>
      </c>
      <c r="B42" s="5">
        <v>90450</v>
      </c>
      <c r="C42" s="19" t="s">
        <v>40</v>
      </c>
      <c r="D42" s="42">
        <v>100</v>
      </c>
      <c r="E42" s="101">
        <v>12</v>
      </c>
      <c r="F42" s="120">
        <v>3.4049999999999997E-2</v>
      </c>
      <c r="G42" s="121">
        <v>4.7879999999999994</v>
      </c>
      <c r="H42" s="114"/>
      <c r="I42" s="80">
        <f t="shared" si="2"/>
        <v>0</v>
      </c>
      <c r="L42" s="134" t="str">
        <f t="shared" si="6"/>
        <v>-</v>
      </c>
      <c r="M42" s="134" t="str">
        <f t="shared" si="3"/>
        <v>-</v>
      </c>
      <c r="N42" s="135" t="str">
        <f t="shared" si="7"/>
        <v>-</v>
      </c>
      <c r="O42" s="136" t="str">
        <f t="shared" si="4"/>
        <v>-</v>
      </c>
      <c r="P42" s="127"/>
      <c r="Q42" s="136" t="str">
        <f t="shared" si="5"/>
        <v>-</v>
      </c>
    </row>
    <row r="43" spans="1:17" s="3" customFormat="1">
      <c r="A43" s="64">
        <v>908509</v>
      </c>
      <c r="B43" s="5">
        <v>90850</v>
      </c>
      <c r="C43" s="19" t="s">
        <v>41</v>
      </c>
      <c r="D43" s="42">
        <v>100</v>
      </c>
      <c r="E43" s="101">
        <v>12</v>
      </c>
      <c r="F43" s="120">
        <v>4.5400000000000003E-2</v>
      </c>
      <c r="G43" s="121">
        <v>5.613999999999999</v>
      </c>
      <c r="H43" s="114"/>
      <c r="I43" s="80">
        <f t="shared" si="2"/>
        <v>0</v>
      </c>
      <c r="L43" s="134" t="str">
        <f t="shared" si="6"/>
        <v>-</v>
      </c>
      <c r="M43" s="134" t="str">
        <f t="shared" si="3"/>
        <v>-</v>
      </c>
      <c r="N43" s="135" t="str">
        <f t="shared" si="7"/>
        <v>-</v>
      </c>
      <c r="O43" s="136" t="str">
        <f t="shared" si="4"/>
        <v>-</v>
      </c>
      <c r="P43" s="127"/>
      <c r="Q43" s="136" t="str">
        <f t="shared" si="5"/>
        <v>-</v>
      </c>
    </row>
    <row r="44" spans="1:17" s="3" customFormat="1">
      <c r="A44" s="64">
        <v>908608</v>
      </c>
      <c r="B44" s="5">
        <v>90860</v>
      </c>
      <c r="C44" s="19" t="s">
        <v>42</v>
      </c>
      <c r="D44" s="42">
        <v>100</v>
      </c>
      <c r="E44" s="101">
        <v>12</v>
      </c>
      <c r="F44" s="120">
        <v>4.5400000000000003E-2</v>
      </c>
      <c r="G44" s="121">
        <v>10.457999999999998</v>
      </c>
      <c r="H44" s="114"/>
      <c r="I44" s="80">
        <f t="shared" si="2"/>
        <v>0</v>
      </c>
      <c r="L44" s="134" t="str">
        <f t="shared" si="6"/>
        <v>-</v>
      </c>
      <c r="M44" s="134" t="str">
        <f t="shared" si="3"/>
        <v>-</v>
      </c>
      <c r="N44" s="135" t="str">
        <f t="shared" si="7"/>
        <v>-</v>
      </c>
      <c r="O44" s="136" t="str">
        <f t="shared" si="4"/>
        <v>-</v>
      </c>
      <c r="P44" s="127"/>
      <c r="Q44" s="136" t="str">
        <f t="shared" si="5"/>
        <v>-</v>
      </c>
    </row>
    <row r="45" spans="1:17" s="3" customFormat="1">
      <c r="A45" s="64">
        <v>908707</v>
      </c>
      <c r="B45" s="5">
        <v>90870</v>
      </c>
      <c r="C45" s="19" t="s">
        <v>43</v>
      </c>
      <c r="D45" s="42">
        <v>100</v>
      </c>
      <c r="E45" s="101">
        <v>12</v>
      </c>
      <c r="F45" s="120">
        <v>4.5400000000000003E-2</v>
      </c>
      <c r="G45" s="121">
        <v>15.82</v>
      </c>
      <c r="H45" s="114"/>
      <c r="I45" s="80">
        <f t="shared" si="2"/>
        <v>0</v>
      </c>
      <c r="L45" s="134" t="str">
        <f t="shared" si="6"/>
        <v>-</v>
      </c>
      <c r="M45" s="134" t="str">
        <f t="shared" si="3"/>
        <v>-</v>
      </c>
      <c r="N45" s="135" t="str">
        <f t="shared" si="7"/>
        <v>-</v>
      </c>
      <c r="O45" s="136" t="str">
        <f t="shared" si="4"/>
        <v>-</v>
      </c>
      <c r="P45" s="127"/>
      <c r="Q45" s="136" t="str">
        <f t="shared" si="5"/>
        <v>-</v>
      </c>
    </row>
    <row r="46" spans="1:17" s="3" customFormat="1">
      <c r="A46" s="64">
        <v>907205</v>
      </c>
      <c r="B46" s="5">
        <v>90720</v>
      </c>
      <c r="C46" s="19" t="s">
        <v>44</v>
      </c>
      <c r="D46" s="42">
        <v>100</v>
      </c>
      <c r="E46" s="101">
        <v>12</v>
      </c>
      <c r="F46" s="120">
        <v>3.4049999999999997E-2</v>
      </c>
      <c r="G46" s="121">
        <v>5.613999999999999</v>
      </c>
      <c r="H46" s="114"/>
      <c r="I46" s="80">
        <f t="shared" si="2"/>
        <v>0</v>
      </c>
      <c r="L46" s="134" t="str">
        <f t="shared" si="6"/>
        <v>-</v>
      </c>
      <c r="M46" s="134" t="str">
        <f t="shared" si="3"/>
        <v>-</v>
      </c>
      <c r="N46" s="135" t="str">
        <f t="shared" si="7"/>
        <v>-</v>
      </c>
      <c r="O46" s="136" t="str">
        <f t="shared" si="4"/>
        <v>-</v>
      </c>
      <c r="P46" s="127"/>
      <c r="Q46" s="136" t="str">
        <f t="shared" si="5"/>
        <v>-</v>
      </c>
    </row>
    <row r="47" spans="1:17" s="3" customFormat="1">
      <c r="A47" s="70">
        <v>904006</v>
      </c>
      <c r="B47" s="20">
        <v>90400</v>
      </c>
      <c r="C47" s="19" t="s">
        <v>45</v>
      </c>
      <c r="D47" s="43">
        <v>90</v>
      </c>
      <c r="E47" s="102">
        <v>12</v>
      </c>
      <c r="F47" s="122">
        <v>5.6750000000000002E-2</v>
      </c>
      <c r="G47" s="123">
        <v>15.82</v>
      </c>
      <c r="H47" s="114"/>
      <c r="I47" s="81">
        <f t="shared" si="2"/>
        <v>0</v>
      </c>
      <c r="L47" s="134" t="str">
        <f t="shared" si="6"/>
        <v>-</v>
      </c>
      <c r="M47" s="134" t="str">
        <f t="shared" si="3"/>
        <v>-</v>
      </c>
      <c r="N47" s="135" t="str">
        <f t="shared" si="7"/>
        <v>-</v>
      </c>
      <c r="O47" s="136" t="str">
        <f t="shared" si="4"/>
        <v>-</v>
      </c>
      <c r="P47" s="127"/>
      <c r="Q47" s="136" t="str">
        <f t="shared" si="5"/>
        <v>-</v>
      </c>
    </row>
    <row r="48" spans="1:17" s="3" customFormat="1">
      <c r="A48" s="70" t="s">
        <v>46</v>
      </c>
      <c r="B48" s="20">
        <v>90405</v>
      </c>
      <c r="C48" s="19" t="s">
        <v>45</v>
      </c>
      <c r="D48" s="43">
        <v>30</v>
      </c>
      <c r="E48" s="102">
        <v>12</v>
      </c>
      <c r="F48" s="118">
        <v>0</v>
      </c>
      <c r="G48" s="123">
        <v>6.3</v>
      </c>
      <c r="H48" s="114"/>
      <c r="I48" s="81">
        <f t="shared" si="2"/>
        <v>0</v>
      </c>
      <c r="L48" s="134" t="str">
        <f t="shared" si="6"/>
        <v>-</v>
      </c>
      <c r="M48" s="134" t="str">
        <f t="shared" si="3"/>
        <v>-</v>
      </c>
      <c r="N48" s="135" t="str">
        <f t="shared" si="7"/>
        <v>-</v>
      </c>
      <c r="O48" s="136" t="str">
        <f t="shared" si="4"/>
        <v>-</v>
      </c>
      <c r="P48" s="127"/>
      <c r="Q48" s="136" t="str">
        <f t="shared" si="5"/>
        <v>-</v>
      </c>
    </row>
    <row r="49" spans="1:17" s="3" customFormat="1">
      <c r="A49" s="70">
        <v>904105</v>
      </c>
      <c r="B49" s="20">
        <v>90410</v>
      </c>
      <c r="C49" s="19" t="s">
        <v>47</v>
      </c>
      <c r="D49" s="43">
        <v>60</v>
      </c>
      <c r="E49" s="102">
        <v>12</v>
      </c>
      <c r="F49" s="122">
        <v>4.5400000000000003E-2</v>
      </c>
      <c r="G49" s="123">
        <v>17.513999999999999</v>
      </c>
      <c r="H49" s="114"/>
      <c r="I49" s="81">
        <f t="shared" si="2"/>
        <v>0</v>
      </c>
      <c r="L49" s="134" t="str">
        <f t="shared" si="6"/>
        <v>-</v>
      </c>
      <c r="M49" s="134" t="str">
        <f t="shared" si="3"/>
        <v>-</v>
      </c>
      <c r="N49" s="135" t="str">
        <f t="shared" si="7"/>
        <v>-</v>
      </c>
      <c r="O49" s="136" t="str">
        <f t="shared" si="4"/>
        <v>-</v>
      </c>
      <c r="P49" s="127"/>
      <c r="Q49" s="136" t="str">
        <f t="shared" si="5"/>
        <v>-</v>
      </c>
    </row>
    <row r="50" spans="1:17" s="3" customFormat="1">
      <c r="A50" s="70">
        <v>904303</v>
      </c>
      <c r="B50" s="20">
        <v>90430</v>
      </c>
      <c r="C50" s="19" t="s">
        <v>48</v>
      </c>
      <c r="D50" s="43">
        <v>60</v>
      </c>
      <c r="E50" s="102">
        <v>12</v>
      </c>
      <c r="F50" s="122">
        <v>4.5400000000000003E-2</v>
      </c>
      <c r="G50" s="123">
        <v>15.82</v>
      </c>
      <c r="H50" s="114"/>
      <c r="I50" s="81">
        <f t="shared" si="2"/>
        <v>0</v>
      </c>
      <c r="L50" s="134" t="str">
        <f t="shared" si="6"/>
        <v>-</v>
      </c>
      <c r="M50" s="134" t="str">
        <f t="shared" si="3"/>
        <v>-</v>
      </c>
      <c r="N50" s="135" t="str">
        <f t="shared" si="7"/>
        <v>-</v>
      </c>
      <c r="O50" s="136" t="str">
        <f t="shared" si="4"/>
        <v>-</v>
      </c>
      <c r="P50" s="127"/>
      <c r="Q50" s="136" t="str">
        <f t="shared" si="5"/>
        <v>-</v>
      </c>
    </row>
    <row r="51" spans="1:17" s="3" customFormat="1">
      <c r="A51" s="70">
        <v>904358</v>
      </c>
      <c r="B51" s="20">
        <v>90435</v>
      </c>
      <c r="C51" s="19" t="s">
        <v>49</v>
      </c>
      <c r="D51" s="43">
        <v>60</v>
      </c>
      <c r="E51" s="102">
        <v>12</v>
      </c>
      <c r="F51" s="118">
        <v>0</v>
      </c>
      <c r="G51" s="123">
        <v>31.625999999999998</v>
      </c>
      <c r="H51" s="114"/>
      <c r="I51" s="81">
        <f t="shared" si="2"/>
        <v>0</v>
      </c>
      <c r="L51" s="134" t="str">
        <f t="shared" si="6"/>
        <v>-</v>
      </c>
      <c r="M51" s="134" t="str">
        <f t="shared" si="3"/>
        <v>-</v>
      </c>
      <c r="N51" s="135" t="str">
        <f t="shared" si="7"/>
        <v>-</v>
      </c>
      <c r="O51" s="136" t="str">
        <f t="shared" si="4"/>
        <v>-</v>
      </c>
      <c r="P51" s="127"/>
      <c r="Q51" s="136" t="str">
        <f t="shared" si="5"/>
        <v>-</v>
      </c>
    </row>
    <row r="52" spans="1:17" s="3" customFormat="1">
      <c r="A52" s="70">
        <v>904556</v>
      </c>
      <c r="B52" s="20">
        <v>90455</v>
      </c>
      <c r="C52" s="19" t="s">
        <v>50</v>
      </c>
      <c r="D52" s="43">
        <v>60</v>
      </c>
      <c r="E52" s="102">
        <v>12</v>
      </c>
      <c r="F52" s="118">
        <v>0</v>
      </c>
      <c r="G52" s="123">
        <v>18.844000000000001</v>
      </c>
      <c r="H52" s="114"/>
      <c r="I52" s="81">
        <f t="shared" si="2"/>
        <v>0</v>
      </c>
      <c r="L52" s="134" t="str">
        <f t="shared" si="6"/>
        <v>-</v>
      </c>
      <c r="M52" s="134" t="str">
        <f t="shared" si="3"/>
        <v>-</v>
      </c>
      <c r="N52" s="135" t="str">
        <f t="shared" si="7"/>
        <v>-</v>
      </c>
      <c r="O52" s="136" t="str">
        <f t="shared" si="4"/>
        <v>-</v>
      </c>
      <c r="P52" s="127"/>
      <c r="Q52" s="136" t="str">
        <f t="shared" si="5"/>
        <v>-</v>
      </c>
    </row>
    <row r="53" spans="1:17" s="3" customFormat="1">
      <c r="A53" s="70">
        <v>904808</v>
      </c>
      <c r="B53" s="20">
        <v>90480</v>
      </c>
      <c r="C53" s="19" t="s">
        <v>51</v>
      </c>
      <c r="D53" s="43">
        <v>30</v>
      </c>
      <c r="E53" s="102">
        <v>12</v>
      </c>
      <c r="F53" s="122">
        <v>3.4049999999999997E-2</v>
      </c>
      <c r="G53" s="123">
        <v>17.513999999999999</v>
      </c>
      <c r="H53" s="114"/>
      <c r="I53" s="81">
        <f t="shared" si="2"/>
        <v>0</v>
      </c>
      <c r="L53" s="134" t="str">
        <f t="shared" si="6"/>
        <v>-</v>
      </c>
      <c r="M53" s="134" t="str">
        <f t="shared" si="3"/>
        <v>-</v>
      </c>
      <c r="N53" s="135" t="str">
        <f t="shared" si="7"/>
        <v>-</v>
      </c>
      <c r="O53" s="136" t="str">
        <f t="shared" si="4"/>
        <v>-</v>
      </c>
      <c r="P53" s="127"/>
      <c r="Q53" s="136" t="str">
        <f t="shared" si="5"/>
        <v>-</v>
      </c>
    </row>
    <row r="54" spans="1:17" s="3" customFormat="1">
      <c r="A54" s="64">
        <v>900602</v>
      </c>
      <c r="B54" s="5">
        <v>90060</v>
      </c>
      <c r="C54" s="19" t="s">
        <v>52</v>
      </c>
      <c r="D54" s="42">
        <v>100</v>
      </c>
      <c r="E54" s="101">
        <v>12</v>
      </c>
      <c r="F54" s="118">
        <v>0</v>
      </c>
      <c r="G54" s="121">
        <v>8.3160000000000007</v>
      </c>
      <c r="H54" s="114"/>
      <c r="I54" s="80">
        <f t="shared" si="2"/>
        <v>0</v>
      </c>
      <c r="L54" s="134" t="str">
        <f t="shared" si="6"/>
        <v>-</v>
      </c>
      <c r="M54" s="134" t="str">
        <f t="shared" si="3"/>
        <v>-</v>
      </c>
      <c r="N54" s="135" t="str">
        <f t="shared" si="7"/>
        <v>-</v>
      </c>
      <c r="O54" s="136" t="str">
        <f t="shared" si="4"/>
        <v>-</v>
      </c>
      <c r="P54" s="127"/>
      <c r="Q54" s="136" t="str">
        <f t="shared" si="5"/>
        <v>-</v>
      </c>
    </row>
    <row r="55" spans="1:17" s="3" customFormat="1">
      <c r="A55" s="70">
        <v>903900</v>
      </c>
      <c r="B55" s="20">
        <v>90390</v>
      </c>
      <c r="C55" s="19" t="s">
        <v>53</v>
      </c>
      <c r="D55" s="43">
        <v>60</v>
      </c>
      <c r="E55" s="102">
        <v>12</v>
      </c>
      <c r="F55" s="118">
        <v>0</v>
      </c>
      <c r="G55" s="123">
        <v>11.844000000000001</v>
      </c>
      <c r="H55" s="114"/>
      <c r="I55" s="81">
        <f t="shared" si="2"/>
        <v>0</v>
      </c>
      <c r="L55" s="134" t="str">
        <f t="shared" si="6"/>
        <v>-</v>
      </c>
      <c r="M55" s="134" t="str">
        <f t="shared" si="3"/>
        <v>-</v>
      </c>
      <c r="N55" s="135" t="str">
        <f t="shared" si="7"/>
        <v>-</v>
      </c>
      <c r="O55" s="136" t="str">
        <f t="shared" si="4"/>
        <v>-</v>
      </c>
      <c r="P55" s="127"/>
      <c r="Q55" s="136" t="str">
        <f t="shared" si="5"/>
        <v>-</v>
      </c>
    </row>
    <row r="56" spans="1:17" s="3" customFormat="1">
      <c r="A56" s="64">
        <v>900503</v>
      </c>
      <c r="B56" s="5">
        <v>90050</v>
      </c>
      <c r="C56" s="19" t="s">
        <v>54</v>
      </c>
      <c r="D56" s="42">
        <v>60</v>
      </c>
      <c r="E56" s="101">
        <v>12</v>
      </c>
      <c r="F56" s="118">
        <v>0</v>
      </c>
      <c r="G56" s="121">
        <v>6.5519999999999996</v>
      </c>
      <c r="H56" s="114"/>
      <c r="I56" s="80">
        <f t="shared" si="2"/>
        <v>0</v>
      </c>
      <c r="L56" s="134" t="str">
        <f t="shared" si="6"/>
        <v>-</v>
      </c>
      <c r="M56" s="134" t="str">
        <f t="shared" si="3"/>
        <v>-</v>
      </c>
      <c r="N56" s="135" t="str">
        <f t="shared" si="7"/>
        <v>-</v>
      </c>
      <c r="O56" s="136" t="str">
        <f t="shared" si="4"/>
        <v>-</v>
      </c>
      <c r="P56" s="127"/>
      <c r="Q56" s="136" t="str">
        <f t="shared" si="5"/>
        <v>-</v>
      </c>
    </row>
    <row r="57" spans="1:17" s="3" customFormat="1">
      <c r="A57" s="65">
        <v>900701</v>
      </c>
      <c r="B57" s="7">
        <v>90070</v>
      </c>
      <c r="C57" s="21" t="s">
        <v>55</v>
      </c>
      <c r="D57" s="44">
        <v>60</v>
      </c>
      <c r="E57" s="103">
        <v>12</v>
      </c>
      <c r="F57" s="118">
        <v>0</v>
      </c>
      <c r="G57" s="121">
        <v>5.613999999999999</v>
      </c>
      <c r="H57" s="114"/>
      <c r="I57" s="80">
        <f t="shared" si="2"/>
        <v>0</v>
      </c>
      <c r="L57" s="134" t="str">
        <f t="shared" si="6"/>
        <v>-</v>
      </c>
      <c r="M57" s="134" t="str">
        <f t="shared" si="3"/>
        <v>-</v>
      </c>
      <c r="N57" s="135" t="str">
        <f t="shared" si="7"/>
        <v>-</v>
      </c>
      <c r="O57" s="136" t="str">
        <f t="shared" si="4"/>
        <v>-</v>
      </c>
      <c r="P57" s="127"/>
      <c r="Q57" s="136" t="str">
        <f t="shared" si="5"/>
        <v>-</v>
      </c>
    </row>
    <row r="58" spans="1:17" s="3" customFormat="1" ht="20.399999999999999">
      <c r="A58" s="68">
        <v>900718</v>
      </c>
      <c r="B58" s="17">
        <v>90071</v>
      </c>
      <c r="C58" s="22" t="s">
        <v>56</v>
      </c>
      <c r="D58" s="45">
        <v>90</v>
      </c>
      <c r="E58" s="104">
        <v>12</v>
      </c>
      <c r="F58" s="118">
        <v>0</v>
      </c>
      <c r="G58" s="121">
        <v>11.284000000000001</v>
      </c>
      <c r="H58" s="114"/>
      <c r="I58" s="80">
        <f t="shared" si="2"/>
        <v>0</v>
      </c>
      <c r="L58" s="134" t="str">
        <f t="shared" si="6"/>
        <v>-</v>
      </c>
      <c r="M58" s="134" t="str">
        <f t="shared" si="3"/>
        <v>-</v>
      </c>
      <c r="N58" s="135" t="str">
        <f t="shared" si="7"/>
        <v>-</v>
      </c>
      <c r="O58" s="136" t="str">
        <f t="shared" si="4"/>
        <v>-</v>
      </c>
      <c r="P58" s="127"/>
      <c r="Q58" s="136" t="str">
        <f t="shared" si="5"/>
        <v>-</v>
      </c>
    </row>
    <row r="59" spans="1:17" s="3" customFormat="1">
      <c r="A59" s="68">
        <v>921201</v>
      </c>
      <c r="B59" s="17">
        <v>92120</v>
      </c>
      <c r="C59" s="22" t="s">
        <v>57</v>
      </c>
      <c r="D59" s="45">
        <v>60</v>
      </c>
      <c r="E59" s="104">
        <v>12</v>
      </c>
      <c r="F59" s="120">
        <v>4.5400000000000003E-2</v>
      </c>
      <c r="G59" s="121">
        <v>15.063999999999998</v>
      </c>
      <c r="H59" s="114"/>
      <c r="I59" s="80">
        <f t="shared" si="2"/>
        <v>0</v>
      </c>
      <c r="L59" s="134" t="str">
        <f t="shared" si="6"/>
        <v>-</v>
      </c>
      <c r="M59" s="134" t="str">
        <f t="shared" si="3"/>
        <v>-</v>
      </c>
      <c r="N59" s="135" t="str">
        <f t="shared" si="7"/>
        <v>-</v>
      </c>
      <c r="O59" s="136" t="str">
        <f t="shared" si="4"/>
        <v>-</v>
      </c>
      <c r="P59" s="127"/>
      <c r="Q59" s="136" t="str">
        <f t="shared" si="5"/>
        <v>-</v>
      </c>
    </row>
    <row r="60" spans="1:17" s="3" customFormat="1" ht="30.6">
      <c r="A60" s="66">
        <v>905607</v>
      </c>
      <c r="B60" s="9">
        <v>90560</v>
      </c>
      <c r="C60" s="23" t="s">
        <v>58</v>
      </c>
      <c r="D60" s="46">
        <v>100</v>
      </c>
      <c r="E60" s="105">
        <v>12</v>
      </c>
      <c r="F60" s="120">
        <v>5.6750000000000002E-2</v>
      </c>
      <c r="G60" s="121">
        <v>7.9379999999999997</v>
      </c>
      <c r="H60" s="114"/>
      <c r="I60" s="80">
        <f t="shared" si="2"/>
        <v>0</v>
      </c>
      <c r="L60" s="134" t="str">
        <f t="shared" si="6"/>
        <v>-</v>
      </c>
      <c r="M60" s="134" t="str">
        <f t="shared" si="3"/>
        <v>-</v>
      </c>
      <c r="N60" s="135" t="str">
        <f t="shared" si="7"/>
        <v>-</v>
      </c>
      <c r="O60" s="136" t="str">
        <f t="shared" si="4"/>
        <v>-</v>
      </c>
      <c r="P60" s="127"/>
      <c r="Q60" s="136" t="str">
        <f t="shared" si="5"/>
        <v>-</v>
      </c>
    </row>
    <row r="61" spans="1:17" s="3" customFormat="1">
      <c r="A61" s="64">
        <v>920808</v>
      </c>
      <c r="B61" s="5">
        <v>92080</v>
      </c>
      <c r="C61" s="11" t="s">
        <v>59</v>
      </c>
      <c r="D61" s="42">
        <v>90</v>
      </c>
      <c r="E61" s="101">
        <v>12</v>
      </c>
      <c r="F61" s="120">
        <v>5.6750000000000002E-2</v>
      </c>
      <c r="G61" s="121">
        <v>7.56</v>
      </c>
      <c r="H61" s="114"/>
      <c r="I61" s="80">
        <f t="shared" si="2"/>
        <v>0</v>
      </c>
      <c r="L61" s="134" t="str">
        <f t="shared" si="6"/>
        <v>-</v>
      </c>
      <c r="M61" s="134" t="str">
        <f t="shared" si="3"/>
        <v>-</v>
      </c>
      <c r="N61" s="135" t="str">
        <f t="shared" si="7"/>
        <v>-</v>
      </c>
      <c r="O61" s="136" t="str">
        <f t="shared" si="4"/>
        <v>-</v>
      </c>
      <c r="P61" s="127"/>
      <c r="Q61" s="136" t="str">
        <f t="shared" si="5"/>
        <v>-</v>
      </c>
    </row>
    <row r="62" spans="1:17" s="3" customFormat="1">
      <c r="A62" s="64">
        <v>910601</v>
      </c>
      <c r="B62" s="5">
        <v>91060</v>
      </c>
      <c r="C62" s="11" t="s">
        <v>60</v>
      </c>
      <c r="D62" s="42">
        <v>60</v>
      </c>
      <c r="E62" s="101">
        <v>12</v>
      </c>
      <c r="F62" s="118">
        <v>0</v>
      </c>
      <c r="G62" s="121">
        <v>18.844000000000001</v>
      </c>
      <c r="H62" s="114"/>
      <c r="I62" s="80">
        <f t="shared" si="2"/>
        <v>0</v>
      </c>
      <c r="L62" s="134" t="str">
        <f t="shared" si="6"/>
        <v>-</v>
      </c>
      <c r="M62" s="134" t="str">
        <f t="shared" si="3"/>
        <v>-</v>
      </c>
      <c r="N62" s="135" t="str">
        <f t="shared" si="7"/>
        <v>-</v>
      </c>
      <c r="O62" s="136" t="str">
        <f t="shared" si="4"/>
        <v>-</v>
      </c>
      <c r="P62" s="127"/>
      <c r="Q62" s="136" t="str">
        <f t="shared" si="5"/>
        <v>-</v>
      </c>
    </row>
    <row r="63" spans="1:17" s="3" customFormat="1">
      <c r="A63" s="64">
        <v>909902</v>
      </c>
      <c r="B63" s="5">
        <v>90990</v>
      </c>
      <c r="C63" s="11" t="s">
        <v>61</v>
      </c>
      <c r="D63" s="42">
        <v>60</v>
      </c>
      <c r="E63" s="101">
        <v>12</v>
      </c>
      <c r="F63" s="120">
        <v>3.4049999999999997E-2</v>
      </c>
      <c r="G63" s="121">
        <v>15.063999999999998</v>
      </c>
      <c r="H63" s="114"/>
      <c r="I63" s="80">
        <f t="shared" si="2"/>
        <v>0</v>
      </c>
      <c r="L63" s="134" t="str">
        <f t="shared" si="6"/>
        <v>-</v>
      </c>
      <c r="M63" s="134" t="str">
        <f t="shared" si="3"/>
        <v>-</v>
      </c>
      <c r="N63" s="135" t="str">
        <f t="shared" si="7"/>
        <v>-</v>
      </c>
      <c r="O63" s="136" t="str">
        <f t="shared" si="4"/>
        <v>-</v>
      </c>
      <c r="P63" s="127"/>
      <c r="Q63" s="136" t="str">
        <f t="shared" si="5"/>
        <v>-</v>
      </c>
    </row>
    <row r="64" spans="1:17" s="3" customFormat="1">
      <c r="A64" s="64">
        <v>900206</v>
      </c>
      <c r="B64" s="5">
        <v>90020</v>
      </c>
      <c r="C64" s="11" t="s">
        <v>62</v>
      </c>
      <c r="D64" s="42">
        <v>60</v>
      </c>
      <c r="E64" s="101">
        <v>12</v>
      </c>
      <c r="F64" s="120">
        <v>3.4049999999999997E-2</v>
      </c>
      <c r="G64" s="121">
        <v>8.3160000000000007</v>
      </c>
      <c r="H64" s="114"/>
      <c r="I64" s="80">
        <f t="shared" si="2"/>
        <v>0</v>
      </c>
      <c r="L64" s="134" t="str">
        <f t="shared" si="6"/>
        <v>-</v>
      </c>
      <c r="M64" s="134" t="str">
        <f t="shared" si="3"/>
        <v>-</v>
      </c>
      <c r="N64" s="135" t="str">
        <f t="shared" si="7"/>
        <v>-</v>
      </c>
      <c r="O64" s="136" t="str">
        <f t="shared" si="4"/>
        <v>-</v>
      </c>
      <c r="P64" s="127"/>
      <c r="Q64" s="136" t="str">
        <f t="shared" si="5"/>
        <v>-</v>
      </c>
    </row>
    <row r="65" spans="1:17" s="3" customFormat="1">
      <c r="A65" s="64">
        <v>900213</v>
      </c>
      <c r="B65" s="5">
        <v>90021</v>
      </c>
      <c r="C65" s="11" t="s">
        <v>62</v>
      </c>
      <c r="D65" s="42">
        <v>30</v>
      </c>
      <c r="E65" s="101">
        <v>12</v>
      </c>
      <c r="F65" s="118">
        <v>0</v>
      </c>
      <c r="G65" s="121">
        <v>5.04</v>
      </c>
      <c r="H65" s="114"/>
      <c r="I65" s="80">
        <f t="shared" si="2"/>
        <v>0</v>
      </c>
      <c r="L65" s="134" t="str">
        <f t="shared" si="6"/>
        <v>-</v>
      </c>
      <c r="M65" s="134" t="str">
        <f t="shared" si="3"/>
        <v>-</v>
      </c>
      <c r="N65" s="135" t="str">
        <f t="shared" si="7"/>
        <v>-</v>
      </c>
      <c r="O65" s="136" t="str">
        <f t="shared" si="4"/>
        <v>-</v>
      </c>
      <c r="P65" s="127"/>
      <c r="Q65" s="136" t="str">
        <f t="shared" si="5"/>
        <v>-</v>
      </c>
    </row>
    <row r="66" spans="1:17" s="3" customFormat="1">
      <c r="A66" s="64">
        <v>900220</v>
      </c>
      <c r="B66" s="5">
        <v>90022</v>
      </c>
      <c r="C66" s="11" t="s">
        <v>62</v>
      </c>
      <c r="D66" s="42">
        <v>200</v>
      </c>
      <c r="E66" s="101">
        <v>12</v>
      </c>
      <c r="F66" s="118">
        <v>0</v>
      </c>
      <c r="G66" s="121">
        <v>18.017999999999997</v>
      </c>
      <c r="H66" s="114"/>
      <c r="I66" s="80">
        <f t="shared" si="2"/>
        <v>0</v>
      </c>
      <c r="L66" s="134" t="str">
        <f t="shared" si="6"/>
        <v>-</v>
      </c>
      <c r="M66" s="134" t="str">
        <f t="shared" si="3"/>
        <v>-</v>
      </c>
      <c r="N66" s="135" t="str">
        <f t="shared" si="7"/>
        <v>-</v>
      </c>
      <c r="O66" s="136" t="str">
        <f t="shared" si="4"/>
        <v>-</v>
      </c>
      <c r="P66" s="127"/>
      <c r="Q66" s="136" t="str">
        <f t="shared" si="5"/>
        <v>-</v>
      </c>
    </row>
    <row r="67" spans="1:17" s="3" customFormat="1">
      <c r="A67" s="64">
        <v>906307</v>
      </c>
      <c r="B67" s="5">
        <v>90630</v>
      </c>
      <c r="C67" s="11" t="s">
        <v>63</v>
      </c>
      <c r="D67" s="42">
        <v>30</v>
      </c>
      <c r="E67" s="101">
        <v>12</v>
      </c>
      <c r="F67" s="118">
        <v>0</v>
      </c>
      <c r="G67" s="121">
        <v>6.6219999999999999</v>
      </c>
      <c r="H67" s="114"/>
      <c r="I67" s="80">
        <f t="shared" si="2"/>
        <v>0</v>
      </c>
      <c r="L67" s="134" t="str">
        <f t="shared" ref="L67:L98" si="8">IFERROR(IF($L$2*F67=0, "-", $L$2*F67), "-")</f>
        <v>-</v>
      </c>
      <c r="M67" s="134" t="str">
        <f t="shared" si="3"/>
        <v>-</v>
      </c>
      <c r="N67" s="135" t="str">
        <f t="shared" ref="N67:N98" si="9">IF(H67&gt;0,H67*F67, "-")</f>
        <v>-</v>
      </c>
      <c r="O67" s="136" t="str">
        <f t="shared" si="4"/>
        <v>-</v>
      </c>
      <c r="P67" s="127"/>
      <c r="Q67" s="136" t="str">
        <f t="shared" si="5"/>
        <v>-</v>
      </c>
    </row>
    <row r="68" spans="1:17" s="3" customFormat="1">
      <c r="A68" s="64">
        <v>906352</v>
      </c>
      <c r="B68" s="5">
        <v>90635</v>
      </c>
      <c r="C68" s="11" t="s">
        <v>63</v>
      </c>
      <c r="D68" s="42">
        <v>100</v>
      </c>
      <c r="E68" s="101">
        <v>12</v>
      </c>
      <c r="F68" s="120">
        <v>4.5400000000000003E-2</v>
      </c>
      <c r="G68" s="121">
        <v>15.246</v>
      </c>
      <c r="H68" s="114"/>
      <c r="I68" s="80">
        <f t="shared" ref="I68:I107" si="10">H68*G68</f>
        <v>0</v>
      </c>
      <c r="L68" s="134" t="str">
        <f t="shared" si="8"/>
        <v>-</v>
      </c>
      <c r="M68" s="134" t="str">
        <f t="shared" ref="M68:M107" si="11">IFERROR(IF(L68&gt;0,G68+L68,"-"),"-")</f>
        <v>-</v>
      </c>
      <c r="N68" s="135" t="str">
        <f t="shared" si="9"/>
        <v>-</v>
      </c>
      <c r="O68" s="136" t="str">
        <f t="shared" ref="O68:O107" si="12">IFERROR(IF($L$2&gt;0, $L$2*N68, "-"), "-")</f>
        <v>-</v>
      </c>
      <c r="P68" s="127"/>
      <c r="Q68" s="136" t="str">
        <f t="shared" ref="Q68:Q107" si="13">IFERROR(IF(O68+I68=0, "-", IF(O68&gt;0, O68+I68, "-")), "-")</f>
        <v>-</v>
      </c>
    </row>
    <row r="69" spans="1:17" s="3" customFormat="1">
      <c r="A69" s="64">
        <v>905508</v>
      </c>
      <c r="B69" s="5">
        <v>90550</v>
      </c>
      <c r="C69" s="11" t="s">
        <v>64</v>
      </c>
      <c r="D69" s="42">
        <v>50</v>
      </c>
      <c r="E69" s="101">
        <v>12</v>
      </c>
      <c r="F69" s="118">
        <v>0</v>
      </c>
      <c r="G69" s="121">
        <v>9.2679999999999989</v>
      </c>
      <c r="H69" s="114"/>
      <c r="I69" s="80">
        <f t="shared" si="10"/>
        <v>0</v>
      </c>
      <c r="L69" s="134" t="str">
        <f t="shared" si="8"/>
        <v>-</v>
      </c>
      <c r="M69" s="134" t="str">
        <f t="shared" si="11"/>
        <v>-</v>
      </c>
      <c r="N69" s="135" t="str">
        <f t="shared" si="9"/>
        <v>-</v>
      </c>
      <c r="O69" s="136" t="str">
        <f t="shared" si="12"/>
        <v>-</v>
      </c>
      <c r="P69" s="127"/>
      <c r="Q69" s="136" t="str">
        <f t="shared" si="13"/>
        <v>-</v>
      </c>
    </row>
    <row r="70" spans="1:17" s="3" customFormat="1">
      <c r="A70" s="64">
        <v>909001</v>
      </c>
      <c r="B70" s="5">
        <v>90900</v>
      </c>
      <c r="C70" s="11" t="s">
        <v>65</v>
      </c>
      <c r="D70" s="42">
        <v>100</v>
      </c>
      <c r="E70" s="101">
        <v>12</v>
      </c>
      <c r="F70" s="120">
        <v>5.6750000000000002E-2</v>
      </c>
      <c r="G70" s="121">
        <v>10.331999999999999</v>
      </c>
      <c r="H70" s="114"/>
      <c r="I70" s="80">
        <f t="shared" si="10"/>
        <v>0</v>
      </c>
      <c r="L70" s="134" t="str">
        <f t="shared" si="8"/>
        <v>-</v>
      </c>
      <c r="M70" s="134" t="str">
        <f t="shared" si="11"/>
        <v>-</v>
      </c>
      <c r="N70" s="135" t="str">
        <f t="shared" si="9"/>
        <v>-</v>
      </c>
      <c r="O70" s="136" t="str">
        <f t="shared" si="12"/>
        <v>-</v>
      </c>
      <c r="P70" s="127"/>
      <c r="Q70" s="136" t="str">
        <f t="shared" si="13"/>
        <v>-</v>
      </c>
    </row>
    <row r="71" spans="1:17" s="3" customFormat="1">
      <c r="A71" s="64">
        <v>907304</v>
      </c>
      <c r="B71" s="5">
        <v>90730</v>
      </c>
      <c r="C71" s="11" t="s">
        <v>66</v>
      </c>
      <c r="D71" s="42">
        <v>100</v>
      </c>
      <c r="E71" s="101">
        <v>12</v>
      </c>
      <c r="F71" s="120">
        <v>3.4049999999999997E-2</v>
      </c>
      <c r="G71" s="121">
        <v>5.1659999999999995</v>
      </c>
      <c r="H71" s="114"/>
      <c r="I71" s="80">
        <f t="shared" si="10"/>
        <v>0</v>
      </c>
      <c r="L71" s="134" t="str">
        <f t="shared" si="8"/>
        <v>-</v>
      </c>
      <c r="M71" s="134" t="str">
        <f t="shared" si="11"/>
        <v>-</v>
      </c>
      <c r="N71" s="135" t="str">
        <f t="shared" si="9"/>
        <v>-</v>
      </c>
      <c r="O71" s="136" t="str">
        <f t="shared" si="12"/>
        <v>-</v>
      </c>
      <c r="P71" s="127"/>
      <c r="Q71" s="136" t="str">
        <f t="shared" si="13"/>
        <v>-</v>
      </c>
    </row>
    <row r="72" spans="1:17" s="3" customFormat="1">
      <c r="A72" s="64">
        <v>900008</v>
      </c>
      <c r="B72" s="5">
        <v>90000</v>
      </c>
      <c r="C72" s="11" t="s">
        <v>67</v>
      </c>
      <c r="D72" s="42">
        <v>60</v>
      </c>
      <c r="E72" s="101">
        <v>12</v>
      </c>
      <c r="F72" s="120">
        <v>3.4049999999999997E-2</v>
      </c>
      <c r="G72" s="121">
        <v>5.613999999999999</v>
      </c>
      <c r="H72" s="114"/>
      <c r="I72" s="80">
        <f t="shared" si="10"/>
        <v>0</v>
      </c>
      <c r="L72" s="134" t="str">
        <f t="shared" si="8"/>
        <v>-</v>
      </c>
      <c r="M72" s="134" t="str">
        <f t="shared" si="11"/>
        <v>-</v>
      </c>
      <c r="N72" s="135" t="str">
        <f t="shared" si="9"/>
        <v>-</v>
      </c>
      <c r="O72" s="136" t="str">
        <f t="shared" si="12"/>
        <v>-</v>
      </c>
      <c r="P72" s="127"/>
      <c r="Q72" s="136" t="str">
        <f t="shared" si="13"/>
        <v>-</v>
      </c>
    </row>
    <row r="73" spans="1:17" s="3" customFormat="1">
      <c r="A73" s="64">
        <v>907403</v>
      </c>
      <c r="B73" s="5">
        <v>90740</v>
      </c>
      <c r="C73" s="11" t="s">
        <v>68</v>
      </c>
      <c r="D73" s="42">
        <v>60</v>
      </c>
      <c r="E73" s="101">
        <v>12</v>
      </c>
      <c r="F73" s="120">
        <v>4.5400000000000003E-2</v>
      </c>
      <c r="G73" s="121">
        <v>7.9379999999999997</v>
      </c>
      <c r="H73" s="114"/>
      <c r="I73" s="80">
        <f t="shared" si="10"/>
        <v>0</v>
      </c>
      <c r="L73" s="134" t="str">
        <f t="shared" si="8"/>
        <v>-</v>
      </c>
      <c r="M73" s="134" t="str">
        <f t="shared" si="11"/>
        <v>-</v>
      </c>
      <c r="N73" s="135" t="str">
        <f t="shared" si="9"/>
        <v>-</v>
      </c>
      <c r="O73" s="136" t="str">
        <f t="shared" si="12"/>
        <v>-</v>
      </c>
      <c r="P73" s="127"/>
      <c r="Q73" s="136" t="str">
        <f t="shared" si="13"/>
        <v>-</v>
      </c>
    </row>
    <row r="74" spans="1:17" s="3" customFormat="1">
      <c r="A74" s="64">
        <v>902408</v>
      </c>
      <c r="B74" s="5">
        <v>90240</v>
      </c>
      <c r="C74" s="11" t="s">
        <v>69</v>
      </c>
      <c r="D74" s="42">
        <v>100</v>
      </c>
      <c r="E74" s="101">
        <v>12</v>
      </c>
      <c r="F74" s="120">
        <v>3.4049999999999997E-2</v>
      </c>
      <c r="G74" s="121">
        <v>15.82</v>
      </c>
      <c r="H74" s="114"/>
      <c r="I74" s="80">
        <f t="shared" si="10"/>
        <v>0</v>
      </c>
      <c r="L74" s="134" t="str">
        <f t="shared" si="8"/>
        <v>-</v>
      </c>
      <c r="M74" s="134" t="str">
        <f t="shared" si="11"/>
        <v>-</v>
      </c>
      <c r="N74" s="135" t="str">
        <f t="shared" si="9"/>
        <v>-</v>
      </c>
      <c r="O74" s="136" t="str">
        <f t="shared" si="12"/>
        <v>-</v>
      </c>
      <c r="P74" s="127"/>
      <c r="Q74" s="136" t="str">
        <f t="shared" si="13"/>
        <v>-</v>
      </c>
    </row>
    <row r="75" spans="1:17" s="3" customFormat="1">
      <c r="A75" s="64">
        <v>921003</v>
      </c>
      <c r="B75" s="5">
        <v>92100</v>
      </c>
      <c r="C75" s="11" t="s">
        <v>70</v>
      </c>
      <c r="D75" s="42">
        <v>60</v>
      </c>
      <c r="E75" s="101">
        <v>12</v>
      </c>
      <c r="F75" s="120">
        <v>3.4049999999999997E-2</v>
      </c>
      <c r="G75" s="121">
        <v>15.063999999999998</v>
      </c>
      <c r="H75" s="114"/>
      <c r="I75" s="80">
        <f t="shared" si="10"/>
        <v>0</v>
      </c>
      <c r="L75" s="134" t="str">
        <f t="shared" si="8"/>
        <v>-</v>
      </c>
      <c r="M75" s="134" t="str">
        <f t="shared" si="11"/>
        <v>-</v>
      </c>
      <c r="N75" s="135" t="str">
        <f t="shared" si="9"/>
        <v>-</v>
      </c>
      <c r="O75" s="136" t="str">
        <f t="shared" si="12"/>
        <v>-</v>
      </c>
      <c r="P75" s="127"/>
      <c r="Q75" s="136" t="str">
        <f t="shared" si="13"/>
        <v>-</v>
      </c>
    </row>
    <row r="76" spans="1:17" s="3" customFormat="1">
      <c r="A76" s="64">
        <v>921102</v>
      </c>
      <c r="B76" s="5">
        <v>92110</v>
      </c>
      <c r="C76" s="11" t="s">
        <v>71</v>
      </c>
      <c r="D76" s="42">
        <v>90</v>
      </c>
      <c r="E76" s="101">
        <v>12</v>
      </c>
      <c r="F76" s="120">
        <v>5.6750000000000002E-2</v>
      </c>
      <c r="G76" s="121">
        <v>15.063999999999998</v>
      </c>
      <c r="H76" s="114"/>
      <c r="I76" s="80">
        <f t="shared" si="10"/>
        <v>0</v>
      </c>
      <c r="L76" s="134" t="str">
        <f t="shared" si="8"/>
        <v>-</v>
      </c>
      <c r="M76" s="134" t="str">
        <f t="shared" si="11"/>
        <v>-</v>
      </c>
      <c r="N76" s="135" t="str">
        <f t="shared" si="9"/>
        <v>-</v>
      </c>
      <c r="O76" s="136" t="str">
        <f t="shared" si="12"/>
        <v>-</v>
      </c>
      <c r="P76" s="127"/>
      <c r="Q76" s="136" t="str">
        <f t="shared" si="13"/>
        <v>-</v>
      </c>
    </row>
    <row r="77" spans="1:17" s="3" customFormat="1">
      <c r="A77" s="64">
        <v>903658</v>
      </c>
      <c r="B77" s="5">
        <v>90365</v>
      </c>
      <c r="C77" s="11" t="s">
        <v>72</v>
      </c>
      <c r="D77" s="42">
        <v>60</v>
      </c>
      <c r="E77" s="101">
        <v>12</v>
      </c>
      <c r="F77" s="120">
        <v>4.5400000000000003E-2</v>
      </c>
      <c r="G77" s="121">
        <v>15.82</v>
      </c>
      <c r="H77" s="114"/>
      <c r="I77" s="80">
        <f t="shared" si="10"/>
        <v>0</v>
      </c>
      <c r="L77" s="134" t="str">
        <f t="shared" si="8"/>
        <v>-</v>
      </c>
      <c r="M77" s="134" t="str">
        <f t="shared" si="11"/>
        <v>-</v>
      </c>
      <c r="N77" s="135" t="str">
        <f t="shared" si="9"/>
        <v>-</v>
      </c>
      <c r="O77" s="136" t="str">
        <f t="shared" si="12"/>
        <v>-</v>
      </c>
      <c r="P77" s="127"/>
      <c r="Q77" s="136" t="str">
        <f t="shared" si="13"/>
        <v>-</v>
      </c>
    </row>
    <row r="78" spans="1:17" s="3" customFormat="1">
      <c r="A78" s="71">
        <v>903603</v>
      </c>
      <c r="B78" s="24">
        <v>90360</v>
      </c>
      <c r="C78" s="8" t="s">
        <v>73</v>
      </c>
      <c r="D78" s="47">
        <v>90</v>
      </c>
      <c r="E78" s="106">
        <v>12</v>
      </c>
      <c r="F78" s="118">
        <v>0</v>
      </c>
      <c r="G78" s="123">
        <v>15.82</v>
      </c>
      <c r="H78" s="114"/>
      <c r="I78" s="81">
        <f t="shared" si="10"/>
        <v>0</v>
      </c>
      <c r="L78" s="134" t="str">
        <f t="shared" si="8"/>
        <v>-</v>
      </c>
      <c r="M78" s="134" t="str">
        <f t="shared" si="11"/>
        <v>-</v>
      </c>
      <c r="N78" s="135" t="str">
        <f t="shared" si="9"/>
        <v>-</v>
      </c>
      <c r="O78" s="136" t="str">
        <f t="shared" si="12"/>
        <v>-</v>
      </c>
      <c r="P78" s="127"/>
      <c r="Q78" s="136" t="str">
        <f t="shared" si="13"/>
        <v>-</v>
      </c>
    </row>
    <row r="79" spans="1:17" s="3" customFormat="1">
      <c r="A79" s="72">
        <v>900459</v>
      </c>
      <c r="B79" s="25">
        <v>90045</v>
      </c>
      <c r="C79" s="26" t="s">
        <v>74</v>
      </c>
      <c r="D79" s="48">
        <v>100</v>
      </c>
      <c r="E79" s="107">
        <v>12</v>
      </c>
      <c r="F79" s="118">
        <v>0</v>
      </c>
      <c r="G79" s="123">
        <v>16.632000000000001</v>
      </c>
      <c r="H79" s="114"/>
      <c r="I79" s="81">
        <f t="shared" si="10"/>
        <v>0</v>
      </c>
      <c r="L79" s="134" t="str">
        <f t="shared" si="8"/>
        <v>-</v>
      </c>
      <c r="M79" s="134" t="str">
        <f t="shared" si="11"/>
        <v>-</v>
      </c>
      <c r="N79" s="135" t="str">
        <f t="shared" si="9"/>
        <v>-</v>
      </c>
      <c r="O79" s="136" t="str">
        <f t="shared" si="12"/>
        <v>-</v>
      </c>
      <c r="P79" s="127"/>
      <c r="Q79" s="136" t="str">
        <f t="shared" si="13"/>
        <v>-</v>
      </c>
    </row>
    <row r="80" spans="1:17" s="3" customFormat="1">
      <c r="A80" s="64">
        <v>900657</v>
      </c>
      <c r="B80" s="5">
        <v>90065</v>
      </c>
      <c r="C80" s="19" t="s">
        <v>75</v>
      </c>
      <c r="D80" s="49">
        <v>90</v>
      </c>
      <c r="E80" s="101">
        <v>12</v>
      </c>
      <c r="F80" s="120">
        <v>5.6750000000000002E-2</v>
      </c>
      <c r="G80" s="121">
        <v>11.284000000000001</v>
      </c>
      <c r="H80" s="114"/>
      <c r="I80" s="80">
        <f t="shared" si="10"/>
        <v>0</v>
      </c>
      <c r="L80" s="134" t="str">
        <f t="shared" si="8"/>
        <v>-</v>
      </c>
      <c r="M80" s="134" t="str">
        <f t="shared" si="11"/>
        <v>-</v>
      </c>
      <c r="N80" s="135" t="str">
        <f t="shared" si="9"/>
        <v>-</v>
      </c>
      <c r="O80" s="136" t="str">
        <f t="shared" si="12"/>
        <v>-</v>
      </c>
      <c r="P80" s="127"/>
      <c r="Q80" s="136" t="str">
        <f t="shared" si="13"/>
        <v>-</v>
      </c>
    </row>
    <row r="81" spans="1:17" s="3" customFormat="1">
      <c r="A81" s="64">
        <v>901456</v>
      </c>
      <c r="B81" s="5">
        <v>90145</v>
      </c>
      <c r="C81" s="27" t="s">
        <v>76</v>
      </c>
      <c r="D81" s="49">
        <v>90</v>
      </c>
      <c r="E81" s="101">
        <v>12</v>
      </c>
      <c r="F81" s="120">
        <v>5.6750000000000002E-2</v>
      </c>
      <c r="G81" s="121">
        <v>11.284000000000001</v>
      </c>
      <c r="H81" s="114"/>
      <c r="I81" s="80">
        <f t="shared" si="10"/>
        <v>0</v>
      </c>
      <c r="L81" s="134" t="str">
        <f t="shared" si="8"/>
        <v>-</v>
      </c>
      <c r="M81" s="134" t="str">
        <f t="shared" si="11"/>
        <v>-</v>
      </c>
      <c r="N81" s="135" t="str">
        <f t="shared" si="9"/>
        <v>-</v>
      </c>
      <c r="O81" s="136" t="str">
        <f t="shared" si="12"/>
        <v>-</v>
      </c>
      <c r="P81" s="127"/>
      <c r="Q81" s="136" t="str">
        <f t="shared" si="13"/>
        <v>-</v>
      </c>
    </row>
    <row r="82" spans="1:17" s="3" customFormat="1">
      <c r="A82" s="64">
        <v>900954</v>
      </c>
      <c r="B82" s="5">
        <v>90095</v>
      </c>
      <c r="C82" s="27" t="s">
        <v>77</v>
      </c>
      <c r="D82" s="49">
        <v>60</v>
      </c>
      <c r="E82" s="101">
        <v>12</v>
      </c>
      <c r="F82" s="120">
        <v>5.6750000000000002E-2</v>
      </c>
      <c r="G82" s="121">
        <v>11.284000000000001</v>
      </c>
      <c r="H82" s="114"/>
      <c r="I82" s="80">
        <f t="shared" si="10"/>
        <v>0</v>
      </c>
      <c r="L82" s="134" t="str">
        <f t="shared" si="8"/>
        <v>-</v>
      </c>
      <c r="M82" s="134" t="str">
        <f t="shared" si="11"/>
        <v>-</v>
      </c>
      <c r="N82" s="135" t="str">
        <f t="shared" si="9"/>
        <v>-</v>
      </c>
      <c r="O82" s="136" t="str">
        <f t="shared" si="12"/>
        <v>-</v>
      </c>
      <c r="P82" s="127"/>
      <c r="Q82" s="136" t="str">
        <f t="shared" si="13"/>
        <v>-</v>
      </c>
    </row>
    <row r="83" spans="1:17" s="3" customFormat="1">
      <c r="A83" s="64">
        <v>900152</v>
      </c>
      <c r="B83" s="5">
        <v>90015</v>
      </c>
      <c r="C83" s="19" t="s">
        <v>78</v>
      </c>
      <c r="D83" s="49">
        <v>90</v>
      </c>
      <c r="E83" s="101">
        <v>12</v>
      </c>
      <c r="F83" s="120">
        <v>4.5400000000000003E-2</v>
      </c>
      <c r="G83" s="121">
        <v>11.284000000000001</v>
      </c>
      <c r="H83" s="114"/>
      <c r="I83" s="80">
        <f t="shared" si="10"/>
        <v>0</v>
      </c>
      <c r="L83" s="134" t="str">
        <f t="shared" si="8"/>
        <v>-</v>
      </c>
      <c r="M83" s="134" t="str">
        <f t="shared" si="11"/>
        <v>-</v>
      </c>
      <c r="N83" s="135" t="str">
        <f t="shared" si="9"/>
        <v>-</v>
      </c>
      <c r="O83" s="136" t="str">
        <f t="shared" si="12"/>
        <v>-</v>
      </c>
      <c r="P83" s="127"/>
      <c r="Q83" s="136" t="str">
        <f t="shared" si="13"/>
        <v>-</v>
      </c>
    </row>
    <row r="84" spans="1:17" s="3" customFormat="1">
      <c r="A84" s="64">
        <v>902156</v>
      </c>
      <c r="B84" s="5">
        <v>90215</v>
      </c>
      <c r="C84" s="27" t="s">
        <v>79</v>
      </c>
      <c r="D84" s="49">
        <v>60</v>
      </c>
      <c r="E84" s="101">
        <v>12</v>
      </c>
      <c r="F84" s="118">
        <v>0</v>
      </c>
      <c r="G84" s="121">
        <v>11.284000000000001</v>
      </c>
      <c r="H84" s="114"/>
      <c r="I84" s="80">
        <f t="shared" si="10"/>
        <v>0</v>
      </c>
      <c r="L84" s="134" t="str">
        <f t="shared" si="8"/>
        <v>-</v>
      </c>
      <c r="M84" s="134" t="str">
        <f t="shared" si="11"/>
        <v>-</v>
      </c>
      <c r="N84" s="135" t="str">
        <f t="shared" si="9"/>
        <v>-</v>
      </c>
      <c r="O84" s="136" t="str">
        <f t="shared" si="12"/>
        <v>-</v>
      </c>
      <c r="P84" s="127"/>
      <c r="Q84" s="136" t="str">
        <f t="shared" si="13"/>
        <v>-</v>
      </c>
    </row>
    <row r="85" spans="1:17" s="3" customFormat="1">
      <c r="A85" s="64">
        <v>902002</v>
      </c>
      <c r="B85" s="5">
        <v>90200</v>
      </c>
      <c r="C85" s="19" t="s">
        <v>80</v>
      </c>
      <c r="D85" s="49">
        <v>100</v>
      </c>
      <c r="E85" s="101">
        <v>12</v>
      </c>
      <c r="F85" s="118">
        <v>0</v>
      </c>
      <c r="G85" s="121">
        <v>3.9759999999999995</v>
      </c>
      <c r="H85" s="114"/>
      <c r="I85" s="80">
        <f t="shared" si="10"/>
        <v>0</v>
      </c>
      <c r="L85" s="134" t="str">
        <f t="shared" si="8"/>
        <v>-</v>
      </c>
      <c r="M85" s="134" t="str">
        <f t="shared" si="11"/>
        <v>-</v>
      </c>
      <c r="N85" s="135" t="str">
        <f t="shared" si="9"/>
        <v>-</v>
      </c>
      <c r="O85" s="136" t="str">
        <f t="shared" si="12"/>
        <v>-</v>
      </c>
      <c r="P85" s="127"/>
      <c r="Q85" s="136" t="str">
        <f t="shared" si="13"/>
        <v>-</v>
      </c>
    </row>
    <row r="86" spans="1:17" s="3" customFormat="1">
      <c r="A86" s="64">
        <v>910502</v>
      </c>
      <c r="B86" s="5">
        <v>91050</v>
      </c>
      <c r="C86" s="19" t="s">
        <v>81</v>
      </c>
      <c r="D86" s="49">
        <v>100</v>
      </c>
      <c r="E86" s="101">
        <v>12</v>
      </c>
      <c r="F86" s="120">
        <v>3.4049999999999997E-2</v>
      </c>
      <c r="G86" s="121">
        <v>4.7879999999999994</v>
      </c>
      <c r="H86" s="114"/>
      <c r="I86" s="80">
        <f t="shared" si="10"/>
        <v>0</v>
      </c>
      <c r="L86" s="134" t="str">
        <f t="shared" si="8"/>
        <v>-</v>
      </c>
      <c r="M86" s="134" t="str">
        <f t="shared" si="11"/>
        <v>-</v>
      </c>
      <c r="N86" s="135" t="str">
        <f t="shared" si="9"/>
        <v>-</v>
      </c>
      <c r="O86" s="136" t="str">
        <f t="shared" si="12"/>
        <v>-</v>
      </c>
      <c r="P86" s="127"/>
      <c r="Q86" s="136" t="str">
        <f t="shared" si="13"/>
        <v>-</v>
      </c>
    </row>
    <row r="87" spans="1:17" s="3" customFormat="1" ht="20.399999999999999">
      <c r="A87" s="64">
        <v>900800</v>
      </c>
      <c r="B87" s="5">
        <v>90080</v>
      </c>
      <c r="C87" s="27" t="s">
        <v>82</v>
      </c>
      <c r="D87" s="49">
        <v>60</v>
      </c>
      <c r="E87" s="101">
        <v>12</v>
      </c>
      <c r="F87" s="120">
        <v>4.5400000000000003E-2</v>
      </c>
      <c r="G87" s="121">
        <v>5.613999999999999</v>
      </c>
      <c r="H87" s="114"/>
      <c r="I87" s="80">
        <f t="shared" si="10"/>
        <v>0</v>
      </c>
      <c r="L87" s="134" t="str">
        <f t="shared" si="8"/>
        <v>-</v>
      </c>
      <c r="M87" s="134" t="str">
        <f t="shared" si="11"/>
        <v>-</v>
      </c>
      <c r="N87" s="135" t="str">
        <f t="shared" si="9"/>
        <v>-</v>
      </c>
      <c r="O87" s="136" t="str">
        <f t="shared" si="12"/>
        <v>-</v>
      </c>
      <c r="P87" s="127"/>
      <c r="Q87" s="136" t="str">
        <f t="shared" si="13"/>
        <v>-</v>
      </c>
    </row>
    <row r="88" spans="1:17" s="3" customFormat="1" ht="20.399999999999999">
      <c r="A88" s="64">
        <v>901203</v>
      </c>
      <c r="B88" s="5">
        <v>90120</v>
      </c>
      <c r="C88" s="27" t="s">
        <v>83</v>
      </c>
      <c r="D88" s="49">
        <v>60</v>
      </c>
      <c r="E88" s="101">
        <v>12</v>
      </c>
      <c r="F88" s="118">
        <v>0</v>
      </c>
      <c r="G88" s="121">
        <v>7.9379999999999997</v>
      </c>
      <c r="H88" s="114"/>
      <c r="I88" s="80">
        <f t="shared" si="10"/>
        <v>0</v>
      </c>
      <c r="L88" s="134" t="str">
        <f t="shared" si="8"/>
        <v>-</v>
      </c>
      <c r="M88" s="134" t="str">
        <f t="shared" si="11"/>
        <v>-</v>
      </c>
      <c r="N88" s="135" t="str">
        <f t="shared" si="9"/>
        <v>-</v>
      </c>
      <c r="O88" s="136" t="str">
        <f t="shared" si="12"/>
        <v>-</v>
      </c>
      <c r="P88" s="127"/>
      <c r="Q88" s="136" t="str">
        <f t="shared" si="13"/>
        <v>-</v>
      </c>
    </row>
    <row r="89" spans="1:17" s="3" customFormat="1">
      <c r="A89" s="64">
        <v>901500</v>
      </c>
      <c r="B89" s="5">
        <v>90150</v>
      </c>
      <c r="C89" s="19" t="s">
        <v>84</v>
      </c>
      <c r="D89" s="49">
        <v>100</v>
      </c>
      <c r="E89" s="101">
        <v>12</v>
      </c>
      <c r="F89" s="118">
        <v>0</v>
      </c>
      <c r="G89" s="121">
        <v>7.1819999999999995</v>
      </c>
      <c r="H89" s="114"/>
      <c r="I89" s="80">
        <f t="shared" si="10"/>
        <v>0</v>
      </c>
      <c r="L89" s="134" t="str">
        <f t="shared" si="8"/>
        <v>-</v>
      </c>
      <c r="M89" s="134" t="str">
        <f t="shared" si="11"/>
        <v>-</v>
      </c>
      <c r="N89" s="135" t="str">
        <f t="shared" si="9"/>
        <v>-</v>
      </c>
      <c r="O89" s="136" t="str">
        <f t="shared" si="12"/>
        <v>-</v>
      </c>
      <c r="P89" s="127"/>
      <c r="Q89" s="136" t="str">
        <f t="shared" si="13"/>
        <v>-</v>
      </c>
    </row>
    <row r="90" spans="1:17" s="3" customFormat="1">
      <c r="A90" s="64">
        <v>903306</v>
      </c>
      <c r="B90" s="5">
        <v>90330</v>
      </c>
      <c r="C90" s="19" t="s">
        <v>85</v>
      </c>
      <c r="D90" s="49">
        <v>60</v>
      </c>
      <c r="E90" s="101">
        <v>12</v>
      </c>
      <c r="F90" s="120">
        <v>4.5400000000000003E-2</v>
      </c>
      <c r="G90" s="121">
        <v>15.875999999999999</v>
      </c>
      <c r="H90" s="114"/>
      <c r="I90" s="80">
        <f t="shared" si="10"/>
        <v>0</v>
      </c>
      <c r="L90" s="134" t="str">
        <f t="shared" si="8"/>
        <v>-</v>
      </c>
      <c r="M90" s="134" t="str">
        <f t="shared" si="11"/>
        <v>-</v>
      </c>
      <c r="N90" s="135" t="str">
        <f t="shared" si="9"/>
        <v>-</v>
      </c>
      <c r="O90" s="136" t="str">
        <f t="shared" si="12"/>
        <v>-</v>
      </c>
      <c r="P90" s="127"/>
      <c r="Q90" s="136" t="str">
        <f t="shared" si="13"/>
        <v>-</v>
      </c>
    </row>
    <row r="91" spans="1:17" s="3" customFormat="1">
      <c r="A91" s="65">
        <v>904600</v>
      </c>
      <c r="B91" s="7">
        <v>90460</v>
      </c>
      <c r="C91" s="28" t="s">
        <v>86</v>
      </c>
      <c r="D91" s="50">
        <v>60</v>
      </c>
      <c r="E91" s="103">
        <v>12</v>
      </c>
      <c r="F91" s="118">
        <v>0</v>
      </c>
      <c r="G91" s="121">
        <v>22.245999999999999</v>
      </c>
      <c r="H91" s="114"/>
      <c r="I91" s="80">
        <f t="shared" si="10"/>
        <v>0</v>
      </c>
      <c r="L91" s="134" t="str">
        <f t="shared" si="8"/>
        <v>-</v>
      </c>
      <c r="M91" s="134" t="str">
        <f t="shared" si="11"/>
        <v>-</v>
      </c>
      <c r="N91" s="135" t="str">
        <f t="shared" si="9"/>
        <v>-</v>
      </c>
      <c r="O91" s="136" t="str">
        <f t="shared" si="12"/>
        <v>-</v>
      </c>
      <c r="P91" s="127"/>
      <c r="Q91" s="136" t="str">
        <f t="shared" si="13"/>
        <v>-</v>
      </c>
    </row>
    <row r="92" spans="1:17" s="3" customFormat="1" ht="20.399999999999999">
      <c r="A92" s="70">
        <v>903603</v>
      </c>
      <c r="B92" s="20">
        <v>90360</v>
      </c>
      <c r="C92" s="27" t="s">
        <v>87</v>
      </c>
      <c r="D92" s="51">
        <v>90</v>
      </c>
      <c r="E92" s="102">
        <v>12</v>
      </c>
      <c r="F92" s="118">
        <v>0</v>
      </c>
      <c r="G92" s="123">
        <v>15.82</v>
      </c>
      <c r="H92" s="114"/>
      <c r="I92" s="81">
        <f t="shared" si="10"/>
        <v>0</v>
      </c>
      <c r="L92" s="134" t="str">
        <f t="shared" si="8"/>
        <v>-</v>
      </c>
      <c r="M92" s="134" t="str">
        <f t="shared" si="11"/>
        <v>-</v>
      </c>
      <c r="N92" s="135" t="str">
        <f t="shared" si="9"/>
        <v>-</v>
      </c>
      <c r="O92" s="136" t="str">
        <f t="shared" si="12"/>
        <v>-</v>
      </c>
      <c r="P92" s="127"/>
      <c r="Q92" s="136" t="str">
        <f t="shared" si="13"/>
        <v>-</v>
      </c>
    </row>
    <row r="93" spans="1:17" s="3" customFormat="1">
      <c r="A93" s="64">
        <v>908806</v>
      </c>
      <c r="B93" s="5">
        <v>90880</v>
      </c>
      <c r="C93" s="19" t="s">
        <v>88</v>
      </c>
      <c r="D93" s="49">
        <v>120</v>
      </c>
      <c r="E93" s="101">
        <v>12</v>
      </c>
      <c r="F93" s="118">
        <v>0</v>
      </c>
      <c r="G93" s="121">
        <v>10.962</v>
      </c>
      <c r="H93" s="114"/>
      <c r="I93" s="80">
        <f t="shared" si="10"/>
        <v>0</v>
      </c>
      <c r="L93" s="134" t="str">
        <f t="shared" si="8"/>
        <v>-</v>
      </c>
      <c r="M93" s="134" t="str">
        <f t="shared" si="11"/>
        <v>-</v>
      </c>
      <c r="N93" s="135" t="str">
        <f t="shared" si="9"/>
        <v>-</v>
      </c>
      <c r="O93" s="136" t="str">
        <f t="shared" si="12"/>
        <v>-</v>
      </c>
      <c r="P93" s="127"/>
      <c r="Q93" s="136" t="str">
        <f t="shared" si="13"/>
        <v>-</v>
      </c>
    </row>
    <row r="94" spans="1:17" s="3" customFormat="1">
      <c r="A94" s="65">
        <v>902903</v>
      </c>
      <c r="B94" s="7">
        <v>90290</v>
      </c>
      <c r="C94" s="28" t="s">
        <v>89</v>
      </c>
      <c r="D94" s="50">
        <v>60</v>
      </c>
      <c r="E94" s="103">
        <v>12</v>
      </c>
      <c r="F94" s="118">
        <v>0</v>
      </c>
      <c r="G94" s="121">
        <v>19.782</v>
      </c>
      <c r="H94" s="114"/>
      <c r="I94" s="80">
        <f t="shared" si="10"/>
        <v>0</v>
      </c>
      <c r="L94" s="134" t="str">
        <f t="shared" si="8"/>
        <v>-</v>
      </c>
      <c r="M94" s="134" t="str">
        <f t="shared" si="11"/>
        <v>-</v>
      </c>
      <c r="N94" s="135" t="str">
        <f t="shared" si="9"/>
        <v>-</v>
      </c>
      <c r="O94" s="136" t="str">
        <f t="shared" si="12"/>
        <v>-</v>
      </c>
      <c r="P94" s="127"/>
      <c r="Q94" s="136" t="str">
        <f t="shared" si="13"/>
        <v>-</v>
      </c>
    </row>
    <row r="95" spans="1:17" s="3" customFormat="1">
      <c r="A95" s="68">
        <v>904204</v>
      </c>
      <c r="B95" s="17">
        <v>90420</v>
      </c>
      <c r="C95" s="22" t="s">
        <v>90</v>
      </c>
      <c r="D95" s="52">
        <v>100</v>
      </c>
      <c r="E95" s="104">
        <v>12</v>
      </c>
      <c r="F95" s="118">
        <v>0</v>
      </c>
      <c r="G95" s="121">
        <v>7.9379999999999997</v>
      </c>
      <c r="H95" s="114"/>
      <c r="I95" s="80">
        <f t="shared" si="10"/>
        <v>0</v>
      </c>
      <c r="L95" s="134" t="str">
        <f t="shared" si="8"/>
        <v>-</v>
      </c>
      <c r="M95" s="134" t="str">
        <f t="shared" si="11"/>
        <v>-</v>
      </c>
      <c r="N95" s="135" t="str">
        <f t="shared" si="9"/>
        <v>-</v>
      </c>
      <c r="O95" s="136" t="str">
        <f t="shared" si="12"/>
        <v>-</v>
      </c>
      <c r="P95" s="127"/>
      <c r="Q95" s="136" t="str">
        <f t="shared" si="13"/>
        <v>-</v>
      </c>
    </row>
    <row r="96" spans="1:17" s="3" customFormat="1" ht="19.2">
      <c r="A96" s="64">
        <v>920204</v>
      </c>
      <c r="B96" s="5">
        <v>92020</v>
      </c>
      <c r="C96" s="27" t="s">
        <v>91</v>
      </c>
      <c r="D96" s="42">
        <v>90</v>
      </c>
      <c r="E96" s="101">
        <v>12</v>
      </c>
      <c r="F96" s="120">
        <v>0.15890000000000001</v>
      </c>
      <c r="G96" s="121">
        <v>13.173999999999999</v>
      </c>
      <c r="H96" s="114"/>
      <c r="I96" s="80">
        <f t="shared" si="10"/>
        <v>0</v>
      </c>
      <c r="L96" s="134" t="str">
        <f t="shared" si="8"/>
        <v>-</v>
      </c>
      <c r="M96" s="134" t="str">
        <f t="shared" si="11"/>
        <v>-</v>
      </c>
      <c r="N96" s="135" t="str">
        <f t="shared" si="9"/>
        <v>-</v>
      </c>
      <c r="O96" s="136" t="str">
        <f t="shared" si="12"/>
        <v>-</v>
      </c>
      <c r="P96" s="127"/>
      <c r="Q96" s="136" t="str">
        <f t="shared" si="13"/>
        <v>-</v>
      </c>
    </row>
    <row r="97" spans="1:17" s="3" customFormat="1" ht="19.2">
      <c r="A97" s="64">
        <v>920709</v>
      </c>
      <c r="B97" s="5">
        <v>92070</v>
      </c>
      <c r="C97" s="27" t="s">
        <v>92</v>
      </c>
      <c r="D97" s="42">
        <v>90</v>
      </c>
      <c r="E97" s="101">
        <v>12</v>
      </c>
      <c r="F97" s="120">
        <v>0.15890000000000001</v>
      </c>
      <c r="G97" s="121">
        <v>13.173999999999999</v>
      </c>
      <c r="H97" s="114"/>
      <c r="I97" s="80">
        <f t="shared" si="10"/>
        <v>0</v>
      </c>
      <c r="L97" s="134" t="str">
        <f t="shared" si="8"/>
        <v>-</v>
      </c>
      <c r="M97" s="134" t="str">
        <f t="shared" si="11"/>
        <v>-</v>
      </c>
      <c r="N97" s="135" t="str">
        <f t="shared" si="9"/>
        <v>-</v>
      </c>
      <c r="O97" s="136" t="str">
        <f t="shared" si="12"/>
        <v>-</v>
      </c>
      <c r="P97" s="127"/>
      <c r="Q97" s="136" t="str">
        <f t="shared" si="13"/>
        <v>-</v>
      </c>
    </row>
    <row r="98" spans="1:17" s="3" customFormat="1" ht="20.399999999999999">
      <c r="A98" s="64">
        <v>907908</v>
      </c>
      <c r="B98" s="5">
        <v>90790</v>
      </c>
      <c r="C98" s="27" t="s">
        <v>93</v>
      </c>
      <c r="D98" s="42">
        <v>100</v>
      </c>
      <c r="E98" s="101">
        <v>12</v>
      </c>
      <c r="F98" s="120">
        <v>4.5400000000000003E-2</v>
      </c>
      <c r="G98" s="121">
        <v>11.661999999999999</v>
      </c>
      <c r="H98" s="114"/>
      <c r="I98" s="80">
        <f t="shared" si="10"/>
        <v>0</v>
      </c>
      <c r="L98" s="134" t="str">
        <f t="shared" si="8"/>
        <v>-</v>
      </c>
      <c r="M98" s="134" t="str">
        <f t="shared" si="11"/>
        <v>-</v>
      </c>
      <c r="N98" s="135" t="str">
        <f t="shared" si="9"/>
        <v>-</v>
      </c>
      <c r="O98" s="136" t="str">
        <f t="shared" si="12"/>
        <v>-</v>
      </c>
      <c r="P98" s="127"/>
      <c r="Q98" s="136" t="str">
        <f t="shared" si="13"/>
        <v>-</v>
      </c>
    </row>
    <row r="99" spans="1:17" s="3" customFormat="1">
      <c r="A99" s="64">
        <v>921508</v>
      </c>
      <c r="B99" s="5">
        <v>92150</v>
      </c>
      <c r="C99" s="27" t="s">
        <v>94</v>
      </c>
      <c r="D99" s="42">
        <v>60</v>
      </c>
      <c r="E99" s="101">
        <v>12</v>
      </c>
      <c r="F99" s="120">
        <v>4.5400000000000003E-2</v>
      </c>
      <c r="G99" s="121">
        <v>26.403999999999996</v>
      </c>
      <c r="H99" s="114"/>
      <c r="I99" s="80">
        <f t="shared" si="10"/>
        <v>0</v>
      </c>
      <c r="L99" s="134" t="str">
        <f t="shared" ref="L99:L107" si="14">IFERROR(IF($L$2*F99=0, "-", $L$2*F99), "-")</f>
        <v>-</v>
      </c>
      <c r="M99" s="134" t="str">
        <f t="shared" si="11"/>
        <v>-</v>
      </c>
      <c r="N99" s="135" t="str">
        <f t="shared" ref="N99:N107" si="15">IF(H99&gt;0,H99*F99, "-")</f>
        <v>-</v>
      </c>
      <c r="O99" s="136" t="str">
        <f t="shared" si="12"/>
        <v>-</v>
      </c>
      <c r="P99" s="127"/>
      <c r="Q99" s="136" t="str">
        <f t="shared" si="13"/>
        <v>-</v>
      </c>
    </row>
    <row r="100" spans="1:17" s="3" customFormat="1" ht="30.6">
      <c r="A100" s="64">
        <v>400508</v>
      </c>
      <c r="B100" s="5">
        <v>40050</v>
      </c>
      <c r="C100" s="29" t="s">
        <v>95</v>
      </c>
      <c r="D100" s="53" t="s">
        <v>96</v>
      </c>
      <c r="E100" s="101">
        <v>12</v>
      </c>
      <c r="F100" s="120">
        <v>0.55615000000000003</v>
      </c>
      <c r="G100" s="121">
        <v>18.844000000000001</v>
      </c>
      <c r="H100" s="114"/>
      <c r="I100" s="80">
        <f t="shared" si="10"/>
        <v>0</v>
      </c>
      <c r="L100" s="134" t="str">
        <f t="shared" si="14"/>
        <v>-</v>
      </c>
      <c r="M100" s="134" t="str">
        <f t="shared" si="11"/>
        <v>-</v>
      </c>
      <c r="N100" s="135" t="str">
        <f t="shared" si="15"/>
        <v>-</v>
      </c>
      <c r="O100" s="136" t="str">
        <f t="shared" si="12"/>
        <v>-</v>
      </c>
      <c r="P100" s="127"/>
      <c r="Q100" s="136" t="str">
        <f t="shared" si="13"/>
        <v>-</v>
      </c>
    </row>
    <row r="101" spans="1:17" s="3" customFormat="1" ht="20.399999999999999">
      <c r="A101" s="64">
        <v>400607</v>
      </c>
      <c r="B101" s="5">
        <v>40060</v>
      </c>
      <c r="C101" s="29" t="s">
        <v>97</v>
      </c>
      <c r="D101" s="53" t="s">
        <v>98</v>
      </c>
      <c r="E101" s="101">
        <v>12</v>
      </c>
      <c r="F101" s="118">
        <v>0</v>
      </c>
      <c r="G101" s="121">
        <v>17.373999999999999</v>
      </c>
      <c r="H101" s="114"/>
      <c r="I101" s="80">
        <f t="shared" si="10"/>
        <v>0</v>
      </c>
      <c r="L101" s="134" t="str">
        <f t="shared" si="14"/>
        <v>-</v>
      </c>
      <c r="M101" s="134" t="str">
        <f t="shared" si="11"/>
        <v>-</v>
      </c>
      <c r="N101" s="135" t="str">
        <f t="shared" si="15"/>
        <v>-</v>
      </c>
      <c r="O101" s="136" t="str">
        <f t="shared" si="12"/>
        <v>-</v>
      </c>
      <c r="P101" s="127"/>
      <c r="Q101" s="136" t="str">
        <f t="shared" si="13"/>
        <v>-</v>
      </c>
    </row>
    <row r="102" spans="1:17" s="3" customFormat="1" ht="30.6">
      <c r="A102" s="64">
        <v>400706</v>
      </c>
      <c r="B102" s="5">
        <v>40070</v>
      </c>
      <c r="C102" s="29" t="s">
        <v>99</v>
      </c>
      <c r="D102" s="53" t="s">
        <v>100</v>
      </c>
      <c r="E102" s="101">
        <v>12</v>
      </c>
      <c r="F102" s="118">
        <v>0</v>
      </c>
      <c r="G102" s="121">
        <v>18.844000000000001</v>
      </c>
      <c r="H102" s="114"/>
      <c r="I102" s="80">
        <f t="shared" si="10"/>
        <v>0</v>
      </c>
      <c r="L102" s="134" t="str">
        <f t="shared" si="14"/>
        <v>-</v>
      </c>
      <c r="M102" s="134" t="str">
        <f t="shared" si="11"/>
        <v>-</v>
      </c>
      <c r="N102" s="135" t="str">
        <f t="shared" si="15"/>
        <v>-</v>
      </c>
      <c r="O102" s="136" t="str">
        <f t="shared" si="12"/>
        <v>-</v>
      </c>
      <c r="P102" s="127"/>
      <c r="Q102" s="136" t="str">
        <f t="shared" si="13"/>
        <v>-</v>
      </c>
    </row>
    <row r="103" spans="1:17" s="3" customFormat="1" ht="20.399999999999999">
      <c r="A103" s="64">
        <v>400805</v>
      </c>
      <c r="B103" s="5">
        <v>40080</v>
      </c>
      <c r="C103" s="19" t="s">
        <v>101</v>
      </c>
      <c r="D103" s="53" t="s">
        <v>102</v>
      </c>
      <c r="E103" s="101">
        <v>12</v>
      </c>
      <c r="F103" s="118">
        <v>0</v>
      </c>
      <c r="G103" s="121">
        <v>18.844000000000001</v>
      </c>
      <c r="H103" s="114"/>
      <c r="I103" s="80">
        <f t="shared" si="10"/>
        <v>0</v>
      </c>
      <c r="L103" s="134" t="str">
        <f t="shared" si="14"/>
        <v>-</v>
      </c>
      <c r="M103" s="134" t="str">
        <f t="shared" si="11"/>
        <v>-</v>
      </c>
      <c r="N103" s="135" t="str">
        <f t="shared" si="15"/>
        <v>-</v>
      </c>
      <c r="O103" s="136" t="str">
        <f t="shared" si="12"/>
        <v>-</v>
      </c>
      <c r="P103" s="127"/>
      <c r="Q103" s="136" t="str">
        <f t="shared" si="13"/>
        <v>-</v>
      </c>
    </row>
    <row r="104" spans="1:17" s="3" customFormat="1" ht="20.399999999999999">
      <c r="A104" s="64">
        <v>901753</v>
      </c>
      <c r="B104" s="5">
        <v>90175</v>
      </c>
      <c r="C104" s="27" t="s">
        <v>103</v>
      </c>
      <c r="D104" s="53" t="s">
        <v>102</v>
      </c>
      <c r="E104" s="101">
        <v>12</v>
      </c>
      <c r="F104" s="118">
        <v>0</v>
      </c>
      <c r="G104" s="121">
        <v>15.063999999999998</v>
      </c>
      <c r="H104" s="114"/>
      <c r="I104" s="80">
        <f t="shared" si="10"/>
        <v>0</v>
      </c>
      <c r="L104" s="134" t="str">
        <f t="shared" si="14"/>
        <v>-</v>
      </c>
      <c r="M104" s="134" t="str">
        <f t="shared" si="11"/>
        <v>-</v>
      </c>
      <c r="N104" s="135" t="str">
        <f t="shared" si="15"/>
        <v>-</v>
      </c>
      <c r="O104" s="136" t="str">
        <f t="shared" si="12"/>
        <v>-</v>
      </c>
      <c r="P104" s="127"/>
      <c r="Q104" s="136" t="str">
        <f t="shared" si="13"/>
        <v>-</v>
      </c>
    </row>
    <row r="105" spans="1:17" s="3" customFormat="1" ht="20.399999999999999">
      <c r="A105" s="64">
        <v>401000</v>
      </c>
      <c r="B105" s="5">
        <v>40100</v>
      </c>
      <c r="C105" s="19" t="s">
        <v>104</v>
      </c>
      <c r="D105" s="53" t="s">
        <v>102</v>
      </c>
      <c r="E105" s="101">
        <v>12</v>
      </c>
      <c r="F105" s="118">
        <v>0</v>
      </c>
      <c r="G105" s="121">
        <v>18.844000000000001</v>
      </c>
      <c r="H105" s="114"/>
      <c r="I105" s="80">
        <f t="shared" si="10"/>
        <v>0</v>
      </c>
      <c r="L105" s="134" t="str">
        <f t="shared" si="14"/>
        <v>-</v>
      </c>
      <c r="M105" s="134" t="str">
        <f t="shared" si="11"/>
        <v>-</v>
      </c>
      <c r="N105" s="135" t="str">
        <f t="shared" si="15"/>
        <v>-</v>
      </c>
      <c r="O105" s="136" t="str">
        <f t="shared" si="12"/>
        <v>-</v>
      </c>
      <c r="P105" s="127"/>
      <c r="Q105" s="136" t="str">
        <f t="shared" si="13"/>
        <v>-</v>
      </c>
    </row>
    <row r="106" spans="1:17" s="3" customFormat="1" ht="20.399999999999999">
      <c r="A106" s="73">
        <v>401055</v>
      </c>
      <c r="B106" s="30">
        <v>40105</v>
      </c>
      <c r="C106" s="31" t="s">
        <v>105</v>
      </c>
      <c r="D106" s="54" t="s">
        <v>102</v>
      </c>
      <c r="E106" s="108">
        <v>12</v>
      </c>
      <c r="F106" s="118">
        <v>0</v>
      </c>
      <c r="G106" s="121">
        <v>18.844000000000001</v>
      </c>
      <c r="H106" s="114"/>
      <c r="I106" s="80">
        <f t="shared" si="10"/>
        <v>0</v>
      </c>
      <c r="L106" s="134" t="str">
        <f t="shared" si="14"/>
        <v>-</v>
      </c>
      <c r="M106" s="134" t="str">
        <f t="shared" si="11"/>
        <v>-</v>
      </c>
      <c r="N106" s="135" t="str">
        <f t="shared" si="15"/>
        <v>-</v>
      </c>
      <c r="O106" s="136" t="str">
        <f t="shared" si="12"/>
        <v>-</v>
      </c>
      <c r="P106" s="127"/>
      <c r="Q106" s="136" t="str">
        <f t="shared" si="13"/>
        <v>-</v>
      </c>
    </row>
    <row r="107" spans="1:17" s="3" customFormat="1" ht="21" thickBot="1">
      <c r="A107" s="74">
        <v>401208</v>
      </c>
      <c r="B107" s="75">
        <v>40120</v>
      </c>
      <c r="C107" s="76" t="s">
        <v>106</v>
      </c>
      <c r="D107" s="77" t="s">
        <v>102</v>
      </c>
      <c r="E107" s="109">
        <v>12</v>
      </c>
      <c r="F107" s="138">
        <v>0</v>
      </c>
      <c r="G107" s="139">
        <v>18.844000000000001</v>
      </c>
      <c r="H107" s="115"/>
      <c r="I107" s="140">
        <f t="shared" si="10"/>
        <v>0</v>
      </c>
      <c r="L107" s="134" t="str">
        <f t="shared" si="14"/>
        <v>-</v>
      </c>
      <c r="M107" s="134" t="str">
        <f t="shared" si="11"/>
        <v>-</v>
      </c>
      <c r="N107" s="135" t="str">
        <f t="shared" si="15"/>
        <v>-</v>
      </c>
      <c r="O107" s="136" t="str">
        <f t="shared" si="12"/>
        <v>-</v>
      </c>
      <c r="P107" s="127"/>
      <c r="Q107" s="136" t="str">
        <f t="shared" si="13"/>
        <v>-</v>
      </c>
    </row>
    <row r="109" spans="1:17" ht="13.8" thickBot="1"/>
    <row r="110" spans="1:17" s="2" customFormat="1" ht="28.8" customHeight="1" thickBot="1">
      <c r="A110" s="35"/>
      <c r="B110" s="35"/>
      <c r="C110" s="86"/>
      <c r="D110" s="33"/>
      <c r="E110" s="87"/>
      <c r="F110" s="112"/>
      <c r="G110" s="88"/>
      <c r="H110" s="95"/>
      <c r="I110" s="88"/>
      <c r="L110" s="1"/>
      <c r="M110" s="1"/>
      <c r="N110" s="1"/>
      <c r="O110" s="1"/>
      <c r="P110" s="1"/>
      <c r="Q110" s="1"/>
    </row>
    <row r="111" spans="1:17" s="2" customFormat="1" ht="12">
      <c r="A111" s="35"/>
      <c r="B111" s="35"/>
      <c r="C111" s="89" t="s">
        <v>114</v>
      </c>
      <c r="D111" s="33"/>
      <c r="E111" s="87"/>
      <c r="F111" s="112"/>
      <c r="G111" s="88"/>
      <c r="H111" s="95"/>
      <c r="I111" s="88"/>
      <c r="L111" s="1"/>
      <c r="M111" s="1"/>
      <c r="N111" s="1"/>
      <c r="O111" s="1"/>
      <c r="P111" s="1"/>
      <c r="Q111" s="1"/>
    </row>
    <row r="112" spans="1:17" s="2" customFormat="1" ht="12">
      <c r="A112" s="35"/>
      <c r="B112" s="35"/>
      <c r="C112" s="90" t="s">
        <v>115</v>
      </c>
      <c r="D112" s="33"/>
      <c r="E112" s="87"/>
      <c r="F112" s="112"/>
      <c r="G112" s="88"/>
      <c r="H112" s="95"/>
      <c r="I112" s="88"/>
      <c r="L112" s="1"/>
      <c r="M112" s="1"/>
      <c r="N112" s="1"/>
      <c r="O112" s="1"/>
      <c r="P112" s="1"/>
      <c r="Q112" s="1"/>
    </row>
    <row r="113" spans="1:17" s="2" customFormat="1" ht="12">
      <c r="A113" s="35"/>
      <c r="B113" s="35"/>
      <c r="C113" s="91" t="s">
        <v>116</v>
      </c>
      <c r="D113" s="33"/>
      <c r="E113" s="87"/>
      <c r="F113" s="112"/>
      <c r="G113" s="88"/>
      <c r="H113" s="95"/>
      <c r="I113" s="88"/>
      <c r="L113" s="1"/>
      <c r="M113" s="1"/>
      <c r="N113" s="1"/>
      <c r="O113" s="1"/>
      <c r="P113" s="1"/>
      <c r="Q113" s="1"/>
    </row>
    <row r="114" spans="1:17" s="2" customFormat="1" ht="12.6" thickBot="1">
      <c r="A114" s="35"/>
      <c r="B114" s="35"/>
      <c r="C114" s="92" t="s">
        <v>117</v>
      </c>
      <c r="D114" s="33"/>
      <c r="E114" s="87"/>
      <c r="F114" s="112"/>
      <c r="G114" s="88"/>
      <c r="H114" s="95"/>
      <c r="I114" s="88"/>
      <c r="L114" s="1"/>
      <c r="M114" s="1"/>
      <c r="N114" s="1"/>
      <c r="O114" s="1"/>
      <c r="P114" s="1"/>
      <c r="Q114" s="1"/>
    </row>
  </sheetData>
  <sheetProtection algorithmName="SHA-512" hashValue="4rkmQ8Wl8VDgxY4TK8Efx0ToL3rUE7eQXsfoH0mH18JNAup1bPRr/jM2UXGhvUjUuRnAAYsWXUrMQxeoHnOeJA==" saltValue="1IS6jWHBViNUenScx5FaFg==" spinCount="100000" sheet="1" formatCells="0" formatColumns="0" formatRows="0" insertColumns="0" insertRows="0" insertHyperlinks="0" deleteColumns="0" deleteRows="0" sort="0" autoFilter="0" pivotTables="0"/>
  <autoFilter ref="A2:I107" xr:uid="{00000000-0009-0000-0000-000000000000}"/>
  <mergeCells count="2">
    <mergeCell ref="A1:I1"/>
    <mergeCell ref="M1:M2"/>
  </mergeCells>
  <conditionalFormatting sqref="Q1">
    <cfRule type="expression" dxfId="0" priority="1">
      <formula>"&gt;0"</formula>
    </cfRule>
  </conditionalFormatting>
  <dataValidations count="1">
    <dataValidation type="custom" allowBlank="1" showInputMessage="1" showErrorMessage="1" error=" Order quantity must be a multiple of Sales per Unit Case (See Column E)" prompt=" Order quantity must be a multiple of Sales per Unit Case (See Column E)" sqref="H3:H107" xr:uid="{00000000-0002-0000-0000-000000000000}">
      <formula1>MOD(H3,E3)=0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DSN GROUP (Superior Source)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Денис Хомик</cp:lastModifiedBy>
  <dcterms:created xsi:type="dcterms:W3CDTF">2025-03-19T10:38:11Z</dcterms:created>
  <dcterms:modified xsi:type="dcterms:W3CDTF">2026-03-23T08:27:13Z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2023-01-20T00:00:00Z</vt:filetime>
  </property>
  <property fmtid="{D5CDD505-2E9C-101B-9397-08002B2CF9AE}" pid="3" name="Creator">
    <vt:lpwstr>Adobe InDesign 18.1 (Windows)</vt:lpwstr>
  </property>
  <property fmtid="{D5CDD505-2E9C-101B-9397-08002B2CF9AE}" pid="4" name="LastSaved">
    <vt:filetime>2025-03-19T00:00:00Z</vt:filetime>
  </property>
  <property fmtid="{D5CDD505-2E9C-101B-9397-08002B2CF9AE}" pid="5" name="Producer">
    <vt:lpwstr>Adobe PDF Library 17.0</vt:lpwstr>
  </property>
</Properties>
</file>