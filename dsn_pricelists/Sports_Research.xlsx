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8_{3B7A72FF-2AB6-4D94-9639-2F59AEAF04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Sport Research)" sheetId="2" r:id="rId1"/>
  </sheets>
  <definedNames>
    <definedName name="_xlnm._FilterDatabase" localSheetId="0" hidden="1">'DSN GROUP (Sport Research)'!$A$2:$K$198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M143" i="2"/>
  <c r="N143" i="2" s="1"/>
  <c r="O143" i="2"/>
  <c r="P143" i="2"/>
  <c r="M144" i="2"/>
  <c r="N144" i="2" s="1"/>
  <c r="O144" i="2"/>
  <c r="P144" i="2"/>
  <c r="M145" i="2"/>
  <c r="N145" i="2" s="1"/>
  <c r="O145" i="2"/>
  <c r="P145" i="2"/>
  <c r="M146" i="2"/>
  <c r="N146" i="2" s="1"/>
  <c r="O146" i="2"/>
  <c r="P146" i="2"/>
  <c r="M147" i="2"/>
  <c r="N147" i="2" s="1"/>
  <c r="O147" i="2"/>
  <c r="P147" i="2"/>
  <c r="M148" i="2"/>
  <c r="N148" i="2" s="1"/>
  <c r="O148" i="2"/>
  <c r="P148" i="2"/>
  <c r="M149" i="2"/>
  <c r="N149" i="2" s="1"/>
  <c r="O149" i="2"/>
  <c r="P149" i="2"/>
  <c r="R149" i="2" s="1"/>
  <c r="M150" i="2"/>
  <c r="N150" i="2" s="1"/>
  <c r="O150" i="2"/>
  <c r="P150" i="2"/>
  <c r="M151" i="2"/>
  <c r="N151" i="2" s="1"/>
  <c r="O151" i="2"/>
  <c r="P151" i="2" s="1"/>
  <c r="M152" i="2"/>
  <c r="N152" i="2" s="1"/>
  <c r="O152" i="2"/>
  <c r="P152" i="2"/>
  <c r="M153" i="2"/>
  <c r="N153" i="2" s="1"/>
  <c r="O153" i="2"/>
  <c r="P153" i="2"/>
  <c r="M154" i="2"/>
  <c r="N154" i="2" s="1"/>
  <c r="O154" i="2"/>
  <c r="P154" i="2"/>
  <c r="M155" i="2"/>
  <c r="N155" i="2" s="1"/>
  <c r="O155" i="2"/>
  <c r="P155" i="2"/>
  <c r="M156" i="2"/>
  <c r="N156" i="2" s="1"/>
  <c r="O156" i="2"/>
  <c r="P156" i="2"/>
  <c r="M157" i="2"/>
  <c r="N157" i="2" s="1"/>
  <c r="O157" i="2"/>
  <c r="P157" i="2"/>
  <c r="M158" i="2"/>
  <c r="N158" i="2" s="1"/>
  <c r="O158" i="2"/>
  <c r="P158" i="2" s="1"/>
  <c r="M159" i="2"/>
  <c r="N159" i="2" s="1"/>
  <c r="O159" i="2"/>
  <c r="P159" i="2"/>
  <c r="M160" i="2"/>
  <c r="N160" i="2" s="1"/>
  <c r="O160" i="2"/>
  <c r="P160" i="2"/>
  <c r="M161" i="2"/>
  <c r="N161" i="2" s="1"/>
  <c r="O161" i="2"/>
  <c r="P161" i="2"/>
  <c r="M162" i="2"/>
  <c r="N162" i="2" s="1"/>
  <c r="O162" i="2"/>
  <c r="P162" i="2"/>
  <c r="M163" i="2"/>
  <c r="N163" i="2" s="1"/>
  <c r="O163" i="2"/>
  <c r="P163" i="2"/>
  <c r="M164" i="2"/>
  <c r="N164" i="2" s="1"/>
  <c r="O164" i="2"/>
  <c r="P164" i="2"/>
  <c r="R164" i="2" s="1"/>
  <c r="M165" i="2"/>
  <c r="N165" i="2" s="1"/>
  <c r="O165" i="2"/>
  <c r="P165" i="2"/>
  <c r="M166" i="2"/>
  <c r="N166" i="2" s="1"/>
  <c r="O166" i="2"/>
  <c r="P166" i="2"/>
  <c r="M167" i="2"/>
  <c r="N167" i="2" s="1"/>
  <c r="O167" i="2"/>
  <c r="P167" i="2"/>
  <c r="R167" i="2"/>
  <c r="M168" i="2"/>
  <c r="N168" i="2" s="1"/>
  <c r="O168" i="2"/>
  <c r="P168" i="2"/>
  <c r="M169" i="2"/>
  <c r="N169" i="2" s="1"/>
  <c r="O169" i="2"/>
  <c r="P169" i="2"/>
  <c r="M170" i="2"/>
  <c r="N170" i="2" s="1"/>
  <c r="O170" i="2"/>
  <c r="P170" i="2"/>
  <c r="M171" i="2"/>
  <c r="N171" i="2" s="1"/>
  <c r="O171" i="2"/>
  <c r="P171" i="2"/>
  <c r="R171" i="2" s="1"/>
  <c r="M172" i="2"/>
  <c r="N172" i="2" s="1"/>
  <c r="O172" i="2"/>
  <c r="P172" i="2"/>
  <c r="M173" i="2"/>
  <c r="N173" i="2" s="1"/>
  <c r="O173" i="2"/>
  <c r="P173" i="2"/>
  <c r="M174" i="2"/>
  <c r="N174" i="2" s="1"/>
  <c r="O174" i="2"/>
  <c r="P174" i="2"/>
  <c r="M175" i="2"/>
  <c r="N175" i="2" s="1"/>
  <c r="O175" i="2"/>
  <c r="P175" i="2"/>
  <c r="M176" i="2"/>
  <c r="N176" i="2" s="1"/>
  <c r="O176" i="2"/>
  <c r="P176" i="2"/>
  <c r="M177" i="2"/>
  <c r="N177" i="2" s="1"/>
  <c r="O177" i="2"/>
  <c r="P177" i="2"/>
  <c r="M178" i="2"/>
  <c r="N178" i="2" s="1"/>
  <c r="O178" i="2"/>
  <c r="P178" i="2"/>
  <c r="M179" i="2"/>
  <c r="N179" i="2" s="1"/>
  <c r="O179" i="2"/>
  <c r="P179" i="2"/>
  <c r="R179" i="2" s="1"/>
  <c r="M180" i="2"/>
  <c r="N180" i="2" s="1"/>
  <c r="O180" i="2"/>
  <c r="P180" i="2"/>
  <c r="R180" i="2" s="1"/>
  <c r="M181" i="2"/>
  <c r="N181" i="2" s="1"/>
  <c r="O181" i="2"/>
  <c r="P181" i="2" s="1"/>
  <c r="M182" i="2"/>
  <c r="N182" i="2" s="1"/>
  <c r="O182" i="2"/>
  <c r="P182" i="2"/>
  <c r="M183" i="2"/>
  <c r="N183" i="2" s="1"/>
  <c r="O183" i="2"/>
  <c r="P183" i="2"/>
  <c r="R183" i="2" s="1"/>
  <c r="M184" i="2"/>
  <c r="N184" i="2" s="1"/>
  <c r="O184" i="2"/>
  <c r="P184" i="2"/>
  <c r="M185" i="2"/>
  <c r="N185" i="2" s="1"/>
  <c r="O185" i="2"/>
  <c r="P185" i="2"/>
  <c r="M186" i="2"/>
  <c r="N186" i="2" s="1"/>
  <c r="O186" i="2"/>
  <c r="P186" i="2"/>
  <c r="M187" i="2"/>
  <c r="N187" i="2" s="1"/>
  <c r="O187" i="2"/>
  <c r="P187" i="2"/>
  <c r="M188" i="2"/>
  <c r="N188" i="2" s="1"/>
  <c r="O188" i="2"/>
  <c r="P188" i="2" s="1"/>
  <c r="M189" i="2"/>
  <c r="N189" i="2" s="1"/>
  <c r="O189" i="2"/>
  <c r="P189" i="2"/>
  <c r="M190" i="2"/>
  <c r="N190" i="2" s="1"/>
  <c r="O190" i="2"/>
  <c r="P190" i="2"/>
  <c r="M191" i="2"/>
  <c r="N191" i="2" s="1"/>
  <c r="O191" i="2"/>
  <c r="P191" i="2"/>
  <c r="M192" i="2"/>
  <c r="N192" i="2" s="1"/>
  <c r="O192" i="2"/>
  <c r="P192" i="2"/>
  <c r="M193" i="2"/>
  <c r="N193" i="2" s="1"/>
  <c r="O193" i="2"/>
  <c r="P193" i="2"/>
  <c r="M194" i="2"/>
  <c r="N194" i="2" s="1"/>
  <c r="O194" i="2"/>
  <c r="P194" i="2"/>
  <c r="M195" i="2"/>
  <c r="N195" i="2" s="1"/>
  <c r="O195" i="2"/>
  <c r="P195" i="2"/>
  <c r="M196" i="2"/>
  <c r="N196" i="2" s="1"/>
  <c r="O196" i="2"/>
  <c r="P196" i="2"/>
  <c r="R196" i="2" s="1"/>
  <c r="M197" i="2"/>
  <c r="N197" i="2" s="1"/>
  <c r="O197" i="2"/>
  <c r="P197" i="2"/>
  <c r="M198" i="2"/>
  <c r="N198" i="2" s="1"/>
  <c r="O198" i="2"/>
  <c r="P198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R185" i="2" l="1"/>
  <c r="R166" i="2"/>
  <c r="R143" i="2"/>
  <c r="R157" i="2"/>
  <c r="R150" i="2"/>
  <c r="R160" i="2"/>
  <c r="R193" i="2"/>
  <c r="R162" i="2"/>
  <c r="R147" i="2"/>
  <c r="R190" i="2"/>
  <c r="R144" i="2"/>
  <c r="R176" i="2"/>
  <c r="R146" i="2"/>
  <c r="R154" i="2"/>
  <c r="R177" i="2"/>
  <c r="R165" i="2"/>
  <c r="R195" i="2"/>
  <c r="R148" i="2"/>
  <c r="R194" i="2"/>
  <c r="R182" i="2"/>
  <c r="R198" i="2"/>
  <c r="R163" i="2"/>
  <c r="R151" i="2"/>
  <c r="R174" i="2"/>
  <c r="R170" i="2"/>
  <c r="R181" i="2"/>
  <c r="R153" i="2"/>
  <c r="R189" i="2"/>
  <c r="R188" i="2"/>
  <c r="R158" i="2"/>
  <c r="R186" i="2"/>
  <c r="R145" i="2"/>
  <c r="R178" i="2"/>
  <c r="R191" i="2"/>
  <c r="R161" i="2"/>
  <c r="R172" i="2"/>
  <c r="R173" i="2"/>
  <c r="R159" i="2"/>
  <c r="R175" i="2"/>
  <c r="R184" i="2"/>
  <c r="R156" i="2"/>
  <c r="R169" i="2"/>
  <c r="R152" i="2"/>
  <c r="R192" i="2"/>
  <c r="R155" i="2"/>
  <c r="R197" i="2"/>
  <c r="R168" i="2"/>
  <c r="R187" i="2"/>
  <c r="O4" i="2"/>
  <c r="P4" i="2" s="1"/>
  <c r="O5" i="2"/>
  <c r="O6" i="2"/>
  <c r="O7" i="2"/>
  <c r="P7" i="2" s="1"/>
  <c r="O8" i="2"/>
  <c r="P8" i="2" s="1"/>
  <c r="O9" i="2"/>
  <c r="O10" i="2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O22" i="2"/>
  <c r="O23" i="2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O38" i="2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O55" i="2"/>
  <c r="P55" i="2" s="1"/>
  <c r="O56" i="2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O69" i="2"/>
  <c r="O70" i="2"/>
  <c r="O71" i="2"/>
  <c r="P71" i="2" s="1"/>
  <c r="O72" i="2"/>
  <c r="P72" i="2" s="1"/>
  <c r="O73" i="2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O83" i="2"/>
  <c r="P83" i="2" s="1"/>
  <c r="O84" i="2"/>
  <c r="P84" i="2" s="1"/>
  <c r="O85" i="2"/>
  <c r="O86" i="2"/>
  <c r="P86" i="2" s="1"/>
  <c r="O87" i="2"/>
  <c r="O88" i="2"/>
  <c r="P88" i="2" s="1"/>
  <c r="O89" i="2"/>
  <c r="P89" i="2" s="1"/>
  <c r="O90" i="2"/>
  <c r="P90" i="2" s="1"/>
  <c r="O91" i="2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O110" i="2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O125" i="2"/>
  <c r="P125" i="2" s="1"/>
  <c r="O126" i="2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O139" i="2"/>
  <c r="O140" i="2"/>
  <c r="O141" i="2"/>
  <c r="P141" i="2" s="1"/>
  <c r="O142" i="2"/>
  <c r="O3" i="2"/>
  <c r="P3" i="2" s="1"/>
  <c r="P142" i="2"/>
  <c r="M142" i="2"/>
  <c r="N142" i="2" s="1"/>
  <c r="J105" i="2"/>
  <c r="J104" i="2"/>
  <c r="J103" i="2"/>
  <c r="M141" i="2"/>
  <c r="N141" i="2" s="1"/>
  <c r="J102" i="2"/>
  <c r="P140" i="2"/>
  <c r="M140" i="2"/>
  <c r="N140" i="2" s="1"/>
  <c r="J27" i="2"/>
  <c r="P139" i="2"/>
  <c r="M139" i="2"/>
  <c r="N139" i="2" s="1"/>
  <c r="J142" i="2"/>
  <c r="P138" i="2"/>
  <c r="M138" i="2"/>
  <c r="N138" i="2" s="1"/>
  <c r="J26" i="2"/>
  <c r="M137" i="2"/>
  <c r="N137" i="2" s="1"/>
  <c r="J54" i="2"/>
  <c r="J25" i="2"/>
  <c r="M136" i="2"/>
  <c r="N136" i="2" s="1"/>
  <c r="M135" i="2"/>
  <c r="N135" i="2" s="1"/>
  <c r="J53" i="2"/>
  <c r="M134" i="2"/>
  <c r="N134" i="2" s="1"/>
  <c r="J101" i="2"/>
  <c r="M133" i="2"/>
  <c r="N133" i="2" s="1"/>
  <c r="J141" i="2"/>
  <c r="M132" i="2"/>
  <c r="N132" i="2" s="1"/>
  <c r="J52" i="2"/>
  <c r="M131" i="2"/>
  <c r="N131" i="2" s="1"/>
  <c r="J24" i="2"/>
  <c r="M130" i="2"/>
  <c r="N130" i="2" s="1"/>
  <c r="J140" i="2"/>
  <c r="M129" i="2"/>
  <c r="N129" i="2" s="1"/>
  <c r="J139" i="2"/>
  <c r="M128" i="2"/>
  <c r="N128" i="2" s="1"/>
  <c r="J138" i="2"/>
  <c r="M127" i="2"/>
  <c r="N127" i="2" s="1"/>
  <c r="J137" i="2"/>
  <c r="P126" i="2"/>
  <c r="M126" i="2"/>
  <c r="N126" i="2" s="1"/>
  <c r="M125" i="2"/>
  <c r="N125" i="2" s="1"/>
  <c r="P124" i="2"/>
  <c r="M124" i="2"/>
  <c r="N124" i="2" s="1"/>
  <c r="J100" i="2"/>
  <c r="M123" i="2"/>
  <c r="N123" i="2" s="1"/>
  <c r="J99" i="2"/>
  <c r="J136" i="2"/>
  <c r="M122" i="2"/>
  <c r="N122" i="2" s="1"/>
  <c r="J135" i="2"/>
  <c r="M121" i="2"/>
  <c r="N121" i="2" s="1"/>
  <c r="J98" i="2"/>
  <c r="M120" i="2"/>
  <c r="N120" i="2" s="1"/>
  <c r="J97" i="2"/>
  <c r="M119" i="2"/>
  <c r="N119" i="2" s="1"/>
  <c r="J96" i="2"/>
  <c r="P118" i="2"/>
  <c r="M118" i="2"/>
  <c r="N118" i="2" s="1"/>
  <c r="J95" i="2"/>
  <c r="M117" i="2"/>
  <c r="N117" i="2" s="1"/>
  <c r="J134" i="2"/>
  <c r="M116" i="2"/>
  <c r="N116" i="2" s="1"/>
  <c r="J94" i="2"/>
  <c r="M115" i="2"/>
  <c r="N115" i="2" s="1"/>
  <c r="J133" i="2"/>
  <c r="M114" i="2"/>
  <c r="N114" i="2" s="1"/>
  <c r="J132" i="2"/>
  <c r="M113" i="2"/>
  <c r="N113" i="2" s="1"/>
  <c r="J131" i="2"/>
  <c r="M112" i="2"/>
  <c r="N112" i="2" s="1"/>
  <c r="J130" i="2"/>
  <c r="M111" i="2"/>
  <c r="N111" i="2" s="1"/>
  <c r="J129" i="2"/>
  <c r="P110" i="2"/>
  <c r="M110" i="2"/>
  <c r="N110" i="2" s="1"/>
  <c r="J128" i="2"/>
  <c r="P109" i="2"/>
  <c r="M109" i="2"/>
  <c r="N109" i="2" s="1"/>
  <c r="J127" i="2"/>
  <c r="M108" i="2"/>
  <c r="N108" i="2" s="1"/>
  <c r="J126" i="2"/>
  <c r="J125" i="2"/>
  <c r="M107" i="2"/>
  <c r="N107" i="2" s="1"/>
  <c r="J124" i="2"/>
  <c r="J123" i="2"/>
  <c r="J122" i="2"/>
  <c r="J23" i="2"/>
  <c r="M106" i="2"/>
  <c r="N106" i="2" s="1"/>
  <c r="J51" i="2"/>
  <c r="M105" i="2"/>
  <c r="N105" i="2" s="1"/>
  <c r="J50" i="2"/>
  <c r="M104" i="2"/>
  <c r="N104" i="2" s="1"/>
  <c r="J121" i="2"/>
  <c r="M103" i="2"/>
  <c r="N103" i="2" s="1"/>
  <c r="J93" i="2"/>
  <c r="M102" i="2"/>
  <c r="N102" i="2" s="1"/>
  <c r="J92" i="2"/>
  <c r="P101" i="2"/>
  <c r="M101" i="2"/>
  <c r="N101" i="2" s="1"/>
  <c r="J91" i="2"/>
  <c r="M100" i="2"/>
  <c r="N100" i="2" s="1"/>
  <c r="J49" i="2"/>
  <c r="M99" i="2"/>
  <c r="N99" i="2" s="1"/>
  <c r="J22" i="2"/>
  <c r="M98" i="2"/>
  <c r="N98" i="2" s="1"/>
  <c r="J120" i="2"/>
  <c r="M97" i="2"/>
  <c r="N97" i="2" s="1"/>
  <c r="J48" i="2"/>
  <c r="M96" i="2"/>
  <c r="N96" i="2" s="1"/>
  <c r="J90" i="2"/>
  <c r="M95" i="2"/>
  <c r="N95" i="2" s="1"/>
  <c r="J119" i="2"/>
  <c r="M94" i="2"/>
  <c r="N94" i="2" s="1"/>
  <c r="J118" i="2"/>
  <c r="M93" i="2"/>
  <c r="N93" i="2" s="1"/>
  <c r="J89" i="2"/>
  <c r="M92" i="2"/>
  <c r="N92" i="2" s="1"/>
  <c r="J88" i="2"/>
  <c r="P91" i="2"/>
  <c r="M91" i="2"/>
  <c r="N91" i="2" s="1"/>
  <c r="J117" i="2"/>
  <c r="M90" i="2"/>
  <c r="N90" i="2" s="1"/>
  <c r="J116" i="2"/>
  <c r="M89" i="2"/>
  <c r="N89" i="2" s="1"/>
  <c r="J47" i="2"/>
  <c r="M88" i="2"/>
  <c r="N88" i="2" s="1"/>
  <c r="J87" i="2"/>
  <c r="P87" i="2"/>
  <c r="M87" i="2"/>
  <c r="N87" i="2" s="1"/>
  <c r="J115" i="2"/>
  <c r="M86" i="2"/>
  <c r="N86" i="2" s="1"/>
  <c r="J21" i="2"/>
  <c r="P85" i="2"/>
  <c r="M85" i="2"/>
  <c r="N85" i="2" s="1"/>
  <c r="J86" i="2"/>
  <c r="M84" i="2"/>
  <c r="N84" i="2" s="1"/>
  <c r="J46" i="2"/>
  <c r="M83" i="2"/>
  <c r="N83" i="2" s="1"/>
  <c r="J85" i="2"/>
  <c r="P82" i="2"/>
  <c r="M82" i="2"/>
  <c r="N82" i="2" s="1"/>
  <c r="J20" i="2"/>
  <c r="M81" i="2"/>
  <c r="N81" i="2" s="1"/>
  <c r="J45" i="2"/>
  <c r="M80" i="2"/>
  <c r="N80" i="2" s="1"/>
  <c r="J44" i="2"/>
  <c r="M79" i="2"/>
  <c r="N79" i="2" s="1"/>
  <c r="J43" i="2"/>
  <c r="M78" i="2"/>
  <c r="N78" i="2" s="1"/>
  <c r="J19" i="2"/>
  <c r="M77" i="2"/>
  <c r="N77" i="2" s="1"/>
  <c r="J18" i="2"/>
  <c r="M76" i="2"/>
  <c r="N76" i="2" s="1"/>
  <c r="J17" i="2"/>
  <c r="M75" i="2"/>
  <c r="N75" i="2" s="1"/>
  <c r="J42" i="2"/>
  <c r="M74" i="2"/>
  <c r="N74" i="2" s="1"/>
  <c r="J114" i="2"/>
  <c r="J41" i="2"/>
  <c r="P73" i="2"/>
  <c r="M73" i="2"/>
  <c r="N73" i="2" s="1"/>
  <c r="J84" i="2"/>
  <c r="M72" i="2"/>
  <c r="N72" i="2" s="1"/>
  <c r="J113" i="2"/>
  <c r="M71" i="2"/>
  <c r="N71" i="2" s="1"/>
  <c r="J112" i="2"/>
  <c r="P70" i="2"/>
  <c r="M70" i="2"/>
  <c r="N70" i="2" s="1"/>
  <c r="J83" i="2"/>
  <c r="P69" i="2"/>
  <c r="M69" i="2"/>
  <c r="N69" i="2" s="1"/>
  <c r="J40" i="2"/>
  <c r="P68" i="2"/>
  <c r="M68" i="2"/>
  <c r="N68" i="2" s="1"/>
  <c r="J82" i="2"/>
  <c r="M67" i="2"/>
  <c r="N67" i="2" s="1"/>
  <c r="J16" i="2"/>
  <c r="M66" i="2"/>
  <c r="N66" i="2" s="1"/>
  <c r="J81" i="2"/>
  <c r="M65" i="2"/>
  <c r="N65" i="2" s="1"/>
  <c r="J39" i="2"/>
  <c r="M64" i="2"/>
  <c r="N64" i="2" s="1"/>
  <c r="J111" i="2"/>
  <c r="M63" i="2"/>
  <c r="N63" i="2" s="1"/>
  <c r="J80" i="2"/>
  <c r="M62" i="2"/>
  <c r="N62" i="2" s="1"/>
  <c r="J79" i="2"/>
  <c r="M61" i="2"/>
  <c r="N61" i="2" s="1"/>
  <c r="J78" i="2"/>
  <c r="M60" i="2"/>
  <c r="N60" i="2" s="1"/>
  <c r="J110" i="2"/>
  <c r="M59" i="2"/>
  <c r="N59" i="2" s="1"/>
  <c r="J77" i="2"/>
  <c r="M58" i="2"/>
  <c r="N58" i="2" s="1"/>
  <c r="J76" i="2"/>
  <c r="M57" i="2"/>
  <c r="N57" i="2" s="1"/>
  <c r="J38" i="2"/>
  <c r="P56" i="2"/>
  <c r="M56" i="2"/>
  <c r="N56" i="2" s="1"/>
  <c r="J15" i="2"/>
  <c r="M55" i="2"/>
  <c r="N55" i="2" s="1"/>
  <c r="J109" i="2"/>
  <c r="P54" i="2"/>
  <c r="M54" i="2"/>
  <c r="N54" i="2" s="1"/>
  <c r="J14" i="2"/>
  <c r="M53" i="2"/>
  <c r="N53" i="2" s="1"/>
  <c r="J13" i="2"/>
  <c r="M52" i="2"/>
  <c r="N52" i="2" s="1"/>
  <c r="J12" i="2"/>
  <c r="M51" i="2"/>
  <c r="N51" i="2" s="1"/>
  <c r="J11" i="2"/>
  <c r="M50" i="2"/>
  <c r="N50" i="2" s="1"/>
  <c r="M49" i="2"/>
  <c r="N49" i="2" s="1"/>
  <c r="J108" i="2"/>
  <c r="M48" i="2"/>
  <c r="N48" i="2" s="1"/>
  <c r="J75" i="2"/>
  <c r="M47" i="2"/>
  <c r="N47" i="2" s="1"/>
  <c r="M46" i="2"/>
  <c r="N46" i="2" s="1"/>
  <c r="J74" i="2"/>
  <c r="M45" i="2"/>
  <c r="N45" i="2" s="1"/>
  <c r="J37" i="2"/>
  <c r="M44" i="2"/>
  <c r="N44" i="2" s="1"/>
  <c r="M43" i="2"/>
  <c r="N43" i="2" s="1"/>
  <c r="J107" i="2"/>
  <c r="M42" i="2"/>
  <c r="N42" i="2" s="1"/>
  <c r="J73" i="2"/>
  <c r="M41" i="2"/>
  <c r="N41" i="2" s="1"/>
  <c r="J72" i="2"/>
  <c r="M40" i="2"/>
  <c r="N40" i="2" s="1"/>
  <c r="M39" i="2"/>
  <c r="N39" i="2" s="1"/>
  <c r="P38" i="2"/>
  <c r="M38" i="2"/>
  <c r="N38" i="2" s="1"/>
  <c r="P37" i="2"/>
  <c r="M37" i="2"/>
  <c r="N37" i="2" s="1"/>
  <c r="J71" i="2"/>
  <c r="M36" i="2"/>
  <c r="N36" i="2" s="1"/>
  <c r="J70" i="2"/>
  <c r="M35" i="2"/>
  <c r="N35" i="2" s="1"/>
  <c r="J69" i="2"/>
  <c r="M34" i="2"/>
  <c r="N34" i="2" s="1"/>
  <c r="J68" i="2"/>
  <c r="M33" i="2"/>
  <c r="N33" i="2" s="1"/>
  <c r="J67" i="2"/>
  <c r="M32" i="2"/>
  <c r="N32" i="2" s="1"/>
  <c r="J36" i="2"/>
  <c r="M31" i="2"/>
  <c r="N31" i="2" s="1"/>
  <c r="J66" i="2"/>
  <c r="M30" i="2"/>
  <c r="N30" i="2" s="1"/>
  <c r="J10" i="2"/>
  <c r="M29" i="2"/>
  <c r="N29" i="2" s="1"/>
  <c r="J9" i="2"/>
  <c r="M28" i="2"/>
  <c r="N28" i="2" s="1"/>
  <c r="J106" i="2"/>
  <c r="M27" i="2"/>
  <c r="N27" i="2" s="1"/>
  <c r="J8" i="2"/>
  <c r="M26" i="2"/>
  <c r="N26" i="2" s="1"/>
  <c r="J7" i="2"/>
  <c r="M25" i="2"/>
  <c r="N25" i="2" s="1"/>
  <c r="J6" i="2"/>
  <c r="M24" i="2"/>
  <c r="N24" i="2" s="1"/>
  <c r="J65" i="2"/>
  <c r="P23" i="2"/>
  <c r="M23" i="2"/>
  <c r="N23" i="2" s="1"/>
  <c r="J64" i="2"/>
  <c r="P22" i="2"/>
  <c r="M22" i="2"/>
  <c r="N22" i="2" s="1"/>
  <c r="J63" i="2"/>
  <c r="P21" i="2"/>
  <c r="M21" i="2"/>
  <c r="N21" i="2" s="1"/>
  <c r="J35" i="2"/>
  <c r="M20" i="2"/>
  <c r="N20" i="2" s="1"/>
  <c r="J5" i="2"/>
  <c r="M19" i="2"/>
  <c r="N19" i="2" s="1"/>
  <c r="J34" i="2"/>
  <c r="M18" i="2"/>
  <c r="N18" i="2" s="1"/>
  <c r="J62" i="2"/>
  <c r="M17" i="2"/>
  <c r="N17" i="2" s="1"/>
  <c r="J61" i="2"/>
  <c r="M16" i="2"/>
  <c r="N16" i="2" s="1"/>
  <c r="J33" i="2"/>
  <c r="M15" i="2"/>
  <c r="N15" i="2" s="1"/>
  <c r="J60" i="2"/>
  <c r="M14" i="2"/>
  <c r="N14" i="2" s="1"/>
  <c r="J4" i="2"/>
  <c r="M13" i="2"/>
  <c r="N13" i="2" s="1"/>
  <c r="J32" i="2"/>
  <c r="M12" i="2"/>
  <c r="N12" i="2" s="1"/>
  <c r="J31" i="2"/>
  <c r="M11" i="2"/>
  <c r="N11" i="2" s="1"/>
  <c r="J3" i="2"/>
  <c r="P10" i="2"/>
  <c r="M10" i="2"/>
  <c r="N10" i="2" s="1"/>
  <c r="J30" i="2"/>
  <c r="P9" i="2"/>
  <c r="M9" i="2"/>
  <c r="N9" i="2" s="1"/>
  <c r="J29" i="2"/>
  <c r="M8" i="2"/>
  <c r="N8" i="2" s="1"/>
  <c r="J59" i="2"/>
  <c r="M7" i="2"/>
  <c r="N7" i="2" s="1"/>
  <c r="J58" i="2"/>
  <c r="P6" i="2"/>
  <c r="M6" i="2"/>
  <c r="N6" i="2" s="1"/>
  <c r="J57" i="2"/>
  <c r="P5" i="2"/>
  <c r="M5" i="2"/>
  <c r="N5" i="2" s="1"/>
  <c r="J56" i="2"/>
  <c r="M4" i="2"/>
  <c r="N4" i="2" s="1"/>
  <c r="J28" i="2"/>
  <c r="M3" i="2"/>
  <c r="N3" i="2" s="1"/>
  <c r="J55" i="2"/>
  <c r="R14" i="2" l="1"/>
  <c r="R107" i="2"/>
  <c r="R17" i="2"/>
  <c r="R33" i="2"/>
  <c r="R64" i="2"/>
  <c r="R134" i="2"/>
  <c r="R70" i="2"/>
  <c r="R4" i="2"/>
  <c r="R79" i="2"/>
  <c r="R48" i="2"/>
  <c r="R95" i="2"/>
  <c r="R127" i="2"/>
  <c r="R122" i="2"/>
  <c r="R119" i="2"/>
  <c r="R45" i="2"/>
  <c r="R30" i="2"/>
  <c r="R112" i="2"/>
  <c r="R61" i="2"/>
  <c r="R7" i="2"/>
  <c r="R23" i="2"/>
  <c r="R38" i="2"/>
  <c r="R54" i="2"/>
  <c r="R85" i="2"/>
  <c r="R101" i="2"/>
  <c r="R141" i="2"/>
  <c r="R20" i="2"/>
  <c r="R36" i="2"/>
  <c r="R51" i="2"/>
  <c r="R67" i="2"/>
  <c r="R82" i="2"/>
  <c r="R98" i="2"/>
  <c r="R124" i="2"/>
  <c r="R18" i="2"/>
  <c r="R34" i="2"/>
  <c r="R49" i="2"/>
  <c r="P2" i="2"/>
  <c r="R109" i="2"/>
  <c r="R76" i="2"/>
  <c r="R10" i="2"/>
  <c r="R26" i="2"/>
  <c r="R41" i="2"/>
  <c r="R138" i="2"/>
  <c r="R65" i="2"/>
  <c r="R92" i="2"/>
  <c r="R114" i="2"/>
  <c r="R69" i="2"/>
  <c r="R84" i="2"/>
  <c r="R111" i="2"/>
  <c r="R126" i="2"/>
  <c r="R140" i="2"/>
  <c r="R53" i="2"/>
  <c r="R72" i="2"/>
  <c r="R6" i="2"/>
  <c r="R56" i="2"/>
  <c r="R87" i="2"/>
  <c r="R103" i="2"/>
  <c r="R129" i="2"/>
  <c r="R22" i="2"/>
  <c r="R100" i="2"/>
  <c r="R11" i="2"/>
  <c r="R116" i="2"/>
  <c r="R131" i="2"/>
  <c r="R8" i="2"/>
  <c r="R24" i="2"/>
  <c r="R39" i="2"/>
  <c r="R55" i="2"/>
  <c r="R71" i="2"/>
  <c r="R86" i="2"/>
  <c r="R102" i="2"/>
  <c r="R113" i="2"/>
  <c r="R128" i="2"/>
  <c r="R5" i="2"/>
  <c r="R21" i="2"/>
  <c r="R37" i="2"/>
  <c r="R52" i="2"/>
  <c r="R68" i="2"/>
  <c r="R83" i="2"/>
  <c r="R99" i="2"/>
  <c r="R110" i="2"/>
  <c r="R125" i="2"/>
  <c r="R139" i="2"/>
  <c r="R80" i="2"/>
  <c r="R96" i="2"/>
  <c r="R3" i="2"/>
  <c r="R19" i="2"/>
  <c r="R35" i="2"/>
  <c r="R50" i="2"/>
  <c r="R66" i="2"/>
  <c r="R81" i="2"/>
  <c r="R97" i="2"/>
  <c r="R108" i="2"/>
  <c r="R123" i="2"/>
  <c r="R137" i="2"/>
  <c r="R42" i="2"/>
  <c r="R58" i="2"/>
  <c r="R15" i="2"/>
  <c r="R31" i="2"/>
  <c r="R62" i="2"/>
  <c r="R93" i="2"/>
  <c r="R135" i="2"/>
  <c r="R59" i="2"/>
  <c r="R132" i="2"/>
  <c r="R25" i="2"/>
  <c r="R16" i="2"/>
  <c r="R32" i="2"/>
  <c r="R47" i="2"/>
  <c r="R63" i="2"/>
  <c r="R78" i="2"/>
  <c r="R94" i="2"/>
  <c r="R121" i="2"/>
  <c r="R136" i="2"/>
  <c r="R27" i="2"/>
  <c r="R89" i="2"/>
  <c r="R105" i="2"/>
  <c r="R46" i="2"/>
  <c r="R77" i="2"/>
  <c r="R120" i="2"/>
  <c r="R43" i="2"/>
  <c r="R90" i="2"/>
  <c r="R9" i="2"/>
  <c r="O2" i="2"/>
  <c r="R13" i="2"/>
  <c r="R29" i="2"/>
  <c r="R44" i="2"/>
  <c r="R60" i="2"/>
  <c r="R75" i="2"/>
  <c r="R91" i="2"/>
  <c r="R118" i="2"/>
  <c r="R133" i="2"/>
  <c r="R12" i="2"/>
  <c r="R28" i="2"/>
  <c r="R74" i="2"/>
  <c r="R106" i="2"/>
  <c r="R117" i="2"/>
  <c r="R40" i="2"/>
  <c r="R57" i="2"/>
  <c r="R73" i="2"/>
  <c r="R88" i="2"/>
  <c r="R104" i="2"/>
  <c r="R115" i="2"/>
  <c r="R130" i="2"/>
  <c r="R142" i="2"/>
  <c r="R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H3" authorId="0" shapeId="0" xr:uid="{DB9457AA-4662-4A16-9C81-9D1536922C0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4" authorId="0" shapeId="0" xr:uid="{CA3B5B1F-9C8D-4CFD-BF5C-42665A09F0A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5" authorId="0" shapeId="0" xr:uid="{915FD960-1727-4970-8CBE-130D2B506FF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6" authorId="0" shapeId="0" xr:uid="{6F1CD976-581C-4FCA-B7C0-0BFE1EEB2A2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7" authorId="0" shapeId="0" xr:uid="{A60BAE2C-592A-4F96-80EC-F1A9365E77C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8" authorId="0" shapeId="0" xr:uid="{BC45C934-A73E-454F-9D3C-07F598D9653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9" authorId="0" shapeId="0" xr:uid="{FA0B4190-6864-4D36-98A3-BCE0E541F6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0" authorId="0" shapeId="0" xr:uid="{3EF80DB7-8A86-4B17-B9B2-3C2CF1E97C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1" authorId="0" shapeId="0" xr:uid="{E4787B98-F2A1-4F9E-80F3-43BF6676118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2" authorId="0" shapeId="0" xr:uid="{3A205E67-6C1D-4CF0-87E2-F5A064361DF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3" authorId="0" shapeId="0" xr:uid="{61028A9C-D697-4514-A904-D1ADC980D2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4" authorId="0" shapeId="0" xr:uid="{CBC1FA6E-D269-47A5-AA15-5BF96F658D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5" authorId="0" shapeId="0" xr:uid="{655A73E7-B319-455D-904D-CDD5CF31A9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6" authorId="0" shapeId="0" xr:uid="{9B626238-AD9C-492D-9846-3E0D0F2BC32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7" authorId="0" shapeId="0" xr:uid="{777CEEA4-4F8F-4B22-AC21-6A8B653ED49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8" authorId="0" shapeId="0" xr:uid="{ADC75389-AAA8-4406-B1CD-C019B6A9BB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19" authorId="0" shapeId="0" xr:uid="{1540220B-8811-4506-8B25-8B82E2ED63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0" authorId="0" shapeId="0" xr:uid="{D6F935C3-72EE-4B42-A708-75370F9FCF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1" authorId="0" shapeId="0" xr:uid="{1BDFC2AA-808B-42C7-94B5-6AA90B36D70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2" authorId="0" shapeId="0" xr:uid="{D3AA592F-3D3B-4589-8BF4-F1DD0B7039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3" authorId="0" shapeId="0" xr:uid="{46543A35-638A-4110-839A-F8E89B2A96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4" authorId="0" shapeId="0" xr:uid="{FA452979-843B-44C8-9622-29A078E9DCD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5" authorId="0" shapeId="0" xr:uid="{BB564D0D-33BA-460C-AC4F-A4F2749A560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6" authorId="0" shapeId="0" xr:uid="{DC8C6CD8-A106-4DB6-8B68-AE8FC22D9B2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7" authorId="0" shapeId="0" xr:uid="{CA24B700-B5BC-4E7D-99F9-BB2DB23727C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H28" authorId="0" shapeId="0" xr:uid="{8F4297F8-F157-44B1-B3E1-81099BE45E8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29" authorId="0" shapeId="0" xr:uid="{789BE5C2-5E60-4D70-83EC-414F2DF636A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0" authorId="0" shapeId="0" xr:uid="{75573C25-EC65-476B-BE6F-0DCD618237D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1" authorId="0" shapeId="0" xr:uid="{B3D847C5-9D63-4CD9-A76F-A7BFA1C6F4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2" authorId="0" shapeId="0" xr:uid="{43023572-7DCC-4811-BEAB-5CA912A5DDD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3" authorId="0" shapeId="0" xr:uid="{44D94C2C-947A-496D-B029-C9C226587FC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4" authorId="0" shapeId="0" xr:uid="{E1549BC4-4D4D-430F-9ACA-2A8CF1D1034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5" authorId="0" shapeId="0" xr:uid="{5B653217-DA9A-4D58-8839-59FC47ECC76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6" authorId="0" shapeId="0" xr:uid="{21C1E478-E596-4CEA-8545-6B8C77D819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7" authorId="0" shapeId="0" xr:uid="{C2CC6E02-5757-42E8-BCC4-88A119C1B82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8" authorId="0" shapeId="0" xr:uid="{01C8C468-B538-492D-B9D9-23A584C8C3B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39" authorId="0" shapeId="0" xr:uid="{73DB3619-8110-4087-9038-4905E6F7858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0" authorId="0" shapeId="0" xr:uid="{B0668B6A-1A5B-460F-A252-E3D3103C444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1" authorId="0" shapeId="0" xr:uid="{7EB185EB-93B2-4905-B5EE-663DF25497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2" authorId="0" shapeId="0" xr:uid="{E3EBAE21-8A50-4246-8EA8-71B2CFDE01A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3" authorId="0" shapeId="0" xr:uid="{C3CD1D48-13F7-4479-B1C9-905175A2036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4" authorId="0" shapeId="0" xr:uid="{C0DADB5A-60BF-4C53-A126-1C7413B2A15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5" authorId="0" shapeId="0" xr:uid="{2AFF5663-284F-455B-A703-6D77C1B8589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6" authorId="0" shapeId="0" xr:uid="{4843141F-7B65-4A6A-B48B-194B3C709B4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7" authorId="0" shapeId="0" xr:uid="{A3AC5660-3C5C-4EB1-86C6-9A3446D0378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8" authorId="0" shapeId="0" xr:uid="{A2593520-406D-40E1-9F51-6FA4DE0FE30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49" authorId="0" shapeId="0" xr:uid="{0A28B2F6-4296-4E22-9C08-2B0C5ED4090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50" authorId="0" shapeId="0" xr:uid="{7A383424-2085-427F-A134-654D396CC5D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51" authorId="0" shapeId="0" xr:uid="{3FD637D0-4EB1-4D99-8B77-933FB51D274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52" authorId="0" shapeId="0" xr:uid="{B2523734-D50F-4331-AC34-81F9993F35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53" authorId="0" shapeId="0" xr:uid="{C0476F46-7627-4524-B5EF-43207FFFF94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54" authorId="0" shapeId="0" xr:uid="{2F0C905F-B67C-4ED3-B3DF-4DC721A4102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H55" authorId="0" shapeId="0" xr:uid="{388125EF-47BE-4FE3-8080-7EE32AEE8F7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56" authorId="0" shapeId="0" xr:uid="{ECF5B67C-E395-4AAA-8F1F-44814EED97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57" authorId="0" shapeId="0" xr:uid="{05E81D69-2449-4C6C-AF92-66684AEF7FA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58" authorId="0" shapeId="0" xr:uid="{FEDD1A14-85A3-4C06-BC52-60B86978C43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59" authorId="0" shapeId="0" xr:uid="{51B20587-2DE6-41D1-BFBA-DD9954D0B7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0" authorId="0" shapeId="0" xr:uid="{3EE81D07-4042-4B69-875C-645CD65CBB9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1" authorId="0" shapeId="0" xr:uid="{FC8EB927-5539-42C0-B4DB-47C24442C88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2" authorId="0" shapeId="0" xr:uid="{18775F46-B602-40E1-9427-A3F00E87107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3" authorId="0" shapeId="0" xr:uid="{96D9BF70-4A11-4EA7-8E34-14DE0CE19C5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4" authorId="0" shapeId="0" xr:uid="{959921BF-E215-4403-94FD-9980D87DE07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5" authorId="0" shapeId="0" xr:uid="{0FE6EAE7-F01C-48BB-B548-6208C9E734E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6" authorId="0" shapeId="0" xr:uid="{77FCBE31-7903-4D7D-B5EE-047205A47B5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7" authorId="0" shapeId="0" xr:uid="{4E85EE33-AABC-4010-9946-68B5990A615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8" authorId="0" shapeId="0" xr:uid="{6078ACBD-735B-4B34-B147-CDE16BC5755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69" authorId="0" shapeId="0" xr:uid="{21509AA1-C20B-4387-A269-3C6496ABE5B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0" authorId="0" shapeId="0" xr:uid="{51437F71-93BC-4E77-A827-A596939F4B7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1" authorId="0" shapeId="0" xr:uid="{016969AB-97B5-4BE5-B5FC-BE2A8388138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2" authorId="0" shapeId="0" xr:uid="{B6B9D5C1-A48F-4B6D-9044-C3D074A1566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3" authorId="0" shapeId="0" xr:uid="{A645939E-C804-4070-808A-BB23CDEFE4A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4" authorId="0" shapeId="0" xr:uid="{24798DA1-039B-4F65-BF66-18C47AFB49A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5" authorId="0" shapeId="0" xr:uid="{65E7606B-61B1-4B44-912B-50346F709D1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6" authorId="0" shapeId="0" xr:uid="{F57CA4BE-B54C-482D-9142-0A51510E2EF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7" authorId="0" shapeId="0" xr:uid="{AF1145EE-568E-48F3-BAD5-43D616D7A26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8" authorId="0" shapeId="0" xr:uid="{B8AD095E-1E87-4164-B209-C752B6A0815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79" authorId="0" shapeId="0" xr:uid="{2A7615C2-CC8E-4235-9AAC-1F47975E50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0" authorId="0" shapeId="0" xr:uid="{EFE0991B-D7CC-4C72-8EAF-E0681FC0C5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1" authorId="0" shapeId="0" xr:uid="{02D89EA7-560C-45CB-B12A-208FE19A156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2" authorId="0" shapeId="0" xr:uid="{19E73568-C554-4F99-A043-F006B4D0334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3" authorId="0" shapeId="0" xr:uid="{2FCFCB2D-1C27-4F2B-A76E-80D12B2F8E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4" authorId="0" shapeId="0" xr:uid="{1DB3F190-0AFB-4F3A-983A-1F02BA7AB4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5" authorId="0" shapeId="0" xr:uid="{5E7D146F-257F-44E0-A657-92336972FF7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6" authorId="0" shapeId="0" xr:uid="{A0AECA06-F9C3-4412-8154-A00A330A14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7" authorId="0" shapeId="0" xr:uid="{28EB2323-02C2-4195-A0BE-89BB94068B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8" authorId="0" shapeId="0" xr:uid="{7B17D474-49BF-4C09-B09D-FC57D0B918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89" authorId="0" shapeId="0" xr:uid="{164492F4-DD7A-42E4-BA63-4578B492FDD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0" authorId="0" shapeId="0" xr:uid="{99BF04C5-DA1E-4AE3-9416-AA0C5C0987C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1" authorId="0" shapeId="0" xr:uid="{9551346F-7B11-46DE-82D9-FA011A24812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2" authorId="0" shapeId="0" xr:uid="{18DDBC4F-EA55-407A-A526-49EFF3A7BC9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3" authorId="0" shapeId="0" xr:uid="{1B825B01-069E-4E5E-A301-13E4956F39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4" authorId="0" shapeId="0" xr:uid="{5C8A6BE9-44CB-41D3-942C-E54DD5E40A7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5" authorId="0" shapeId="0" xr:uid="{D2CBE525-3AC2-4366-99FA-A6E0CC3A1BE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6" authorId="0" shapeId="0" xr:uid="{8F967E9F-119F-44BD-B227-D11EC96A2D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7" authorId="0" shapeId="0" xr:uid="{5D5DF7EA-BB44-4BA3-BA59-E05AADC4E22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8" authorId="0" shapeId="0" xr:uid="{CBE07FD0-321A-4F0F-9113-AE7281A693B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99" authorId="0" shapeId="0" xr:uid="{00FBB862-6E2C-4B54-90BB-BCD24B02990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100" authorId="0" shapeId="0" xr:uid="{1EDB5C1F-43C1-453B-B0EF-8342066CB25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101" authorId="0" shapeId="0" xr:uid="{F7CED0AF-3EDE-445A-A1A7-2FABB3E8569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102" authorId="0" shapeId="0" xr:uid="{98661832-41A0-4076-B12D-C27CCD0506C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103" authorId="0" shapeId="0" xr:uid="{F3070E91-84F5-4DF2-8FC0-FF06CDB9F4B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104" authorId="0" shapeId="0" xr:uid="{EC897A6B-E5D8-48A6-ACF7-8B8E8450CFE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H105" authorId="0" shapeId="0" xr:uid="{6FBC95D3-653D-4E1E-9EBB-942A8A8D853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<sst xmlns="http://schemas.openxmlformats.org/spreadsheetml/2006/main" count="749" uniqueCount="430">
  <si>
    <t>Collagen Peptides Dark Chocolate (40 servings) - 22,58oz</t>
  </si>
  <si>
    <t>Collagen Peptides Vanilla Bean (40 servings) - 16,93oz</t>
  </si>
  <si>
    <t>Marine Collagen Complex Unflavored (30 servings) - 5,8oz</t>
  </si>
  <si>
    <t>Multi Collagen Complex Chocolate (30 servings) - 16,93oz</t>
  </si>
  <si>
    <t>Multi Collagen Complex Unflavored (30 servings) - 10,58oz</t>
  </si>
  <si>
    <t>MCT Oil Powder Organic Unflavored (30 servings) - 10,6oz</t>
  </si>
  <si>
    <t>Whey Protein Isolate Chocolate (25 Servings) - 2,26lbs</t>
  </si>
  <si>
    <t>Whey Protein Isolate Chocolate (60 Servings) - 5,42lbs</t>
  </si>
  <si>
    <t>Sweet Sweat Citrus Mint 13,5oz</t>
  </si>
  <si>
    <t>Sweet Sweat Citrus Mint Stick - 6,4oz</t>
  </si>
  <si>
    <t>Sweet Sweat Coconut - 13,5oz</t>
  </si>
  <si>
    <t>Sweet Sweat Coconut Stick - 6,4oz</t>
  </si>
  <si>
    <t>Sweet Sweat Jar - 6,5oz</t>
  </si>
  <si>
    <t>Sweet Sweat Stick - 6,4oz</t>
  </si>
  <si>
    <t>Sweet Sweat Tropical 13,5oz</t>
  </si>
  <si>
    <t>Sweet Sweat Tropical Stick - 6,4oz</t>
  </si>
  <si>
    <t>Sweet Sweat Unscented Stick 6,4oz</t>
  </si>
  <si>
    <t>Sweet Sweat Unscented XL Jar - 13,5oz</t>
  </si>
  <si>
    <t>Sweet Sweat Vanilla Stick 6,4oz</t>
  </si>
  <si>
    <t>Sweet Sweat XL Jar - 13,5oz</t>
  </si>
  <si>
    <t>FG406</t>
  </si>
  <si>
    <t>FG405</t>
  </si>
  <si>
    <t>FG412</t>
  </si>
  <si>
    <t>FG388</t>
  </si>
  <si>
    <t>FG268</t>
  </si>
  <si>
    <t>FG414</t>
  </si>
  <si>
    <t>FG154</t>
  </si>
  <si>
    <t>FG381</t>
  </si>
  <si>
    <t>FG221</t>
  </si>
  <si>
    <t>FG148</t>
  </si>
  <si>
    <t>FG257</t>
  </si>
  <si>
    <t>FG217</t>
  </si>
  <si>
    <t>FG390</t>
  </si>
  <si>
    <t>FG262</t>
  </si>
  <si>
    <t>FG374</t>
  </si>
  <si>
    <t>FG159</t>
  </si>
  <si>
    <t>FG158</t>
  </si>
  <si>
    <t>FG131</t>
  </si>
  <si>
    <t>FG237</t>
  </si>
  <si>
    <t>FG440</t>
  </si>
  <si>
    <t>FG400</t>
  </si>
  <si>
    <t>FG196</t>
  </si>
  <si>
    <t>FG103</t>
  </si>
  <si>
    <t>FG236</t>
  </si>
  <si>
    <t>FG132</t>
  </si>
  <si>
    <t>FG177</t>
  </si>
  <si>
    <t>FG323</t>
  </si>
  <si>
    <t>FG178</t>
  </si>
  <si>
    <t>FG407</t>
  </si>
  <si>
    <t>FG295</t>
  </si>
  <si>
    <t>FG339</t>
  </si>
  <si>
    <t>FG340</t>
  </si>
  <si>
    <t>FG373</t>
  </si>
  <si>
    <t>FG308</t>
  </si>
  <si>
    <t>FG355</t>
  </si>
  <si>
    <t>FG168</t>
  </si>
  <si>
    <t>FG167</t>
  </si>
  <si>
    <t>FG102</t>
  </si>
  <si>
    <t>FG281</t>
  </si>
  <si>
    <t>FG153</t>
  </si>
  <si>
    <t>FG152</t>
  </si>
  <si>
    <t>FG125</t>
  </si>
  <si>
    <t>FG156</t>
  </si>
  <si>
    <t>FG145</t>
  </si>
  <si>
    <t>FG155</t>
  </si>
  <si>
    <t>FG392</t>
  </si>
  <si>
    <t>FG105</t>
  </si>
  <si>
    <t>FG313</t>
  </si>
  <si>
    <t>FG173</t>
  </si>
  <si>
    <t>FG382</t>
  </si>
  <si>
    <t>FG149</t>
  </si>
  <si>
    <t>FG151</t>
  </si>
  <si>
    <t>FG351</t>
  </si>
  <si>
    <t>FG150</t>
  </si>
  <si>
    <t>FG272</t>
  </si>
  <si>
    <t>FG421</t>
  </si>
  <si>
    <t>FG420</t>
  </si>
  <si>
    <t>FG438</t>
  </si>
  <si>
    <t>FG437</t>
  </si>
  <si>
    <t>FG450</t>
  </si>
  <si>
    <t>FG104</t>
  </si>
  <si>
    <t>FG136</t>
  </si>
  <si>
    <t>FG170</t>
  </si>
  <si>
    <t>FG169</t>
  </si>
  <si>
    <t>FG270</t>
  </si>
  <si>
    <t>FG101</t>
  </si>
  <si>
    <t>FG128</t>
  </si>
  <si>
    <t>FG100</t>
  </si>
  <si>
    <t>FG280</t>
  </si>
  <si>
    <t>FG218</t>
  </si>
  <si>
    <t>FG120</t>
  </si>
  <si>
    <t>FG415</t>
  </si>
  <si>
    <t>FG416</t>
  </si>
  <si>
    <t>FG352</t>
  </si>
  <si>
    <t>FG213</t>
  </si>
  <si>
    <t>FG198</t>
  </si>
  <si>
    <t>FG161</t>
  </si>
  <si>
    <t>FG396</t>
  </si>
  <si>
    <t>FG160</t>
  </si>
  <si>
    <t>FG411</t>
  </si>
  <si>
    <t>FG413</t>
  </si>
  <si>
    <t>FG164</t>
  </si>
  <si>
    <t>FG434</t>
  </si>
  <si>
    <t>FG433</t>
  </si>
  <si>
    <t>FG238</t>
  </si>
  <si>
    <t>FG187</t>
  </si>
  <si>
    <t>FG256</t>
  </si>
  <si>
    <t>FG175</t>
  </si>
  <si>
    <t>FG219</t>
  </si>
  <si>
    <t>FG174</t>
  </si>
  <si>
    <t>FG205</t>
  </si>
  <si>
    <t>FG496</t>
  </si>
  <si>
    <t>FG443</t>
  </si>
  <si>
    <t>FG430</t>
  </si>
  <si>
    <t>FG377</t>
  </si>
  <si>
    <t>FG444</t>
  </si>
  <si>
    <t>FG419</t>
  </si>
  <si>
    <t>FG418</t>
  </si>
  <si>
    <t>FG417</t>
  </si>
  <si>
    <t>FG354</t>
  </si>
  <si>
    <t>PL100</t>
  </si>
  <si>
    <t>PL127</t>
  </si>
  <si>
    <t>PL139</t>
  </si>
  <si>
    <t>PL119</t>
  </si>
  <si>
    <t>PL123</t>
  </si>
  <si>
    <t>PL138</t>
  </si>
  <si>
    <t>PL136</t>
  </si>
  <si>
    <t>PL134</t>
  </si>
  <si>
    <t>PL133</t>
  </si>
  <si>
    <t>PL141</t>
  </si>
  <si>
    <t>PL137</t>
  </si>
  <si>
    <t>PL140</t>
  </si>
  <si>
    <t>FG365</t>
  </si>
  <si>
    <t>FG367</t>
  </si>
  <si>
    <t>FG478</t>
  </si>
  <si>
    <t>FG369</t>
  </si>
  <si>
    <t>FG480</t>
  </si>
  <si>
    <t>FG276</t>
  </si>
  <si>
    <t>FG277</t>
  </si>
  <si>
    <t>FG404</t>
  </si>
  <si>
    <t>FG410</t>
  </si>
  <si>
    <t>FG319</t>
  </si>
  <si>
    <t>SS117</t>
  </si>
  <si>
    <t>SS118</t>
  </si>
  <si>
    <t>SS112</t>
  </si>
  <si>
    <t>SS111</t>
  </si>
  <si>
    <t>SS106</t>
  </si>
  <si>
    <t>SS105</t>
  </si>
  <si>
    <t>FG362</t>
  </si>
  <si>
    <t>FG137</t>
  </si>
  <si>
    <t>FG130</t>
  </si>
  <si>
    <t>FG146</t>
  </si>
  <si>
    <t>FG142</t>
  </si>
  <si>
    <t>FG139</t>
  </si>
  <si>
    <t>FG363</t>
  </si>
  <si>
    <t>FG141</t>
  </si>
  <si>
    <t>FG386</t>
  </si>
  <si>
    <t>FG138</t>
  </si>
  <si>
    <t>FG375</t>
  </si>
  <si>
    <t>FG135</t>
  </si>
  <si>
    <t>SKU</t>
  </si>
  <si>
    <t>UPC</t>
  </si>
  <si>
    <t>Product Name</t>
  </si>
  <si>
    <t>Product Category</t>
  </si>
  <si>
    <t>Price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</si>
  <si>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</si>
  <si>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</si>
  <si>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</si>
  <si>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</si>
  <si>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</si>
  <si>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r>
      <rPr>
        <sz val="8"/>
        <rFont val="Arial MT"/>
        <family val="2"/>
      </rPr>
      <t>Amino Acids</t>
    </r>
  </si>
  <si>
    <r>
      <rPr>
        <sz val="8"/>
        <rFont val="Arial MT"/>
        <family val="2"/>
      </rPr>
      <t>Creatine Monohydrate (100 servings) - 500g</t>
    </r>
  </si>
  <si>
    <r>
      <rPr>
        <sz val="8"/>
        <rFont val="Arial MT"/>
        <family val="2"/>
      </rPr>
      <t>Creatine Monohydrate (60 servings) - 300g</t>
    </r>
  </si>
  <si>
    <r>
      <rPr>
        <sz val="8"/>
        <rFont val="Arial MT"/>
        <family val="2"/>
      </rPr>
      <t>L-Glutamine (100 servings) - 500g</t>
    </r>
  </si>
  <si>
    <r>
      <rPr>
        <sz val="8"/>
        <rFont val="Arial MT"/>
        <family val="2"/>
      </rPr>
      <t>L-Glutamine (60 servings) - 300g</t>
    </r>
  </si>
  <si>
    <r>
      <rPr>
        <sz val="8"/>
        <rFont val="Arial MT"/>
        <family val="2"/>
      </rPr>
      <t>L-Theanine + Caffeine (60 softgels)</t>
    </r>
  </si>
  <si>
    <r>
      <rPr>
        <sz val="8"/>
        <rFont val="Arial MT"/>
        <family val="2"/>
      </rPr>
      <t>L-Theanine Suntheanine 200mg (120 softgels)</t>
    </r>
  </si>
  <si>
    <r>
      <rPr>
        <sz val="8"/>
        <rFont val="Arial MT"/>
        <family val="2"/>
      </rPr>
      <t>L-Theanine Suntheanine 200mg (60 softgels)</t>
    </r>
  </si>
  <si>
    <r>
      <rPr>
        <sz val="8"/>
        <rFont val="Arial MT"/>
        <family val="2"/>
      </rPr>
      <t>NAC - N-Acetyl-L-Cysteine 600mg (90 veggie capsules)</t>
    </r>
  </si>
  <si>
    <r>
      <rPr>
        <sz val="8"/>
        <rFont val="Arial MT"/>
        <family val="2"/>
      </rPr>
      <t>Antioxidants</t>
    </r>
  </si>
  <si>
    <r>
      <rPr>
        <sz val="8"/>
        <rFont val="Arial MT"/>
        <family val="2"/>
      </rPr>
      <t>Astaxanthin 12mg (60 softgels)</t>
    </r>
  </si>
  <si>
    <r>
      <rPr>
        <sz val="8"/>
        <rFont val="Arial MT"/>
        <family val="2"/>
      </rPr>
      <t>Astaxanthin 12mg (60 veggie softgels)</t>
    </r>
  </si>
  <si>
    <r>
      <rPr>
        <sz val="8"/>
        <rFont val="Arial MT"/>
        <family val="2"/>
      </rPr>
      <t>Astaxanthin 6mg (120 softgels)</t>
    </r>
  </si>
  <si>
    <r>
      <rPr>
        <sz val="8"/>
        <rFont val="Arial MT"/>
        <family val="2"/>
      </rPr>
      <t>CoQ10 100mg (120 veggie softgels)</t>
    </r>
  </si>
  <si>
    <r>
      <rPr>
        <sz val="8"/>
        <rFont val="Arial MT"/>
        <family val="2"/>
      </rPr>
      <t>CoQ10 200mg (90 veggie softgels)</t>
    </r>
  </si>
  <si>
    <r>
      <rPr>
        <sz val="8"/>
        <rFont val="Arial MT"/>
        <family val="2"/>
      </rPr>
      <t>Lutein + Zeaxanthin 20mg (120 veggie softgels)</t>
    </r>
  </si>
  <si>
    <r>
      <rPr>
        <sz val="8"/>
        <rFont val="Arial MT"/>
        <family val="2"/>
      </rPr>
      <t>Quercetin 500mg (120 softgels)</t>
    </r>
  </si>
  <si>
    <r>
      <rPr>
        <sz val="8"/>
        <rFont val="Arial MT"/>
        <family val="2"/>
      </rPr>
      <t>Turmeric Curcumin C3 Complex 500mg (120 softgels)</t>
    </r>
  </si>
  <si>
    <r>
      <rPr>
        <sz val="8"/>
        <rFont val="Arial MT"/>
        <family val="2"/>
      </rPr>
      <t>Turmeric Curcumin C3 Complex 500mg (60 softgels)</t>
    </r>
  </si>
  <si>
    <r>
      <rPr>
        <sz val="8"/>
        <rFont val="Arial MT"/>
        <family val="2"/>
      </rPr>
      <t>Collagens</t>
    </r>
  </si>
  <si>
    <r>
      <rPr>
        <sz val="8"/>
        <rFont val="Arial MT"/>
        <family val="2"/>
      </rPr>
      <t>Collagen Peptides Matcha Green Tea (24 Servings)</t>
    </r>
  </si>
  <si>
    <r>
      <rPr>
        <sz val="8"/>
        <rFont val="Arial MT"/>
        <family val="2"/>
      </rPr>
      <t>Collagen Peptides Organic Dark Chocolate (30 servings)</t>
    </r>
  </si>
  <si>
    <r>
      <rPr>
        <sz val="8"/>
        <rFont val="Arial MT"/>
        <family val="2"/>
      </rPr>
      <t>Collagen Peptides Organic Unflavored (30 servings)</t>
    </r>
  </si>
  <si>
    <r>
      <rPr>
        <sz val="8"/>
        <rFont val="Arial MT"/>
        <family val="2"/>
      </rPr>
      <t>Collagen Peptides Packet Tube - 20 Packets</t>
    </r>
  </si>
  <si>
    <r>
      <rPr>
        <sz val="8"/>
        <rFont val="Arial MT"/>
        <family val="2"/>
      </rPr>
      <t>Collagen Peptides Unflavored (41 servings) - 16oz</t>
    </r>
  </si>
  <si>
    <r>
      <rPr>
        <sz val="8"/>
        <rFont val="Arial MT"/>
        <family val="2"/>
      </rPr>
      <t>Collagen Peptides Unflavored (82 servings) - 32oz</t>
    </r>
  </si>
  <si>
    <r>
      <rPr>
        <sz val="8"/>
        <rFont val="Arial MT"/>
        <family val="2"/>
      </rPr>
      <t>Gelatin Powder - 16oz</t>
    </r>
  </si>
  <si>
    <r>
      <rPr>
        <sz val="8"/>
        <rFont val="Arial MT"/>
        <family val="2"/>
      </rPr>
      <t>Marine Collagen Peptides (34 Servings) - 12oz</t>
    </r>
  </si>
  <si>
    <r>
      <rPr>
        <sz val="8"/>
        <rFont val="Arial MT"/>
        <family val="2"/>
      </rPr>
      <t>Marine Collagen Peptides Dark Chocolate (30 servings) - 12oz</t>
    </r>
  </si>
  <si>
    <r>
      <rPr>
        <sz val="8"/>
        <rFont val="Arial MT"/>
        <family val="2"/>
      </rPr>
      <t>Multi Collagen Complex (90 capsules)</t>
    </r>
  </si>
  <si>
    <r>
      <rPr>
        <sz val="8"/>
        <rFont val="Arial MT"/>
        <family val="2"/>
      </rPr>
      <t>Digestive Aids</t>
    </r>
  </si>
  <si>
    <r>
      <rPr>
        <sz val="8"/>
        <rFont val="Arial MT"/>
        <family val="2"/>
      </rPr>
      <t>Daily Women's Probiotics 65 Billion CFU (30 veggie capsules)</t>
    </r>
  </si>
  <si>
    <r>
      <rPr>
        <sz val="8"/>
        <rFont val="Arial MT"/>
        <family val="2"/>
      </rPr>
      <t>Digestive Enzymes + Probiotic (90 veggie capsules)</t>
    </r>
  </si>
  <si>
    <r>
      <rPr>
        <sz val="8"/>
        <rFont val="Arial MT"/>
        <family val="2"/>
      </rPr>
      <t>Probiotic 60 Billion (30 veggie  capsules)</t>
    </r>
  </si>
  <si>
    <r>
      <rPr>
        <sz val="8"/>
        <rFont val="Arial MT"/>
        <family val="2"/>
      </rPr>
      <t>Essential Fatty Acids</t>
    </r>
  </si>
  <si>
    <r>
      <rPr>
        <sz val="8"/>
        <rFont val="Arial MT"/>
        <family val="2"/>
      </rPr>
      <t>CLA 95% 1250mg (180 softgels)</t>
    </r>
  </si>
  <si>
    <r>
      <rPr>
        <sz val="8"/>
        <rFont val="Arial MT"/>
        <family val="2"/>
      </rPr>
      <t>CLA 95% 1250mg (90 softgels)</t>
    </r>
  </si>
  <si>
    <r>
      <rPr>
        <sz val="8"/>
        <rFont val="Arial MT"/>
        <family val="2"/>
      </rPr>
      <t>Coconut Oil Virgin Organic 1000mg (120 veggie softgels)</t>
    </r>
  </si>
  <si>
    <r>
      <rPr>
        <sz val="8"/>
        <rFont val="Arial MT"/>
        <family val="2"/>
      </rPr>
      <t>Keto Omega 1250mg (120 softgels)</t>
    </r>
  </si>
  <si>
    <r>
      <rPr>
        <sz val="8"/>
        <rFont val="Arial MT"/>
        <family val="2"/>
      </rPr>
      <t>Krill Oil Superba 2 1000mg MSC-C-55162 (30 softgels)</t>
    </r>
  </si>
  <si>
    <r>
      <rPr>
        <sz val="8"/>
        <rFont val="Arial MT"/>
        <family val="2"/>
      </rPr>
      <t>Krill Oil Superba2 1000mg MSC-C-55162 (60 softgels)</t>
    </r>
  </si>
  <si>
    <r>
      <rPr>
        <sz val="8"/>
        <rFont val="Arial MT"/>
        <family val="2"/>
      </rPr>
      <t>Krill Oil Superba2 500mg MSC-C-55162 (120 softgels)</t>
    </r>
  </si>
  <si>
    <r>
      <rPr>
        <sz val="8"/>
        <rFont val="Arial MT"/>
        <family val="2"/>
      </rPr>
      <t>Omega-3 Fish Oil AlaskOmega 1250mg MSC-C-55162 (180 softgels)</t>
    </r>
  </si>
  <si>
    <r>
      <rPr>
        <sz val="8"/>
        <rFont val="Arial MT"/>
        <family val="2"/>
      </rPr>
      <t>Omega-3 Fish Oil AlaskOmega 1250mg MSC-C-55162 (30 softgels)</t>
    </r>
  </si>
  <si>
    <r>
      <rPr>
        <sz val="8"/>
        <rFont val="Arial MT"/>
        <family val="2"/>
      </rPr>
      <t>Omega-3 Fish Oil AlaskOmega 1250mg MSC-C-55162 (90 softgels)</t>
    </r>
  </si>
  <si>
    <r>
      <rPr>
        <sz val="8"/>
        <rFont val="Arial MT"/>
        <family val="2"/>
      </rPr>
      <t>Omega-3 Fish Oil AlaskOmega Mini Gels 625mg MSC-C-55162 (120 softgels)</t>
    </r>
  </si>
  <si>
    <r>
      <rPr>
        <sz val="8"/>
        <rFont val="Arial MT"/>
        <family val="2"/>
      </rPr>
      <t>Phytoceramides 350mg (30 softgels)</t>
    </r>
  </si>
  <si>
    <r>
      <rPr>
        <sz val="8"/>
        <rFont val="Arial MT"/>
        <family val="2"/>
      </rPr>
      <t>Total Omega-3 1100mg (120 softgels)</t>
    </r>
  </si>
  <si>
    <r>
      <rPr>
        <sz val="8"/>
        <rFont val="Arial MT"/>
        <family val="2"/>
      </rPr>
      <t>Vegan Omega-3 630mg (60 veggie softgels)</t>
    </r>
  </si>
  <si>
    <r>
      <rPr>
        <sz val="8"/>
        <rFont val="Arial MT"/>
        <family val="2"/>
      </rPr>
      <t>Vegan Omega-3 630mg + Vitamin D3 5000iu (60 veggie softgels)</t>
    </r>
  </si>
  <si>
    <r>
      <rPr>
        <sz val="8"/>
        <rFont val="Arial MT"/>
        <family val="2"/>
      </rPr>
      <t>Fruit Extracts</t>
    </r>
  </si>
  <si>
    <r>
      <rPr>
        <sz val="8"/>
        <rFont val="Arial MT"/>
        <family val="2"/>
      </rPr>
      <t>Blueberry Concentrate 800mg (60 softgels)</t>
    </r>
  </si>
  <si>
    <r>
      <rPr>
        <sz val="8"/>
        <rFont val="Arial MT"/>
        <family val="2"/>
      </rPr>
      <t>Cranberry Concentrate PaCran 500mg (90 softgels)</t>
    </r>
  </si>
  <si>
    <r>
      <rPr>
        <sz val="8"/>
        <rFont val="Arial MT"/>
        <family val="2"/>
      </rPr>
      <t>Elderberry 500mg + Vitamin D, C, Ginger &amp; Zinc (60 veggie capsules)</t>
    </r>
  </si>
  <si>
    <r>
      <rPr>
        <sz val="8"/>
        <rFont val="Arial MT"/>
        <family val="2"/>
      </rPr>
      <t>Tart Cherry 800mg (60 softgels)</t>
    </r>
  </si>
  <si>
    <r>
      <rPr>
        <sz val="8"/>
        <rFont val="Arial MT"/>
        <family val="2"/>
      </rPr>
      <t>Herbal Supplements</t>
    </r>
  </si>
  <si>
    <r>
      <rPr>
        <sz val="8"/>
        <rFont val="Arial MT"/>
        <family val="2"/>
      </rPr>
      <t>Apple Cider Vinegar 520mg (120 veggie capsules)</t>
    </r>
  </si>
  <si>
    <r>
      <rPr>
        <sz val="8"/>
        <rFont val="Arial MT"/>
        <family val="2"/>
      </rPr>
      <t>Ashwagandha 500mg (120 veggie softgels)</t>
    </r>
  </si>
  <si>
    <r>
      <rPr>
        <sz val="8"/>
        <rFont val="Arial MT"/>
        <family val="2"/>
      </rPr>
      <t>Ashwagandha 500mg (60 veggie softgels)</t>
    </r>
  </si>
  <si>
    <r>
      <rPr>
        <sz val="8"/>
        <rFont val="Arial MT"/>
        <family val="2"/>
      </rPr>
      <t>Berberine 500mg (120 veggie capsules)</t>
    </r>
  </si>
  <si>
    <r>
      <rPr>
        <sz val="8"/>
        <rFont val="Arial MT"/>
        <family val="2"/>
      </rPr>
      <t>Berberine 500mg (60 veggie capsules)</t>
    </r>
  </si>
  <si>
    <r>
      <rPr>
        <sz val="8"/>
        <rFont val="Arial MT"/>
        <family val="2"/>
      </rPr>
      <t>Berberine 500mg (90 softgels)</t>
    </r>
  </si>
  <si>
    <r>
      <rPr>
        <sz val="8"/>
        <rFont val="Arial MT"/>
        <family val="2"/>
      </rPr>
      <t>Evening Primrose Oil 1300mg (120 softgels)</t>
    </r>
  </si>
  <si>
    <r>
      <rPr>
        <sz val="8"/>
        <rFont val="Arial MT"/>
        <family val="2"/>
      </rPr>
      <t>Evening Primrose Oil 500mg (240 softgels)</t>
    </r>
  </si>
  <si>
    <r>
      <rPr>
        <sz val="8"/>
        <rFont val="Arial MT"/>
        <family val="2"/>
      </rPr>
      <t>Garcinia Cambogia 60% 500mg (180 softgels)</t>
    </r>
  </si>
  <si>
    <r>
      <rPr>
        <sz val="8"/>
        <rFont val="Arial MT"/>
        <family val="2"/>
      </rPr>
      <t>Garcinia Cambogia 60% 500mg (90 softgels)</t>
    </r>
  </si>
  <si>
    <r>
      <rPr>
        <sz val="8"/>
        <rFont val="Arial MT"/>
        <family val="2"/>
      </rPr>
      <t>Garlic with Parsley (150 veggie softgels)</t>
    </r>
  </si>
  <si>
    <r>
      <rPr>
        <sz val="8"/>
        <rFont val="Arial MT"/>
        <family val="2"/>
      </rPr>
      <t>Letter Vitamins</t>
    </r>
  </si>
  <si>
    <r>
      <rPr>
        <sz val="8"/>
        <rFont val="Arial MT"/>
        <family val="2"/>
      </rPr>
      <t>Biotin 10,000mcg (120 veggie softgels)</t>
    </r>
  </si>
  <si>
    <r>
      <rPr>
        <sz val="8"/>
        <rFont val="Arial MT"/>
        <family val="2"/>
      </rPr>
      <t>Biotin 2500mcg (120 veggie softgels)</t>
    </r>
  </si>
  <si>
    <r>
      <rPr>
        <sz val="8"/>
        <rFont val="Arial MT"/>
        <family val="2"/>
      </rPr>
      <t>Biotin 5000mcg (120 veggie softgels)</t>
    </r>
  </si>
  <si>
    <r>
      <rPr>
        <sz val="8"/>
        <rFont val="Arial MT"/>
        <family val="2"/>
      </rPr>
      <t>Vegan D3 5000iu + Vitamin K2 (120 veggie softgels)</t>
    </r>
  </si>
  <si>
    <r>
      <rPr>
        <sz val="8"/>
        <rFont val="Arial MT"/>
        <family val="2"/>
      </rPr>
      <t>Vegan D3 5000iu + Vitamin K2 100mcg (60 veggie softgels)</t>
    </r>
  </si>
  <si>
    <r>
      <rPr>
        <sz val="8"/>
        <rFont val="Arial MT"/>
        <family val="2"/>
      </rPr>
      <t>Vegan Vitamin D3 5000iu (60 veggie softgels)</t>
    </r>
  </si>
  <si>
    <r>
      <rPr>
        <sz val="8"/>
        <rFont val="Arial MT"/>
        <family val="2"/>
      </rPr>
      <t>Vitamin B-Complex (120 veggie softgels)</t>
    </r>
  </si>
  <si>
    <r>
      <rPr>
        <sz val="8"/>
        <rFont val="Arial MT"/>
        <family val="2"/>
      </rPr>
      <t>Vitamin B-Complex (60 veggie softgels)</t>
    </r>
  </si>
  <si>
    <r>
      <rPr>
        <sz val="8"/>
        <rFont val="Arial MT"/>
        <family val="2"/>
      </rPr>
      <t>Vitamin C 1000mg (240 veggie capsules)</t>
    </r>
  </si>
  <si>
    <r>
      <rPr>
        <sz val="8"/>
        <rFont val="Arial MT"/>
        <family val="2"/>
      </rPr>
      <t>Vitamin D3 10000iu (120 softgels)</t>
    </r>
  </si>
  <si>
    <r>
      <rPr>
        <sz val="8"/>
        <rFont val="Arial MT"/>
        <family val="2"/>
      </rPr>
      <t>Vitamin D3 1000iu (360 softgels)</t>
    </r>
  </si>
  <si>
    <r>
      <rPr>
        <sz val="8"/>
        <rFont val="Arial MT"/>
        <family val="2"/>
      </rPr>
      <t>Vitamin D3 2000iu (360 softgels)</t>
    </r>
  </si>
  <si>
    <r>
      <rPr>
        <sz val="8"/>
        <rFont val="Arial MT"/>
        <family val="2"/>
      </rPr>
      <t>Vitamin D3 4000iu (360 softgels)</t>
    </r>
  </si>
  <si>
    <r>
      <rPr>
        <sz val="8"/>
        <rFont val="Arial MT"/>
        <family val="2"/>
      </rPr>
      <t>Vitamin D3 5000iu (360 softgels)</t>
    </r>
  </si>
  <si>
    <r>
      <rPr>
        <sz val="8"/>
        <rFont val="Arial MT"/>
        <family val="2"/>
      </rPr>
      <t>Vitamin K Multi-Spectrum (60 veggie softgels)</t>
    </r>
  </si>
  <si>
    <r>
      <rPr>
        <sz val="8"/>
        <rFont val="Arial MT"/>
        <family val="2"/>
      </rPr>
      <t>Vitamin K2 100mcg (120 veggie softgels)</t>
    </r>
  </si>
  <si>
    <r>
      <rPr>
        <sz val="8"/>
        <rFont val="Arial MT"/>
        <family val="2"/>
      </rPr>
      <t>Vitamin K2 100mcg (60 veggie softgels)</t>
    </r>
  </si>
  <si>
    <r>
      <rPr>
        <sz val="8"/>
        <rFont val="Arial MT"/>
        <family val="2"/>
      </rPr>
      <t>Vitamin K2 180mcg (60 veggie softgels)</t>
    </r>
  </si>
  <si>
    <r>
      <rPr>
        <sz val="8"/>
        <rFont val="Arial MT"/>
        <family val="2"/>
      </rPr>
      <t>Vitamin K2 45mcg (90 veggie softgels)</t>
    </r>
  </si>
  <si>
    <r>
      <rPr>
        <sz val="8"/>
        <rFont val="Arial MT"/>
        <family val="2"/>
      </rPr>
      <t>MCT Oils</t>
    </r>
  </si>
  <si>
    <r>
      <rPr>
        <sz val="8"/>
        <rFont val="Arial MT"/>
        <family val="2"/>
      </rPr>
      <t>MCT C8 Oil Organic - 16oz</t>
    </r>
  </si>
  <si>
    <r>
      <rPr>
        <sz val="8"/>
        <rFont val="Arial MT"/>
        <family val="2"/>
      </rPr>
      <t>MCT Oil 1000mg (120 softgels)</t>
    </r>
  </si>
  <si>
    <r>
      <rPr>
        <sz val="8"/>
        <rFont val="Arial MT"/>
        <family val="2"/>
      </rPr>
      <t>MCT Oil 1000mg (240 softgels)</t>
    </r>
  </si>
  <si>
    <r>
      <rPr>
        <sz val="8"/>
        <rFont val="Arial MT"/>
        <family val="2"/>
      </rPr>
      <t>MCT Oil Organic C8 C10 - 32oz</t>
    </r>
  </si>
  <si>
    <r>
      <rPr>
        <sz val="8"/>
        <rFont val="Arial MT"/>
        <family val="2"/>
      </rPr>
      <t>MCT Oil Organic C8 C10 C12 - 16oz</t>
    </r>
  </si>
  <si>
    <r>
      <rPr>
        <sz val="8"/>
        <rFont val="Arial MT"/>
        <family val="2"/>
      </rPr>
      <t>MCT Oil Organic C8 C10 C12 - 32oz</t>
    </r>
  </si>
  <si>
    <r>
      <rPr>
        <sz val="8"/>
        <rFont val="Arial MT"/>
        <family val="2"/>
      </rPr>
      <t>Minerals</t>
    </r>
  </si>
  <si>
    <r>
      <rPr>
        <sz val="8"/>
        <rFont val="Arial MT"/>
        <family val="2"/>
      </rPr>
      <t>Magnesium Glycinate 160mg (120 softgels)</t>
    </r>
  </si>
  <si>
    <r>
      <rPr>
        <sz val="8"/>
        <rFont val="Arial MT"/>
        <family val="2"/>
      </rPr>
      <t>Magnesium Glycinate 160mg (60 softgels)</t>
    </r>
  </si>
  <si>
    <r>
      <rPr>
        <sz val="8"/>
        <rFont val="Arial MT"/>
        <family val="2"/>
      </rPr>
      <t>Magnesium L-Threonate 2000mg (180 veggie capsules)</t>
    </r>
  </si>
  <si>
    <r>
      <rPr>
        <sz val="8"/>
        <rFont val="Arial MT"/>
        <family val="2"/>
      </rPr>
      <t>Magnesium L-Threonate 2000mg (90 veggie capsules)</t>
    </r>
  </si>
  <si>
    <r>
      <rPr>
        <sz val="8"/>
        <rFont val="Arial MT"/>
        <family val="2"/>
      </rPr>
      <t>Magnesium Oxide 420mg (90 softgels)</t>
    </r>
  </si>
  <si>
    <r>
      <rPr>
        <sz val="8"/>
        <rFont val="Arial MT"/>
        <family val="2"/>
      </rPr>
      <t>Zinc 30mg (180 softgels)</t>
    </r>
  </si>
  <si>
    <r>
      <rPr>
        <sz val="8"/>
        <rFont val="Arial MT"/>
        <family val="2"/>
      </rPr>
      <t>Zinc 30mg (90 softgels)</t>
    </r>
  </si>
  <si>
    <r>
      <rPr>
        <sz val="8"/>
        <rFont val="Arial MT"/>
        <family val="2"/>
      </rPr>
      <t>Zinc 50mg (120 softgels)</t>
    </r>
  </si>
  <si>
    <r>
      <rPr>
        <sz val="8"/>
        <rFont val="Arial MT"/>
        <family val="2"/>
      </rPr>
      <t>Zinc 50mg (60 softgels)</t>
    </r>
  </si>
  <si>
    <r>
      <rPr>
        <sz val="8"/>
        <rFont val="Arial MT"/>
        <family val="2"/>
      </rPr>
      <t>Performance</t>
    </r>
  </si>
  <si>
    <r>
      <rPr>
        <sz val="8"/>
        <rFont val="Arial MT"/>
        <family val="2"/>
      </rPr>
      <t>Ab Wheel with Kneepad</t>
    </r>
  </si>
  <si>
    <r>
      <rPr>
        <sz val="8"/>
        <rFont val="Arial MT"/>
        <family val="2"/>
      </rPr>
      <t>Mini Loop Bands (5 Count Variety Pack)</t>
    </r>
  </si>
  <si>
    <r>
      <rPr>
        <sz val="8"/>
        <rFont val="Arial MT"/>
        <family val="2"/>
      </rPr>
      <t>Mini Loop Bands Toned Series (5 Count Variety Pack)</t>
    </r>
  </si>
  <si>
    <r>
      <rPr>
        <sz val="8"/>
        <rFont val="Arial MT"/>
        <family val="2"/>
      </rPr>
      <t>Performance Cable Jump Rope (Clear)</t>
    </r>
  </si>
  <si>
    <r>
      <rPr>
        <sz val="8"/>
        <rFont val="Arial MT"/>
        <family val="2"/>
      </rPr>
      <t>Performance Pro Jump Rope (Black)</t>
    </r>
  </si>
  <si>
    <r>
      <rPr>
        <sz val="8"/>
        <rFont val="Arial MT"/>
        <family val="2"/>
      </rPr>
      <t>Performance Speed Rope (Black)</t>
    </r>
  </si>
  <si>
    <r>
      <rPr>
        <sz val="8"/>
        <rFont val="Arial MT"/>
        <family val="2"/>
      </rPr>
      <t>Sweet Sweat Core Sliders</t>
    </r>
  </si>
  <si>
    <r>
      <rPr>
        <sz val="8"/>
        <rFont val="Arial MT"/>
        <family val="2"/>
      </rPr>
      <t>Sweet Sweat Hip Bands Gray Series (Light, Medium, Heavy)</t>
    </r>
  </si>
  <si>
    <r>
      <rPr>
        <sz val="8"/>
        <rFont val="Arial MT"/>
        <family val="2"/>
      </rPr>
      <t>Sweet Sweat Hip Bands Pink Series (Light, Medium, Heavy)</t>
    </r>
  </si>
  <si>
    <r>
      <rPr>
        <sz val="8"/>
        <rFont val="Arial MT"/>
        <family val="2"/>
      </rPr>
      <t>Sweet Sweat Push Up Bars</t>
    </r>
  </si>
  <si>
    <r>
      <rPr>
        <sz val="8"/>
        <rFont val="Arial MT"/>
        <family val="2"/>
      </rPr>
      <t>Sweet Sweat Yoga Mat - Black</t>
    </r>
  </si>
  <si>
    <r>
      <rPr>
        <sz val="8"/>
        <rFont val="Arial MT"/>
        <family val="2"/>
      </rPr>
      <t>Sweet Sweat Yoga Mat - Toned Series</t>
    </r>
  </si>
  <si>
    <r>
      <rPr>
        <sz val="8"/>
        <rFont val="Arial MT"/>
        <family val="2"/>
      </rPr>
      <t>Sports Nutrition</t>
    </r>
  </si>
  <si>
    <r>
      <rPr>
        <sz val="8"/>
        <rFont val="Arial MT"/>
        <family val="2"/>
      </rPr>
      <t>Electrolyte Cherry Pomegranate Packet Box (16 count)</t>
    </r>
  </si>
  <si>
    <r>
      <rPr>
        <sz val="8"/>
        <rFont val="Arial MT"/>
        <family val="2"/>
      </rPr>
      <t>Electrolyte Lemon Lime Packet Box (16 count)</t>
    </r>
  </si>
  <si>
    <r>
      <rPr>
        <sz val="8"/>
        <rFont val="Arial MT"/>
        <family val="2"/>
      </rPr>
      <t>Electrolyte Passion Fruit Packet Box (16 count)</t>
    </r>
  </si>
  <si>
    <r>
      <rPr>
        <sz val="8"/>
        <rFont val="Arial MT"/>
        <family val="2"/>
      </rPr>
      <t>Electrolyte Raspberry Lemonade Packet Box (16 count)</t>
    </r>
  </si>
  <si>
    <r>
      <rPr>
        <sz val="8"/>
        <rFont val="Arial MT"/>
        <family val="2"/>
      </rPr>
      <t>Electrolyte Variety Packet Box (16 count)</t>
    </r>
  </si>
  <si>
    <r>
      <rPr>
        <sz val="8"/>
        <rFont val="Arial MT"/>
        <family val="2"/>
      </rPr>
      <t>Keto Plus - Fruit Punch (30 servings)</t>
    </r>
  </si>
  <si>
    <r>
      <rPr>
        <sz val="8"/>
        <rFont val="Arial MT"/>
        <family val="2"/>
      </rPr>
      <t>Keto Plus - Raspberry Lemonade (30 servings)</t>
    </r>
  </si>
  <si>
    <r>
      <rPr>
        <sz val="8"/>
        <rFont val="Arial MT"/>
        <family val="2"/>
      </rPr>
      <t>Keto+ACV (120 veggie capsules)</t>
    </r>
  </si>
  <si>
    <r>
      <rPr>
        <sz val="8"/>
        <rFont val="Arial MT"/>
        <family val="2"/>
      </rPr>
      <t>Trimmers</t>
    </r>
  </si>
  <si>
    <r>
      <rPr>
        <sz val="8"/>
        <rFont val="Arial MT"/>
        <family val="2"/>
      </rPr>
      <t>Sweet Sweat Arm Trimmer Pink (Medium)</t>
    </r>
  </si>
  <si>
    <r>
      <rPr>
        <sz val="8"/>
        <rFont val="Arial MT"/>
        <family val="2"/>
      </rPr>
      <t>Sweet Sweat Arm Trimmer Yellow (Medium)</t>
    </r>
  </si>
  <si>
    <r>
      <rPr>
        <sz val="8"/>
        <rFont val="Arial MT"/>
        <family val="2"/>
      </rPr>
      <t>Sweet Sweat Thigh Trimmer - Pink Medium</t>
    </r>
  </si>
  <si>
    <r>
      <rPr>
        <sz val="8"/>
        <rFont val="Arial MT"/>
        <family val="2"/>
      </rPr>
      <t>Sweet Sweat Thigh Trimmer - Yellow Medium</t>
    </r>
  </si>
  <si>
    <r>
      <rPr>
        <sz val="8"/>
        <rFont val="Arial MT"/>
        <family val="2"/>
      </rPr>
      <t>Sweet Sweat Waist Trimmer - Pink Medium</t>
    </r>
  </si>
  <si>
    <r>
      <rPr>
        <sz val="8"/>
        <rFont val="Arial MT"/>
        <family val="2"/>
      </rPr>
      <t>Sweet Sweat Waist Trimmer - Yellow Medium</t>
    </r>
  </si>
  <si>
    <r>
      <rPr>
        <sz val="8"/>
        <rFont val="Arial MT"/>
        <family val="2"/>
      </rPr>
      <t>Workout Enhancers</t>
    </r>
  </si>
  <si>
    <t>Workout Enhancers</t>
  </si>
  <si>
    <t>USA → +13-322-093-910</t>
  </si>
  <si>
    <t>Poland → +48-459-568-603</t>
  </si>
  <si>
    <r>
      <rPr>
        <b/>
        <sz val="8"/>
        <color rgb="FFFF0000"/>
        <rFont val="Times New Roman"/>
        <family val="1"/>
        <charset val="204"/>
      </rPr>
      <t>Importantly!</t>
    </r>
    <r>
      <rPr>
        <sz val="8"/>
        <color rgb="FF000000"/>
        <rFont val="Times New Roman"/>
        <family val="1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</si>
  <si>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Case Size</t>
  </si>
  <si>
    <t>Weight, kg</t>
  </si>
  <si>
    <t>Unіt Freight Cost</t>
  </si>
  <si>
    <t>unit, key</t>
  </si>
  <si>
    <t>Logistic Price</t>
  </si>
  <si>
    <t>Landed Cost</t>
  </si>
  <si>
    <t>RATING</t>
  </si>
  <si>
    <t>С</t>
  </si>
  <si>
    <t>В</t>
  </si>
  <si>
    <t>А</t>
  </si>
  <si>
    <t>Multi Collagen Complex + Biotin 3000mcg (90 capsules)</t>
  </si>
  <si>
    <t>Apple Cider Vinegar 500mg Organic (60 sugar-free gummies)</t>
  </si>
  <si>
    <t>Colostrum (75 servings) - 150g</t>
  </si>
  <si>
    <t>Omega-3 Fish Oil Lemon AlaskOmega 4685mg MSC-C-55162 (8oz)</t>
  </si>
  <si>
    <t>Omega-3 Fish Oil AlaskOmega Mini Gels 625mg MSC-C-55162 (240 softgels)</t>
  </si>
  <si>
    <t>Cod Liver Oil 1000mg MSC-C-55162 (120 softgels)</t>
  </si>
  <si>
    <t>Flaxseed Oil 1200mg (200 Softgels)</t>
  </si>
  <si>
    <t>Vegan Omega 3-6-7-9 (90 veggie softgels)</t>
  </si>
  <si>
    <t>Salmon Oil Wild Alaskan Sockeye 2500mg MSC-C-55162 (180 softgels)</t>
  </si>
  <si>
    <t>Vegan Algae DHA 700mg (90 veggie softgels)</t>
  </si>
  <si>
    <t>DHA 700 Omega-3 (90 softgels)</t>
  </si>
  <si>
    <t>Organic Greens Original (20 servings) - 200g</t>
  </si>
  <si>
    <t>Organic Greens Pineapple Coconut (20 servings) - 220g</t>
  </si>
  <si>
    <t>Organic Greens Original (30 servings) - 300g</t>
  </si>
  <si>
    <t>Organic Greens Pineapple Coconut (30 servings) - 330g</t>
  </si>
  <si>
    <t>Oil of Oregano + Black Seed Oil (60 softgels)</t>
  </si>
  <si>
    <t>Tart Cherry 600mg (60 sugar-free gummies)</t>
  </si>
  <si>
    <t>Saffron 30mg (60 veggie softgels)</t>
  </si>
  <si>
    <t>Ashwagandha Organic 600mg KSM-66® (90 organic veggie capsules)</t>
  </si>
  <si>
    <t>Chelated Magnesium Glycinate 160mg (90 veggie capsules)</t>
  </si>
  <si>
    <t>Chelated Magnesium Glycinate 160mg (180 veggie capsules)</t>
  </si>
  <si>
    <t>Phytoceramides 350mg (60 liquid veggie capsules)</t>
  </si>
  <si>
    <t>Sleep Complex (60 veggie capsules)</t>
  </si>
  <si>
    <t>Blood Balance (90 liquid veggie capsules)</t>
  </si>
  <si>
    <t>Alpha GPC 630mg (60 liquid veggie capsules)</t>
  </si>
  <si>
    <t>Alpha GPC 600mg (120 liquid veggie capsules)</t>
  </si>
  <si>
    <t>Choline 800mg (60 liquid veggie capsules)</t>
  </si>
  <si>
    <t>Sleep Complex + Melatonin 5mg (60 veggie capsules)</t>
  </si>
  <si>
    <t>Lion's Mane Organic 1800mg (90 veggie capsules)</t>
  </si>
  <si>
    <t>Hydrate Electrolytes Cherry Pomegranate (90 servings)</t>
  </si>
  <si>
    <t>Hydrate Electrolytes Lemon Lime (90 servings)</t>
  </si>
  <si>
    <t>Hydrate Electrolytes Raspberry Lemonade (90 servings)</t>
  </si>
  <si>
    <t>Hydrate Electrolytes Passion Fruit (90 servings)</t>
  </si>
  <si>
    <t>Hydrate Electrolytes Variety Packet Bag (32 count)</t>
  </si>
  <si>
    <t>Creatine Monohydrate (200 servings) - 1000g</t>
  </si>
  <si>
    <t>Creatine Monohydrate 5000mg (120 veggie capsules)</t>
  </si>
  <si>
    <t>Creapure® Creatine Monohydrate (90 servings) - 450g</t>
  </si>
  <si>
    <t>Whey Protein Isolate Creamy Vanilla (63 Servings) - 5lbs</t>
  </si>
  <si>
    <t>Whey Protein Isolate Creamy Vanilla (26 Servings) - 2.06lbs</t>
  </si>
  <si>
    <t>Methyl B12 2000mcg (120 liquid veggie capsules)</t>
  </si>
  <si>
    <t>Methyl B12 5000mcg (120 liquid veggie capsules)</t>
  </si>
  <si>
    <t>Vitamin C Liposomal 1000mg (180 liquid veggie capsules)</t>
  </si>
  <si>
    <t>Vegan Vitamin D3 125mcg (5000iu) + K2 100mcg (60 sugar-free gummies)</t>
  </si>
  <si>
    <t>Vitamin C 500mg (60 sugar-free gummies)</t>
  </si>
  <si>
    <t>Vegan Vitamin D3 62.5mcg (2500iu) + K2 100mcg (60 veggie softgels)</t>
  </si>
  <si>
    <t>Vegan D3 250mcg (10000iu) + Vitamin K2 100mcg (60 veggie softgels)</t>
  </si>
  <si>
    <t>Multivitamin (60 capsules)</t>
  </si>
  <si>
    <t>Sweet Sweat Arm Trimmer - Pink Large (18 x 5.25in)</t>
  </si>
  <si>
    <t>Sweet Sweat Arm Trimmer - Pink Small (14 x 5.25in)</t>
  </si>
  <si>
    <t>Sweet Sweat Waist Trimmer - Yellow Large (46 x 9in)</t>
  </si>
  <si>
    <t>Sweet Sweat Waist Trimmer - Pink Large (46 x 9in)</t>
  </si>
  <si>
    <t>Sweet Sweat Waist Trimmer - Yellow Small (35 x 8in)</t>
  </si>
  <si>
    <t>Sweet Sweat Waist Trimmer - Pink Small (35 x 8in)</t>
  </si>
  <si>
    <t>Sweet Sweat Waist Trimmer - Black/White Small (35 x 8in)</t>
  </si>
  <si>
    <t>Sweet Sweat Waist Trimmer - Black/White Medium (41 x 8in)</t>
  </si>
  <si>
    <t>Sweet Sweat Waist Trimmer - Black/White Large (46 x 9in)</t>
  </si>
  <si>
    <t>FG571</t>
  </si>
  <si>
    <t>FG335</t>
  </si>
  <si>
    <t>FG502</t>
  </si>
  <si>
    <t>FG499</t>
  </si>
  <si>
    <t>FG523</t>
  </si>
  <si>
    <t>FG474</t>
  </si>
  <si>
    <t>FG484</t>
  </si>
  <si>
    <t>FG494</t>
  </si>
  <si>
    <t>FG521</t>
  </si>
  <si>
    <t>FG542</t>
  </si>
  <si>
    <t>FG543</t>
  </si>
  <si>
    <t>FG424</t>
  </si>
  <si>
    <t>FG425</t>
  </si>
  <si>
    <t>FG514</t>
  </si>
  <si>
    <t>FG515</t>
  </si>
  <si>
    <t>FG325</t>
  </si>
  <si>
    <t>FG497</t>
  </si>
  <si>
    <t>FG562</t>
  </si>
  <si>
    <t>FG568</t>
  </si>
  <si>
    <t>FG441</t>
  </si>
  <si>
    <t>FG442</t>
  </si>
  <si>
    <t>FG206</t>
  </si>
  <si>
    <t>FG338</t>
  </si>
  <si>
    <t>FG518</t>
  </si>
  <si>
    <t>FG544</t>
  </si>
  <si>
    <t>FG545</t>
  </si>
  <si>
    <t>FG546</t>
  </si>
  <si>
    <t>FG548</t>
  </si>
  <si>
    <t>FG566</t>
  </si>
  <si>
    <t>FG370</t>
  </si>
  <si>
    <t>FG371</t>
  </si>
  <si>
    <t>FG372</t>
  </si>
  <si>
    <t>FG479</t>
  </si>
  <si>
    <t>FG511</t>
  </si>
  <si>
    <t>FG520</t>
  </si>
  <si>
    <t>FG524</t>
  </si>
  <si>
    <t>FG567</t>
  </si>
  <si>
    <t>FG558</t>
  </si>
  <si>
    <t>FG559</t>
  </si>
  <si>
    <t>FG133</t>
  </si>
  <si>
    <t>FG134</t>
  </si>
  <si>
    <t>FG204</t>
  </si>
  <si>
    <t>FG334</t>
  </si>
  <si>
    <t>FG358</t>
  </si>
  <si>
    <t>FG391</t>
  </si>
  <si>
    <t>FG512</t>
  </si>
  <si>
    <t>FG583</t>
  </si>
  <si>
    <t>SS116</t>
  </si>
  <si>
    <t>SS258</t>
  </si>
  <si>
    <t>SS107</t>
  </si>
  <si>
    <t>SS108</t>
  </si>
  <si>
    <t>SS109</t>
  </si>
  <si>
    <t>SS110</t>
  </si>
  <si>
    <t>SS281</t>
  </si>
  <si>
    <t>SS282</t>
  </si>
  <si>
    <t>SS283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</si>
</sst>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3C09]* #,##0.00_-;\-[$$-3C09]* #,##0.00_-;_-[$$-3C09]* &quot;-&quot;??_-;_-@_-"/>
    <numFmt numFmtId="165" formatCode="_-[$$-409]* #,##0.00_ ;_-[$$-409]* \-#,##0.00\ ;_-[$$-409]* &quot;-&quot;??_ ;_-@_ "/>
    <numFmt numFmtId="166" formatCode="[$$-409]#,##0.00"/>
    <numFmt numFmtId="167" formatCode="000000000000"/>
  </numFmts>
  <fonts count="16">
    <font>
      <sz val="10"/>
      <color rgb="FF000000"/>
      <name val="Times New Roman"/>
      <charset val="204"/>
    </font>
    <font>
      <b/>
      <sz val="8"/>
      <color rgb="FF000000"/>
      <name val="Calibri"/>
      <family val="2"/>
      <charset val="204"/>
      <scheme val="minor"/>
    </font>
    <font>
      <b/>
      <sz val="8"/>
      <color theme="0"/>
      <name val="Arial"/>
      <family val="2"/>
      <charset val="204"/>
    </font>
    <font>
      <sz val="8"/>
      <color rgb="FF000000"/>
      <name val="Times New Roman"/>
      <family val="1"/>
      <charset val="204"/>
    </font>
    <font>
      <sz val="8"/>
      <name val="Arial MT"/>
      <charset val="204"/>
    </font>
    <font>
      <sz val="8"/>
      <name val="Arial MT"/>
      <family val="2"/>
    </font>
    <font>
      <b/>
      <sz val="8"/>
      <name val="Arial MT"/>
      <charset val="204"/>
    </font>
    <font>
      <sz val="9"/>
      <color rgb="FF00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</font>
    <font>
      <b/>
      <sz val="9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theme="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right" vertical="top" wrapText="1"/>
    </xf>
    <xf numFmtId="164" fontId="4" fillId="2" borderId="5" xfId="0" applyNumberFormat="1" applyFont="1" applyFill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0" fontId="0" fillId="0" borderId="0" xfId="0" applyAlignment="1" applyProtection="1">
      <alignment horizontal="center" vertical="top"/>
      <protection locked="0"/>
    </xf>
    <xf numFmtId="14" fontId="1" fillId="0" borderId="0" xfId="0" quotePrefix="1" applyNumberFormat="1" applyFont="1" applyAlignment="1">
      <alignment horizontal="center" vertical="center"/>
    </xf>
    <xf numFmtId="2" fontId="4" fillId="0" borderId="17" xfId="0" applyNumberFormat="1" applyFont="1" applyBorder="1" applyAlignment="1">
      <alignment horizontal="center" vertical="top" wrapText="1"/>
    </xf>
    <xf numFmtId="2" fontId="4" fillId="0" borderId="18" xfId="0" applyNumberFormat="1" applyFont="1" applyBorder="1" applyAlignment="1">
      <alignment horizontal="center" vertical="top" wrapText="1"/>
    </xf>
    <xf numFmtId="2" fontId="4" fillId="0" borderId="19" xfId="0" applyNumberFormat="1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 wrapText="1"/>
    </xf>
    <xf numFmtId="1" fontId="4" fillId="2" borderId="5" xfId="0" applyNumberFormat="1" applyFont="1" applyFill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 vertical="top" wrapText="1"/>
    </xf>
    <xf numFmtId="0" fontId="0" fillId="0" borderId="0" xfId="0"/>
    <xf numFmtId="14" fontId="9" fillId="4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65" fontId="10" fillId="4" borderId="2" xfId="0" applyNumberFormat="1" applyFont="1" applyFill="1" applyBorder="1" applyAlignment="1" applyProtection="1">
      <alignment horizontal="center" vertical="center" wrapText="1" readingOrder="1"/>
      <protection hidden="1"/>
    </xf>
    <xf numFmtId="0" fontId="7" fillId="0" borderId="0" xfId="0" applyFont="1"/>
    <xf numFmtId="0" fontId="11" fillId="5" borderId="2" xfId="0" applyFont="1" applyFill="1" applyBorder="1" applyAlignment="1" applyProtection="1">
      <alignment horizontal="center" vertical="center" wrapText="1" readingOrder="1"/>
      <protection locked="0"/>
    </xf>
    <xf numFmtId="4" fontId="9" fillId="5" borderId="16" xfId="0" applyNumberFormat="1" applyFont="1" applyFill="1" applyBorder="1" applyAlignment="1">
      <alignment horizontal="center" vertical="center"/>
    </xf>
    <xf numFmtId="165" fontId="10" fillId="0" borderId="0" xfId="0" applyNumberFormat="1" applyFont="1" applyAlignment="1" applyProtection="1">
      <alignment vertical="center" wrapText="1" readingOrder="1"/>
      <protection hidden="1"/>
    </xf>
    <xf numFmtId="0" fontId="9" fillId="6" borderId="2" xfId="0" applyFont="1" applyFill="1" applyBorder="1" applyAlignment="1">
      <alignment horizontal="center" vertical="center" wrapText="1"/>
    </xf>
    <xf numFmtId="166" fontId="9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" fontId="9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 wrapText="1"/>
    </xf>
    <xf numFmtId="0" fontId="6" fillId="0" borderId="17" xfId="0" applyFont="1" applyBorder="1" applyAlignment="1" applyProtection="1">
      <alignment horizontal="center" vertical="top"/>
      <protection locked="0"/>
    </xf>
    <xf numFmtId="0" fontId="6" fillId="2" borderId="18" xfId="0" applyFont="1" applyFill="1" applyBorder="1" applyAlignment="1" applyProtection="1">
      <alignment horizontal="center" vertical="top"/>
      <protection locked="0"/>
    </xf>
    <xf numFmtId="0" fontId="6" fillId="0" borderId="18" xfId="0" applyFont="1" applyBorder="1" applyAlignment="1" applyProtection="1">
      <alignment horizontal="center" vertical="top"/>
      <protection locked="0"/>
    </xf>
    <xf numFmtId="164" fontId="4" fillId="0" borderId="11" xfId="0" applyNumberFormat="1" applyFont="1" applyBorder="1" applyAlignment="1">
      <alignment horizontal="right" vertical="top" wrapText="1"/>
    </xf>
    <xf numFmtId="164" fontId="4" fillId="0" borderId="12" xfId="0" applyNumberFormat="1" applyFont="1" applyBorder="1" applyAlignment="1">
      <alignment horizontal="right" vertical="top" wrapText="1"/>
    </xf>
    <xf numFmtId="164" fontId="4" fillId="2" borderId="12" xfId="0" applyNumberFormat="1" applyFont="1" applyFill="1" applyBorder="1" applyAlignment="1">
      <alignment horizontal="right" vertical="top" wrapText="1"/>
    </xf>
    <xf numFmtId="165" fontId="13" fillId="7" borderId="20" xfId="0" applyNumberFormat="1" applyFont="1" applyFill="1" applyBorder="1" applyAlignment="1" applyProtection="1">
      <alignment horizontal="center" vertical="center" readingOrder="1"/>
      <protection hidden="1"/>
    </xf>
    <xf numFmtId="0" fontId="12" fillId="0" borderId="21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right" vertical="top"/>
    </xf>
    <xf numFmtId="0" fontId="4" fillId="0" borderId="10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" fontId="4" fillId="0" borderId="6" xfId="0" applyNumberFormat="1" applyFont="1" applyBorder="1" applyAlignment="1">
      <alignment horizontal="center" vertical="top" wrapText="1"/>
    </xf>
    <xf numFmtId="0" fontId="6" fillId="0" borderId="19" xfId="0" applyFont="1" applyBorder="1" applyAlignment="1" applyProtection="1">
      <alignment horizontal="center" vertical="top"/>
      <protection locked="0"/>
    </xf>
    <xf numFmtId="164" fontId="4" fillId="0" borderId="13" xfId="0" applyNumberFormat="1" applyFont="1" applyBorder="1" applyAlignment="1">
      <alignment horizontal="right" vertical="top" wrapText="1"/>
    </xf>
    <xf numFmtId="167" fontId="4" fillId="0" borderId="4" xfId="0" applyNumberFormat="1" applyFont="1" applyBorder="1" applyAlignment="1">
      <alignment horizontal="right" vertical="top"/>
    </xf>
    <xf numFmtId="167" fontId="4" fillId="2" borderId="1" xfId="0" applyNumberFormat="1" applyFont="1" applyFill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167" fontId="4" fillId="2" borderId="1" xfId="0" applyNumberFormat="1" applyFont="1" applyFill="1" applyBorder="1" applyAlignment="1">
      <alignment horizontal="left" vertical="top"/>
    </xf>
    <xf numFmtId="167" fontId="4" fillId="0" borderId="7" xfId="0" applyNumberFormat="1" applyFont="1" applyBorder="1" applyAlignment="1">
      <alignment horizontal="right" vertical="top"/>
    </xf>
    <xf numFmtId="0" fontId="0" fillId="0" borderId="2" xfId="0" applyBorder="1" applyAlignment="1">
      <alignment horizontal="center" vertical="center"/>
    </xf>
    <xf numFmtId="14" fontId="9" fillId="4" borderId="15" xfId="0" applyNumberFormat="1" applyFont="1" applyFill="1" applyBorder="1" applyAlignment="1">
      <alignment horizontal="center" vertical="center" wrapText="1"/>
    </xf>
    <xf numFmtId="14" fontId="9" fillId="4" borderId="1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64" fontId="2" fillId="3" borderId="23" xfId="0" applyNumberFormat="1" applyFont="1" applyFill="1" applyBorder="1" applyAlignment="1">
      <alignment horizontal="center" vertical="center" wrapText="1"/>
    </xf>
    <xf numFmtId="164" fontId="2" fillId="3" borderId="24" xfId="0" applyNumberFormat="1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2293620</xdr:colOff>
      <xdr:row>0</xdr:row>
      <xdr:rowOff>124570</xdr:rowOff>
    </xdr:from>
    <xdr:to>
      <xdr:col>6</xdr:col>
      <xdr:colOff>30480</xdr:colOff>
      <xdr:row>0</xdr:row>
      <xdr:rowOff>719061</xdr:rowOff>
    </xdr:to>
    <xdr:pic>
      <xdr:nvPicPr>
        <xdr:cNvPr id="2" name="Рисунок 1" descr="Sports Research | Home of Sweet Sweat Australia &amp; Quality Supplements –  Sports Research Australia">
          <a:extLst>
            <a:ext uri="{FF2B5EF4-FFF2-40B4-BE49-F238E27FC236}">
              <a16:creationId xmlns:a16="http://schemas.microsoft.com/office/drawing/2014/main" id="{948BF257-028E-491D-A16A-F3A204E49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24570"/>
          <a:ext cx="1630680" cy="594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1884-2D6F-4BF3-8939-ED991204FAB9}">
  <dimension ref="A1:R774"/>
  <sheetViews>
    <sheetView tabSelected="1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K8" sqref="K8"/>
    </sheetView>
  </sheetViews>
  <sheetFormatPr defaultRowHeight="13.2"/>
  <cols>
    <col min="1" max="1" width="14" customWidth="1"/>
    <col min="2" max="2" width="8.21875" bestFit="1" customWidth="1"/>
    <col min="3" max="3" width="10.109375" bestFit="1" customWidth="1"/>
    <col min="4" max="4" width="42.77734375" customWidth="1"/>
    <col min="5" max="7" width="7" style="1" customWidth="1"/>
    <col min="8" max="8" width="12.109375" style="1" customWidth="1"/>
    <col min="9" max="9" width="7.77734375" style="2" customWidth="1"/>
    <col min="10" max="10" width="8.77734375" style="1" bestFit="1" customWidth="1"/>
    <col min="11" max="11" width="13.88671875" customWidth="1"/>
    <col min="13" max="13" width="8.21875" style="31" customWidth="1"/>
    <col min="14" max="14" width="9.33203125" style="31" customWidth="1"/>
    <col min="15" max="15" width="8.88671875" style="31"/>
    <col min="16" max="16" width="9.109375" style="31" customWidth="1"/>
    <col min="17" max="17" width="5.5546875" style="31" customWidth="1"/>
    <col min="18" max="18" width="11" style="41" customWidth="1"/>
  </cols>
  <sheetData>
    <row r="1" spans="1:18" ht="67.8" customHeight="1" thickBot="1">
      <c r="A1" s="69" t="s">
        <v>307</v>
      </c>
      <c r="B1" s="70"/>
      <c r="C1" s="70"/>
      <c r="D1" s="70"/>
      <c r="E1" s="70"/>
      <c r="F1" s="70"/>
      <c r="G1" s="70"/>
      <c r="H1" s="70"/>
      <c r="I1" s="70"/>
      <c r="J1" s="70"/>
      <c r="K1" s="24">
        <v>46042</v>
      </c>
      <c r="M1" s="32" t="s">
        <v>310</v>
      </c>
      <c r="N1" s="67" t="s">
        <v>311</v>
      </c>
      <c r="O1" s="33" t="s">
        <v>309</v>
      </c>
      <c r="P1" s="34" t="s">
        <v>312</v>
      </c>
      <c r="Q1" s="35"/>
      <c r="R1" s="40" t="str">
        <f>IFERROR(IF(SUM(R3:R323)=0, "-", K2+P2), "-")</f>
        <v>-</v>
      </c>
    </row>
    <row r="2" spans="1:18" ht="21" thickBot="1">
      <c r="A2" s="71" t="s">
        <v>163</v>
      </c>
      <c r="B2" s="72" t="s">
        <v>160</v>
      </c>
      <c r="C2" s="72" t="s">
        <v>161</v>
      </c>
      <c r="D2" s="72" t="s">
        <v>162</v>
      </c>
      <c r="E2" s="73" t="s">
        <v>309</v>
      </c>
      <c r="F2" s="73" t="s">
        <v>308</v>
      </c>
      <c r="G2" s="73" t="s">
        <v>164</v>
      </c>
      <c r="H2" s="52" t="s">
        <v>314</v>
      </c>
      <c r="I2" s="72" t="s">
        <v>165</v>
      </c>
      <c r="J2" s="74" t="s">
        <v>166</v>
      </c>
      <c r="K2" s="76">
        <f>SUM(J3:J198)</f>
        <v>0</v>
      </c>
      <c r="L2" s="3"/>
      <c r="M2" s="36"/>
      <c r="N2" s="68"/>
      <c r="O2" s="37" t="str">
        <f>IF(SUM(O3:O323)=0, "-", SUM(O3:O323))</f>
        <v>-</v>
      </c>
      <c r="P2" s="37" t="str">
        <f>IF(SUM(P3:P323)=0, "-", SUM(P3:P323))</f>
        <v>-</v>
      </c>
      <c r="Q2" s="38"/>
      <c r="R2" s="39" t="s">
        <v>313</v>
      </c>
    </row>
    <row r="3" spans="1:18" ht="14.4">
      <c r="A3" s="4" t="s">
        <v>179</v>
      </c>
      <c r="B3" s="5" t="s">
        <v>28</v>
      </c>
      <c r="C3" s="61">
        <v>23249012566</v>
      </c>
      <c r="D3" s="17" t="s">
        <v>180</v>
      </c>
      <c r="E3" s="25">
        <v>7.7924000000000007E-2</v>
      </c>
      <c r="F3" s="28">
        <v>12</v>
      </c>
      <c r="G3" s="20">
        <v>20.216249999999999</v>
      </c>
      <c r="H3" s="53" t="s">
        <v>317</v>
      </c>
      <c r="I3" s="46"/>
      <c r="J3" s="49">
        <f t="shared" ref="J3:J34" si="0">I3*G3</f>
        <v>0</v>
      </c>
      <c r="K3" s="6"/>
      <c r="L3" s="7"/>
      <c r="M3" s="42" t="str">
        <f>IFERROR(IF($M$2*E3=0, "-", $M$2*E3), "-")</f>
        <v>-</v>
      </c>
      <c r="N3" s="42" t="str">
        <f>IFERROR(IF(M3&gt;0,G3+M3,"-"),"-")</f>
        <v>-</v>
      </c>
      <c r="O3" s="43" t="str">
        <f>IF(I3&gt;0,I3*E3, "-")</f>
        <v>-</v>
      </c>
      <c r="P3" s="44" t="str">
        <f>IFERROR(IF($M$2&gt;0, $M$2*O3, "-"), "-")</f>
        <v>-</v>
      </c>
      <c r="Q3" s="35"/>
      <c r="R3" s="45" t="str">
        <f>IFERROR(IF(P3+J3=0, "-", IF(P3&gt;0, P3+J3, "-")), "-")</f>
        <v>-</v>
      </c>
    </row>
    <row r="4" spans="1:18" ht="14.4">
      <c r="A4" s="8" t="s">
        <v>179</v>
      </c>
      <c r="B4" s="9" t="s">
        <v>31</v>
      </c>
      <c r="C4" s="62">
        <v>23249011354</v>
      </c>
      <c r="D4" s="18" t="s">
        <v>183</v>
      </c>
      <c r="E4" s="26">
        <v>0.100188</v>
      </c>
      <c r="F4" s="29">
        <v>12</v>
      </c>
      <c r="G4" s="21">
        <v>22.466249999999999</v>
      </c>
      <c r="H4" s="53" t="s">
        <v>317</v>
      </c>
      <c r="I4" s="47"/>
      <c r="J4" s="51">
        <f t="shared" si="0"/>
        <v>0</v>
      </c>
      <c r="K4" s="6"/>
      <c r="L4" s="7"/>
      <c r="M4" s="42" t="str">
        <f t="shared" ref="M4:M66" si="1">IFERROR(IF($M$2*E4=0, "-", $M$2*E4), "-")</f>
        <v>-</v>
      </c>
      <c r="N4" s="42" t="str">
        <f t="shared" ref="N4:N67" si="2">IFERROR(IF(M4&gt;0,G4+M4,"-"),"-")</f>
        <v>-</v>
      </c>
      <c r="O4" s="43" t="str">
        <f t="shared" ref="O4:O66" si="3">IF(I4&gt;0,I4*E4, "-")</f>
        <v>-</v>
      </c>
      <c r="P4" s="44" t="str">
        <f t="shared" ref="P4:P66" si="4">IFERROR(IF($M$2&gt;0, $M$2*O4, "-"), "-")</f>
        <v>-</v>
      </c>
      <c r="Q4" s="35"/>
      <c r="R4" s="45" t="str">
        <f t="shared" ref="R4:R66" si="5">IFERROR(IF(P4+J4=0, "-", IF(P4&gt;0, P4+J4, "-")), "-")</f>
        <v>-</v>
      </c>
    </row>
    <row r="5" spans="1:18" ht="14.4">
      <c r="A5" s="8" t="s">
        <v>189</v>
      </c>
      <c r="B5" s="9" t="s">
        <v>37</v>
      </c>
      <c r="C5" s="62">
        <v>23249010975</v>
      </c>
      <c r="D5" s="18" t="s">
        <v>0</v>
      </c>
      <c r="E5" s="26">
        <v>0.83489999999999998</v>
      </c>
      <c r="F5" s="29">
        <v>6</v>
      </c>
      <c r="G5" s="21">
        <v>26.966249999999999</v>
      </c>
      <c r="H5" s="53" t="s">
        <v>317</v>
      </c>
      <c r="I5" s="47"/>
      <c r="J5" s="51">
        <f t="shared" si="0"/>
        <v>0</v>
      </c>
      <c r="K5" s="6"/>
      <c r="L5" s="6"/>
      <c r="M5" s="42" t="str">
        <f t="shared" si="1"/>
        <v>-</v>
      </c>
      <c r="N5" s="42" t="str">
        <f t="shared" si="2"/>
        <v>-</v>
      </c>
      <c r="O5" s="43" t="str">
        <f t="shared" si="3"/>
        <v>-</v>
      </c>
      <c r="P5" s="44" t="str">
        <f t="shared" si="4"/>
        <v>-</v>
      </c>
      <c r="Q5" s="35"/>
      <c r="R5" s="45" t="str">
        <f t="shared" si="5"/>
        <v>-</v>
      </c>
    </row>
    <row r="6" spans="1:18" ht="14.4">
      <c r="A6" s="10" t="s">
        <v>189</v>
      </c>
      <c r="B6" s="11" t="s">
        <v>42</v>
      </c>
      <c r="C6" s="63">
        <v>23249010180</v>
      </c>
      <c r="D6" s="19" t="s">
        <v>194</v>
      </c>
      <c r="E6" s="26">
        <v>0.63452399999999998</v>
      </c>
      <c r="F6" s="30">
        <v>6</v>
      </c>
      <c r="G6" s="22">
        <v>24.716249999999999</v>
      </c>
      <c r="H6" s="53" t="s">
        <v>317</v>
      </c>
      <c r="I6" s="48"/>
      <c r="J6" s="50">
        <f t="shared" si="0"/>
        <v>0</v>
      </c>
      <c r="K6" s="6"/>
      <c r="L6" s="6"/>
      <c r="M6" s="42" t="str">
        <f t="shared" si="1"/>
        <v>-</v>
      </c>
      <c r="N6" s="42" t="str">
        <f t="shared" si="2"/>
        <v>-</v>
      </c>
      <c r="O6" s="43" t="str">
        <f t="shared" si="3"/>
        <v>-</v>
      </c>
      <c r="P6" s="44" t="str">
        <f t="shared" si="4"/>
        <v>-</v>
      </c>
      <c r="Q6" s="35"/>
      <c r="R6" s="45" t="str">
        <f t="shared" si="5"/>
        <v>-</v>
      </c>
    </row>
    <row r="7" spans="1:18" ht="14.4">
      <c r="A7" s="8" t="s">
        <v>189</v>
      </c>
      <c r="B7" s="9" t="s">
        <v>43</v>
      </c>
      <c r="C7" s="62">
        <v>23249011781</v>
      </c>
      <c r="D7" s="18" t="s">
        <v>195</v>
      </c>
      <c r="E7" s="26">
        <v>1.1911240000000001</v>
      </c>
      <c r="F7" s="29">
        <v>4</v>
      </c>
      <c r="G7" s="21">
        <v>47.216250000000002</v>
      </c>
      <c r="H7" s="53" t="s">
        <v>317</v>
      </c>
      <c r="I7" s="47"/>
      <c r="J7" s="51">
        <f t="shared" si="0"/>
        <v>0</v>
      </c>
      <c r="K7" s="6"/>
      <c r="L7" s="7"/>
      <c r="M7" s="42" t="str">
        <f t="shared" si="1"/>
        <v>-</v>
      </c>
      <c r="N7" s="42" t="str">
        <f t="shared" si="2"/>
        <v>-</v>
      </c>
      <c r="O7" s="43" t="str">
        <f t="shared" si="3"/>
        <v>-</v>
      </c>
      <c r="P7" s="44" t="str">
        <f t="shared" si="4"/>
        <v>-</v>
      </c>
      <c r="Q7" s="35"/>
      <c r="R7" s="45" t="str">
        <f t="shared" si="5"/>
        <v>-</v>
      </c>
    </row>
    <row r="8" spans="1:18" ht="14.4">
      <c r="A8" s="10" t="s">
        <v>189</v>
      </c>
      <c r="B8" s="11" t="s">
        <v>44</v>
      </c>
      <c r="C8" s="63">
        <v>23249010296</v>
      </c>
      <c r="D8" s="19" t="s">
        <v>1</v>
      </c>
      <c r="E8" s="26">
        <v>0.65678799999999993</v>
      </c>
      <c r="F8" s="30">
        <v>6</v>
      </c>
      <c r="G8" s="22">
        <v>26.966249999999999</v>
      </c>
      <c r="H8" s="53" t="s">
        <v>317</v>
      </c>
      <c r="I8" s="48"/>
      <c r="J8" s="50">
        <f t="shared" si="0"/>
        <v>0</v>
      </c>
      <c r="K8" s="6"/>
      <c r="L8" s="6"/>
      <c r="M8" s="42" t="str">
        <f t="shared" si="1"/>
        <v>-</v>
      </c>
      <c r="N8" s="42" t="str">
        <f t="shared" si="2"/>
        <v>-</v>
      </c>
      <c r="O8" s="43" t="str">
        <f t="shared" si="3"/>
        <v>-</v>
      </c>
      <c r="P8" s="44" t="str">
        <f t="shared" si="4"/>
        <v>-</v>
      </c>
      <c r="Q8" s="35"/>
      <c r="R8" s="45" t="str">
        <f t="shared" si="5"/>
        <v>-</v>
      </c>
    </row>
    <row r="9" spans="1:18" ht="14.4">
      <c r="A9" s="10" t="s">
        <v>189</v>
      </c>
      <c r="B9" s="11" t="s">
        <v>46</v>
      </c>
      <c r="C9" s="63">
        <v>23249013471</v>
      </c>
      <c r="D9" s="19" t="s">
        <v>2</v>
      </c>
      <c r="E9" s="26">
        <v>0.27829999999999999</v>
      </c>
      <c r="F9" s="30">
        <v>12</v>
      </c>
      <c r="G9" s="22">
        <v>17.966250000000002</v>
      </c>
      <c r="H9" s="53" t="s">
        <v>317</v>
      </c>
      <c r="I9" s="48"/>
      <c r="J9" s="50">
        <f t="shared" si="0"/>
        <v>0</v>
      </c>
      <c r="K9" s="6"/>
      <c r="L9" s="6"/>
      <c r="M9" s="42" t="str">
        <f t="shared" si="1"/>
        <v>-</v>
      </c>
      <c r="N9" s="42" t="str">
        <f t="shared" si="2"/>
        <v>-</v>
      </c>
      <c r="O9" s="43" t="str">
        <f t="shared" si="3"/>
        <v>-</v>
      </c>
      <c r="P9" s="44" t="str">
        <f t="shared" si="4"/>
        <v>-</v>
      </c>
      <c r="Q9" s="35"/>
      <c r="R9" s="45" t="str">
        <f t="shared" si="5"/>
        <v>-</v>
      </c>
    </row>
    <row r="10" spans="1:18" ht="14.4">
      <c r="A10" s="8" t="s">
        <v>189</v>
      </c>
      <c r="B10" s="9" t="s">
        <v>47</v>
      </c>
      <c r="C10" s="62">
        <v>23249010814</v>
      </c>
      <c r="D10" s="18" t="s">
        <v>197</v>
      </c>
      <c r="E10" s="26">
        <v>0.47867599999999999</v>
      </c>
      <c r="F10" s="29">
        <v>6</v>
      </c>
      <c r="G10" s="21">
        <v>28.091249999999999</v>
      </c>
      <c r="H10" s="53" t="s">
        <v>317</v>
      </c>
      <c r="I10" s="47"/>
      <c r="J10" s="51">
        <f t="shared" si="0"/>
        <v>0</v>
      </c>
      <c r="K10" s="6"/>
      <c r="L10" s="6"/>
      <c r="M10" s="42" t="str">
        <f t="shared" si="1"/>
        <v>-</v>
      </c>
      <c r="N10" s="42" t="str">
        <f t="shared" si="2"/>
        <v>-</v>
      </c>
      <c r="O10" s="43" t="str">
        <f t="shared" si="3"/>
        <v>-</v>
      </c>
      <c r="P10" s="44" t="str">
        <f t="shared" si="4"/>
        <v>-</v>
      </c>
      <c r="Q10" s="35"/>
      <c r="R10" s="45" t="str">
        <f t="shared" si="5"/>
        <v>-</v>
      </c>
    </row>
    <row r="11" spans="1:18" ht="20.399999999999999">
      <c r="A11" s="8" t="s">
        <v>204</v>
      </c>
      <c r="B11" s="9" t="s">
        <v>62</v>
      </c>
      <c r="C11" s="62">
        <v>23249010500</v>
      </c>
      <c r="D11" s="18" t="s">
        <v>212</v>
      </c>
      <c r="E11" s="26">
        <v>0.400752</v>
      </c>
      <c r="F11" s="29">
        <v>12</v>
      </c>
      <c r="G11" s="21">
        <v>40.466250000000002</v>
      </c>
      <c r="H11" s="53" t="s">
        <v>317</v>
      </c>
      <c r="I11" s="47"/>
      <c r="J11" s="51">
        <f t="shared" si="0"/>
        <v>0</v>
      </c>
      <c r="K11" s="6"/>
      <c r="L11" s="6"/>
      <c r="M11" s="42" t="str">
        <f t="shared" si="1"/>
        <v>-</v>
      </c>
      <c r="N11" s="42" t="str">
        <f t="shared" si="2"/>
        <v>-</v>
      </c>
      <c r="O11" s="43" t="str">
        <f t="shared" si="3"/>
        <v>-</v>
      </c>
      <c r="P11" s="44" t="str">
        <f t="shared" si="4"/>
        <v>-</v>
      </c>
      <c r="Q11" s="35"/>
      <c r="R11" s="45" t="str">
        <f t="shared" si="5"/>
        <v>-</v>
      </c>
    </row>
    <row r="12" spans="1:18" ht="20.399999999999999">
      <c r="A12" s="10" t="s">
        <v>204</v>
      </c>
      <c r="B12" s="11" t="s">
        <v>63</v>
      </c>
      <c r="C12" s="63">
        <v>23249011446</v>
      </c>
      <c r="D12" s="19" t="s">
        <v>213</v>
      </c>
      <c r="E12" s="26">
        <v>8.9055999999999996E-2</v>
      </c>
      <c r="F12" s="30">
        <v>12</v>
      </c>
      <c r="G12" s="22">
        <v>14.591250000000002</v>
      </c>
      <c r="H12" s="53" t="s">
        <v>317</v>
      </c>
      <c r="I12" s="48"/>
      <c r="J12" s="50">
        <f t="shared" si="0"/>
        <v>0</v>
      </c>
      <c r="K12" s="6"/>
      <c r="L12" s="6"/>
      <c r="M12" s="42" t="str">
        <f t="shared" si="1"/>
        <v>-</v>
      </c>
      <c r="N12" s="42" t="str">
        <f t="shared" si="2"/>
        <v>-</v>
      </c>
      <c r="O12" s="43" t="str">
        <f t="shared" si="3"/>
        <v>-</v>
      </c>
      <c r="P12" s="44" t="str">
        <f t="shared" si="4"/>
        <v>-</v>
      </c>
      <c r="Q12" s="35"/>
      <c r="R12" s="45" t="str">
        <f t="shared" si="5"/>
        <v>-</v>
      </c>
    </row>
    <row r="13" spans="1:18" ht="20.399999999999999">
      <c r="A13" s="8" t="s">
        <v>204</v>
      </c>
      <c r="B13" s="9" t="s">
        <v>64</v>
      </c>
      <c r="C13" s="62">
        <v>23249011835</v>
      </c>
      <c r="D13" s="18" t="s">
        <v>214</v>
      </c>
      <c r="E13" s="26">
        <v>0.211508</v>
      </c>
      <c r="F13" s="29">
        <v>12</v>
      </c>
      <c r="G13" s="21">
        <v>22.466249999999999</v>
      </c>
      <c r="H13" s="53" t="s">
        <v>317</v>
      </c>
      <c r="I13" s="47"/>
      <c r="J13" s="51">
        <f t="shared" si="0"/>
        <v>0</v>
      </c>
      <c r="K13" s="6"/>
      <c r="L13" s="6"/>
      <c r="M13" s="42" t="str">
        <f t="shared" si="1"/>
        <v>-</v>
      </c>
      <c r="N13" s="42" t="str">
        <f t="shared" si="2"/>
        <v>-</v>
      </c>
      <c r="O13" s="43" t="str">
        <f t="shared" si="3"/>
        <v>-</v>
      </c>
      <c r="P13" s="44" t="str">
        <f t="shared" si="4"/>
        <v>-</v>
      </c>
      <c r="Q13" s="35"/>
      <c r="R13" s="45" t="str">
        <f t="shared" si="5"/>
        <v>-</v>
      </c>
    </row>
    <row r="14" spans="1:18" ht="20.399999999999999">
      <c r="A14" s="10" t="s">
        <v>204</v>
      </c>
      <c r="B14" s="11" t="s">
        <v>65</v>
      </c>
      <c r="C14" s="63">
        <v>23249091677</v>
      </c>
      <c r="D14" s="19" t="s">
        <v>215</v>
      </c>
      <c r="E14" s="26">
        <v>0.15584800000000001</v>
      </c>
      <c r="F14" s="30">
        <v>12</v>
      </c>
      <c r="G14" s="22">
        <v>20.216249999999999</v>
      </c>
      <c r="H14" s="53" t="s">
        <v>317</v>
      </c>
      <c r="I14" s="48"/>
      <c r="J14" s="50">
        <f t="shared" si="0"/>
        <v>0</v>
      </c>
      <c r="K14" s="6"/>
      <c r="L14" s="6"/>
      <c r="M14" s="42" t="str">
        <f t="shared" si="1"/>
        <v>-</v>
      </c>
      <c r="N14" s="42" t="str">
        <f t="shared" si="2"/>
        <v>-</v>
      </c>
      <c r="O14" s="43" t="str">
        <f t="shared" si="3"/>
        <v>-</v>
      </c>
      <c r="P14" s="44" t="str">
        <f t="shared" si="4"/>
        <v>-</v>
      </c>
      <c r="Q14" s="35"/>
      <c r="R14" s="45" t="str">
        <f t="shared" si="5"/>
        <v>-</v>
      </c>
    </row>
    <row r="15" spans="1:18" ht="14.4">
      <c r="A15" s="10" t="s">
        <v>204</v>
      </c>
      <c r="B15" s="11" t="s">
        <v>67</v>
      </c>
      <c r="C15" s="63">
        <v>23249012825</v>
      </c>
      <c r="D15" s="19" t="s">
        <v>217</v>
      </c>
      <c r="E15" s="26">
        <v>0.27829999999999999</v>
      </c>
      <c r="F15" s="30">
        <v>12</v>
      </c>
      <c r="G15" s="22">
        <v>33.716250000000002</v>
      </c>
      <c r="H15" s="53" t="s">
        <v>317</v>
      </c>
      <c r="I15" s="48"/>
      <c r="J15" s="50">
        <f t="shared" si="0"/>
        <v>0</v>
      </c>
      <c r="K15" s="6"/>
      <c r="L15" s="6"/>
      <c r="M15" s="42" t="str">
        <f t="shared" si="1"/>
        <v>-</v>
      </c>
      <c r="N15" s="42" t="str">
        <f t="shared" si="2"/>
        <v>-</v>
      </c>
      <c r="O15" s="43" t="str">
        <f t="shared" si="3"/>
        <v>-</v>
      </c>
      <c r="P15" s="44" t="str">
        <f t="shared" si="4"/>
        <v>-</v>
      </c>
      <c r="Q15" s="35"/>
      <c r="R15" s="45" t="str">
        <f t="shared" si="5"/>
        <v>-</v>
      </c>
    </row>
    <row r="16" spans="1:18" ht="14.4">
      <c r="A16" s="8" t="s">
        <v>225</v>
      </c>
      <c r="B16" s="9" t="s">
        <v>78</v>
      </c>
      <c r="C16" s="62">
        <v>23249092155</v>
      </c>
      <c r="D16" s="18" t="s">
        <v>230</v>
      </c>
      <c r="E16" s="26">
        <v>8.9055999999999996E-2</v>
      </c>
      <c r="F16" s="29">
        <v>12</v>
      </c>
      <c r="G16" s="21">
        <v>19.091249999999999</v>
      </c>
      <c r="H16" s="53" t="s">
        <v>317</v>
      </c>
      <c r="I16" s="47"/>
      <c r="J16" s="51">
        <f t="shared" si="0"/>
        <v>0</v>
      </c>
      <c r="K16" s="6"/>
      <c r="L16" s="6"/>
      <c r="M16" s="42" t="str">
        <f t="shared" si="1"/>
        <v>-</v>
      </c>
      <c r="N16" s="42" t="str">
        <f t="shared" si="2"/>
        <v>-</v>
      </c>
      <c r="O16" s="43" t="str">
        <f t="shared" si="3"/>
        <v>-</v>
      </c>
      <c r="P16" s="44" t="str">
        <f t="shared" si="4"/>
        <v>-</v>
      </c>
      <c r="Q16" s="35"/>
      <c r="R16" s="45" t="str">
        <f t="shared" si="5"/>
        <v>-</v>
      </c>
    </row>
    <row r="17" spans="1:18" ht="14.4">
      <c r="A17" s="8" t="s">
        <v>237</v>
      </c>
      <c r="B17" s="9" t="s">
        <v>88</v>
      </c>
      <c r="C17" s="62">
        <v>23249012344</v>
      </c>
      <c r="D17" s="18" t="s">
        <v>241</v>
      </c>
      <c r="E17" s="26">
        <v>7.7924000000000007E-2</v>
      </c>
      <c r="F17" s="29">
        <v>12</v>
      </c>
      <c r="G17" s="21">
        <v>28.091249999999999</v>
      </c>
      <c r="H17" s="53" t="s">
        <v>317</v>
      </c>
      <c r="I17" s="47"/>
      <c r="J17" s="51">
        <f t="shared" si="0"/>
        <v>0</v>
      </c>
      <c r="K17" s="6"/>
      <c r="L17" s="6"/>
      <c r="M17" s="42" t="str">
        <f t="shared" si="1"/>
        <v>-</v>
      </c>
      <c r="N17" s="42" t="str">
        <f t="shared" si="2"/>
        <v>-</v>
      </c>
      <c r="O17" s="43" t="str">
        <f t="shared" si="3"/>
        <v>-</v>
      </c>
      <c r="P17" s="44" t="str">
        <f t="shared" si="4"/>
        <v>-</v>
      </c>
      <c r="Q17" s="35"/>
      <c r="R17" s="45" t="str">
        <f t="shared" si="5"/>
        <v>-</v>
      </c>
    </row>
    <row r="18" spans="1:18" ht="14.4">
      <c r="A18" s="10" t="s">
        <v>237</v>
      </c>
      <c r="B18" s="11" t="s">
        <v>89</v>
      </c>
      <c r="C18" s="63">
        <v>23249011347</v>
      </c>
      <c r="D18" s="19" t="s">
        <v>242</v>
      </c>
      <c r="E18" s="26">
        <v>5.5660000000000001E-2</v>
      </c>
      <c r="F18" s="30">
        <v>12</v>
      </c>
      <c r="G18" s="22">
        <v>20.216249999999999</v>
      </c>
      <c r="H18" s="53" t="s">
        <v>317</v>
      </c>
      <c r="I18" s="48"/>
      <c r="J18" s="50">
        <f t="shared" si="0"/>
        <v>0</v>
      </c>
      <c r="K18" s="6"/>
      <c r="L18" s="6"/>
      <c r="M18" s="42" t="str">
        <f t="shared" si="1"/>
        <v>-</v>
      </c>
      <c r="N18" s="42" t="str">
        <f t="shared" si="2"/>
        <v>-</v>
      </c>
      <c r="O18" s="43" t="str">
        <f t="shared" si="3"/>
        <v>-</v>
      </c>
      <c r="P18" s="44" t="str">
        <f t="shared" si="4"/>
        <v>-</v>
      </c>
      <c r="Q18" s="35"/>
      <c r="R18" s="45" t="str">
        <f t="shared" si="5"/>
        <v>-</v>
      </c>
    </row>
    <row r="19" spans="1:18" ht="14.4">
      <c r="A19" s="8" t="s">
        <v>237</v>
      </c>
      <c r="B19" s="9" t="s">
        <v>90</v>
      </c>
      <c r="C19" s="64">
        <v>23249011491</v>
      </c>
      <c r="D19" s="18" t="s">
        <v>243</v>
      </c>
      <c r="E19" s="26">
        <v>5.5660000000000001E-2</v>
      </c>
      <c r="F19" s="29">
        <v>12</v>
      </c>
      <c r="G19" s="21">
        <v>14.591250000000002</v>
      </c>
      <c r="H19" s="53" t="s">
        <v>317</v>
      </c>
      <c r="I19" s="47"/>
      <c r="J19" s="51">
        <f t="shared" si="0"/>
        <v>0</v>
      </c>
      <c r="K19" s="6"/>
      <c r="L19" s="6"/>
      <c r="M19" s="42" t="str">
        <f t="shared" si="1"/>
        <v>-</v>
      </c>
      <c r="N19" s="42" t="str">
        <f t="shared" si="2"/>
        <v>-</v>
      </c>
      <c r="O19" s="43" t="str">
        <f t="shared" si="3"/>
        <v>-</v>
      </c>
      <c r="P19" s="44" t="str">
        <f t="shared" si="4"/>
        <v>-</v>
      </c>
      <c r="Q19" s="35"/>
      <c r="R19" s="45" t="str">
        <f t="shared" si="5"/>
        <v>-</v>
      </c>
    </row>
    <row r="20" spans="1:18" ht="14.4">
      <c r="A20" s="8" t="s">
        <v>237</v>
      </c>
      <c r="B20" s="9" t="s">
        <v>94</v>
      </c>
      <c r="C20" s="62">
        <v>23249090120</v>
      </c>
      <c r="D20" s="18" t="s">
        <v>247</v>
      </c>
      <c r="E20" s="26">
        <v>7.7924000000000007E-2</v>
      </c>
      <c r="F20" s="29">
        <v>12</v>
      </c>
      <c r="G20" s="21">
        <v>11.216250000000002</v>
      </c>
      <c r="H20" s="53" t="s">
        <v>317</v>
      </c>
      <c r="I20" s="47"/>
      <c r="J20" s="51">
        <f t="shared" si="0"/>
        <v>0</v>
      </c>
      <c r="K20" s="6"/>
      <c r="L20" s="6"/>
      <c r="M20" s="42" t="str">
        <f t="shared" si="1"/>
        <v>-</v>
      </c>
      <c r="N20" s="42" t="str">
        <f t="shared" si="2"/>
        <v>-</v>
      </c>
      <c r="O20" s="43" t="str">
        <f t="shared" si="3"/>
        <v>-</v>
      </c>
      <c r="P20" s="44" t="str">
        <f t="shared" si="4"/>
        <v>-</v>
      </c>
      <c r="Q20" s="35"/>
      <c r="R20" s="45" t="str">
        <f t="shared" si="5"/>
        <v>-</v>
      </c>
    </row>
    <row r="21" spans="1:18" ht="14.4">
      <c r="A21" s="8" t="s">
        <v>237</v>
      </c>
      <c r="B21" s="9" t="s">
        <v>98</v>
      </c>
      <c r="C21" s="62">
        <v>23249004363</v>
      </c>
      <c r="D21" s="18" t="s">
        <v>251</v>
      </c>
      <c r="E21" s="26">
        <v>0.17811199999999999</v>
      </c>
      <c r="F21" s="29">
        <v>12</v>
      </c>
      <c r="G21" s="21">
        <v>17.966250000000002</v>
      </c>
      <c r="H21" s="53" t="s">
        <v>317</v>
      </c>
      <c r="I21" s="47"/>
      <c r="J21" s="51">
        <f t="shared" si="0"/>
        <v>0</v>
      </c>
      <c r="K21" s="6"/>
      <c r="L21" s="6"/>
      <c r="M21" s="42" t="str">
        <f t="shared" si="1"/>
        <v>-</v>
      </c>
      <c r="N21" s="42" t="str">
        <f t="shared" si="2"/>
        <v>-</v>
      </c>
      <c r="O21" s="43" t="str">
        <f t="shared" si="3"/>
        <v>-</v>
      </c>
      <c r="P21" s="44" t="str">
        <f t="shared" si="4"/>
        <v>-</v>
      </c>
      <c r="Q21" s="35"/>
      <c r="R21" s="45" t="str">
        <f t="shared" si="5"/>
        <v>-</v>
      </c>
    </row>
    <row r="22" spans="1:18" ht="14.4">
      <c r="A22" s="10" t="s">
        <v>264</v>
      </c>
      <c r="B22" s="11" t="s">
        <v>111</v>
      </c>
      <c r="C22" s="63">
        <v>23249093039</v>
      </c>
      <c r="D22" s="19" t="s">
        <v>265</v>
      </c>
      <c r="E22" s="26">
        <v>0.32282799999999995</v>
      </c>
      <c r="F22" s="30">
        <v>12</v>
      </c>
      <c r="G22" s="22">
        <v>21.341249999999999</v>
      </c>
      <c r="H22" s="53" t="s">
        <v>317</v>
      </c>
      <c r="I22" s="48"/>
      <c r="J22" s="50">
        <f t="shared" si="0"/>
        <v>0</v>
      </c>
      <c r="K22" s="6"/>
      <c r="L22" s="6"/>
      <c r="M22" s="42" t="str">
        <f t="shared" si="1"/>
        <v>-</v>
      </c>
      <c r="N22" s="42" t="str">
        <f t="shared" si="2"/>
        <v>-</v>
      </c>
      <c r="O22" s="43" t="str">
        <f t="shared" si="3"/>
        <v>-</v>
      </c>
      <c r="P22" s="44" t="str">
        <f t="shared" si="4"/>
        <v>-</v>
      </c>
      <c r="Q22" s="35"/>
      <c r="R22" s="45" t="str">
        <f t="shared" si="5"/>
        <v>-</v>
      </c>
    </row>
    <row r="23" spans="1:18" ht="14.4">
      <c r="A23" s="10" t="s">
        <v>264</v>
      </c>
      <c r="B23" s="11" t="s">
        <v>119</v>
      </c>
      <c r="C23" s="63">
        <v>23249090106</v>
      </c>
      <c r="D23" s="19" t="s">
        <v>273</v>
      </c>
      <c r="E23" s="26">
        <v>0.100188</v>
      </c>
      <c r="F23" s="30">
        <v>12</v>
      </c>
      <c r="G23" s="22">
        <v>13.466250000000002</v>
      </c>
      <c r="H23" s="53" t="s">
        <v>317</v>
      </c>
      <c r="I23" s="48"/>
      <c r="J23" s="50">
        <f t="shared" si="0"/>
        <v>0</v>
      </c>
      <c r="K23" s="6"/>
      <c r="L23" s="6"/>
      <c r="M23" s="42" t="str">
        <f t="shared" si="1"/>
        <v>-</v>
      </c>
      <c r="N23" s="42" t="str">
        <f t="shared" si="2"/>
        <v>-</v>
      </c>
      <c r="O23" s="43" t="str">
        <f t="shared" si="3"/>
        <v>-</v>
      </c>
      <c r="P23" s="44" t="str">
        <f t="shared" si="4"/>
        <v>-</v>
      </c>
      <c r="Q23" s="35"/>
      <c r="R23" s="45" t="str">
        <f t="shared" si="5"/>
        <v>-</v>
      </c>
    </row>
    <row r="24" spans="1:18" ht="14.4">
      <c r="A24" s="10" t="s">
        <v>296</v>
      </c>
      <c r="B24" s="11" t="s">
        <v>146</v>
      </c>
      <c r="C24" s="63">
        <v>23249010371</v>
      </c>
      <c r="D24" s="19" t="s">
        <v>301</v>
      </c>
      <c r="E24" s="26">
        <v>0.26716799999999996</v>
      </c>
      <c r="F24" s="30">
        <v>36</v>
      </c>
      <c r="G24" s="22">
        <v>17.966250000000002</v>
      </c>
      <c r="H24" s="53" t="s">
        <v>317</v>
      </c>
      <c r="I24" s="48"/>
      <c r="J24" s="50">
        <f t="shared" si="0"/>
        <v>0</v>
      </c>
      <c r="K24" s="6"/>
      <c r="L24" s="6"/>
      <c r="M24" s="42" t="str">
        <f t="shared" si="1"/>
        <v>-</v>
      </c>
      <c r="N24" s="42" t="str">
        <f t="shared" si="2"/>
        <v>-</v>
      </c>
      <c r="O24" s="43" t="str">
        <f t="shared" si="3"/>
        <v>-</v>
      </c>
      <c r="P24" s="44" t="str">
        <f t="shared" si="4"/>
        <v>-</v>
      </c>
      <c r="Q24" s="35"/>
      <c r="R24" s="45" t="str">
        <f t="shared" si="5"/>
        <v>-</v>
      </c>
    </row>
    <row r="25" spans="1:18" ht="14.4">
      <c r="A25" s="10" t="s">
        <v>303</v>
      </c>
      <c r="B25" s="11" t="s">
        <v>151</v>
      </c>
      <c r="C25" s="63">
        <v>23249010685</v>
      </c>
      <c r="D25" s="19" t="s">
        <v>11</v>
      </c>
      <c r="E25" s="26">
        <v>0.33395999999999998</v>
      </c>
      <c r="F25" s="30">
        <v>12</v>
      </c>
      <c r="G25" s="22">
        <v>19.091249999999999</v>
      </c>
      <c r="H25" s="53" t="s">
        <v>317</v>
      </c>
      <c r="I25" s="48"/>
      <c r="J25" s="50">
        <f t="shared" si="0"/>
        <v>0</v>
      </c>
      <c r="K25" s="6"/>
      <c r="L25" s="6"/>
      <c r="M25" s="42" t="str">
        <f t="shared" si="1"/>
        <v>-</v>
      </c>
      <c r="N25" s="42" t="str">
        <f t="shared" si="2"/>
        <v>-</v>
      </c>
      <c r="O25" s="43" t="str">
        <f t="shared" si="3"/>
        <v>-</v>
      </c>
      <c r="P25" s="44" t="str">
        <f t="shared" si="4"/>
        <v>-</v>
      </c>
      <c r="Q25" s="35"/>
      <c r="R25" s="45" t="str">
        <f t="shared" si="5"/>
        <v>-</v>
      </c>
    </row>
    <row r="26" spans="1:18" ht="14.4">
      <c r="A26" s="8" t="s">
        <v>303</v>
      </c>
      <c r="B26" s="9" t="s">
        <v>153</v>
      </c>
      <c r="C26" s="62">
        <v>23249000099</v>
      </c>
      <c r="D26" s="18" t="s">
        <v>13</v>
      </c>
      <c r="E26" s="26">
        <v>0.32282799999999995</v>
      </c>
      <c r="F26" s="29">
        <v>12</v>
      </c>
      <c r="G26" s="21">
        <v>19.091249999999999</v>
      </c>
      <c r="H26" s="53" t="s">
        <v>317</v>
      </c>
      <c r="I26" s="47"/>
      <c r="J26" s="51">
        <f t="shared" si="0"/>
        <v>0</v>
      </c>
      <c r="K26" s="6"/>
      <c r="L26" s="6"/>
      <c r="M26" s="42" t="str">
        <f t="shared" si="1"/>
        <v>-</v>
      </c>
      <c r="N26" s="42" t="str">
        <f t="shared" si="2"/>
        <v>-</v>
      </c>
      <c r="O26" s="43" t="str">
        <f t="shared" si="3"/>
        <v>-</v>
      </c>
      <c r="P26" s="44" t="str">
        <f t="shared" si="4"/>
        <v>-</v>
      </c>
      <c r="Q26" s="35"/>
      <c r="R26" s="45" t="str">
        <f t="shared" si="5"/>
        <v>-</v>
      </c>
    </row>
    <row r="27" spans="1:18" ht="14.4">
      <c r="A27" s="8" t="s">
        <v>303</v>
      </c>
      <c r="B27" s="9" t="s">
        <v>155</v>
      </c>
      <c r="C27" s="62">
        <v>23249090373</v>
      </c>
      <c r="D27" s="18" t="s">
        <v>15</v>
      </c>
      <c r="E27" s="26">
        <v>0.32282799999999995</v>
      </c>
      <c r="F27" s="29">
        <v>12</v>
      </c>
      <c r="G27" s="21">
        <v>19.091249999999999</v>
      </c>
      <c r="H27" s="53" t="s">
        <v>317</v>
      </c>
      <c r="I27" s="47"/>
      <c r="J27" s="51">
        <f t="shared" si="0"/>
        <v>0</v>
      </c>
      <c r="K27" s="6"/>
      <c r="L27" s="6"/>
      <c r="M27" s="42" t="str">
        <f t="shared" si="1"/>
        <v>-</v>
      </c>
      <c r="N27" s="42" t="str">
        <f t="shared" si="2"/>
        <v>-</v>
      </c>
      <c r="O27" s="43" t="str">
        <f t="shared" si="3"/>
        <v>-</v>
      </c>
      <c r="P27" s="44" t="str">
        <f t="shared" si="4"/>
        <v>-</v>
      </c>
      <c r="Q27" s="35"/>
      <c r="R27" s="45" t="str">
        <f t="shared" si="5"/>
        <v>-</v>
      </c>
    </row>
    <row r="28" spans="1:18" ht="14.4">
      <c r="A28" s="8" t="s">
        <v>170</v>
      </c>
      <c r="B28" s="9" t="s">
        <v>21</v>
      </c>
      <c r="C28" s="62">
        <v>23249091806</v>
      </c>
      <c r="D28" s="18" t="s">
        <v>172</v>
      </c>
      <c r="E28" s="26">
        <v>0.43414799999999998</v>
      </c>
      <c r="F28" s="29">
        <v>12</v>
      </c>
      <c r="G28" s="21">
        <v>15.716250000000002</v>
      </c>
      <c r="H28" s="53" t="s">
        <v>316</v>
      </c>
      <c r="I28" s="47"/>
      <c r="J28" s="51">
        <f t="shared" si="0"/>
        <v>0</v>
      </c>
      <c r="K28" s="6"/>
      <c r="L28" s="6"/>
      <c r="M28" s="42" t="str">
        <f t="shared" si="1"/>
        <v>-</v>
      </c>
      <c r="N28" s="42" t="str">
        <f t="shared" si="2"/>
        <v>-</v>
      </c>
      <c r="O28" s="43" t="str">
        <f t="shared" si="3"/>
        <v>-</v>
      </c>
      <c r="P28" s="44" t="str">
        <f t="shared" si="4"/>
        <v>-</v>
      </c>
      <c r="Q28" s="35"/>
      <c r="R28" s="45" t="str">
        <f t="shared" si="5"/>
        <v>-</v>
      </c>
    </row>
    <row r="29" spans="1:18" ht="14.4">
      <c r="A29" s="10" t="s">
        <v>170</v>
      </c>
      <c r="B29" s="11" t="s">
        <v>26</v>
      </c>
      <c r="C29" s="63">
        <v>23249010173</v>
      </c>
      <c r="D29" s="19" t="s">
        <v>177</v>
      </c>
      <c r="E29" s="26">
        <v>0.100188</v>
      </c>
      <c r="F29" s="30">
        <v>12</v>
      </c>
      <c r="G29" s="22">
        <v>17.966250000000002</v>
      </c>
      <c r="H29" s="53" t="s">
        <v>316</v>
      </c>
      <c r="I29" s="48"/>
      <c r="J29" s="50">
        <f t="shared" si="0"/>
        <v>0</v>
      </c>
      <c r="K29" s="6"/>
      <c r="L29" s="6"/>
      <c r="M29" s="42" t="str">
        <f t="shared" si="1"/>
        <v>-</v>
      </c>
      <c r="N29" s="42" t="str">
        <f t="shared" si="2"/>
        <v>-</v>
      </c>
      <c r="O29" s="43" t="str">
        <f t="shared" si="3"/>
        <v>-</v>
      </c>
      <c r="P29" s="44" t="str">
        <f t="shared" si="4"/>
        <v>-</v>
      </c>
      <c r="Q29" s="35"/>
      <c r="R29" s="45" t="str">
        <f t="shared" si="5"/>
        <v>-</v>
      </c>
    </row>
    <row r="30" spans="1:18" ht="14.4">
      <c r="A30" s="8" t="s">
        <v>170</v>
      </c>
      <c r="B30" s="9" t="s">
        <v>27</v>
      </c>
      <c r="C30" s="62">
        <v>23249091561</v>
      </c>
      <c r="D30" s="18" t="s">
        <v>178</v>
      </c>
      <c r="E30" s="26">
        <v>0.12245199999999999</v>
      </c>
      <c r="F30" s="29">
        <v>12</v>
      </c>
      <c r="G30" s="21">
        <v>16.841250000000002</v>
      </c>
      <c r="H30" s="53" t="s">
        <v>316</v>
      </c>
      <c r="I30" s="47"/>
      <c r="J30" s="51">
        <f t="shared" si="0"/>
        <v>0</v>
      </c>
      <c r="K30" s="6"/>
      <c r="L30" s="6"/>
      <c r="M30" s="42" t="str">
        <f t="shared" si="1"/>
        <v>-</v>
      </c>
      <c r="N30" s="42" t="str">
        <f t="shared" si="2"/>
        <v>-</v>
      </c>
      <c r="O30" s="43" t="str">
        <f t="shared" si="3"/>
        <v>-</v>
      </c>
      <c r="P30" s="44" t="str">
        <f t="shared" si="4"/>
        <v>-</v>
      </c>
      <c r="Q30" s="35"/>
      <c r="R30" s="45" t="str">
        <f t="shared" si="5"/>
        <v>-</v>
      </c>
    </row>
    <row r="31" spans="1:18" ht="14.4">
      <c r="A31" s="8" t="s">
        <v>179</v>
      </c>
      <c r="B31" s="9" t="s">
        <v>29</v>
      </c>
      <c r="C31" s="62">
        <v>23249004554</v>
      </c>
      <c r="D31" s="18" t="s">
        <v>181</v>
      </c>
      <c r="E31" s="26">
        <v>7.7924000000000007E-2</v>
      </c>
      <c r="F31" s="29">
        <v>12</v>
      </c>
      <c r="G31" s="21">
        <v>21.341249999999999</v>
      </c>
      <c r="H31" s="53" t="s">
        <v>316</v>
      </c>
      <c r="I31" s="47"/>
      <c r="J31" s="51">
        <f t="shared" si="0"/>
        <v>0</v>
      </c>
      <c r="K31" s="6"/>
      <c r="L31" s="6"/>
      <c r="M31" s="42" t="str">
        <f t="shared" si="1"/>
        <v>-</v>
      </c>
      <c r="N31" s="42" t="str">
        <f t="shared" si="2"/>
        <v>-</v>
      </c>
      <c r="O31" s="43" t="str">
        <f t="shared" si="3"/>
        <v>-</v>
      </c>
      <c r="P31" s="44" t="str">
        <f t="shared" si="4"/>
        <v>-</v>
      </c>
      <c r="Q31" s="35"/>
      <c r="R31" s="45" t="str">
        <f t="shared" si="5"/>
        <v>-</v>
      </c>
    </row>
    <row r="32" spans="1:18" ht="14.4">
      <c r="A32" s="10" t="s">
        <v>179</v>
      </c>
      <c r="B32" s="11" t="s">
        <v>30</v>
      </c>
      <c r="C32" s="63">
        <v>23249012702</v>
      </c>
      <c r="D32" s="19" t="s">
        <v>182</v>
      </c>
      <c r="E32" s="26">
        <v>0.100188</v>
      </c>
      <c r="F32" s="30">
        <v>12</v>
      </c>
      <c r="G32" s="22">
        <v>20.216249999999999</v>
      </c>
      <c r="H32" s="53" t="s">
        <v>316</v>
      </c>
      <c r="I32" s="48"/>
      <c r="J32" s="50">
        <f t="shared" si="0"/>
        <v>0</v>
      </c>
      <c r="K32" s="6"/>
      <c r="L32" s="6"/>
      <c r="M32" s="42" t="str">
        <f t="shared" si="1"/>
        <v>-</v>
      </c>
      <c r="N32" s="42" t="str">
        <f t="shared" si="2"/>
        <v>-</v>
      </c>
      <c r="O32" s="43" t="str">
        <f t="shared" si="3"/>
        <v>-</v>
      </c>
      <c r="P32" s="44" t="str">
        <f t="shared" si="4"/>
        <v>-</v>
      </c>
      <c r="Q32" s="35"/>
      <c r="R32" s="45" t="str">
        <f t="shared" si="5"/>
        <v>-</v>
      </c>
    </row>
    <row r="33" spans="1:18" ht="14.4">
      <c r="A33" s="8" t="s">
        <v>179</v>
      </c>
      <c r="B33" s="9" t="s">
        <v>33</v>
      </c>
      <c r="C33" s="62">
        <v>23249012108</v>
      </c>
      <c r="D33" s="18" t="s">
        <v>185</v>
      </c>
      <c r="E33" s="26">
        <v>8.9055999999999996E-2</v>
      </c>
      <c r="F33" s="29">
        <v>12</v>
      </c>
      <c r="G33" s="21">
        <v>19.091249999999999</v>
      </c>
      <c r="H33" s="53" t="s">
        <v>316</v>
      </c>
      <c r="I33" s="47"/>
      <c r="J33" s="51">
        <f t="shared" si="0"/>
        <v>0</v>
      </c>
      <c r="K33" s="6"/>
      <c r="L33" s="6"/>
      <c r="M33" s="42" t="str">
        <f t="shared" si="1"/>
        <v>-</v>
      </c>
      <c r="N33" s="42" t="str">
        <f t="shared" si="2"/>
        <v>-</v>
      </c>
      <c r="O33" s="43" t="str">
        <f t="shared" si="3"/>
        <v>-</v>
      </c>
      <c r="P33" s="44" t="str">
        <f t="shared" si="4"/>
        <v>-</v>
      </c>
      <c r="Q33" s="35"/>
      <c r="R33" s="45" t="str">
        <f t="shared" si="5"/>
        <v>-</v>
      </c>
    </row>
    <row r="34" spans="1:18" ht="14.4">
      <c r="A34" s="10" t="s">
        <v>179</v>
      </c>
      <c r="B34" s="11" t="s">
        <v>36</v>
      </c>
      <c r="C34" s="63">
        <v>23249004585</v>
      </c>
      <c r="D34" s="19" t="s">
        <v>188</v>
      </c>
      <c r="E34" s="26">
        <v>0.15584800000000001</v>
      </c>
      <c r="F34" s="30">
        <v>12</v>
      </c>
      <c r="G34" s="22">
        <v>19.091249999999999</v>
      </c>
      <c r="H34" s="53" t="s">
        <v>316</v>
      </c>
      <c r="I34" s="48"/>
      <c r="J34" s="50">
        <f t="shared" si="0"/>
        <v>0</v>
      </c>
      <c r="K34" s="6"/>
      <c r="L34" s="6"/>
      <c r="M34" s="42" t="str">
        <f t="shared" si="1"/>
        <v>-</v>
      </c>
      <c r="N34" s="42" t="str">
        <f t="shared" si="2"/>
        <v>-</v>
      </c>
      <c r="O34" s="43" t="str">
        <f t="shared" si="3"/>
        <v>-</v>
      </c>
      <c r="P34" s="44" t="str">
        <f t="shared" si="4"/>
        <v>-</v>
      </c>
      <c r="Q34" s="35"/>
      <c r="R34" s="45" t="str">
        <f t="shared" si="5"/>
        <v>-</v>
      </c>
    </row>
    <row r="35" spans="1:18" ht="14.4">
      <c r="A35" s="10" t="s">
        <v>189</v>
      </c>
      <c r="B35" s="11" t="s">
        <v>38</v>
      </c>
      <c r="C35" s="63">
        <v>23249011712</v>
      </c>
      <c r="D35" s="19" t="s">
        <v>190</v>
      </c>
      <c r="E35" s="26">
        <v>0.43414799999999998</v>
      </c>
      <c r="F35" s="30">
        <v>6</v>
      </c>
      <c r="G35" s="22">
        <v>26.966249999999999</v>
      </c>
      <c r="H35" s="53" t="s">
        <v>316</v>
      </c>
      <c r="I35" s="48"/>
      <c r="J35" s="50">
        <f t="shared" ref="J35:J65" si="6">I35*G35</f>
        <v>0</v>
      </c>
      <c r="K35" s="6"/>
      <c r="L35" s="6"/>
      <c r="M35" s="42" t="str">
        <f t="shared" si="1"/>
        <v>-</v>
      </c>
      <c r="N35" s="42" t="str">
        <f t="shared" si="2"/>
        <v>-</v>
      </c>
      <c r="O35" s="43" t="str">
        <f t="shared" si="3"/>
        <v>-</v>
      </c>
      <c r="P35" s="44" t="str">
        <f t="shared" si="4"/>
        <v>-</v>
      </c>
      <c r="Q35" s="35"/>
      <c r="R35" s="45" t="str">
        <f t="shared" si="5"/>
        <v>-</v>
      </c>
    </row>
    <row r="36" spans="1:18" ht="14.4">
      <c r="A36" s="8" t="s">
        <v>189</v>
      </c>
      <c r="B36" s="9" t="s">
        <v>49</v>
      </c>
      <c r="C36" s="62">
        <v>23249012726</v>
      </c>
      <c r="D36" s="18" t="s">
        <v>199</v>
      </c>
      <c r="E36" s="26">
        <v>0.12245199999999999</v>
      </c>
      <c r="F36" s="29">
        <v>12</v>
      </c>
      <c r="G36" s="21">
        <v>19.091249999999999</v>
      </c>
      <c r="H36" s="53" t="s">
        <v>316</v>
      </c>
      <c r="I36" s="47"/>
      <c r="J36" s="51">
        <f t="shared" si="6"/>
        <v>0</v>
      </c>
      <c r="K36" s="6"/>
      <c r="L36" s="6"/>
      <c r="M36" s="42" t="str">
        <f t="shared" si="1"/>
        <v>-</v>
      </c>
      <c r="N36" s="42" t="str">
        <f t="shared" si="2"/>
        <v>-</v>
      </c>
      <c r="O36" s="43" t="str">
        <f t="shared" si="3"/>
        <v>-</v>
      </c>
      <c r="P36" s="44" t="str">
        <f t="shared" si="4"/>
        <v>-</v>
      </c>
      <c r="Q36" s="35"/>
      <c r="R36" s="45" t="str">
        <f t="shared" si="5"/>
        <v>-</v>
      </c>
    </row>
    <row r="37" spans="1:18" ht="14.4">
      <c r="A37" s="8" t="s">
        <v>204</v>
      </c>
      <c r="B37" s="9" t="s">
        <v>58</v>
      </c>
      <c r="C37" s="62">
        <v>23249012337</v>
      </c>
      <c r="D37" s="18" t="s">
        <v>208</v>
      </c>
      <c r="E37" s="26">
        <v>0.27829999999999999</v>
      </c>
      <c r="F37" s="29">
        <v>12</v>
      </c>
      <c r="G37" s="21">
        <v>23.591249999999999</v>
      </c>
      <c r="H37" s="53" t="s">
        <v>316</v>
      </c>
      <c r="I37" s="47"/>
      <c r="J37" s="51">
        <f t="shared" si="6"/>
        <v>0</v>
      </c>
      <c r="K37" s="6"/>
      <c r="L37" s="6"/>
      <c r="M37" s="42" t="str">
        <f t="shared" si="1"/>
        <v>-</v>
      </c>
      <c r="N37" s="42" t="str">
        <f t="shared" si="2"/>
        <v>-</v>
      </c>
      <c r="O37" s="43" t="str">
        <f t="shared" si="3"/>
        <v>-</v>
      </c>
      <c r="P37" s="44" t="str">
        <f t="shared" si="4"/>
        <v>-</v>
      </c>
      <c r="Q37" s="35"/>
      <c r="R37" s="45" t="str">
        <f t="shared" si="5"/>
        <v>-</v>
      </c>
    </row>
    <row r="38" spans="1:18" ht="14.4">
      <c r="A38" s="8" t="s">
        <v>204</v>
      </c>
      <c r="B38" s="9" t="s">
        <v>68</v>
      </c>
      <c r="C38" s="62">
        <v>23249011156</v>
      </c>
      <c r="D38" s="18" t="s">
        <v>218</v>
      </c>
      <c r="E38" s="26">
        <v>0.100188</v>
      </c>
      <c r="F38" s="29">
        <v>12</v>
      </c>
      <c r="G38" s="21">
        <v>21.341249999999999</v>
      </c>
      <c r="H38" s="53" t="s">
        <v>316</v>
      </c>
      <c r="I38" s="47"/>
      <c r="J38" s="51">
        <f t="shared" si="6"/>
        <v>0</v>
      </c>
      <c r="K38" s="6"/>
      <c r="L38" s="6"/>
      <c r="M38" s="42" t="str">
        <f t="shared" si="1"/>
        <v>-</v>
      </c>
      <c r="N38" s="42" t="str">
        <f t="shared" si="2"/>
        <v>-</v>
      </c>
      <c r="O38" s="43" t="str">
        <f t="shared" si="3"/>
        <v>-</v>
      </c>
      <c r="P38" s="44" t="str">
        <f t="shared" si="4"/>
        <v>-</v>
      </c>
      <c r="Q38" s="35"/>
      <c r="R38" s="45" t="str">
        <f t="shared" si="5"/>
        <v>-</v>
      </c>
    </row>
    <row r="39" spans="1:18" ht="14.4">
      <c r="A39" s="8" t="s">
        <v>225</v>
      </c>
      <c r="B39" s="9" t="s">
        <v>76</v>
      </c>
      <c r="C39" s="62">
        <v>23249091967</v>
      </c>
      <c r="D39" s="18" t="s">
        <v>228</v>
      </c>
      <c r="E39" s="26">
        <v>8.9055999999999996E-2</v>
      </c>
      <c r="F39" s="29">
        <v>12</v>
      </c>
      <c r="G39" s="21">
        <v>19.091249999999999</v>
      </c>
      <c r="H39" s="53" t="s">
        <v>316</v>
      </c>
      <c r="I39" s="47"/>
      <c r="J39" s="51">
        <f t="shared" si="6"/>
        <v>0</v>
      </c>
      <c r="K39" s="6"/>
      <c r="L39" s="6"/>
      <c r="M39" s="42" t="str">
        <f t="shared" si="1"/>
        <v>-</v>
      </c>
      <c r="N39" s="42" t="str">
        <f t="shared" si="2"/>
        <v>-</v>
      </c>
      <c r="O39" s="43" t="str">
        <f t="shared" si="3"/>
        <v>-</v>
      </c>
      <c r="P39" s="44" t="str">
        <f t="shared" si="4"/>
        <v>-</v>
      </c>
      <c r="Q39" s="35"/>
      <c r="R39" s="45" t="str">
        <f t="shared" si="5"/>
        <v>-</v>
      </c>
    </row>
    <row r="40" spans="1:18" ht="14.4">
      <c r="A40" s="8" t="s">
        <v>225</v>
      </c>
      <c r="B40" s="9" t="s">
        <v>80</v>
      </c>
      <c r="C40" s="62">
        <v>23249010074</v>
      </c>
      <c r="D40" s="18" t="s">
        <v>232</v>
      </c>
      <c r="E40" s="26">
        <v>0.27829999999999999</v>
      </c>
      <c r="F40" s="29">
        <v>12</v>
      </c>
      <c r="G40" s="21">
        <v>20.216249999999999</v>
      </c>
      <c r="H40" s="53" t="s">
        <v>316</v>
      </c>
      <c r="I40" s="47"/>
      <c r="J40" s="51">
        <f t="shared" si="6"/>
        <v>0</v>
      </c>
      <c r="K40" s="6"/>
      <c r="L40" s="6"/>
      <c r="M40" s="42" t="str">
        <f t="shared" si="1"/>
        <v>-</v>
      </c>
      <c r="N40" s="42" t="str">
        <f t="shared" si="2"/>
        <v>-</v>
      </c>
      <c r="O40" s="43" t="str">
        <f t="shared" si="3"/>
        <v>-</v>
      </c>
      <c r="P40" s="44" t="str">
        <f t="shared" si="4"/>
        <v>-</v>
      </c>
      <c r="Q40" s="35"/>
      <c r="R40" s="45" t="str">
        <f t="shared" si="5"/>
        <v>-</v>
      </c>
    </row>
    <row r="41" spans="1:18" ht="14.4">
      <c r="A41" s="10" t="s">
        <v>237</v>
      </c>
      <c r="B41" s="11" t="s">
        <v>85</v>
      </c>
      <c r="C41" s="63">
        <v>23249010159</v>
      </c>
      <c r="D41" s="19" t="s">
        <v>238</v>
      </c>
      <c r="E41" s="26">
        <v>0.100188</v>
      </c>
      <c r="F41" s="30">
        <v>12</v>
      </c>
      <c r="G41" s="22">
        <v>16.841250000000002</v>
      </c>
      <c r="H41" s="53" t="s">
        <v>316</v>
      </c>
      <c r="I41" s="48"/>
      <c r="J41" s="50">
        <f t="shared" si="6"/>
        <v>0</v>
      </c>
      <c r="K41" s="6"/>
      <c r="L41" s="6"/>
      <c r="M41" s="42" t="str">
        <f t="shared" si="1"/>
        <v>-</v>
      </c>
      <c r="N41" s="42" t="str">
        <f t="shared" si="2"/>
        <v>-</v>
      </c>
      <c r="O41" s="43" t="str">
        <f t="shared" si="3"/>
        <v>-</v>
      </c>
      <c r="P41" s="44" t="str">
        <f t="shared" si="4"/>
        <v>-</v>
      </c>
      <c r="Q41" s="35"/>
      <c r="R41" s="45" t="str">
        <f t="shared" si="5"/>
        <v>-</v>
      </c>
    </row>
    <row r="42" spans="1:18" ht="14.4">
      <c r="A42" s="10" t="s">
        <v>237</v>
      </c>
      <c r="B42" s="11" t="s">
        <v>87</v>
      </c>
      <c r="C42" s="63">
        <v>23249090007</v>
      </c>
      <c r="D42" s="19" t="s">
        <v>240</v>
      </c>
      <c r="E42" s="26">
        <v>7.7924000000000007E-2</v>
      </c>
      <c r="F42" s="30">
        <v>12</v>
      </c>
      <c r="G42" s="22">
        <v>14.591250000000002</v>
      </c>
      <c r="H42" s="53" t="s">
        <v>316</v>
      </c>
      <c r="I42" s="48"/>
      <c r="J42" s="50">
        <f t="shared" si="6"/>
        <v>0</v>
      </c>
      <c r="K42" s="6"/>
      <c r="L42" s="6"/>
      <c r="M42" s="42" t="str">
        <f t="shared" si="1"/>
        <v>-</v>
      </c>
      <c r="N42" s="42" t="str">
        <f t="shared" si="2"/>
        <v>-</v>
      </c>
      <c r="O42" s="43" t="str">
        <f t="shared" si="3"/>
        <v>-</v>
      </c>
      <c r="P42" s="44" t="str">
        <f t="shared" si="4"/>
        <v>-</v>
      </c>
      <c r="Q42" s="35"/>
      <c r="R42" s="45" t="str">
        <f t="shared" si="5"/>
        <v>-</v>
      </c>
    </row>
    <row r="43" spans="1:18" ht="14.4">
      <c r="A43" s="10" t="s">
        <v>237</v>
      </c>
      <c r="B43" s="11" t="s">
        <v>91</v>
      </c>
      <c r="C43" s="63">
        <v>23249091912</v>
      </c>
      <c r="D43" s="19" t="s">
        <v>244</v>
      </c>
      <c r="E43" s="26">
        <v>0.14471600000000001</v>
      </c>
      <c r="F43" s="30">
        <v>12</v>
      </c>
      <c r="G43" s="22">
        <v>24.716249999999999</v>
      </c>
      <c r="H43" s="53" t="s">
        <v>316</v>
      </c>
      <c r="I43" s="48"/>
      <c r="J43" s="50">
        <f t="shared" si="6"/>
        <v>0</v>
      </c>
      <c r="K43" s="6"/>
      <c r="L43" s="6"/>
      <c r="M43" s="42" t="str">
        <f t="shared" si="1"/>
        <v>-</v>
      </c>
      <c r="N43" s="42" t="str">
        <f t="shared" si="2"/>
        <v>-</v>
      </c>
      <c r="O43" s="43" t="str">
        <f t="shared" si="3"/>
        <v>-</v>
      </c>
      <c r="P43" s="44" t="str">
        <f t="shared" si="4"/>
        <v>-</v>
      </c>
      <c r="Q43" s="35"/>
      <c r="R43" s="45" t="str">
        <f t="shared" si="5"/>
        <v>-</v>
      </c>
    </row>
    <row r="44" spans="1:18" ht="14.4">
      <c r="A44" s="8" t="s">
        <v>237</v>
      </c>
      <c r="B44" s="9" t="s">
        <v>92</v>
      </c>
      <c r="C44" s="62">
        <v>23249091929</v>
      </c>
      <c r="D44" s="18" t="s">
        <v>245</v>
      </c>
      <c r="E44" s="26">
        <v>7.7924000000000007E-2</v>
      </c>
      <c r="F44" s="29">
        <v>12</v>
      </c>
      <c r="G44" s="21">
        <v>13.466250000000002</v>
      </c>
      <c r="H44" s="53" t="s">
        <v>316</v>
      </c>
      <c r="I44" s="47"/>
      <c r="J44" s="51">
        <f t="shared" si="6"/>
        <v>0</v>
      </c>
      <c r="K44" s="6"/>
      <c r="L44" s="6"/>
      <c r="M44" s="42" t="str">
        <f t="shared" si="1"/>
        <v>-</v>
      </c>
      <c r="N44" s="42" t="str">
        <f t="shared" si="2"/>
        <v>-</v>
      </c>
      <c r="O44" s="43" t="str">
        <f t="shared" si="3"/>
        <v>-</v>
      </c>
      <c r="P44" s="44" t="str">
        <f t="shared" si="4"/>
        <v>-</v>
      </c>
      <c r="Q44" s="35"/>
      <c r="R44" s="45" t="str">
        <f t="shared" si="5"/>
        <v>-</v>
      </c>
    </row>
    <row r="45" spans="1:18" ht="14.4">
      <c r="A45" s="10" t="s">
        <v>237</v>
      </c>
      <c r="B45" s="11" t="s">
        <v>93</v>
      </c>
      <c r="C45" s="63">
        <v>23249090021</v>
      </c>
      <c r="D45" s="19" t="s">
        <v>246</v>
      </c>
      <c r="E45" s="26">
        <v>0.37848799999999999</v>
      </c>
      <c r="F45" s="30">
        <v>12</v>
      </c>
      <c r="G45" s="22">
        <v>19.091249999999999</v>
      </c>
      <c r="H45" s="53" t="s">
        <v>316</v>
      </c>
      <c r="I45" s="48"/>
      <c r="J45" s="50">
        <f t="shared" si="6"/>
        <v>0</v>
      </c>
      <c r="K45" s="6"/>
      <c r="L45" s="6"/>
      <c r="M45" s="42" t="str">
        <f t="shared" si="1"/>
        <v>-</v>
      </c>
      <c r="N45" s="42" t="str">
        <f t="shared" si="2"/>
        <v>-</v>
      </c>
      <c r="O45" s="43" t="str">
        <f t="shared" si="3"/>
        <v>-</v>
      </c>
      <c r="P45" s="44" t="str">
        <f t="shared" si="4"/>
        <v>-</v>
      </c>
      <c r="Q45" s="35"/>
      <c r="R45" s="45" t="str">
        <f t="shared" si="5"/>
        <v>-</v>
      </c>
    </row>
    <row r="46" spans="1:18" ht="14.4">
      <c r="A46" s="8" t="s">
        <v>237</v>
      </c>
      <c r="B46" s="9" t="s">
        <v>96</v>
      </c>
      <c r="C46" s="62">
        <v>23249010319</v>
      </c>
      <c r="D46" s="18" t="s">
        <v>249</v>
      </c>
      <c r="E46" s="26">
        <v>0.17811199999999999</v>
      </c>
      <c r="F46" s="29">
        <v>12</v>
      </c>
      <c r="G46" s="21">
        <v>16.841250000000002</v>
      </c>
      <c r="H46" s="53" t="s">
        <v>316</v>
      </c>
      <c r="I46" s="47"/>
      <c r="J46" s="51">
        <f t="shared" si="6"/>
        <v>0</v>
      </c>
      <c r="K46" s="6"/>
      <c r="L46" s="6"/>
      <c r="M46" s="42" t="str">
        <f t="shared" si="1"/>
        <v>-</v>
      </c>
      <c r="N46" s="42" t="str">
        <f t="shared" si="2"/>
        <v>-</v>
      </c>
      <c r="O46" s="43" t="str">
        <f t="shared" si="3"/>
        <v>-</v>
      </c>
      <c r="P46" s="44" t="str">
        <f t="shared" si="4"/>
        <v>-</v>
      </c>
      <c r="Q46" s="35"/>
      <c r="R46" s="45" t="str">
        <f t="shared" si="5"/>
        <v>-</v>
      </c>
    </row>
    <row r="47" spans="1:18" ht="14.4">
      <c r="A47" s="10" t="s">
        <v>237</v>
      </c>
      <c r="B47" s="11" t="s">
        <v>101</v>
      </c>
      <c r="C47" s="63">
        <v>23249004394</v>
      </c>
      <c r="D47" s="19" t="s">
        <v>254</v>
      </c>
      <c r="E47" s="26">
        <v>5.5660000000000001E-2</v>
      </c>
      <c r="F47" s="30">
        <v>12</v>
      </c>
      <c r="G47" s="22">
        <v>17.966250000000002</v>
      </c>
      <c r="H47" s="53" t="s">
        <v>316</v>
      </c>
      <c r="I47" s="48"/>
      <c r="J47" s="50">
        <f t="shared" si="6"/>
        <v>0</v>
      </c>
      <c r="K47" s="6"/>
      <c r="L47" s="6"/>
      <c r="M47" s="42" t="str">
        <f t="shared" si="1"/>
        <v>-</v>
      </c>
      <c r="N47" s="42" t="str">
        <f t="shared" si="2"/>
        <v>-</v>
      </c>
      <c r="O47" s="43" t="str">
        <f t="shared" si="3"/>
        <v>-</v>
      </c>
      <c r="P47" s="44" t="str">
        <f t="shared" si="4"/>
        <v>-</v>
      </c>
      <c r="Q47" s="35"/>
      <c r="R47" s="45" t="str">
        <f t="shared" si="5"/>
        <v>-</v>
      </c>
    </row>
    <row r="48" spans="1:18" ht="14.4">
      <c r="A48" s="10" t="s">
        <v>257</v>
      </c>
      <c r="B48" s="11" t="s">
        <v>109</v>
      </c>
      <c r="C48" s="63">
        <v>23249010272</v>
      </c>
      <c r="D48" s="19" t="s">
        <v>263</v>
      </c>
      <c r="E48" s="26">
        <v>1.0575399999999999</v>
      </c>
      <c r="F48" s="30">
        <v>6</v>
      </c>
      <c r="G48" s="22">
        <v>25.841249999999999</v>
      </c>
      <c r="H48" s="53" t="s">
        <v>316</v>
      </c>
      <c r="I48" s="48"/>
      <c r="J48" s="50">
        <f t="shared" si="6"/>
        <v>0</v>
      </c>
      <c r="K48" s="6"/>
      <c r="L48" s="6"/>
      <c r="M48" s="42" t="str">
        <f t="shared" si="1"/>
        <v>-</v>
      </c>
      <c r="N48" s="42" t="str">
        <f t="shared" si="2"/>
        <v>-</v>
      </c>
      <c r="O48" s="43" t="str">
        <f t="shared" si="3"/>
        <v>-</v>
      </c>
      <c r="P48" s="44" t="str">
        <f t="shared" si="4"/>
        <v>-</v>
      </c>
      <c r="Q48" s="35"/>
      <c r="R48" s="45" t="str">
        <f t="shared" si="5"/>
        <v>-</v>
      </c>
    </row>
    <row r="49" spans="1:18" ht="14.4">
      <c r="A49" s="8" t="s">
        <v>264</v>
      </c>
      <c r="B49" s="9" t="s">
        <v>112</v>
      </c>
      <c r="C49" s="62">
        <v>23249092216</v>
      </c>
      <c r="D49" s="18" t="s">
        <v>266</v>
      </c>
      <c r="E49" s="26">
        <v>0.16697999999999999</v>
      </c>
      <c r="F49" s="29">
        <v>12</v>
      </c>
      <c r="G49" s="21">
        <v>16.841250000000002</v>
      </c>
      <c r="H49" s="53" t="s">
        <v>316</v>
      </c>
      <c r="I49" s="47"/>
      <c r="J49" s="51">
        <f t="shared" si="6"/>
        <v>0</v>
      </c>
      <c r="K49" s="6"/>
      <c r="L49" s="6"/>
      <c r="M49" s="42" t="str">
        <f t="shared" si="1"/>
        <v>-</v>
      </c>
      <c r="N49" s="42" t="str">
        <f t="shared" si="2"/>
        <v>-</v>
      </c>
      <c r="O49" s="43" t="str">
        <f t="shared" si="3"/>
        <v>-</v>
      </c>
      <c r="P49" s="44" t="str">
        <f t="shared" si="4"/>
        <v>-</v>
      </c>
      <c r="Q49" s="35"/>
      <c r="R49" s="45" t="str">
        <f t="shared" si="5"/>
        <v>-</v>
      </c>
    </row>
    <row r="50" spans="1:18" ht="14.4">
      <c r="A50" s="10" t="s">
        <v>264</v>
      </c>
      <c r="B50" s="11" t="s">
        <v>117</v>
      </c>
      <c r="C50" s="63">
        <v>23249091943</v>
      </c>
      <c r="D50" s="19" t="s">
        <v>271</v>
      </c>
      <c r="E50" s="26">
        <v>0.12245199999999999</v>
      </c>
      <c r="F50" s="30">
        <v>12</v>
      </c>
      <c r="G50" s="22">
        <v>12.341250000000002</v>
      </c>
      <c r="H50" s="53" t="s">
        <v>316</v>
      </c>
      <c r="I50" s="48"/>
      <c r="J50" s="50">
        <f t="shared" si="6"/>
        <v>0</v>
      </c>
      <c r="K50" s="6"/>
      <c r="L50" s="6"/>
      <c r="M50" s="42" t="str">
        <f t="shared" si="1"/>
        <v>-</v>
      </c>
      <c r="N50" s="42" t="str">
        <f t="shared" si="2"/>
        <v>-</v>
      </c>
      <c r="O50" s="43" t="str">
        <f t="shared" si="3"/>
        <v>-</v>
      </c>
      <c r="P50" s="44" t="str">
        <f t="shared" si="4"/>
        <v>-</v>
      </c>
      <c r="Q50" s="35"/>
      <c r="R50" s="45" t="str">
        <f t="shared" si="5"/>
        <v>-</v>
      </c>
    </row>
    <row r="51" spans="1:18" ht="14.4">
      <c r="A51" s="8" t="s">
        <v>264</v>
      </c>
      <c r="B51" s="9" t="s">
        <v>118</v>
      </c>
      <c r="C51" s="62">
        <v>23249091936</v>
      </c>
      <c r="D51" s="18" t="s">
        <v>272</v>
      </c>
      <c r="E51" s="26">
        <v>0.17811199999999999</v>
      </c>
      <c r="F51" s="29">
        <v>12</v>
      </c>
      <c r="G51" s="21">
        <v>22.466249999999999</v>
      </c>
      <c r="H51" s="53" t="s">
        <v>316</v>
      </c>
      <c r="I51" s="47"/>
      <c r="J51" s="51">
        <f t="shared" si="6"/>
        <v>0</v>
      </c>
      <c r="K51" s="6"/>
      <c r="L51" s="6"/>
      <c r="M51" s="42" t="str">
        <f t="shared" si="1"/>
        <v>-</v>
      </c>
      <c r="N51" s="42" t="str">
        <f t="shared" si="2"/>
        <v>-</v>
      </c>
      <c r="O51" s="43" t="str">
        <f t="shared" si="3"/>
        <v>-</v>
      </c>
      <c r="P51" s="44" t="str">
        <f t="shared" si="4"/>
        <v>-</v>
      </c>
      <c r="Q51" s="35"/>
      <c r="R51" s="45" t="str">
        <f t="shared" si="5"/>
        <v>-</v>
      </c>
    </row>
    <row r="52" spans="1:18" ht="14.4">
      <c r="A52" s="8" t="s">
        <v>296</v>
      </c>
      <c r="B52" s="9" t="s">
        <v>147</v>
      </c>
      <c r="C52" s="62">
        <v>23249004325</v>
      </c>
      <c r="D52" s="18" t="s">
        <v>302</v>
      </c>
      <c r="E52" s="26">
        <v>0.45641199999999998</v>
      </c>
      <c r="F52" s="29">
        <v>36</v>
      </c>
      <c r="G52" s="21">
        <v>17.966250000000002</v>
      </c>
      <c r="H52" s="53" t="s">
        <v>316</v>
      </c>
      <c r="I52" s="47"/>
      <c r="J52" s="51">
        <f t="shared" si="6"/>
        <v>0</v>
      </c>
      <c r="K52" s="6"/>
      <c r="L52" s="6"/>
      <c r="M52" s="42" t="str">
        <f t="shared" si="1"/>
        <v>-</v>
      </c>
      <c r="N52" s="42" t="str">
        <f t="shared" si="2"/>
        <v>-</v>
      </c>
      <c r="O52" s="43" t="str">
        <f t="shared" si="3"/>
        <v>-</v>
      </c>
      <c r="P52" s="44" t="str">
        <f t="shared" si="4"/>
        <v>-</v>
      </c>
      <c r="Q52" s="35"/>
      <c r="R52" s="45" t="str">
        <f t="shared" si="5"/>
        <v>-</v>
      </c>
    </row>
    <row r="53" spans="1:18" ht="14.4">
      <c r="A53" s="10" t="s">
        <v>303</v>
      </c>
      <c r="B53" s="11" t="s">
        <v>150</v>
      </c>
      <c r="C53" s="63">
        <v>23249010050</v>
      </c>
      <c r="D53" s="19" t="s">
        <v>10</v>
      </c>
      <c r="E53" s="26">
        <v>0.47867599999999999</v>
      </c>
      <c r="F53" s="30">
        <v>12</v>
      </c>
      <c r="G53" s="22">
        <v>30.341249999999999</v>
      </c>
      <c r="H53" s="53" t="s">
        <v>316</v>
      </c>
      <c r="I53" s="48"/>
      <c r="J53" s="50">
        <f t="shared" si="6"/>
        <v>0</v>
      </c>
      <c r="K53" s="6"/>
      <c r="L53" s="6"/>
      <c r="M53" s="42" t="str">
        <f t="shared" si="1"/>
        <v>-</v>
      </c>
      <c r="N53" s="42" t="str">
        <f t="shared" si="2"/>
        <v>-</v>
      </c>
      <c r="O53" s="43" t="str">
        <f t="shared" si="3"/>
        <v>-</v>
      </c>
      <c r="P53" s="44" t="str">
        <f t="shared" si="4"/>
        <v>-</v>
      </c>
      <c r="Q53" s="35"/>
      <c r="R53" s="45" t="str">
        <f t="shared" si="5"/>
        <v>-</v>
      </c>
    </row>
    <row r="54" spans="1:18" ht="14.4">
      <c r="A54" s="10" t="s">
        <v>303</v>
      </c>
      <c r="B54" s="11" t="s">
        <v>152</v>
      </c>
      <c r="C54" s="63">
        <v>23249000013</v>
      </c>
      <c r="D54" s="19" t="s">
        <v>12</v>
      </c>
      <c r="E54" s="26">
        <v>0.27829999999999999</v>
      </c>
      <c r="F54" s="30">
        <v>12</v>
      </c>
      <c r="G54" s="22">
        <v>19.091249999999999</v>
      </c>
      <c r="H54" s="53" t="s">
        <v>316</v>
      </c>
      <c r="I54" s="48"/>
      <c r="J54" s="50">
        <f t="shared" si="6"/>
        <v>0</v>
      </c>
      <c r="K54" s="6"/>
      <c r="L54" s="6"/>
      <c r="M54" s="42" t="str">
        <f t="shared" si="1"/>
        <v>-</v>
      </c>
      <c r="N54" s="42" t="str">
        <f t="shared" si="2"/>
        <v>-</v>
      </c>
      <c r="O54" s="43" t="str">
        <f t="shared" si="3"/>
        <v>-</v>
      </c>
      <c r="P54" s="44" t="str">
        <f t="shared" si="4"/>
        <v>-</v>
      </c>
      <c r="Q54" s="35"/>
      <c r="R54" s="45" t="str">
        <f t="shared" si="5"/>
        <v>-</v>
      </c>
    </row>
    <row r="55" spans="1:18" ht="14.4">
      <c r="A55" s="10" t="s">
        <v>170</v>
      </c>
      <c r="B55" s="11" t="s">
        <v>20</v>
      </c>
      <c r="C55" s="63">
        <v>23249091813</v>
      </c>
      <c r="D55" s="19" t="s">
        <v>171</v>
      </c>
      <c r="E55" s="26">
        <v>0.67905199999999999</v>
      </c>
      <c r="F55" s="30">
        <v>6</v>
      </c>
      <c r="G55" s="22">
        <v>22.466249999999999</v>
      </c>
      <c r="H55" s="53" t="s">
        <v>315</v>
      </c>
      <c r="I55" s="48"/>
      <c r="J55" s="50">
        <f t="shared" si="6"/>
        <v>0</v>
      </c>
      <c r="K55" s="6"/>
      <c r="L55" s="6"/>
      <c r="M55" s="42" t="str">
        <f t="shared" si="1"/>
        <v>-</v>
      </c>
      <c r="N55" s="42" t="str">
        <f t="shared" si="2"/>
        <v>-</v>
      </c>
      <c r="O55" s="43" t="str">
        <f t="shared" si="3"/>
        <v>-</v>
      </c>
      <c r="P55" s="44" t="str">
        <f t="shared" si="4"/>
        <v>-</v>
      </c>
      <c r="Q55" s="35"/>
      <c r="R55" s="45" t="str">
        <f t="shared" si="5"/>
        <v>-</v>
      </c>
    </row>
    <row r="56" spans="1:18" ht="14.4">
      <c r="A56" s="10" t="s">
        <v>170</v>
      </c>
      <c r="B56" s="11" t="s">
        <v>22</v>
      </c>
      <c r="C56" s="63">
        <v>23249091882</v>
      </c>
      <c r="D56" s="19" t="s">
        <v>173</v>
      </c>
      <c r="E56" s="26">
        <v>0.67905199999999999</v>
      </c>
      <c r="F56" s="30">
        <v>6</v>
      </c>
      <c r="G56" s="22">
        <v>29.216249999999999</v>
      </c>
      <c r="H56" s="53" t="s">
        <v>315</v>
      </c>
      <c r="I56" s="48"/>
      <c r="J56" s="50">
        <f t="shared" si="6"/>
        <v>0</v>
      </c>
      <c r="K56" s="6"/>
      <c r="L56" s="6"/>
      <c r="M56" s="42" t="str">
        <f t="shared" si="1"/>
        <v>-</v>
      </c>
      <c r="N56" s="42" t="str">
        <f t="shared" si="2"/>
        <v>-</v>
      </c>
      <c r="O56" s="43" t="str">
        <f t="shared" si="3"/>
        <v>-</v>
      </c>
      <c r="P56" s="44" t="str">
        <f t="shared" si="4"/>
        <v>-</v>
      </c>
      <c r="Q56" s="35"/>
      <c r="R56" s="45" t="str">
        <f t="shared" si="5"/>
        <v>-</v>
      </c>
    </row>
    <row r="57" spans="1:18" ht="14.4">
      <c r="A57" s="8" t="s">
        <v>170</v>
      </c>
      <c r="B57" s="9" t="s">
        <v>23</v>
      </c>
      <c r="C57" s="62">
        <v>23249091646</v>
      </c>
      <c r="D57" s="18" t="s">
        <v>174</v>
      </c>
      <c r="E57" s="26">
        <v>0.43414799999999998</v>
      </c>
      <c r="F57" s="29">
        <v>12</v>
      </c>
      <c r="G57" s="21">
        <v>16.841250000000002</v>
      </c>
      <c r="H57" s="53" t="s">
        <v>315</v>
      </c>
      <c r="I57" s="47"/>
      <c r="J57" s="51">
        <f t="shared" si="6"/>
        <v>0</v>
      </c>
      <c r="K57" s="6"/>
      <c r="L57" s="6"/>
      <c r="M57" s="42" t="str">
        <f t="shared" si="1"/>
        <v>-</v>
      </c>
      <c r="N57" s="42" t="str">
        <f t="shared" si="2"/>
        <v>-</v>
      </c>
      <c r="O57" s="43" t="str">
        <f t="shared" si="3"/>
        <v>-</v>
      </c>
      <c r="P57" s="44" t="str">
        <f t="shared" si="4"/>
        <v>-</v>
      </c>
      <c r="Q57" s="35"/>
      <c r="R57" s="45" t="str">
        <f t="shared" si="5"/>
        <v>-</v>
      </c>
    </row>
    <row r="58" spans="1:18" ht="14.4">
      <c r="A58" s="10" t="s">
        <v>170</v>
      </c>
      <c r="B58" s="11" t="s">
        <v>24</v>
      </c>
      <c r="C58" s="63">
        <v>23249012269</v>
      </c>
      <c r="D58" s="19" t="s">
        <v>175</v>
      </c>
      <c r="E58" s="26">
        <v>0.12245199999999999</v>
      </c>
      <c r="F58" s="30">
        <v>12</v>
      </c>
      <c r="G58" s="22">
        <v>19.091249999999999</v>
      </c>
      <c r="H58" s="53" t="s">
        <v>315</v>
      </c>
      <c r="I58" s="48"/>
      <c r="J58" s="50">
        <f t="shared" si="6"/>
        <v>0</v>
      </c>
      <c r="K58" s="6"/>
      <c r="L58" s="6"/>
      <c r="M58" s="42" t="str">
        <f t="shared" si="1"/>
        <v>-</v>
      </c>
      <c r="N58" s="42" t="str">
        <f t="shared" si="2"/>
        <v>-</v>
      </c>
      <c r="O58" s="43" t="str">
        <f t="shared" si="3"/>
        <v>-</v>
      </c>
      <c r="P58" s="44" t="str">
        <f t="shared" si="4"/>
        <v>-</v>
      </c>
      <c r="Q58" s="35"/>
      <c r="R58" s="45" t="str">
        <f t="shared" si="5"/>
        <v>-</v>
      </c>
    </row>
    <row r="59" spans="1:18" ht="14.4">
      <c r="A59" s="8" t="s">
        <v>170</v>
      </c>
      <c r="B59" s="9" t="s">
        <v>25</v>
      </c>
      <c r="C59" s="62">
        <v>23249091905</v>
      </c>
      <c r="D59" s="18" t="s">
        <v>176</v>
      </c>
      <c r="E59" s="26">
        <v>0.17811199999999999</v>
      </c>
      <c r="F59" s="29">
        <v>12</v>
      </c>
      <c r="G59" s="21">
        <v>33.716250000000002</v>
      </c>
      <c r="H59" s="53" t="s">
        <v>315</v>
      </c>
      <c r="I59" s="47"/>
      <c r="J59" s="51">
        <f t="shared" si="6"/>
        <v>0</v>
      </c>
      <c r="K59" s="6"/>
      <c r="L59" s="6"/>
      <c r="M59" s="42" t="str">
        <f t="shared" si="1"/>
        <v>-</v>
      </c>
      <c r="N59" s="42" t="str">
        <f t="shared" si="2"/>
        <v>-</v>
      </c>
      <c r="O59" s="43" t="str">
        <f t="shared" si="3"/>
        <v>-</v>
      </c>
      <c r="P59" s="44" t="str">
        <f t="shared" si="4"/>
        <v>-</v>
      </c>
      <c r="Q59" s="35"/>
      <c r="R59" s="45" t="str">
        <f t="shared" si="5"/>
        <v>-</v>
      </c>
    </row>
    <row r="60" spans="1:18" ht="14.4">
      <c r="A60" s="10" t="s">
        <v>179</v>
      </c>
      <c r="B60" s="11" t="s">
        <v>32</v>
      </c>
      <c r="C60" s="63">
        <v>23249091653</v>
      </c>
      <c r="D60" s="19" t="s">
        <v>184</v>
      </c>
      <c r="E60" s="26">
        <v>0.12245199999999999</v>
      </c>
      <c r="F60" s="30">
        <v>12</v>
      </c>
      <c r="G60" s="22">
        <v>41.591250000000002</v>
      </c>
      <c r="H60" s="53" t="s">
        <v>315</v>
      </c>
      <c r="I60" s="48"/>
      <c r="J60" s="50">
        <f t="shared" si="6"/>
        <v>0</v>
      </c>
      <c r="K60" s="6"/>
      <c r="L60" s="6"/>
      <c r="M60" s="42" t="str">
        <f t="shared" si="1"/>
        <v>-</v>
      </c>
      <c r="N60" s="42" t="str">
        <f t="shared" si="2"/>
        <v>-</v>
      </c>
      <c r="O60" s="43" t="str">
        <f t="shared" si="3"/>
        <v>-</v>
      </c>
      <c r="P60" s="44" t="str">
        <f t="shared" si="4"/>
        <v>-</v>
      </c>
      <c r="Q60" s="35"/>
      <c r="R60" s="45" t="str">
        <f t="shared" si="5"/>
        <v>-</v>
      </c>
    </row>
    <row r="61" spans="1:18" ht="14.4">
      <c r="A61" s="10" t="s">
        <v>179</v>
      </c>
      <c r="B61" s="11" t="s">
        <v>34</v>
      </c>
      <c r="C61" s="63">
        <v>23249091509</v>
      </c>
      <c r="D61" s="19" t="s">
        <v>186</v>
      </c>
      <c r="E61" s="26">
        <v>0.27829999999999999</v>
      </c>
      <c r="F61" s="30">
        <v>12</v>
      </c>
      <c r="G61" s="22">
        <v>28.091249999999999</v>
      </c>
      <c r="H61" s="53" t="s">
        <v>315</v>
      </c>
      <c r="I61" s="48"/>
      <c r="J61" s="50">
        <f t="shared" si="6"/>
        <v>0</v>
      </c>
      <c r="K61" s="6"/>
      <c r="L61" s="6"/>
      <c r="M61" s="42" t="str">
        <f t="shared" si="1"/>
        <v>-</v>
      </c>
      <c r="N61" s="42" t="str">
        <f t="shared" si="2"/>
        <v>-</v>
      </c>
      <c r="O61" s="43" t="str">
        <f t="shared" si="3"/>
        <v>-</v>
      </c>
      <c r="P61" s="44" t="str">
        <f t="shared" si="4"/>
        <v>-</v>
      </c>
      <c r="Q61" s="35"/>
      <c r="R61" s="45" t="str">
        <f t="shared" si="5"/>
        <v>-</v>
      </c>
    </row>
    <row r="62" spans="1:18" ht="14.4">
      <c r="A62" s="8" t="s">
        <v>179</v>
      </c>
      <c r="B62" s="9" t="s">
        <v>35</v>
      </c>
      <c r="C62" s="62">
        <v>23249000839</v>
      </c>
      <c r="D62" s="18" t="s">
        <v>187</v>
      </c>
      <c r="E62" s="26">
        <v>0.27829999999999999</v>
      </c>
      <c r="F62" s="29">
        <v>12</v>
      </c>
      <c r="G62" s="21">
        <v>26.966249999999999</v>
      </c>
      <c r="H62" s="53" t="s">
        <v>315</v>
      </c>
      <c r="I62" s="47"/>
      <c r="J62" s="51">
        <f t="shared" si="6"/>
        <v>0</v>
      </c>
      <c r="K62" s="6"/>
      <c r="L62" s="6"/>
      <c r="M62" s="42" t="str">
        <f t="shared" si="1"/>
        <v>-</v>
      </c>
      <c r="N62" s="42" t="str">
        <f t="shared" si="2"/>
        <v>-</v>
      </c>
      <c r="O62" s="43" t="str">
        <f t="shared" si="3"/>
        <v>-</v>
      </c>
      <c r="P62" s="44" t="str">
        <f t="shared" si="4"/>
        <v>-</v>
      </c>
      <c r="Q62" s="35"/>
      <c r="R62" s="45" t="str">
        <f t="shared" si="5"/>
        <v>-</v>
      </c>
    </row>
    <row r="63" spans="1:18" ht="14.4">
      <c r="A63" s="8" t="s">
        <v>189</v>
      </c>
      <c r="B63" s="9" t="s">
        <v>39</v>
      </c>
      <c r="C63" s="62">
        <v>23249092186</v>
      </c>
      <c r="D63" s="18" t="s">
        <v>191</v>
      </c>
      <c r="E63" s="26">
        <v>0.66791999999999996</v>
      </c>
      <c r="F63" s="29">
        <v>6</v>
      </c>
      <c r="G63" s="21">
        <v>33.716250000000002</v>
      </c>
      <c r="H63" s="53" t="s">
        <v>315</v>
      </c>
      <c r="I63" s="47"/>
      <c r="J63" s="51">
        <f t="shared" si="6"/>
        <v>0</v>
      </c>
      <c r="K63" s="6"/>
      <c r="L63" s="6"/>
      <c r="M63" s="42" t="str">
        <f t="shared" si="1"/>
        <v>-</v>
      </c>
      <c r="N63" s="42" t="str">
        <f t="shared" si="2"/>
        <v>-</v>
      </c>
      <c r="O63" s="43" t="str">
        <f t="shared" si="3"/>
        <v>-</v>
      </c>
      <c r="P63" s="44" t="str">
        <f t="shared" si="4"/>
        <v>-</v>
      </c>
      <c r="Q63" s="35"/>
      <c r="R63" s="45" t="str">
        <f t="shared" si="5"/>
        <v>-</v>
      </c>
    </row>
    <row r="64" spans="1:18" ht="14.4">
      <c r="A64" s="10" t="s">
        <v>189</v>
      </c>
      <c r="B64" s="11" t="s">
        <v>40</v>
      </c>
      <c r="C64" s="63">
        <v>23249091776</v>
      </c>
      <c r="D64" s="19" t="s">
        <v>192</v>
      </c>
      <c r="E64" s="26">
        <v>0.43414799999999998</v>
      </c>
      <c r="F64" s="30">
        <v>6</v>
      </c>
      <c r="G64" s="22">
        <v>30.341249999999999</v>
      </c>
      <c r="H64" s="53" t="s">
        <v>315</v>
      </c>
      <c r="I64" s="48"/>
      <c r="J64" s="50">
        <f t="shared" si="6"/>
        <v>0</v>
      </c>
      <c r="K64" s="6"/>
      <c r="L64" s="6"/>
      <c r="M64" s="42" t="str">
        <f t="shared" si="1"/>
        <v>-</v>
      </c>
      <c r="N64" s="42" t="str">
        <f t="shared" si="2"/>
        <v>-</v>
      </c>
      <c r="O64" s="43" t="str">
        <f t="shared" si="3"/>
        <v>-</v>
      </c>
      <c r="P64" s="44" t="str">
        <f t="shared" si="4"/>
        <v>-</v>
      </c>
      <c r="Q64" s="35"/>
      <c r="R64" s="45" t="str">
        <f t="shared" si="5"/>
        <v>-</v>
      </c>
    </row>
    <row r="65" spans="1:18" ht="14.4">
      <c r="A65" s="8" t="s">
        <v>189</v>
      </c>
      <c r="B65" s="9" t="s">
        <v>41</v>
      </c>
      <c r="C65" s="62">
        <v>23249010913</v>
      </c>
      <c r="D65" s="18" t="s">
        <v>193</v>
      </c>
      <c r="E65" s="26">
        <v>0.61226000000000003</v>
      </c>
      <c r="F65" s="29">
        <v>12</v>
      </c>
      <c r="G65" s="21">
        <v>24.716249999999999</v>
      </c>
      <c r="H65" s="53" t="s">
        <v>315</v>
      </c>
      <c r="I65" s="47"/>
      <c r="J65" s="51">
        <f t="shared" si="6"/>
        <v>0</v>
      </c>
      <c r="K65" s="6"/>
      <c r="L65" s="6"/>
      <c r="M65" s="42" t="str">
        <f t="shared" si="1"/>
        <v>-</v>
      </c>
      <c r="N65" s="42" t="str">
        <f t="shared" si="2"/>
        <v>-</v>
      </c>
      <c r="O65" s="43" t="str">
        <f t="shared" si="3"/>
        <v>-</v>
      </c>
      <c r="P65" s="44" t="str">
        <f t="shared" si="4"/>
        <v>-</v>
      </c>
      <c r="Q65" s="35"/>
      <c r="R65" s="45" t="str">
        <f t="shared" si="5"/>
        <v>-</v>
      </c>
    </row>
    <row r="66" spans="1:18" ht="14.4">
      <c r="A66" s="10" t="s">
        <v>189</v>
      </c>
      <c r="B66" s="11" t="s">
        <v>48</v>
      </c>
      <c r="C66" s="63">
        <v>23249091820</v>
      </c>
      <c r="D66" s="19" t="s">
        <v>198</v>
      </c>
      <c r="E66" s="26">
        <v>0.57886400000000005</v>
      </c>
      <c r="F66" s="30">
        <v>6</v>
      </c>
      <c r="G66" s="22">
        <v>30.341249999999999</v>
      </c>
      <c r="H66" s="53" t="s">
        <v>315</v>
      </c>
      <c r="I66" s="48"/>
      <c r="J66" s="50">
        <f t="shared" ref="J66:J96" si="7">I66*G66</f>
        <v>0</v>
      </c>
      <c r="K66" s="6"/>
      <c r="L66" s="6"/>
      <c r="M66" s="42" t="str">
        <f t="shared" si="1"/>
        <v>-</v>
      </c>
      <c r="N66" s="42" t="str">
        <f t="shared" si="2"/>
        <v>-</v>
      </c>
      <c r="O66" s="43" t="str">
        <f t="shared" si="3"/>
        <v>-</v>
      </c>
      <c r="P66" s="44" t="str">
        <f t="shared" si="4"/>
        <v>-</v>
      </c>
      <c r="Q66" s="35"/>
      <c r="R66" s="45" t="str">
        <f t="shared" si="5"/>
        <v>-</v>
      </c>
    </row>
    <row r="67" spans="1:18" ht="14.4">
      <c r="A67" s="10" t="s">
        <v>189</v>
      </c>
      <c r="B67" s="11" t="s">
        <v>50</v>
      </c>
      <c r="C67" s="63">
        <v>23249013068</v>
      </c>
      <c r="D67" s="19" t="s">
        <v>3</v>
      </c>
      <c r="E67" s="26">
        <v>0.65678799999999993</v>
      </c>
      <c r="F67" s="30">
        <v>6</v>
      </c>
      <c r="G67" s="22">
        <v>28.091249999999999</v>
      </c>
      <c r="H67" s="53" t="s">
        <v>315</v>
      </c>
      <c r="I67" s="48"/>
      <c r="J67" s="50">
        <f t="shared" si="7"/>
        <v>0</v>
      </c>
      <c r="K67" s="6"/>
      <c r="L67" s="6"/>
      <c r="M67" s="42" t="str">
        <f t="shared" ref="M67:M123" si="8">IFERROR(IF($M$2*E67=0, "-", $M$2*E67), "-")</f>
        <v>-</v>
      </c>
      <c r="N67" s="42" t="str">
        <f t="shared" si="2"/>
        <v>-</v>
      </c>
      <c r="O67" s="43" t="str">
        <f t="shared" ref="O67:O123" si="9">IF(I67&gt;0,I67*E67, "-")</f>
        <v>-</v>
      </c>
      <c r="P67" s="44" t="str">
        <f t="shared" ref="P67:P123" si="10">IFERROR(IF($M$2&gt;0, $M$2*O67, "-"), "-")</f>
        <v>-</v>
      </c>
      <c r="Q67" s="35"/>
      <c r="R67" s="45" t="str">
        <f t="shared" ref="R67:R123" si="11">IFERROR(IF(P67+J67=0, "-", IF(P67&gt;0, P67+J67, "-")), "-")</f>
        <v>-</v>
      </c>
    </row>
    <row r="68" spans="1:18" ht="14.4">
      <c r="A68" s="8" t="s">
        <v>189</v>
      </c>
      <c r="B68" s="9" t="s">
        <v>51</v>
      </c>
      <c r="C68" s="62">
        <v>23249013075</v>
      </c>
      <c r="D68" s="18" t="s">
        <v>4</v>
      </c>
      <c r="E68" s="26">
        <v>0.45641199999999998</v>
      </c>
      <c r="F68" s="29">
        <v>6</v>
      </c>
      <c r="G68" s="21">
        <v>28.091249999999999</v>
      </c>
      <c r="H68" s="53" t="s">
        <v>315</v>
      </c>
      <c r="I68" s="47"/>
      <c r="J68" s="51">
        <f t="shared" si="7"/>
        <v>0</v>
      </c>
      <c r="K68" s="6"/>
      <c r="L68" s="6"/>
      <c r="M68" s="42" t="str">
        <f t="shared" si="8"/>
        <v>-</v>
      </c>
      <c r="N68" s="42" t="str">
        <f t="shared" ref="N68:N131" si="12">IFERROR(IF(M68&gt;0,G68+M68,"-"),"-")</f>
        <v>-</v>
      </c>
      <c r="O68" s="43" t="str">
        <f t="shared" si="9"/>
        <v>-</v>
      </c>
      <c r="P68" s="44" t="str">
        <f t="shared" si="10"/>
        <v>-</v>
      </c>
      <c r="Q68" s="35"/>
      <c r="R68" s="45" t="str">
        <f t="shared" si="11"/>
        <v>-</v>
      </c>
    </row>
    <row r="69" spans="1:18" ht="14.4">
      <c r="A69" s="10" t="s">
        <v>200</v>
      </c>
      <c r="B69" s="11" t="s">
        <v>52</v>
      </c>
      <c r="C69" s="63">
        <v>23249091387</v>
      </c>
      <c r="D69" s="19" t="s">
        <v>201</v>
      </c>
      <c r="E69" s="26">
        <v>5.5660000000000001E-2</v>
      </c>
      <c r="F69" s="30">
        <v>12</v>
      </c>
      <c r="G69" s="22">
        <v>21.341249999999999</v>
      </c>
      <c r="H69" s="53" t="s">
        <v>315</v>
      </c>
      <c r="I69" s="48"/>
      <c r="J69" s="50">
        <f t="shared" si="7"/>
        <v>0</v>
      </c>
      <c r="K69" s="6"/>
      <c r="L69" s="6"/>
      <c r="M69" s="42" t="str">
        <f t="shared" si="8"/>
        <v>-</v>
      </c>
      <c r="N69" s="42" t="str">
        <f t="shared" si="12"/>
        <v>-</v>
      </c>
      <c r="O69" s="43" t="str">
        <f t="shared" si="9"/>
        <v>-</v>
      </c>
      <c r="P69" s="44" t="str">
        <f t="shared" si="10"/>
        <v>-</v>
      </c>
      <c r="Q69" s="35"/>
      <c r="R69" s="45" t="str">
        <f t="shared" si="11"/>
        <v>-</v>
      </c>
    </row>
    <row r="70" spans="1:18" ht="14.4">
      <c r="A70" s="8" t="s">
        <v>200</v>
      </c>
      <c r="B70" s="9" t="s">
        <v>53</v>
      </c>
      <c r="C70" s="62">
        <v>23249090205</v>
      </c>
      <c r="D70" s="18" t="s">
        <v>202</v>
      </c>
      <c r="E70" s="26">
        <v>0.13358399999999998</v>
      </c>
      <c r="F70" s="29">
        <v>12</v>
      </c>
      <c r="G70" s="21">
        <v>21.341249999999999</v>
      </c>
      <c r="H70" s="53" t="s">
        <v>315</v>
      </c>
      <c r="I70" s="47"/>
      <c r="J70" s="51">
        <f t="shared" si="7"/>
        <v>0</v>
      </c>
      <c r="K70" s="6"/>
      <c r="L70" s="6"/>
      <c r="M70" s="42" t="str">
        <f t="shared" si="8"/>
        <v>-</v>
      </c>
      <c r="N70" s="42" t="str">
        <f t="shared" si="12"/>
        <v>-</v>
      </c>
      <c r="O70" s="43" t="str">
        <f t="shared" si="9"/>
        <v>-</v>
      </c>
      <c r="P70" s="44" t="str">
        <f t="shared" si="10"/>
        <v>-</v>
      </c>
      <c r="Q70" s="35"/>
      <c r="R70" s="45" t="str">
        <f t="shared" si="11"/>
        <v>-</v>
      </c>
    </row>
    <row r="71" spans="1:18" ht="14.4">
      <c r="A71" s="10" t="s">
        <v>200</v>
      </c>
      <c r="B71" s="11" t="s">
        <v>54</v>
      </c>
      <c r="C71" s="63">
        <v>23249090090</v>
      </c>
      <c r="D71" s="19" t="s">
        <v>203</v>
      </c>
      <c r="E71" s="26">
        <v>5.5660000000000001E-2</v>
      </c>
      <c r="F71" s="30">
        <v>12</v>
      </c>
      <c r="G71" s="22">
        <v>21.341249999999999</v>
      </c>
      <c r="H71" s="53" t="s">
        <v>315</v>
      </c>
      <c r="I71" s="48"/>
      <c r="J71" s="50">
        <f t="shared" si="7"/>
        <v>0</v>
      </c>
      <c r="K71" s="6"/>
      <c r="L71" s="6"/>
      <c r="M71" s="42" t="str">
        <f t="shared" si="8"/>
        <v>-</v>
      </c>
      <c r="N71" s="42" t="str">
        <f t="shared" si="12"/>
        <v>-</v>
      </c>
      <c r="O71" s="43" t="str">
        <f t="shared" si="9"/>
        <v>-</v>
      </c>
      <c r="P71" s="44" t="str">
        <f t="shared" si="10"/>
        <v>-</v>
      </c>
      <c r="Q71" s="35"/>
      <c r="R71" s="45" t="str">
        <f t="shared" si="11"/>
        <v>-</v>
      </c>
    </row>
    <row r="72" spans="1:18" ht="14.4">
      <c r="A72" s="8" t="s">
        <v>204</v>
      </c>
      <c r="B72" s="9" t="s">
        <v>55</v>
      </c>
      <c r="C72" s="62">
        <v>23249010524</v>
      </c>
      <c r="D72" s="18" t="s">
        <v>205</v>
      </c>
      <c r="E72" s="26">
        <v>0.400752</v>
      </c>
      <c r="F72" s="29">
        <v>12</v>
      </c>
      <c r="G72" s="21">
        <v>25.841249999999999</v>
      </c>
      <c r="H72" s="53" t="s">
        <v>315</v>
      </c>
      <c r="I72" s="47"/>
      <c r="J72" s="51">
        <f t="shared" si="7"/>
        <v>0</v>
      </c>
      <c r="K72" s="6"/>
      <c r="L72" s="6"/>
      <c r="M72" s="42" t="str">
        <f t="shared" si="8"/>
        <v>-</v>
      </c>
      <c r="N72" s="42" t="str">
        <f t="shared" si="12"/>
        <v>-</v>
      </c>
      <c r="O72" s="43" t="str">
        <f t="shared" si="9"/>
        <v>-</v>
      </c>
      <c r="P72" s="44" t="str">
        <f t="shared" si="10"/>
        <v>-</v>
      </c>
      <c r="Q72" s="35"/>
      <c r="R72" s="45" t="str">
        <f t="shared" si="11"/>
        <v>-</v>
      </c>
    </row>
    <row r="73" spans="1:18" ht="14.4">
      <c r="A73" s="10" t="s">
        <v>204</v>
      </c>
      <c r="B73" s="11" t="s">
        <v>56</v>
      </c>
      <c r="C73" s="63">
        <v>23249010562</v>
      </c>
      <c r="D73" s="19" t="s">
        <v>206</v>
      </c>
      <c r="E73" s="26">
        <v>0.22264</v>
      </c>
      <c r="F73" s="30">
        <v>12</v>
      </c>
      <c r="G73" s="22">
        <v>19.091249999999999</v>
      </c>
      <c r="H73" s="53" t="s">
        <v>315</v>
      </c>
      <c r="I73" s="48"/>
      <c r="J73" s="50">
        <f t="shared" si="7"/>
        <v>0</v>
      </c>
      <c r="K73" s="6"/>
      <c r="L73" s="6"/>
      <c r="M73" s="42" t="str">
        <f t="shared" si="8"/>
        <v>-</v>
      </c>
      <c r="N73" s="42" t="str">
        <f t="shared" si="12"/>
        <v>-</v>
      </c>
      <c r="O73" s="43" t="str">
        <f t="shared" si="9"/>
        <v>-</v>
      </c>
      <c r="P73" s="44" t="str">
        <f t="shared" si="10"/>
        <v>-</v>
      </c>
      <c r="Q73" s="35"/>
      <c r="R73" s="45" t="str">
        <f t="shared" si="11"/>
        <v>-</v>
      </c>
    </row>
    <row r="74" spans="1:18" ht="14.4">
      <c r="A74" s="10" t="s">
        <v>204</v>
      </c>
      <c r="B74" s="11" t="s">
        <v>59</v>
      </c>
      <c r="C74" s="63">
        <v>23249010166</v>
      </c>
      <c r="D74" s="19" t="s">
        <v>209</v>
      </c>
      <c r="E74" s="26">
        <v>7.7924000000000007E-2</v>
      </c>
      <c r="F74" s="30">
        <v>12</v>
      </c>
      <c r="G74" s="22">
        <v>19.091249999999999</v>
      </c>
      <c r="H74" s="53" t="s">
        <v>315</v>
      </c>
      <c r="I74" s="48"/>
      <c r="J74" s="50">
        <f t="shared" si="7"/>
        <v>0</v>
      </c>
      <c r="K74" s="6"/>
      <c r="L74" s="6"/>
      <c r="M74" s="42" t="str">
        <f t="shared" si="8"/>
        <v>-</v>
      </c>
      <c r="N74" s="42" t="str">
        <f t="shared" si="12"/>
        <v>-</v>
      </c>
      <c r="O74" s="43" t="str">
        <f t="shared" si="9"/>
        <v>-</v>
      </c>
      <c r="P74" s="44" t="str">
        <f t="shared" si="10"/>
        <v>-</v>
      </c>
      <c r="Q74" s="35"/>
      <c r="R74" s="45" t="str">
        <f t="shared" si="11"/>
        <v>-</v>
      </c>
    </row>
    <row r="75" spans="1:18" ht="14.4">
      <c r="A75" s="10" t="s">
        <v>204</v>
      </c>
      <c r="B75" s="11" t="s">
        <v>60</v>
      </c>
      <c r="C75" s="63">
        <v>23249004530</v>
      </c>
      <c r="D75" s="19" t="s">
        <v>210</v>
      </c>
      <c r="E75" s="26">
        <v>0.14471600000000001</v>
      </c>
      <c r="F75" s="30">
        <v>12</v>
      </c>
      <c r="G75" s="22">
        <v>28.091249999999999</v>
      </c>
      <c r="H75" s="53" t="s">
        <v>315</v>
      </c>
      <c r="I75" s="48"/>
      <c r="J75" s="50">
        <f t="shared" si="7"/>
        <v>0</v>
      </c>
      <c r="K75" s="6"/>
      <c r="L75" s="6"/>
      <c r="M75" s="42" t="str">
        <f t="shared" si="8"/>
        <v>-</v>
      </c>
      <c r="N75" s="42" t="str">
        <f t="shared" si="12"/>
        <v>-</v>
      </c>
      <c r="O75" s="43" t="str">
        <f t="shared" si="9"/>
        <v>-</v>
      </c>
      <c r="P75" s="44" t="str">
        <f t="shared" si="10"/>
        <v>-</v>
      </c>
      <c r="Q75" s="35"/>
      <c r="R75" s="45" t="str">
        <f t="shared" si="11"/>
        <v>-</v>
      </c>
    </row>
    <row r="76" spans="1:18" ht="20.399999999999999">
      <c r="A76" s="10" t="s">
        <v>204</v>
      </c>
      <c r="B76" s="11" t="s">
        <v>69</v>
      </c>
      <c r="C76" s="63">
        <v>23249091585</v>
      </c>
      <c r="D76" s="19" t="s">
        <v>219</v>
      </c>
      <c r="E76" s="26">
        <v>0.100188</v>
      </c>
      <c r="F76" s="30">
        <v>12</v>
      </c>
      <c r="G76" s="22">
        <v>28.091249999999999</v>
      </c>
      <c r="H76" s="53" t="s">
        <v>315</v>
      </c>
      <c r="I76" s="48"/>
      <c r="J76" s="50">
        <f t="shared" si="7"/>
        <v>0</v>
      </c>
      <c r="K76" s="6"/>
      <c r="L76" s="6"/>
      <c r="M76" s="42" t="str">
        <f t="shared" si="8"/>
        <v>-</v>
      </c>
      <c r="N76" s="42" t="str">
        <f t="shared" si="12"/>
        <v>-</v>
      </c>
      <c r="O76" s="43" t="str">
        <f t="shared" si="9"/>
        <v>-</v>
      </c>
      <c r="P76" s="44" t="str">
        <f t="shared" si="10"/>
        <v>-</v>
      </c>
      <c r="Q76" s="35"/>
      <c r="R76" s="45" t="str">
        <f t="shared" si="11"/>
        <v>-</v>
      </c>
    </row>
    <row r="77" spans="1:18" ht="14.4">
      <c r="A77" s="8" t="s">
        <v>220</v>
      </c>
      <c r="B77" s="9" t="s">
        <v>70</v>
      </c>
      <c r="C77" s="62">
        <v>23249010128</v>
      </c>
      <c r="D77" s="18" t="s">
        <v>221</v>
      </c>
      <c r="E77" s="26">
        <v>0.100188</v>
      </c>
      <c r="F77" s="29">
        <v>12</v>
      </c>
      <c r="G77" s="21">
        <v>16.841250000000002</v>
      </c>
      <c r="H77" s="53" t="s">
        <v>315</v>
      </c>
      <c r="I77" s="47"/>
      <c r="J77" s="51">
        <f t="shared" si="7"/>
        <v>0</v>
      </c>
      <c r="K77" s="6"/>
      <c r="L77" s="6"/>
      <c r="M77" s="42" t="str">
        <f t="shared" si="8"/>
        <v>-</v>
      </c>
      <c r="N77" s="42" t="str">
        <f t="shared" si="12"/>
        <v>-</v>
      </c>
      <c r="O77" s="43" t="str">
        <f t="shared" si="9"/>
        <v>-</v>
      </c>
      <c r="P77" s="44" t="str">
        <f t="shared" si="10"/>
        <v>-</v>
      </c>
      <c r="Q77" s="35"/>
      <c r="R77" s="45" t="str">
        <f t="shared" si="11"/>
        <v>-</v>
      </c>
    </row>
    <row r="78" spans="1:18" ht="20.399999999999999">
      <c r="A78" s="8" t="s">
        <v>220</v>
      </c>
      <c r="B78" s="9" t="s">
        <v>72</v>
      </c>
      <c r="C78" s="62">
        <v>23249090083</v>
      </c>
      <c r="D78" s="18" t="s">
        <v>223</v>
      </c>
      <c r="E78" s="26">
        <v>7.7924000000000007E-2</v>
      </c>
      <c r="F78" s="29">
        <v>12</v>
      </c>
      <c r="G78" s="21">
        <v>17.966250000000002</v>
      </c>
      <c r="H78" s="53" t="s">
        <v>315</v>
      </c>
      <c r="I78" s="47"/>
      <c r="J78" s="51">
        <f t="shared" si="7"/>
        <v>0</v>
      </c>
      <c r="K78" s="6"/>
      <c r="L78" s="6"/>
      <c r="M78" s="42" t="str">
        <f t="shared" si="8"/>
        <v>-</v>
      </c>
      <c r="N78" s="42" t="str">
        <f t="shared" si="12"/>
        <v>-</v>
      </c>
      <c r="O78" s="43" t="str">
        <f t="shared" si="9"/>
        <v>-</v>
      </c>
      <c r="P78" s="44" t="str">
        <f t="shared" si="10"/>
        <v>-</v>
      </c>
      <c r="Q78" s="35"/>
      <c r="R78" s="45" t="str">
        <f t="shared" si="11"/>
        <v>-</v>
      </c>
    </row>
    <row r="79" spans="1:18" ht="14.4">
      <c r="A79" s="10" t="s">
        <v>220</v>
      </c>
      <c r="B79" s="11" t="s">
        <v>73</v>
      </c>
      <c r="C79" s="63">
        <v>23249010111</v>
      </c>
      <c r="D79" s="19" t="s">
        <v>224</v>
      </c>
      <c r="E79" s="26">
        <v>0.100188</v>
      </c>
      <c r="F79" s="30">
        <v>12</v>
      </c>
      <c r="G79" s="22">
        <v>16.841250000000002</v>
      </c>
      <c r="H79" s="53" t="s">
        <v>315</v>
      </c>
      <c r="I79" s="48"/>
      <c r="J79" s="50">
        <f t="shared" si="7"/>
        <v>0</v>
      </c>
      <c r="K79" s="6"/>
      <c r="L79" s="6"/>
      <c r="M79" s="42" t="str">
        <f t="shared" si="8"/>
        <v>-</v>
      </c>
      <c r="N79" s="42" t="str">
        <f t="shared" si="12"/>
        <v>-</v>
      </c>
      <c r="O79" s="43" t="str">
        <f t="shared" si="9"/>
        <v>-</v>
      </c>
      <c r="P79" s="44" t="str">
        <f t="shared" si="10"/>
        <v>-</v>
      </c>
      <c r="Q79" s="35"/>
      <c r="R79" s="45" t="str">
        <f t="shared" si="11"/>
        <v>-</v>
      </c>
    </row>
    <row r="80" spans="1:18" ht="14.4">
      <c r="A80" s="8" t="s">
        <v>225</v>
      </c>
      <c r="B80" s="9" t="s">
        <v>74</v>
      </c>
      <c r="C80" s="62">
        <v>23249012238</v>
      </c>
      <c r="D80" s="18" t="s">
        <v>226</v>
      </c>
      <c r="E80" s="26">
        <v>0.12245199999999999</v>
      </c>
      <c r="F80" s="29">
        <v>12</v>
      </c>
      <c r="G80" s="21">
        <v>15.716250000000002</v>
      </c>
      <c r="H80" s="53" t="s">
        <v>315</v>
      </c>
      <c r="I80" s="47"/>
      <c r="J80" s="51">
        <f t="shared" si="7"/>
        <v>0</v>
      </c>
      <c r="K80" s="6"/>
      <c r="L80" s="6"/>
      <c r="M80" s="42" t="str">
        <f t="shared" si="8"/>
        <v>-</v>
      </c>
      <c r="N80" s="42" t="str">
        <f t="shared" si="12"/>
        <v>-</v>
      </c>
      <c r="O80" s="43" t="str">
        <f t="shared" si="9"/>
        <v>-</v>
      </c>
      <c r="P80" s="44" t="str">
        <f t="shared" si="10"/>
        <v>-</v>
      </c>
      <c r="Q80" s="35"/>
      <c r="R80" s="45" t="str">
        <f t="shared" si="11"/>
        <v>-</v>
      </c>
    </row>
    <row r="81" spans="1:18" ht="14.4">
      <c r="A81" s="10" t="s">
        <v>225</v>
      </c>
      <c r="B81" s="11" t="s">
        <v>77</v>
      </c>
      <c r="C81" s="63">
        <v>23249092162</v>
      </c>
      <c r="D81" s="19" t="s">
        <v>229</v>
      </c>
      <c r="E81" s="26">
        <v>0.15584800000000001</v>
      </c>
      <c r="F81" s="30">
        <v>12</v>
      </c>
      <c r="G81" s="22">
        <v>34.841250000000002</v>
      </c>
      <c r="H81" s="53" t="s">
        <v>315</v>
      </c>
      <c r="I81" s="48"/>
      <c r="J81" s="50">
        <f t="shared" si="7"/>
        <v>0</v>
      </c>
      <c r="K81" s="6"/>
      <c r="L81" s="6"/>
      <c r="M81" s="42" t="str">
        <f t="shared" si="8"/>
        <v>-</v>
      </c>
      <c r="N81" s="42" t="str">
        <f t="shared" si="12"/>
        <v>-</v>
      </c>
      <c r="O81" s="43" t="str">
        <f t="shared" si="9"/>
        <v>-</v>
      </c>
      <c r="P81" s="44" t="str">
        <f t="shared" si="10"/>
        <v>-</v>
      </c>
      <c r="Q81" s="35"/>
      <c r="R81" s="45" t="str">
        <f t="shared" si="11"/>
        <v>-</v>
      </c>
    </row>
    <row r="82" spans="1:18" ht="14.4">
      <c r="A82" s="10" t="s">
        <v>225</v>
      </c>
      <c r="B82" s="11" t="s">
        <v>79</v>
      </c>
      <c r="C82" s="63">
        <v>23249092254</v>
      </c>
      <c r="D82" s="19" t="s">
        <v>231</v>
      </c>
      <c r="E82" s="26">
        <v>0.17811199999999999</v>
      </c>
      <c r="F82" s="30">
        <v>12</v>
      </c>
      <c r="G82" s="22">
        <v>24.716249999999999</v>
      </c>
      <c r="H82" s="53" t="s">
        <v>315</v>
      </c>
      <c r="I82" s="48"/>
      <c r="J82" s="50">
        <f t="shared" si="7"/>
        <v>0</v>
      </c>
      <c r="K82" s="6"/>
      <c r="L82" s="6"/>
      <c r="M82" s="42" t="str">
        <f t="shared" si="8"/>
        <v>-</v>
      </c>
      <c r="N82" s="42" t="str">
        <f t="shared" si="12"/>
        <v>-</v>
      </c>
      <c r="O82" s="43" t="str">
        <f t="shared" si="9"/>
        <v>-</v>
      </c>
      <c r="P82" s="44" t="str">
        <f t="shared" si="10"/>
        <v>-</v>
      </c>
      <c r="Q82" s="35"/>
      <c r="R82" s="45" t="str">
        <f t="shared" si="11"/>
        <v>-</v>
      </c>
    </row>
    <row r="83" spans="1:18" ht="14.4">
      <c r="A83" s="10" t="s">
        <v>225</v>
      </c>
      <c r="B83" s="11" t="s">
        <v>81</v>
      </c>
      <c r="C83" s="63">
        <v>23249011194</v>
      </c>
      <c r="D83" s="19" t="s">
        <v>233</v>
      </c>
      <c r="E83" s="26">
        <v>0.25603599999999999</v>
      </c>
      <c r="F83" s="30">
        <v>12</v>
      </c>
      <c r="G83" s="22">
        <v>20.216249999999999</v>
      </c>
      <c r="H83" s="53" t="s">
        <v>315</v>
      </c>
      <c r="I83" s="48"/>
      <c r="J83" s="50">
        <f t="shared" si="7"/>
        <v>0</v>
      </c>
      <c r="K83" s="6"/>
      <c r="L83" s="6"/>
      <c r="M83" s="42" t="str">
        <f t="shared" si="8"/>
        <v>-</v>
      </c>
      <c r="N83" s="42" t="str">
        <f t="shared" si="12"/>
        <v>-</v>
      </c>
      <c r="O83" s="43" t="str">
        <f t="shared" si="9"/>
        <v>-</v>
      </c>
      <c r="P83" s="44" t="str">
        <f t="shared" si="10"/>
        <v>-</v>
      </c>
      <c r="Q83" s="35"/>
      <c r="R83" s="45" t="str">
        <f t="shared" si="11"/>
        <v>-</v>
      </c>
    </row>
    <row r="84" spans="1:18" ht="14.4">
      <c r="A84" s="8" t="s">
        <v>225</v>
      </c>
      <c r="B84" s="9" t="s">
        <v>84</v>
      </c>
      <c r="C84" s="62">
        <v>23249012252</v>
      </c>
      <c r="D84" s="18" t="s">
        <v>236</v>
      </c>
      <c r="E84" s="26">
        <v>0.100188</v>
      </c>
      <c r="F84" s="29">
        <v>12</v>
      </c>
      <c r="G84" s="21">
        <v>13.466250000000002</v>
      </c>
      <c r="H84" s="53" t="s">
        <v>315</v>
      </c>
      <c r="I84" s="47"/>
      <c r="J84" s="51">
        <f t="shared" si="7"/>
        <v>0</v>
      </c>
      <c r="K84" s="6"/>
      <c r="L84" s="6"/>
      <c r="M84" s="42" t="str">
        <f t="shared" si="8"/>
        <v>-</v>
      </c>
      <c r="N84" s="42" t="str">
        <f t="shared" si="12"/>
        <v>-</v>
      </c>
      <c r="O84" s="43" t="str">
        <f t="shared" si="9"/>
        <v>-</v>
      </c>
      <c r="P84" s="44" t="str">
        <f t="shared" si="10"/>
        <v>-</v>
      </c>
      <c r="Q84" s="35"/>
      <c r="R84" s="45" t="str">
        <f t="shared" si="11"/>
        <v>-</v>
      </c>
    </row>
    <row r="85" spans="1:18" ht="14.4">
      <c r="A85" s="10" t="s">
        <v>237</v>
      </c>
      <c r="B85" s="11" t="s">
        <v>95</v>
      </c>
      <c r="C85" s="63">
        <v>23249010517</v>
      </c>
      <c r="D85" s="19" t="s">
        <v>248</v>
      </c>
      <c r="E85" s="26">
        <v>0.17811199999999999</v>
      </c>
      <c r="F85" s="30">
        <v>12</v>
      </c>
      <c r="G85" s="22">
        <v>16.841250000000002</v>
      </c>
      <c r="H85" s="53" t="s">
        <v>315</v>
      </c>
      <c r="I85" s="48"/>
      <c r="J85" s="50">
        <f t="shared" si="7"/>
        <v>0</v>
      </c>
      <c r="K85" s="6"/>
      <c r="L85" s="6"/>
      <c r="M85" s="42" t="str">
        <f t="shared" si="8"/>
        <v>-</v>
      </c>
      <c r="N85" s="42" t="str">
        <f t="shared" si="12"/>
        <v>-</v>
      </c>
      <c r="O85" s="43" t="str">
        <f t="shared" si="9"/>
        <v>-</v>
      </c>
      <c r="P85" s="44" t="str">
        <f t="shared" si="10"/>
        <v>-</v>
      </c>
      <c r="Q85" s="35"/>
      <c r="R85" s="45" t="str">
        <f t="shared" si="11"/>
        <v>-</v>
      </c>
    </row>
    <row r="86" spans="1:18" ht="14.4">
      <c r="A86" s="10" t="s">
        <v>237</v>
      </c>
      <c r="B86" s="11" t="s">
        <v>97</v>
      </c>
      <c r="C86" s="63">
        <v>23249091721</v>
      </c>
      <c r="D86" s="19" t="s">
        <v>250</v>
      </c>
      <c r="E86" s="26">
        <v>0.16697999999999999</v>
      </c>
      <c r="F86" s="30">
        <v>12</v>
      </c>
      <c r="G86" s="22">
        <v>16.841250000000002</v>
      </c>
      <c r="H86" s="53" t="s">
        <v>315</v>
      </c>
      <c r="I86" s="48"/>
      <c r="J86" s="50">
        <f t="shared" si="7"/>
        <v>0</v>
      </c>
      <c r="K86" s="6"/>
      <c r="L86" s="6"/>
      <c r="M86" s="42" t="str">
        <f t="shared" si="8"/>
        <v>-</v>
      </c>
      <c r="N86" s="42" t="str">
        <f t="shared" si="12"/>
        <v>-</v>
      </c>
      <c r="O86" s="43" t="str">
        <f t="shared" si="9"/>
        <v>-</v>
      </c>
      <c r="P86" s="44" t="str">
        <f t="shared" si="10"/>
        <v>-</v>
      </c>
      <c r="Q86" s="35"/>
      <c r="R86" s="45" t="str">
        <f t="shared" si="11"/>
        <v>-</v>
      </c>
    </row>
    <row r="87" spans="1:18" ht="14.4">
      <c r="A87" s="8" t="s">
        <v>237</v>
      </c>
      <c r="B87" s="9" t="s">
        <v>100</v>
      </c>
      <c r="C87" s="62">
        <v>23249091899</v>
      </c>
      <c r="D87" s="18" t="s">
        <v>253</v>
      </c>
      <c r="E87" s="26">
        <v>8.9055999999999996E-2</v>
      </c>
      <c r="F87" s="29">
        <v>12</v>
      </c>
      <c r="G87" s="21">
        <v>26.966249999999999</v>
      </c>
      <c r="H87" s="53" t="s">
        <v>315</v>
      </c>
      <c r="I87" s="47"/>
      <c r="J87" s="51">
        <f t="shared" si="7"/>
        <v>0</v>
      </c>
      <c r="K87" s="6"/>
      <c r="L87" s="6"/>
      <c r="M87" s="42" t="str">
        <f t="shared" si="8"/>
        <v>-</v>
      </c>
      <c r="N87" s="42" t="str">
        <f t="shared" si="12"/>
        <v>-</v>
      </c>
      <c r="O87" s="43" t="str">
        <f t="shared" si="9"/>
        <v>-</v>
      </c>
      <c r="P87" s="44" t="str">
        <f t="shared" si="10"/>
        <v>-</v>
      </c>
      <c r="Q87" s="35"/>
      <c r="R87" s="45" t="str">
        <f t="shared" si="11"/>
        <v>-</v>
      </c>
    </row>
    <row r="88" spans="1:18" ht="14.4">
      <c r="A88" s="8" t="s">
        <v>257</v>
      </c>
      <c r="B88" s="9" t="s">
        <v>104</v>
      </c>
      <c r="C88" s="62">
        <v>23249011729</v>
      </c>
      <c r="D88" s="18" t="s">
        <v>258</v>
      </c>
      <c r="E88" s="26">
        <v>0.55659999999999998</v>
      </c>
      <c r="F88" s="29">
        <v>6</v>
      </c>
      <c r="G88" s="21">
        <v>20.216249999999999</v>
      </c>
      <c r="H88" s="53" t="s">
        <v>315</v>
      </c>
      <c r="I88" s="47"/>
      <c r="J88" s="51">
        <f t="shared" si="7"/>
        <v>0</v>
      </c>
      <c r="K88" s="6"/>
      <c r="L88" s="6"/>
      <c r="M88" s="42" t="str">
        <f t="shared" si="8"/>
        <v>-</v>
      </c>
      <c r="N88" s="42" t="str">
        <f t="shared" si="12"/>
        <v>-</v>
      </c>
      <c r="O88" s="43" t="str">
        <f t="shared" si="9"/>
        <v>-</v>
      </c>
      <c r="P88" s="44" t="str">
        <f t="shared" si="10"/>
        <v>-</v>
      </c>
      <c r="Q88" s="35"/>
      <c r="R88" s="45" t="str">
        <f t="shared" si="11"/>
        <v>-</v>
      </c>
    </row>
    <row r="89" spans="1:18" ht="14.4">
      <c r="A89" s="10" t="s">
        <v>257</v>
      </c>
      <c r="B89" s="11" t="s">
        <v>105</v>
      </c>
      <c r="C89" s="63">
        <v>23249010807</v>
      </c>
      <c r="D89" s="19" t="s">
        <v>259</v>
      </c>
      <c r="E89" s="26">
        <v>0.200376</v>
      </c>
      <c r="F89" s="30">
        <v>12</v>
      </c>
      <c r="G89" s="22">
        <v>14.591250000000002</v>
      </c>
      <c r="H89" s="53" t="s">
        <v>315</v>
      </c>
      <c r="I89" s="48"/>
      <c r="J89" s="50">
        <f t="shared" si="7"/>
        <v>0</v>
      </c>
      <c r="K89" s="6"/>
      <c r="L89" s="6"/>
      <c r="M89" s="42" t="str">
        <f t="shared" si="8"/>
        <v>-</v>
      </c>
      <c r="N89" s="42" t="str">
        <f t="shared" si="12"/>
        <v>-</v>
      </c>
      <c r="O89" s="43" t="str">
        <f t="shared" si="9"/>
        <v>-</v>
      </c>
      <c r="P89" s="44" t="str">
        <f t="shared" si="10"/>
        <v>-</v>
      </c>
      <c r="Q89" s="35"/>
      <c r="R89" s="45" t="str">
        <f t="shared" si="11"/>
        <v>-</v>
      </c>
    </row>
    <row r="90" spans="1:18" ht="14.4">
      <c r="A90" s="8" t="s">
        <v>257</v>
      </c>
      <c r="B90" s="9" t="s">
        <v>108</v>
      </c>
      <c r="C90" s="62">
        <v>23249011019</v>
      </c>
      <c r="D90" s="18" t="s">
        <v>262</v>
      </c>
      <c r="E90" s="26">
        <v>0.55659999999999998</v>
      </c>
      <c r="F90" s="29">
        <v>6</v>
      </c>
      <c r="G90" s="21">
        <v>17.966250000000002</v>
      </c>
      <c r="H90" s="53" t="s">
        <v>315</v>
      </c>
      <c r="I90" s="47"/>
      <c r="J90" s="51">
        <f t="shared" si="7"/>
        <v>0</v>
      </c>
      <c r="K90" s="6"/>
      <c r="L90" s="6"/>
      <c r="M90" s="42" t="str">
        <f t="shared" si="8"/>
        <v>-</v>
      </c>
      <c r="N90" s="42" t="str">
        <f t="shared" si="12"/>
        <v>-</v>
      </c>
      <c r="O90" s="43" t="str">
        <f t="shared" si="9"/>
        <v>-</v>
      </c>
      <c r="P90" s="44" t="str">
        <f t="shared" si="10"/>
        <v>-</v>
      </c>
      <c r="Q90" s="35"/>
      <c r="R90" s="45" t="str">
        <f t="shared" si="11"/>
        <v>-</v>
      </c>
    </row>
    <row r="91" spans="1:18" ht="14.4">
      <c r="A91" s="10" t="s">
        <v>264</v>
      </c>
      <c r="B91" s="11" t="s">
        <v>113</v>
      </c>
      <c r="C91" s="63">
        <v>23249092087</v>
      </c>
      <c r="D91" s="19" t="s">
        <v>267</v>
      </c>
      <c r="E91" s="26">
        <v>0.25603599999999999</v>
      </c>
      <c r="F91" s="30">
        <v>12</v>
      </c>
      <c r="G91" s="22">
        <v>62.966250000000002</v>
      </c>
      <c r="H91" s="53" t="s">
        <v>315</v>
      </c>
      <c r="I91" s="48"/>
      <c r="J91" s="50">
        <f t="shared" si="7"/>
        <v>0</v>
      </c>
      <c r="K91" s="6"/>
      <c r="L91" s="6"/>
      <c r="M91" s="42" t="str">
        <f t="shared" si="8"/>
        <v>-</v>
      </c>
      <c r="N91" s="42" t="str">
        <f t="shared" si="12"/>
        <v>-</v>
      </c>
      <c r="O91" s="43" t="str">
        <f t="shared" si="9"/>
        <v>-</v>
      </c>
      <c r="P91" s="44" t="str">
        <f t="shared" si="10"/>
        <v>-</v>
      </c>
      <c r="Q91" s="35"/>
      <c r="R91" s="45" t="str">
        <f t="shared" si="11"/>
        <v>-</v>
      </c>
    </row>
    <row r="92" spans="1:18" ht="14.4">
      <c r="A92" s="8" t="s">
        <v>264</v>
      </c>
      <c r="B92" s="9" t="s">
        <v>114</v>
      </c>
      <c r="C92" s="62">
        <v>23249091516</v>
      </c>
      <c r="D92" s="18" t="s">
        <v>268</v>
      </c>
      <c r="E92" s="26">
        <v>0.13358399999999998</v>
      </c>
      <c r="F92" s="29">
        <v>12</v>
      </c>
      <c r="G92" s="21">
        <v>33.716250000000002</v>
      </c>
      <c r="H92" s="53" t="s">
        <v>315</v>
      </c>
      <c r="I92" s="47"/>
      <c r="J92" s="51">
        <f t="shared" si="7"/>
        <v>0</v>
      </c>
      <c r="K92" s="6"/>
      <c r="L92" s="6"/>
      <c r="M92" s="42" t="str">
        <f t="shared" si="8"/>
        <v>-</v>
      </c>
      <c r="N92" s="42" t="str">
        <f t="shared" si="12"/>
        <v>-</v>
      </c>
      <c r="O92" s="43" t="str">
        <f t="shared" si="9"/>
        <v>-</v>
      </c>
      <c r="P92" s="44" t="str">
        <f t="shared" si="10"/>
        <v>-</v>
      </c>
      <c r="Q92" s="35"/>
      <c r="R92" s="45" t="str">
        <f t="shared" si="11"/>
        <v>-</v>
      </c>
    </row>
    <row r="93" spans="1:18" ht="14.4">
      <c r="A93" s="10" t="s">
        <v>264</v>
      </c>
      <c r="B93" s="11" t="s">
        <v>115</v>
      </c>
      <c r="C93" s="63">
        <v>23249092223</v>
      </c>
      <c r="D93" s="19" t="s">
        <v>269</v>
      </c>
      <c r="E93" s="26">
        <v>0.24490399999999998</v>
      </c>
      <c r="F93" s="30">
        <v>12</v>
      </c>
      <c r="G93" s="22">
        <v>16.841250000000002</v>
      </c>
      <c r="H93" s="53" t="s">
        <v>315</v>
      </c>
      <c r="I93" s="48"/>
      <c r="J93" s="50">
        <f t="shared" si="7"/>
        <v>0</v>
      </c>
      <c r="K93" s="6"/>
      <c r="L93" s="6"/>
      <c r="M93" s="42" t="str">
        <f t="shared" si="8"/>
        <v>-</v>
      </c>
      <c r="N93" s="42" t="str">
        <f t="shared" si="12"/>
        <v>-</v>
      </c>
      <c r="O93" s="43" t="str">
        <f t="shared" si="9"/>
        <v>-</v>
      </c>
      <c r="P93" s="44" t="str">
        <f t="shared" si="10"/>
        <v>-</v>
      </c>
      <c r="Q93" s="35"/>
      <c r="R93" s="45" t="str">
        <f t="shared" si="11"/>
        <v>-</v>
      </c>
    </row>
    <row r="94" spans="1:18" ht="14.4">
      <c r="A94" s="10" t="s">
        <v>287</v>
      </c>
      <c r="B94" s="11" t="s">
        <v>132</v>
      </c>
      <c r="C94" s="63">
        <v>23249091196</v>
      </c>
      <c r="D94" s="19" t="s">
        <v>288</v>
      </c>
      <c r="E94" s="26">
        <v>0.13</v>
      </c>
      <c r="F94" s="30">
        <v>12</v>
      </c>
      <c r="G94" s="22">
        <v>19.091249999999999</v>
      </c>
      <c r="H94" s="53" t="s">
        <v>315</v>
      </c>
      <c r="I94" s="48"/>
      <c r="J94" s="50">
        <f t="shared" si="7"/>
        <v>0</v>
      </c>
      <c r="K94" s="6"/>
      <c r="L94" s="6"/>
      <c r="M94" s="42" t="str">
        <f t="shared" si="8"/>
        <v>-</v>
      </c>
      <c r="N94" s="42" t="str">
        <f t="shared" si="12"/>
        <v>-</v>
      </c>
      <c r="O94" s="43" t="str">
        <f t="shared" si="9"/>
        <v>-</v>
      </c>
      <c r="P94" s="44" t="str">
        <f t="shared" si="10"/>
        <v>-</v>
      </c>
      <c r="Q94" s="35"/>
      <c r="R94" s="45" t="str">
        <f t="shared" si="11"/>
        <v>-</v>
      </c>
    </row>
    <row r="95" spans="1:18" ht="14.4">
      <c r="A95" s="10" t="s">
        <v>287</v>
      </c>
      <c r="B95" s="11" t="s">
        <v>134</v>
      </c>
      <c r="C95" s="63">
        <v>23249092841</v>
      </c>
      <c r="D95" s="19" t="s">
        <v>290</v>
      </c>
      <c r="E95" s="26">
        <v>0.12</v>
      </c>
      <c r="F95" s="30">
        <v>12</v>
      </c>
      <c r="G95" s="22">
        <v>19.091249999999999</v>
      </c>
      <c r="H95" s="53" t="s">
        <v>315</v>
      </c>
      <c r="I95" s="48"/>
      <c r="J95" s="50">
        <f t="shared" si="7"/>
        <v>0</v>
      </c>
      <c r="K95" s="6"/>
      <c r="L95" s="6"/>
      <c r="M95" s="42" t="str">
        <f t="shared" si="8"/>
        <v>-</v>
      </c>
      <c r="N95" s="42" t="str">
        <f t="shared" si="12"/>
        <v>-</v>
      </c>
      <c r="O95" s="43" t="str">
        <f t="shared" si="9"/>
        <v>-</v>
      </c>
      <c r="P95" s="44" t="str">
        <f t="shared" si="10"/>
        <v>-</v>
      </c>
      <c r="Q95" s="35"/>
      <c r="R95" s="45" t="str">
        <f t="shared" si="11"/>
        <v>-</v>
      </c>
    </row>
    <row r="96" spans="1:18" ht="14.4">
      <c r="A96" s="8" t="s">
        <v>287</v>
      </c>
      <c r="B96" s="9" t="s">
        <v>135</v>
      </c>
      <c r="C96" s="62">
        <v>23249091233</v>
      </c>
      <c r="D96" s="18" t="s">
        <v>291</v>
      </c>
      <c r="E96" s="26">
        <v>0.13</v>
      </c>
      <c r="F96" s="29">
        <v>12</v>
      </c>
      <c r="G96" s="21">
        <v>19.091249999999999</v>
      </c>
      <c r="H96" s="53" t="s">
        <v>315</v>
      </c>
      <c r="I96" s="47"/>
      <c r="J96" s="51">
        <f t="shared" si="7"/>
        <v>0</v>
      </c>
      <c r="K96" s="6"/>
      <c r="L96" s="6"/>
      <c r="M96" s="42" t="str">
        <f t="shared" si="8"/>
        <v>-</v>
      </c>
      <c r="N96" s="42" t="str">
        <f t="shared" si="12"/>
        <v>-</v>
      </c>
      <c r="O96" s="43" t="str">
        <f t="shared" si="9"/>
        <v>-</v>
      </c>
      <c r="P96" s="44" t="str">
        <f t="shared" si="10"/>
        <v>-</v>
      </c>
      <c r="Q96" s="35"/>
      <c r="R96" s="45" t="str">
        <f t="shared" si="11"/>
        <v>-</v>
      </c>
    </row>
    <row r="97" spans="1:18" ht="14.4">
      <c r="A97" s="10" t="s">
        <v>287</v>
      </c>
      <c r="B97" s="11" t="s">
        <v>136</v>
      </c>
      <c r="C97" s="63">
        <v>23249092872</v>
      </c>
      <c r="D97" s="19" t="s">
        <v>292</v>
      </c>
      <c r="E97" s="26">
        <v>0.36735600000000002</v>
      </c>
      <c r="F97" s="30">
        <v>12</v>
      </c>
      <c r="G97" s="22">
        <v>19.091249999999999</v>
      </c>
      <c r="H97" s="53" t="s">
        <v>315</v>
      </c>
      <c r="I97" s="48"/>
      <c r="J97" s="50">
        <f t="shared" ref="J97:J122" si="13">I97*G97</f>
        <v>0</v>
      </c>
      <c r="K97" s="6"/>
      <c r="L97" s="6"/>
      <c r="M97" s="42" t="str">
        <f t="shared" si="8"/>
        <v>-</v>
      </c>
      <c r="N97" s="42" t="str">
        <f t="shared" si="12"/>
        <v>-</v>
      </c>
      <c r="O97" s="43" t="str">
        <f t="shared" si="9"/>
        <v>-</v>
      </c>
      <c r="P97" s="44" t="str">
        <f t="shared" si="10"/>
        <v>-</v>
      </c>
      <c r="Q97" s="35"/>
      <c r="R97" s="45" t="str">
        <f t="shared" si="11"/>
        <v>-</v>
      </c>
    </row>
    <row r="98" spans="1:18" ht="14.4">
      <c r="A98" s="8" t="s">
        <v>287</v>
      </c>
      <c r="B98" s="9" t="s">
        <v>137</v>
      </c>
      <c r="C98" s="62">
        <v>23249011576</v>
      </c>
      <c r="D98" s="18" t="s">
        <v>293</v>
      </c>
      <c r="E98" s="26">
        <v>0.47867599999999999</v>
      </c>
      <c r="F98" s="29">
        <v>12</v>
      </c>
      <c r="G98" s="21">
        <v>42.716250000000002</v>
      </c>
      <c r="H98" s="53" t="s">
        <v>315</v>
      </c>
      <c r="I98" s="47"/>
      <c r="J98" s="51">
        <f t="shared" si="13"/>
        <v>0</v>
      </c>
      <c r="K98" s="6"/>
      <c r="L98" s="6"/>
      <c r="M98" s="42" t="str">
        <f t="shared" si="8"/>
        <v>-</v>
      </c>
      <c r="N98" s="42" t="str">
        <f t="shared" si="12"/>
        <v>-</v>
      </c>
      <c r="O98" s="43" t="str">
        <f t="shared" si="9"/>
        <v>-</v>
      </c>
      <c r="P98" s="44" t="str">
        <f t="shared" si="10"/>
        <v>-</v>
      </c>
      <c r="Q98" s="35"/>
      <c r="R98" s="45" t="str">
        <f t="shared" si="11"/>
        <v>-</v>
      </c>
    </row>
    <row r="99" spans="1:18" ht="14.4">
      <c r="A99" s="10" t="s">
        <v>287</v>
      </c>
      <c r="B99" s="11" t="s">
        <v>140</v>
      </c>
      <c r="C99" s="63">
        <v>23249091868</v>
      </c>
      <c r="D99" s="19" t="s">
        <v>6</v>
      </c>
      <c r="E99" s="26">
        <v>1.2133880000000001</v>
      </c>
      <c r="F99" s="30">
        <v>6</v>
      </c>
      <c r="G99" s="22">
        <v>57.341250000000002</v>
      </c>
      <c r="H99" s="53" t="s">
        <v>315</v>
      </c>
      <c r="I99" s="48"/>
      <c r="J99" s="50">
        <f t="shared" si="13"/>
        <v>0</v>
      </c>
      <c r="K99" s="6"/>
      <c r="L99" s="6"/>
      <c r="M99" s="42" t="str">
        <f t="shared" si="8"/>
        <v>-</v>
      </c>
      <c r="N99" s="42" t="str">
        <f t="shared" si="12"/>
        <v>-</v>
      </c>
      <c r="O99" s="43" t="str">
        <f t="shared" si="9"/>
        <v>-</v>
      </c>
      <c r="P99" s="44" t="str">
        <f t="shared" si="10"/>
        <v>-</v>
      </c>
      <c r="Q99" s="35"/>
      <c r="R99" s="45" t="str">
        <f t="shared" si="11"/>
        <v>-</v>
      </c>
    </row>
    <row r="100" spans="1:18" ht="14.4">
      <c r="A100" s="8" t="s">
        <v>287</v>
      </c>
      <c r="B100" s="9" t="s">
        <v>141</v>
      </c>
      <c r="C100" s="62">
        <v>23249090045</v>
      </c>
      <c r="D100" s="18" t="s">
        <v>7</v>
      </c>
      <c r="E100" s="26">
        <v>2.8386599999999995</v>
      </c>
      <c r="F100" s="29">
        <v>6</v>
      </c>
      <c r="G100" s="21">
        <v>98.966249999999988</v>
      </c>
      <c r="H100" s="53" t="s">
        <v>315</v>
      </c>
      <c r="I100" s="47"/>
      <c r="J100" s="51">
        <f t="shared" si="13"/>
        <v>0</v>
      </c>
      <c r="K100" s="6"/>
      <c r="L100" s="6"/>
      <c r="M100" s="42" t="str">
        <f t="shared" si="8"/>
        <v>-</v>
      </c>
      <c r="N100" s="42" t="str">
        <f t="shared" si="12"/>
        <v>-</v>
      </c>
      <c r="O100" s="43" t="str">
        <f t="shared" si="9"/>
        <v>-</v>
      </c>
      <c r="P100" s="44" t="str">
        <f t="shared" si="10"/>
        <v>-</v>
      </c>
      <c r="Q100" s="35"/>
      <c r="R100" s="45" t="str">
        <f t="shared" si="11"/>
        <v>-</v>
      </c>
    </row>
    <row r="101" spans="1:18" ht="14.4">
      <c r="A101" s="8" t="s">
        <v>303</v>
      </c>
      <c r="B101" s="9" t="s">
        <v>149</v>
      </c>
      <c r="C101" s="62">
        <v>23249012498</v>
      </c>
      <c r="D101" s="18" t="s">
        <v>9</v>
      </c>
      <c r="E101" s="26">
        <v>0.32282799999999995</v>
      </c>
      <c r="F101" s="29">
        <v>12</v>
      </c>
      <c r="G101" s="21">
        <v>19.091249999999999</v>
      </c>
      <c r="H101" s="53" t="s">
        <v>315</v>
      </c>
      <c r="I101" s="47"/>
      <c r="J101" s="51">
        <f t="shared" si="13"/>
        <v>0</v>
      </c>
      <c r="K101" s="6"/>
      <c r="L101" s="6"/>
      <c r="M101" s="42" t="str">
        <f t="shared" si="8"/>
        <v>-</v>
      </c>
      <c r="N101" s="42" t="str">
        <f t="shared" si="12"/>
        <v>-</v>
      </c>
      <c r="O101" s="43" t="str">
        <f t="shared" si="9"/>
        <v>-</v>
      </c>
      <c r="P101" s="44" t="str">
        <f t="shared" si="10"/>
        <v>-</v>
      </c>
      <c r="Q101" s="35"/>
      <c r="R101" s="45" t="str">
        <f t="shared" si="11"/>
        <v>-</v>
      </c>
    </row>
    <row r="102" spans="1:18" ht="14.4">
      <c r="A102" s="10" t="s">
        <v>303</v>
      </c>
      <c r="B102" s="11" t="s">
        <v>156</v>
      </c>
      <c r="C102" s="63">
        <v>23249091622</v>
      </c>
      <c r="D102" s="19" t="s">
        <v>16</v>
      </c>
      <c r="E102" s="26">
        <v>0.32282799999999995</v>
      </c>
      <c r="F102" s="30">
        <v>12</v>
      </c>
      <c r="G102" s="22">
        <v>19.091249999999999</v>
      </c>
      <c r="H102" s="53" t="s">
        <v>315</v>
      </c>
      <c r="I102" s="48"/>
      <c r="J102" s="50">
        <f t="shared" si="13"/>
        <v>0</v>
      </c>
      <c r="K102" s="6"/>
      <c r="L102" s="6"/>
      <c r="M102" s="42" t="str">
        <f t="shared" si="8"/>
        <v>-</v>
      </c>
      <c r="N102" s="42" t="str">
        <f t="shared" si="12"/>
        <v>-</v>
      </c>
      <c r="O102" s="43" t="str">
        <f t="shared" si="9"/>
        <v>-</v>
      </c>
      <c r="P102" s="44" t="str">
        <f t="shared" si="10"/>
        <v>-</v>
      </c>
      <c r="Q102" s="35"/>
      <c r="R102" s="45" t="str">
        <f t="shared" si="11"/>
        <v>-</v>
      </c>
    </row>
    <row r="103" spans="1:18" ht="14.4">
      <c r="A103" s="8" t="s">
        <v>303</v>
      </c>
      <c r="B103" s="9" t="s">
        <v>157</v>
      </c>
      <c r="C103" s="62">
        <v>23249010067</v>
      </c>
      <c r="D103" s="18" t="s">
        <v>17</v>
      </c>
      <c r="E103" s="26">
        <v>0.50094000000000005</v>
      </c>
      <c r="F103" s="29">
        <v>12</v>
      </c>
      <c r="G103" s="21">
        <v>30.341249999999999</v>
      </c>
      <c r="H103" s="53" t="s">
        <v>315</v>
      </c>
      <c r="I103" s="47"/>
      <c r="J103" s="51">
        <f t="shared" si="13"/>
        <v>0</v>
      </c>
      <c r="K103" s="6"/>
      <c r="L103" s="6"/>
      <c r="M103" s="42" t="str">
        <f t="shared" si="8"/>
        <v>-</v>
      </c>
      <c r="N103" s="42" t="str">
        <f t="shared" si="12"/>
        <v>-</v>
      </c>
      <c r="O103" s="43" t="str">
        <f t="shared" si="9"/>
        <v>-</v>
      </c>
      <c r="P103" s="44" t="str">
        <f t="shared" si="10"/>
        <v>-</v>
      </c>
      <c r="Q103" s="35"/>
      <c r="R103" s="45" t="str">
        <f t="shared" si="11"/>
        <v>-</v>
      </c>
    </row>
    <row r="104" spans="1:18" ht="14.4">
      <c r="A104" s="12" t="s">
        <v>304</v>
      </c>
      <c r="B104" s="11" t="s">
        <v>158</v>
      </c>
      <c r="C104" s="63">
        <v>23249091486</v>
      </c>
      <c r="D104" s="19" t="s">
        <v>18</v>
      </c>
      <c r="E104" s="26">
        <v>0.32282799999999995</v>
      </c>
      <c r="F104" s="30">
        <v>12</v>
      </c>
      <c r="G104" s="22">
        <v>19.091249999999999</v>
      </c>
      <c r="H104" s="53" t="s">
        <v>315</v>
      </c>
      <c r="I104" s="48"/>
      <c r="J104" s="50">
        <f t="shared" si="13"/>
        <v>0</v>
      </c>
      <c r="K104" s="6"/>
      <c r="L104" s="6"/>
      <c r="M104" s="42" t="str">
        <f t="shared" si="8"/>
        <v>-</v>
      </c>
      <c r="N104" s="42" t="str">
        <f t="shared" si="12"/>
        <v>-</v>
      </c>
      <c r="O104" s="43" t="str">
        <f t="shared" si="9"/>
        <v>-</v>
      </c>
      <c r="P104" s="44" t="str">
        <f t="shared" si="10"/>
        <v>-</v>
      </c>
      <c r="Q104" s="35"/>
      <c r="R104" s="45" t="str">
        <f t="shared" si="11"/>
        <v>-</v>
      </c>
    </row>
    <row r="105" spans="1:18" ht="14.4">
      <c r="A105" s="8" t="s">
        <v>303</v>
      </c>
      <c r="B105" s="9" t="s">
        <v>159</v>
      </c>
      <c r="C105" s="62">
        <v>23249000075</v>
      </c>
      <c r="D105" s="18" t="s">
        <v>19</v>
      </c>
      <c r="E105" s="26">
        <v>0.50094000000000005</v>
      </c>
      <c r="F105" s="29">
        <v>12</v>
      </c>
      <c r="G105" s="21">
        <v>30.341249999999999</v>
      </c>
      <c r="H105" s="53" t="s">
        <v>315</v>
      </c>
      <c r="I105" s="47"/>
      <c r="J105" s="51">
        <f t="shared" si="13"/>
        <v>0</v>
      </c>
      <c r="K105" s="6"/>
      <c r="L105" s="6"/>
      <c r="M105" s="42" t="str">
        <f t="shared" si="8"/>
        <v>-</v>
      </c>
      <c r="N105" s="42" t="str">
        <f t="shared" si="12"/>
        <v>-</v>
      </c>
      <c r="O105" s="43" t="str">
        <f t="shared" si="9"/>
        <v>-</v>
      </c>
      <c r="P105" s="44" t="str">
        <f t="shared" si="10"/>
        <v>-</v>
      </c>
      <c r="Q105" s="35"/>
      <c r="R105" s="45" t="str">
        <f t="shared" si="11"/>
        <v>-</v>
      </c>
    </row>
    <row r="106" spans="1:18" ht="14.4">
      <c r="A106" s="8" t="s">
        <v>189</v>
      </c>
      <c r="B106" s="9" t="s">
        <v>45</v>
      </c>
      <c r="C106" s="62">
        <v>23249010821</v>
      </c>
      <c r="D106" s="18" t="s">
        <v>196</v>
      </c>
      <c r="E106" s="26">
        <v>0.601128</v>
      </c>
      <c r="F106" s="29">
        <v>6</v>
      </c>
      <c r="G106" s="21">
        <v>19.091249999999999</v>
      </c>
      <c r="H106" s="53" t="s">
        <v>315</v>
      </c>
      <c r="I106" s="47"/>
      <c r="J106" s="51">
        <f t="shared" si="13"/>
        <v>0</v>
      </c>
      <c r="K106" s="6"/>
      <c r="L106" s="6"/>
      <c r="M106" s="42" t="str">
        <f t="shared" si="8"/>
        <v>-</v>
      </c>
      <c r="N106" s="42" t="str">
        <f t="shared" si="12"/>
        <v>-</v>
      </c>
      <c r="O106" s="43" t="str">
        <f t="shared" si="9"/>
        <v>-</v>
      </c>
      <c r="P106" s="44" t="str">
        <f t="shared" si="10"/>
        <v>-</v>
      </c>
      <c r="Q106" s="35"/>
      <c r="R106" s="45" t="str">
        <f t="shared" si="11"/>
        <v>-</v>
      </c>
    </row>
    <row r="107" spans="1:18" ht="14.4">
      <c r="A107" s="8" t="s">
        <v>204</v>
      </c>
      <c r="B107" s="9" t="s">
        <v>57</v>
      </c>
      <c r="C107" s="62">
        <v>23249090014</v>
      </c>
      <c r="D107" s="18" t="s">
        <v>207</v>
      </c>
      <c r="E107" s="26">
        <v>0.22264</v>
      </c>
      <c r="F107" s="29">
        <v>12</v>
      </c>
      <c r="G107" s="21">
        <v>17.966250000000002</v>
      </c>
      <c r="H107" s="53" t="s">
        <v>315</v>
      </c>
      <c r="I107" s="47"/>
      <c r="J107" s="51">
        <f t="shared" si="13"/>
        <v>0</v>
      </c>
      <c r="K107" s="6"/>
      <c r="L107" s="6"/>
      <c r="M107" s="42" t="str">
        <f t="shared" si="8"/>
        <v>-</v>
      </c>
      <c r="N107" s="42" t="str">
        <f t="shared" si="12"/>
        <v>-</v>
      </c>
      <c r="O107" s="43" t="str">
        <f t="shared" si="9"/>
        <v>-</v>
      </c>
      <c r="P107" s="44" t="str">
        <f t="shared" si="10"/>
        <v>-</v>
      </c>
      <c r="Q107" s="35"/>
      <c r="R107" s="45" t="str">
        <f t="shared" si="11"/>
        <v>-</v>
      </c>
    </row>
    <row r="108" spans="1:18" ht="14.4">
      <c r="A108" s="8" t="s">
        <v>204</v>
      </c>
      <c r="B108" s="9" t="s">
        <v>61</v>
      </c>
      <c r="C108" s="62">
        <v>23249011361</v>
      </c>
      <c r="D108" s="18" t="s">
        <v>211</v>
      </c>
      <c r="E108" s="26">
        <v>0.15584800000000001</v>
      </c>
      <c r="F108" s="29">
        <v>12</v>
      </c>
      <c r="G108" s="21">
        <v>28.091249999999999</v>
      </c>
      <c r="H108" s="53" t="s">
        <v>315</v>
      </c>
      <c r="I108" s="47"/>
      <c r="J108" s="51">
        <f t="shared" si="13"/>
        <v>0</v>
      </c>
      <c r="K108" s="6"/>
      <c r="L108" s="6"/>
      <c r="M108" s="42" t="str">
        <f t="shared" si="8"/>
        <v>-</v>
      </c>
      <c r="N108" s="42" t="str">
        <f t="shared" si="12"/>
        <v>-</v>
      </c>
      <c r="O108" s="43" t="str">
        <f t="shared" si="9"/>
        <v>-</v>
      </c>
      <c r="P108" s="44" t="str">
        <f t="shared" si="10"/>
        <v>-</v>
      </c>
      <c r="Q108" s="35"/>
      <c r="R108" s="45" t="str">
        <f t="shared" si="11"/>
        <v>-</v>
      </c>
    </row>
    <row r="109" spans="1:18" ht="14.4">
      <c r="A109" s="8" t="s">
        <v>204</v>
      </c>
      <c r="B109" s="9" t="s">
        <v>66</v>
      </c>
      <c r="C109" s="62">
        <v>23249004127</v>
      </c>
      <c r="D109" s="18" t="s">
        <v>216</v>
      </c>
      <c r="E109" s="26">
        <v>5.5660000000000001E-2</v>
      </c>
      <c r="F109" s="29">
        <v>12</v>
      </c>
      <c r="G109" s="21">
        <v>17.966250000000002</v>
      </c>
      <c r="H109" s="53" t="s">
        <v>315</v>
      </c>
      <c r="I109" s="47"/>
      <c r="J109" s="51">
        <f t="shared" si="13"/>
        <v>0</v>
      </c>
      <c r="K109" s="6"/>
      <c r="L109" s="6"/>
      <c r="M109" s="42" t="str">
        <f t="shared" si="8"/>
        <v>-</v>
      </c>
      <c r="N109" s="42" t="str">
        <f t="shared" si="12"/>
        <v>-</v>
      </c>
      <c r="O109" s="43" t="str">
        <f t="shared" si="9"/>
        <v>-</v>
      </c>
      <c r="P109" s="44" t="str">
        <f t="shared" si="10"/>
        <v>-</v>
      </c>
      <c r="Q109" s="35"/>
      <c r="R109" s="45" t="str">
        <f t="shared" si="11"/>
        <v>-</v>
      </c>
    </row>
    <row r="110" spans="1:18" ht="14.4">
      <c r="A110" s="10" t="s">
        <v>220</v>
      </c>
      <c r="B110" s="11" t="s">
        <v>71</v>
      </c>
      <c r="C110" s="63">
        <v>23249010302</v>
      </c>
      <c r="D110" s="19" t="s">
        <v>222</v>
      </c>
      <c r="E110" s="26">
        <v>0.15584800000000001</v>
      </c>
      <c r="F110" s="30">
        <v>12</v>
      </c>
      <c r="G110" s="22">
        <v>16.841250000000002</v>
      </c>
      <c r="H110" s="53" t="s">
        <v>315</v>
      </c>
      <c r="I110" s="48"/>
      <c r="J110" s="50">
        <f t="shared" si="13"/>
        <v>0</v>
      </c>
      <c r="K110" s="6"/>
      <c r="L110" s="6"/>
      <c r="M110" s="42" t="str">
        <f t="shared" si="8"/>
        <v>-</v>
      </c>
      <c r="N110" s="42" t="str">
        <f t="shared" si="12"/>
        <v>-</v>
      </c>
      <c r="O110" s="43" t="str">
        <f t="shared" si="9"/>
        <v>-</v>
      </c>
      <c r="P110" s="44" t="str">
        <f t="shared" si="10"/>
        <v>-</v>
      </c>
      <c r="Q110" s="35"/>
      <c r="R110" s="45" t="str">
        <f t="shared" si="11"/>
        <v>-</v>
      </c>
    </row>
    <row r="111" spans="1:18" ht="14.4">
      <c r="A111" s="10" t="s">
        <v>225</v>
      </c>
      <c r="B111" s="11" t="s">
        <v>75</v>
      </c>
      <c r="C111" s="63">
        <v>23249091974</v>
      </c>
      <c r="D111" s="19" t="s">
        <v>227</v>
      </c>
      <c r="E111" s="26">
        <v>0.17</v>
      </c>
      <c r="F111" s="30">
        <v>12</v>
      </c>
      <c r="G111" s="22">
        <v>32.591250000000002</v>
      </c>
      <c r="H111" s="53" t="s">
        <v>315</v>
      </c>
      <c r="I111" s="48"/>
      <c r="J111" s="50">
        <f t="shared" si="13"/>
        <v>0</v>
      </c>
      <c r="K111" s="6"/>
      <c r="L111" s="6"/>
      <c r="M111" s="42" t="str">
        <f t="shared" si="8"/>
        <v>-</v>
      </c>
      <c r="N111" s="42" t="str">
        <f t="shared" si="12"/>
        <v>-</v>
      </c>
      <c r="O111" s="43" t="str">
        <f t="shared" si="9"/>
        <v>-</v>
      </c>
      <c r="P111" s="44" t="str">
        <f t="shared" si="10"/>
        <v>-</v>
      </c>
      <c r="Q111" s="35"/>
      <c r="R111" s="45" t="str">
        <f t="shared" si="11"/>
        <v>-</v>
      </c>
    </row>
    <row r="112" spans="1:18" ht="14.4">
      <c r="A112" s="8" t="s">
        <v>225</v>
      </c>
      <c r="B112" s="9" t="s">
        <v>82</v>
      </c>
      <c r="C112" s="62">
        <v>23249004417</v>
      </c>
      <c r="D112" s="18" t="s">
        <v>234</v>
      </c>
      <c r="E112" s="26">
        <v>0.400752</v>
      </c>
      <c r="F112" s="29">
        <v>12</v>
      </c>
      <c r="G112" s="21">
        <v>20.216249999999999</v>
      </c>
      <c r="H112" s="53" t="s">
        <v>315</v>
      </c>
      <c r="I112" s="47"/>
      <c r="J112" s="51">
        <f t="shared" si="13"/>
        <v>0</v>
      </c>
      <c r="K112" s="6"/>
      <c r="L112" s="6"/>
      <c r="M112" s="42" t="str">
        <f t="shared" si="8"/>
        <v>-</v>
      </c>
      <c r="N112" s="42" t="str">
        <f t="shared" si="12"/>
        <v>-</v>
      </c>
      <c r="O112" s="43" t="str">
        <f t="shared" si="9"/>
        <v>-</v>
      </c>
      <c r="P112" s="44" t="str">
        <f t="shared" si="10"/>
        <v>-</v>
      </c>
      <c r="Q112" s="35"/>
      <c r="R112" s="45" t="str">
        <f t="shared" si="11"/>
        <v>-</v>
      </c>
    </row>
    <row r="113" spans="1:18" ht="14.4">
      <c r="A113" s="10" t="s">
        <v>225</v>
      </c>
      <c r="B113" s="11" t="s">
        <v>83</v>
      </c>
      <c r="C113" s="63">
        <v>23249000914</v>
      </c>
      <c r="D113" s="19" t="s">
        <v>235</v>
      </c>
      <c r="E113" s="26">
        <v>0.200376</v>
      </c>
      <c r="F113" s="30">
        <v>12</v>
      </c>
      <c r="G113" s="22">
        <v>13.466250000000002</v>
      </c>
      <c r="H113" s="53" t="s">
        <v>315</v>
      </c>
      <c r="I113" s="48"/>
      <c r="J113" s="50">
        <f t="shared" si="13"/>
        <v>0</v>
      </c>
      <c r="K113" s="6"/>
      <c r="L113" s="6"/>
      <c r="M113" s="42" t="str">
        <f t="shared" si="8"/>
        <v>-</v>
      </c>
      <c r="N113" s="42" t="str">
        <f t="shared" si="12"/>
        <v>-</v>
      </c>
      <c r="O113" s="43" t="str">
        <f t="shared" si="9"/>
        <v>-</v>
      </c>
      <c r="P113" s="44" t="str">
        <f t="shared" si="10"/>
        <v>-</v>
      </c>
      <c r="Q113" s="35"/>
      <c r="R113" s="45" t="str">
        <f t="shared" si="11"/>
        <v>-</v>
      </c>
    </row>
    <row r="114" spans="1:18" ht="14.4">
      <c r="A114" s="8" t="s">
        <v>237</v>
      </c>
      <c r="B114" s="9" t="s">
        <v>86</v>
      </c>
      <c r="C114" s="62">
        <v>23249011798</v>
      </c>
      <c r="D114" s="18" t="s">
        <v>239</v>
      </c>
      <c r="E114" s="26">
        <v>0.100188</v>
      </c>
      <c r="F114" s="29">
        <v>12</v>
      </c>
      <c r="G114" s="21">
        <v>13.466250000000002</v>
      </c>
      <c r="H114" s="53" t="s">
        <v>315</v>
      </c>
      <c r="I114" s="47"/>
      <c r="J114" s="51">
        <f t="shared" si="13"/>
        <v>0</v>
      </c>
      <c r="K114" s="6"/>
      <c r="L114" s="6"/>
      <c r="M114" s="42" t="str">
        <f t="shared" si="8"/>
        <v>-</v>
      </c>
      <c r="N114" s="42" t="str">
        <f t="shared" si="12"/>
        <v>-</v>
      </c>
      <c r="O114" s="43" t="str">
        <f t="shared" si="9"/>
        <v>-</v>
      </c>
      <c r="P114" s="44" t="str">
        <f t="shared" si="10"/>
        <v>-</v>
      </c>
      <c r="Q114" s="35"/>
      <c r="R114" s="45" t="str">
        <f t="shared" si="11"/>
        <v>-</v>
      </c>
    </row>
    <row r="115" spans="1:18" ht="14.4">
      <c r="A115" s="10" t="s">
        <v>237</v>
      </c>
      <c r="B115" s="11" t="s">
        <v>99</v>
      </c>
      <c r="C115" s="63">
        <v>23249091875</v>
      </c>
      <c r="D115" s="19" t="s">
        <v>252</v>
      </c>
      <c r="E115" s="26">
        <v>8.9055999999999996E-2</v>
      </c>
      <c r="F115" s="30">
        <v>12</v>
      </c>
      <c r="G115" s="22">
        <v>24.716249999999999</v>
      </c>
      <c r="H115" s="53" t="s">
        <v>315</v>
      </c>
      <c r="I115" s="48"/>
      <c r="J115" s="50">
        <f t="shared" si="13"/>
        <v>0</v>
      </c>
      <c r="K115" s="6"/>
      <c r="L115" s="6"/>
      <c r="M115" s="42" t="str">
        <f t="shared" si="8"/>
        <v>-</v>
      </c>
      <c r="N115" s="42" t="str">
        <f t="shared" si="12"/>
        <v>-</v>
      </c>
      <c r="O115" s="43" t="str">
        <f t="shared" si="9"/>
        <v>-</v>
      </c>
      <c r="P115" s="44" t="str">
        <f t="shared" si="10"/>
        <v>-</v>
      </c>
      <c r="Q115" s="35"/>
      <c r="R115" s="45" t="str">
        <f t="shared" si="11"/>
        <v>-</v>
      </c>
    </row>
    <row r="116" spans="1:18" ht="14.4">
      <c r="A116" s="8" t="s">
        <v>237</v>
      </c>
      <c r="B116" s="9" t="s">
        <v>102</v>
      </c>
      <c r="C116" s="62">
        <v>23249092124</v>
      </c>
      <c r="D116" s="18" t="s">
        <v>255</v>
      </c>
      <c r="E116" s="26">
        <v>6.679199999999999E-2</v>
      </c>
      <c r="F116" s="29">
        <v>12</v>
      </c>
      <c r="G116" s="21">
        <v>17.966250000000002</v>
      </c>
      <c r="H116" s="53" t="s">
        <v>315</v>
      </c>
      <c r="I116" s="47"/>
      <c r="J116" s="51">
        <f t="shared" si="13"/>
        <v>0</v>
      </c>
      <c r="K116" s="6"/>
      <c r="L116" s="6"/>
      <c r="M116" s="42" t="str">
        <f t="shared" si="8"/>
        <v>-</v>
      </c>
      <c r="N116" s="42" t="str">
        <f t="shared" si="12"/>
        <v>-</v>
      </c>
      <c r="O116" s="43" t="str">
        <f t="shared" si="9"/>
        <v>-</v>
      </c>
      <c r="P116" s="44" t="str">
        <f t="shared" si="10"/>
        <v>-</v>
      </c>
      <c r="Q116" s="35"/>
      <c r="R116" s="45" t="str">
        <f t="shared" si="11"/>
        <v>-</v>
      </c>
    </row>
    <row r="117" spans="1:18" ht="14.4">
      <c r="A117" s="10" t="s">
        <v>237</v>
      </c>
      <c r="B117" s="11" t="s">
        <v>103</v>
      </c>
      <c r="C117" s="63">
        <v>23249092117</v>
      </c>
      <c r="D117" s="19" t="s">
        <v>256</v>
      </c>
      <c r="E117" s="26">
        <v>7.7924000000000007E-2</v>
      </c>
      <c r="F117" s="30">
        <v>12</v>
      </c>
      <c r="G117" s="22">
        <v>16.841250000000002</v>
      </c>
      <c r="H117" s="53" t="s">
        <v>315</v>
      </c>
      <c r="I117" s="48"/>
      <c r="J117" s="50">
        <f t="shared" si="13"/>
        <v>0</v>
      </c>
      <c r="K117" s="6"/>
      <c r="L117" s="6"/>
      <c r="M117" s="42" t="str">
        <f t="shared" si="8"/>
        <v>-</v>
      </c>
      <c r="N117" s="42" t="str">
        <f t="shared" si="12"/>
        <v>-</v>
      </c>
      <c r="O117" s="43" t="str">
        <f t="shared" si="9"/>
        <v>-</v>
      </c>
      <c r="P117" s="44" t="str">
        <f t="shared" si="10"/>
        <v>-</v>
      </c>
      <c r="Q117" s="35"/>
      <c r="R117" s="45" t="str">
        <f t="shared" si="11"/>
        <v>-</v>
      </c>
    </row>
    <row r="118" spans="1:18" ht="14.4">
      <c r="A118" s="8" t="s">
        <v>257</v>
      </c>
      <c r="B118" s="9" t="s">
        <v>106</v>
      </c>
      <c r="C118" s="62">
        <v>23249012030</v>
      </c>
      <c r="D118" s="18" t="s">
        <v>260</v>
      </c>
      <c r="E118" s="26">
        <v>0.45</v>
      </c>
      <c r="F118" s="29">
        <v>12</v>
      </c>
      <c r="G118" s="21">
        <v>20.216249999999999</v>
      </c>
      <c r="H118" s="53" t="s">
        <v>315</v>
      </c>
      <c r="I118" s="47"/>
      <c r="J118" s="51">
        <f t="shared" si="13"/>
        <v>0</v>
      </c>
      <c r="K118" s="6"/>
      <c r="L118" s="6"/>
      <c r="M118" s="42" t="str">
        <f t="shared" si="8"/>
        <v>-</v>
      </c>
      <c r="N118" s="42" t="str">
        <f t="shared" si="12"/>
        <v>-</v>
      </c>
      <c r="O118" s="43" t="str">
        <f t="shared" si="9"/>
        <v>-</v>
      </c>
      <c r="P118" s="44" t="str">
        <f t="shared" si="10"/>
        <v>-</v>
      </c>
      <c r="Q118" s="35"/>
      <c r="R118" s="45" t="str">
        <f t="shared" si="11"/>
        <v>-</v>
      </c>
    </row>
    <row r="119" spans="1:18" ht="14.4">
      <c r="A119" s="10" t="s">
        <v>257</v>
      </c>
      <c r="B119" s="11" t="s">
        <v>107</v>
      </c>
      <c r="C119" s="63">
        <v>23249011620</v>
      </c>
      <c r="D119" s="19" t="s">
        <v>261</v>
      </c>
      <c r="E119" s="26">
        <v>1.0909359999999999</v>
      </c>
      <c r="F119" s="30">
        <v>6</v>
      </c>
      <c r="G119" s="22">
        <v>25.841249999999999</v>
      </c>
      <c r="H119" s="53" t="s">
        <v>315</v>
      </c>
      <c r="I119" s="48"/>
      <c r="J119" s="50">
        <f t="shared" si="13"/>
        <v>0</v>
      </c>
      <c r="K119" s="6"/>
      <c r="L119" s="6"/>
      <c r="M119" s="42" t="str">
        <f t="shared" si="8"/>
        <v>-</v>
      </c>
      <c r="N119" s="42" t="str">
        <f t="shared" si="12"/>
        <v>-</v>
      </c>
      <c r="O119" s="43" t="str">
        <f t="shared" si="9"/>
        <v>-</v>
      </c>
      <c r="P119" s="44" t="str">
        <f t="shared" si="10"/>
        <v>-</v>
      </c>
      <c r="Q119" s="35"/>
      <c r="R119" s="45" t="str">
        <f t="shared" si="11"/>
        <v>-</v>
      </c>
    </row>
    <row r="120" spans="1:18" ht="14.4">
      <c r="A120" s="8" t="s">
        <v>257</v>
      </c>
      <c r="B120" s="9" t="s">
        <v>110</v>
      </c>
      <c r="C120" s="62">
        <v>23249011187</v>
      </c>
      <c r="D120" s="18" t="s">
        <v>5</v>
      </c>
      <c r="E120" s="26">
        <v>0.43414799999999998</v>
      </c>
      <c r="F120" s="29">
        <v>6</v>
      </c>
      <c r="G120" s="21">
        <v>22.466249999999999</v>
      </c>
      <c r="H120" s="53" t="s">
        <v>315</v>
      </c>
      <c r="I120" s="47"/>
      <c r="J120" s="51">
        <f t="shared" si="13"/>
        <v>0</v>
      </c>
      <c r="K120" s="6"/>
      <c r="L120" s="6"/>
      <c r="M120" s="42" t="str">
        <f t="shared" si="8"/>
        <v>-</v>
      </c>
      <c r="N120" s="42" t="str">
        <f t="shared" si="12"/>
        <v>-</v>
      </c>
      <c r="O120" s="43" t="str">
        <f t="shared" si="9"/>
        <v>-</v>
      </c>
      <c r="P120" s="44" t="str">
        <f t="shared" si="10"/>
        <v>-</v>
      </c>
      <c r="Q120" s="35"/>
      <c r="R120" s="45" t="str">
        <f t="shared" si="11"/>
        <v>-</v>
      </c>
    </row>
    <row r="121" spans="1:18" ht="14.4">
      <c r="A121" s="8" t="s">
        <v>264</v>
      </c>
      <c r="B121" s="9" t="s">
        <v>116</v>
      </c>
      <c r="C121" s="62">
        <v>23249091950</v>
      </c>
      <c r="D121" s="18" t="s">
        <v>270</v>
      </c>
      <c r="E121" s="26">
        <v>0.200376</v>
      </c>
      <c r="F121" s="29">
        <v>12</v>
      </c>
      <c r="G121" s="21">
        <v>21.341249999999999</v>
      </c>
      <c r="H121" s="53" t="s">
        <v>315</v>
      </c>
      <c r="I121" s="47"/>
      <c r="J121" s="51">
        <f t="shared" si="13"/>
        <v>0</v>
      </c>
      <c r="K121" s="6"/>
      <c r="L121" s="6"/>
      <c r="M121" s="42" t="str">
        <f t="shared" si="8"/>
        <v>-</v>
      </c>
      <c r="N121" s="42" t="str">
        <f t="shared" si="12"/>
        <v>-</v>
      </c>
      <c r="O121" s="43" t="str">
        <f t="shared" si="9"/>
        <v>-</v>
      </c>
      <c r="P121" s="44" t="str">
        <f t="shared" si="10"/>
        <v>-</v>
      </c>
      <c r="Q121" s="35"/>
      <c r="R121" s="45" t="str">
        <f t="shared" si="11"/>
        <v>-</v>
      </c>
    </row>
    <row r="122" spans="1:18" ht="14.4">
      <c r="A122" s="8" t="s">
        <v>274</v>
      </c>
      <c r="B122" s="9" t="s">
        <v>120</v>
      </c>
      <c r="C122" s="62">
        <v>23249010494</v>
      </c>
      <c r="D122" s="18" t="s">
        <v>275</v>
      </c>
      <c r="E122" s="26">
        <v>1.636404</v>
      </c>
      <c r="F122" s="29">
        <v>6</v>
      </c>
      <c r="G122" s="21">
        <v>20.216249999999999</v>
      </c>
      <c r="H122" s="53" t="s">
        <v>315</v>
      </c>
      <c r="I122" s="47"/>
      <c r="J122" s="51">
        <f t="shared" si="13"/>
        <v>0</v>
      </c>
      <c r="K122" s="6"/>
      <c r="L122" s="6"/>
      <c r="M122" s="42" t="str">
        <f t="shared" si="8"/>
        <v>-</v>
      </c>
      <c r="N122" s="42" t="str">
        <f t="shared" si="12"/>
        <v>-</v>
      </c>
      <c r="O122" s="43" t="str">
        <f t="shared" si="9"/>
        <v>-</v>
      </c>
      <c r="P122" s="44" t="str">
        <f t="shared" si="10"/>
        <v>-</v>
      </c>
      <c r="Q122" s="35"/>
      <c r="R122" s="45" t="str">
        <f t="shared" si="11"/>
        <v>-</v>
      </c>
    </row>
    <row r="123" spans="1:18" ht="14.4">
      <c r="A123" s="8" t="s">
        <v>274</v>
      </c>
      <c r="B123" s="9" t="s">
        <v>121</v>
      </c>
      <c r="C123" s="62">
        <v>23249011286</v>
      </c>
      <c r="D123" s="18" t="s">
        <v>276</v>
      </c>
      <c r="E123" s="26">
        <v>0.34509200000000001</v>
      </c>
      <c r="F123" s="29">
        <v>40</v>
      </c>
      <c r="G123" s="21">
        <v>15.716250000000002</v>
      </c>
      <c r="H123" s="53" t="s">
        <v>315</v>
      </c>
      <c r="I123" s="47"/>
      <c r="J123" s="51">
        <f t="shared" ref="J123:J186" si="14">I123*G123</f>
        <v>0</v>
      </c>
      <c r="K123" s="6"/>
      <c r="L123" s="6"/>
      <c r="M123" s="42" t="str">
        <f t="shared" si="8"/>
        <v>-</v>
      </c>
      <c r="N123" s="42" t="str">
        <f t="shared" si="12"/>
        <v>-</v>
      </c>
      <c r="O123" s="43" t="str">
        <f t="shared" si="9"/>
        <v>-</v>
      </c>
      <c r="P123" s="44" t="str">
        <f t="shared" si="10"/>
        <v>-</v>
      </c>
      <c r="Q123" s="35"/>
      <c r="R123" s="45" t="str">
        <f t="shared" si="11"/>
        <v>-</v>
      </c>
    </row>
    <row r="124" spans="1:18" ht="14.4">
      <c r="A124" s="10" t="s">
        <v>274</v>
      </c>
      <c r="B124" s="11" t="s">
        <v>122</v>
      </c>
      <c r="C124" s="63">
        <v>23249091073</v>
      </c>
      <c r="D124" s="19" t="s">
        <v>277</v>
      </c>
      <c r="E124" s="26">
        <v>0.33395999999999998</v>
      </c>
      <c r="F124" s="30">
        <v>40</v>
      </c>
      <c r="G124" s="22">
        <v>15.716250000000002</v>
      </c>
      <c r="H124" s="53" t="s">
        <v>315</v>
      </c>
      <c r="I124" s="48"/>
      <c r="J124" s="50">
        <f t="shared" si="14"/>
        <v>0</v>
      </c>
      <c r="K124" s="6"/>
      <c r="L124" s="6"/>
      <c r="M124" s="42" t="str">
        <f t="shared" ref="M124:M142" si="15">IFERROR(IF($M$2*E124=0, "-", $M$2*E124), "-")</f>
        <v>-</v>
      </c>
      <c r="N124" s="42" t="str">
        <f t="shared" si="12"/>
        <v>-</v>
      </c>
      <c r="O124" s="43" t="str">
        <f t="shared" ref="O124:O142" si="16">IF(I124&gt;0,I124*E124, "-")</f>
        <v>-</v>
      </c>
      <c r="P124" s="44" t="str">
        <f t="shared" ref="P124:P142" si="17">IFERROR(IF($M$2&gt;0, $M$2*O124, "-"), "-")</f>
        <v>-</v>
      </c>
      <c r="Q124" s="35"/>
      <c r="R124" s="45" t="str">
        <f t="shared" ref="R124:R142" si="18">IFERROR(IF(P124+J124=0, "-", IF(P124&gt;0, P124+J124, "-")), "-")</f>
        <v>-</v>
      </c>
    </row>
    <row r="125" spans="1:18" ht="14.4">
      <c r="A125" s="8" t="s">
        <v>274</v>
      </c>
      <c r="B125" s="9" t="s">
        <v>123</v>
      </c>
      <c r="C125" s="62">
        <v>23249010661</v>
      </c>
      <c r="D125" s="18" t="s">
        <v>278</v>
      </c>
      <c r="E125" s="26">
        <v>0.32282799999999995</v>
      </c>
      <c r="F125" s="29">
        <v>24</v>
      </c>
      <c r="G125" s="21">
        <v>15.716250000000002</v>
      </c>
      <c r="H125" s="53" t="s">
        <v>315</v>
      </c>
      <c r="I125" s="47"/>
      <c r="J125" s="51">
        <f t="shared" si="14"/>
        <v>0</v>
      </c>
      <c r="K125" s="6"/>
      <c r="L125" s="6"/>
      <c r="M125" s="42" t="str">
        <f t="shared" si="15"/>
        <v>-</v>
      </c>
      <c r="N125" s="42" t="str">
        <f t="shared" si="12"/>
        <v>-</v>
      </c>
      <c r="O125" s="43" t="str">
        <f t="shared" si="16"/>
        <v>-</v>
      </c>
      <c r="P125" s="44" t="str">
        <f t="shared" si="17"/>
        <v>-</v>
      </c>
      <c r="Q125" s="35"/>
      <c r="R125" s="45" t="str">
        <f t="shared" si="18"/>
        <v>-</v>
      </c>
    </row>
    <row r="126" spans="1:18" ht="14.4">
      <c r="A126" s="10" t="s">
        <v>274</v>
      </c>
      <c r="B126" s="11" t="s">
        <v>124</v>
      </c>
      <c r="C126" s="63">
        <v>23249010609</v>
      </c>
      <c r="D126" s="19" t="s">
        <v>279</v>
      </c>
      <c r="E126" s="26">
        <v>0.44528000000000001</v>
      </c>
      <c r="F126" s="30">
        <v>24</v>
      </c>
      <c r="G126" s="22">
        <v>15.716250000000002</v>
      </c>
      <c r="H126" s="53" t="s">
        <v>315</v>
      </c>
      <c r="I126" s="48"/>
      <c r="J126" s="50">
        <f t="shared" si="14"/>
        <v>0</v>
      </c>
      <c r="K126" s="6"/>
      <c r="L126" s="6"/>
      <c r="M126" s="42" t="str">
        <f t="shared" si="15"/>
        <v>-</v>
      </c>
      <c r="N126" s="42" t="str">
        <f t="shared" si="12"/>
        <v>-</v>
      </c>
      <c r="O126" s="43" t="str">
        <f t="shared" si="16"/>
        <v>-</v>
      </c>
      <c r="P126" s="44" t="str">
        <f t="shared" si="17"/>
        <v>-</v>
      </c>
      <c r="Q126" s="35"/>
      <c r="R126" s="45" t="str">
        <f t="shared" si="18"/>
        <v>-</v>
      </c>
    </row>
    <row r="127" spans="1:18" ht="14.4">
      <c r="A127" s="8" t="s">
        <v>274</v>
      </c>
      <c r="B127" s="9" t="s">
        <v>125</v>
      </c>
      <c r="C127" s="62">
        <v>23249090182</v>
      </c>
      <c r="D127" s="18" t="s">
        <v>280</v>
      </c>
      <c r="E127" s="26">
        <v>0.34509200000000001</v>
      </c>
      <c r="F127" s="29">
        <v>24</v>
      </c>
      <c r="G127" s="21">
        <v>14.591250000000002</v>
      </c>
      <c r="H127" s="53" t="s">
        <v>315</v>
      </c>
      <c r="I127" s="47"/>
      <c r="J127" s="51">
        <f t="shared" si="14"/>
        <v>0</v>
      </c>
      <c r="K127" s="6"/>
      <c r="L127" s="6"/>
      <c r="M127" s="42" t="str">
        <f t="shared" si="15"/>
        <v>-</v>
      </c>
      <c r="N127" s="42" t="str">
        <f t="shared" si="12"/>
        <v>-</v>
      </c>
      <c r="O127" s="43" t="str">
        <f t="shared" si="16"/>
        <v>-</v>
      </c>
      <c r="P127" s="44" t="str">
        <f t="shared" si="17"/>
        <v>-</v>
      </c>
      <c r="Q127" s="35"/>
      <c r="R127" s="45" t="str">
        <f t="shared" si="18"/>
        <v>-</v>
      </c>
    </row>
    <row r="128" spans="1:18" ht="14.4">
      <c r="A128" s="10" t="s">
        <v>274</v>
      </c>
      <c r="B128" s="11" t="s">
        <v>126</v>
      </c>
      <c r="C128" s="63">
        <v>23249090151</v>
      </c>
      <c r="D128" s="19" t="s">
        <v>281</v>
      </c>
      <c r="E128" s="26">
        <v>0.22264</v>
      </c>
      <c r="F128" s="30">
        <v>50</v>
      </c>
      <c r="G128" s="22">
        <v>11.216250000000002</v>
      </c>
      <c r="H128" s="53" t="s">
        <v>315</v>
      </c>
      <c r="I128" s="48"/>
      <c r="J128" s="50">
        <f t="shared" si="14"/>
        <v>0</v>
      </c>
      <c r="K128" s="6"/>
      <c r="L128" s="6"/>
      <c r="M128" s="42" t="str">
        <f t="shared" si="15"/>
        <v>-</v>
      </c>
      <c r="N128" s="42" t="str">
        <f t="shared" si="12"/>
        <v>-</v>
      </c>
      <c r="O128" s="43" t="str">
        <f t="shared" si="16"/>
        <v>-</v>
      </c>
      <c r="P128" s="44" t="str">
        <f t="shared" si="17"/>
        <v>-</v>
      </c>
      <c r="Q128" s="35"/>
      <c r="R128" s="45" t="str">
        <f t="shared" si="18"/>
        <v>-</v>
      </c>
    </row>
    <row r="129" spans="1:18" ht="14.4">
      <c r="A129" s="8" t="s">
        <v>274</v>
      </c>
      <c r="B129" s="9" t="s">
        <v>127</v>
      </c>
      <c r="C129" s="62">
        <v>23249012948</v>
      </c>
      <c r="D129" s="18" t="s">
        <v>282</v>
      </c>
      <c r="E129" s="26">
        <v>0.50094000000000005</v>
      </c>
      <c r="F129" s="29">
        <v>30</v>
      </c>
      <c r="G129" s="21">
        <v>15.716250000000002</v>
      </c>
      <c r="H129" s="53" t="s">
        <v>315</v>
      </c>
      <c r="I129" s="47"/>
      <c r="J129" s="51">
        <f t="shared" si="14"/>
        <v>0</v>
      </c>
      <c r="K129" s="6"/>
      <c r="L129" s="6"/>
      <c r="M129" s="42" t="str">
        <f t="shared" si="15"/>
        <v>-</v>
      </c>
      <c r="N129" s="42" t="str">
        <f t="shared" si="12"/>
        <v>-</v>
      </c>
      <c r="O129" s="43" t="str">
        <f t="shared" si="16"/>
        <v>-</v>
      </c>
      <c r="P129" s="44" t="str">
        <f t="shared" si="17"/>
        <v>-</v>
      </c>
      <c r="Q129" s="35"/>
      <c r="R129" s="45" t="str">
        <f t="shared" si="18"/>
        <v>-</v>
      </c>
    </row>
    <row r="130" spans="1:18" ht="14.4">
      <c r="A130" s="10" t="s">
        <v>274</v>
      </c>
      <c r="B130" s="11" t="s">
        <v>128</v>
      </c>
      <c r="C130" s="63">
        <v>23249090243</v>
      </c>
      <c r="D130" s="19" t="s">
        <v>283</v>
      </c>
      <c r="E130" s="26">
        <v>0.48980799999999997</v>
      </c>
      <c r="F130" s="30">
        <v>30</v>
      </c>
      <c r="G130" s="22">
        <v>15.716250000000002</v>
      </c>
      <c r="H130" s="53" t="s">
        <v>315</v>
      </c>
      <c r="I130" s="48"/>
      <c r="J130" s="50">
        <f t="shared" si="14"/>
        <v>0</v>
      </c>
      <c r="K130" s="6"/>
      <c r="L130" s="6"/>
      <c r="M130" s="42" t="str">
        <f t="shared" si="15"/>
        <v>-</v>
      </c>
      <c r="N130" s="42" t="str">
        <f t="shared" si="12"/>
        <v>-</v>
      </c>
      <c r="O130" s="43" t="str">
        <f t="shared" si="16"/>
        <v>-</v>
      </c>
      <c r="P130" s="44" t="str">
        <f t="shared" si="17"/>
        <v>-</v>
      </c>
      <c r="Q130" s="35"/>
      <c r="R130" s="45" t="str">
        <f t="shared" si="18"/>
        <v>-</v>
      </c>
    </row>
    <row r="131" spans="1:18" ht="14.4">
      <c r="A131" s="8" t="s">
        <v>274</v>
      </c>
      <c r="B131" s="9" t="s">
        <v>129</v>
      </c>
      <c r="C131" s="62">
        <v>23249091172</v>
      </c>
      <c r="D131" s="18" t="s">
        <v>284</v>
      </c>
      <c r="E131" s="26">
        <v>1.9480999999999999</v>
      </c>
      <c r="F131" s="29">
        <v>8</v>
      </c>
      <c r="G131" s="21">
        <v>24.716249999999999</v>
      </c>
      <c r="H131" s="53" t="s">
        <v>315</v>
      </c>
      <c r="I131" s="47"/>
      <c r="J131" s="51">
        <f t="shared" si="14"/>
        <v>0</v>
      </c>
      <c r="K131" s="6"/>
      <c r="L131" s="6"/>
      <c r="M131" s="42" t="str">
        <f t="shared" si="15"/>
        <v>-</v>
      </c>
      <c r="N131" s="42" t="str">
        <f t="shared" si="12"/>
        <v>-</v>
      </c>
      <c r="O131" s="43" t="str">
        <f t="shared" si="16"/>
        <v>-</v>
      </c>
      <c r="P131" s="44" t="str">
        <f t="shared" si="17"/>
        <v>-</v>
      </c>
      <c r="Q131" s="35"/>
      <c r="R131" s="45" t="str">
        <f t="shared" si="18"/>
        <v>-</v>
      </c>
    </row>
    <row r="132" spans="1:18" ht="14.4">
      <c r="A132" s="10" t="s">
        <v>274</v>
      </c>
      <c r="B132" s="11" t="s">
        <v>130</v>
      </c>
      <c r="C132" s="63">
        <v>23249091035</v>
      </c>
      <c r="D132" s="19" t="s">
        <v>285</v>
      </c>
      <c r="E132" s="26">
        <v>2.0499999999999998</v>
      </c>
      <c r="F132" s="30">
        <v>6</v>
      </c>
      <c r="G132" s="22">
        <v>33.716250000000002</v>
      </c>
      <c r="H132" s="53" t="s">
        <v>315</v>
      </c>
      <c r="I132" s="48"/>
      <c r="J132" s="50">
        <f t="shared" si="14"/>
        <v>0</v>
      </c>
      <c r="K132" s="6"/>
      <c r="L132" s="6"/>
      <c r="M132" s="42" t="str">
        <f t="shared" si="15"/>
        <v>-</v>
      </c>
      <c r="N132" s="42" t="str">
        <f t="shared" ref="N132:N195" si="19">IFERROR(IF(M132&gt;0,G132+M132,"-"),"-")</f>
        <v>-</v>
      </c>
      <c r="O132" s="43" t="str">
        <f t="shared" si="16"/>
        <v>-</v>
      </c>
      <c r="P132" s="44" t="str">
        <f t="shared" si="17"/>
        <v>-</v>
      </c>
      <c r="Q132" s="35"/>
      <c r="R132" s="45" t="str">
        <f t="shared" si="18"/>
        <v>-</v>
      </c>
    </row>
    <row r="133" spans="1:18" ht="14.4">
      <c r="A133" s="8" t="s">
        <v>274</v>
      </c>
      <c r="B133" s="9" t="s">
        <v>131</v>
      </c>
      <c r="C133" s="62">
        <v>23249091080</v>
      </c>
      <c r="D133" s="18" t="s">
        <v>286</v>
      </c>
      <c r="E133" s="26">
        <v>2.0499999999999998</v>
      </c>
      <c r="F133" s="29">
        <v>6</v>
      </c>
      <c r="G133" s="21">
        <v>33.716250000000002</v>
      </c>
      <c r="H133" s="53" t="s">
        <v>315</v>
      </c>
      <c r="I133" s="47"/>
      <c r="J133" s="51">
        <f t="shared" si="14"/>
        <v>0</v>
      </c>
      <c r="K133" s="6"/>
      <c r="L133" s="6"/>
      <c r="M133" s="42" t="str">
        <f t="shared" si="15"/>
        <v>-</v>
      </c>
      <c r="N133" s="42" t="str">
        <f t="shared" si="19"/>
        <v>-</v>
      </c>
      <c r="O133" s="43" t="str">
        <f t="shared" si="16"/>
        <v>-</v>
      </c>
      <c r="P133" s="44" t="str">
        <f t="shared" si="17"/>
        <v>-</v>
      </c>
      <c r="Q133" s="35"/>
      <c r="R133" s="45" t="str">
        <f t="shared" si="18"/>
        <v>-</v>
      </c>
    </row>
    <row r="134" spans="1:18" ht="14.4">
      <c r="A134" s="8" t="s">
        <v>287</v>
      </c>
      <c r="B134" s="9" t="s">
        <v>133</v>
      </c>
      <c r="C134" s="62">
        <v>23249091219</v>
      </c>
      <c r="D134" s="18" t="s">
        <v>289</v>
      </c>
      <c r="E134" s="26">
        <v>0.13</v>
      </c>
      <c r="F134" s="29">
        <v>12</v>
      </c>
      <c r="G134" s="21">
        <v>19.091249999999999</v>
      </c>
      <c r="H134" s="53" t="s">
        <v>315</v>
      </c>
      <c r="I134" s="47"/>
      <c r="J134" s="51">
        <f t="shared" si="14"/>
        <v>0</v>
      </c>
      <c r="K134" s="6"/>
      <c r="L134" s="6"/>
      <c r="M134" s="42" t="str">
        <f t="shared" si="15"/>
        <v>-</v>
      </c>
      <c r="N134" s="42" t="str">
        <f t="shared" si="19"/>
        <v>-</v>
      </c>
      <c r="O134" s="43" t="str">
        <f t="shared" si="16"/>
        <v>-</v>
      </c>
      <c r="P134" s="44" t="str">
        <f t="shared" si="17"/>
        <v>-</v>
      </c>
      <c r="Q134" s="35"/>
      <c r="R134" s="45" t="str">
        <f t="shared" si="18"/>
        <v>-</v>
      </c>
    </row>
    <row r="135" spans="1:18" ht="14.4">
      <c r="A135" s="10" t="s">
        <v>287</v>
      </c>
      <c r="B135" s="11" t="s">
        <v>138</v>
      </c>
      <c r="C135" s="63">
        <v>23249011590</v>
      </c>
      <c r="D135" s="19" t="s">
        <v>294</v>
      </c>
      <c r="E135" s="26">
        <v>0.46754399999999996</v>
      </c>
      <c r="F135" s="30">
        <v>12</v>
      </c>
      <c r="G135" s="22">
        <v>42.716250000000002</v>
      </c>
      <c r="H135" s="53" t="s">
        <v>315</v>
      </c>
      <c r="I135" s="48"/>
      <c r="J135" s="50">
        <f t="shared" si="14"/>
        <v>0</v>
      </c>
      <c r="K135" s="6"/>
      <c r="L135" s="6"/>
      <c r="M135" s="42" t="str">
        <f t="shared" si="15"/>
        <v>-</v>
      </c>
      <c r="N135" s="42" t="str">
        <f t="shared" si="19"/>
        <v>-</v>
      </c>
      <c r="O135" s="43" t="str">
        <f t="shared" si="16"/>
        <v>-</v>
      </c>
      <c r="P135" s="44" t="str">
        <f t="shared" si="17"/>
        <v>-</v>
      </c>
      <c r="Q135" s="35"/>
      <c r="R135" s="45" t="str">
        <f t="shared" si="18"/>
        <v>-</v>
      </c>
    </row>
    <row r="136" spans="1:18" ht="14.4">
      <c r="A136" s="8" t="s">
        <v>287</v>
      </c>
      <c r="B136" s="9" t="s">
        <v>139</v>
      </c>
      <c r="C136" s="62">
        <v>23249091790</v>
      </c>
      <c r="D136" s="18" t="s">
        <v>295</v>
      </c>
      <c r="E136" s="26">
        <v>0.16</v>
      </c>
      <c r="F136" s="29">
        <v>12</v>
      </c>
      <c r="G136" s="21">
        <v>20.216249999999999</v>
      </c>
      <c r="H136" s="53" t="s">
        <v>315</v>
      </c>
      <c r="I136" s="47"/>
      <c r="J136" s="51">
        <f t="shared" si="14"/>
        <v>0</v>
      </c>
      <c r="K136" s="6"/>
      <c r="L136" s="6"/>
      <c r="M136" s="42" t="str">
        <f t="shared" si="15"/>
        <v>-</v>
      </c>
      <c r="N136" s="42" t="str">
        <f t="shared" si="19"/>
        <v>-</v>
      </c>
      <c r="O136" s="43" t="str">
        <f t="shared" si="16"/>
        <v>-</v>
      </c>
      <c r="P136" s="44" t="str">
        <f t="shared" si="17"/>
        <v>-</v>
      </c>
      <c r="Q136" s="35"/>
      <c r="R136" s="45" t="str">
        <f t="shared" si="18"/>
        <v>-</v>
      </c>
    </row>
    <row r="137" spans="1:18" ht="14.4">
      <c r="A137" s="10" t="s">
        <v>296</v>
      </c>
      <c r="B137" s="11" t="s">
        <v>142</v>
      </c>
      <c r="C137" s="63">
        <v>23249010746</v>
      </c>
      <c r="D137" s="19" t="s">
        <v>297</v>
      </c>
      <c r="E137" s="26">
        <v>0.41188399999999997</v>
      </c>
      <c r="F137" s="30">
        <v>60</v>
      </c>
      <c r="G137" s="22">
        <v>15.716250000000002</v>
      </c>
      <c r="H137" s="53" t="s">
        <v>315</v>
      </c>
      <c r="I137" s="48"/>
      <c r="J137" s="50">
        <f t="shared" si="14"/>
        <v>0</v>
      </c>
      <c r="K137" s="6"/>
      <c r="L137" s="6"/>
      <c r="M137" s="42" t="str">
        <f t="shared" si="15"/>
        <v>-</v>
      </c>
      <c r="N137" s="42" t="str">
        <f t="shared" si="19"/>
        <v>-</v>
      </c>
      <c r="O137" s="43" t="str">
        <f t="shared" si="16"/>
        <v>-</v>
      </c>
      <c r="P137" s="44" t="str">
        <f t="shared" si="17"/>
        <v>-</v>
      </c>
      <c r="Q137" s="35"/>
      <c r="R137" s="45" t="str">
        <f t="shared" si="18"/>
        <v>-</v>
      </c>
    </row>
    <row r="138" spans="1:18" ht="14.4">
      <c r="A138" s="8" t="s">
        <v>296</v>
      </c>
      <c r="B138" s="9" t="s">
        <v>143</v>
      </c>
      <c r="C138" s="62">
        <v>23249010722</v>
      </c>
      <c r="D138" s="18" t="s">
        <v>298</v>
      </c>
      <c r="E138" s="26">
        <v>0.41188399999999997</v>
      </c>
      <c r="F138" s="29">
        <v>60</v>
      </c>
      <c r="G138" s="21">
        <v>15.716250000000002</v>
      </c>
      <c r="H138" s="53" t="s">
        <v>315</v>
      </c>
      <c r="I138" s="47"/>
      <c r="J138" s="51">
        <f t="shared" si="14"/>
        <v>0</v>
      </c>
      <c r="K138" s="6"/>
      <c r="L138" s="6"/>
      <c r="M138" s="42" t="str">
        <f t="shared" si="15"/>
        <v>-</v>
      </c>
      <c r="N138" s="42" t="str">
        <f t="shared" si="19"/>
        <v>-</v>
      </c>
      <c r="O138" s="43" t="str">
        <f t="shared" si="16"/>
        <v>-</v>
      </c>
      <c r="P138" s="44" t="str">
        <f t="shared" si="17"/>
        <v>-</v>
      </c>
      <c r="Q138" s="35"/>
      <c r="R138" s="45" t="str">
        <f t="shared" si="18"/>
        <v>-</v>
      </c>
    </row>
    <row r="139" spans="1:18" ht="14.4">
      <c r="A139" s="10" t="s">
        <v>296</v>
      </c>
      <c r="B139" s="11" t="s">
        <v>144</v>
      </c>
      <c r="C139" s="63">
        <v>23249010333</v>
      </c>
      <c r="D139" s="19" t="s">
        <v>299</v>
      </c>
      <c r="E139" s="26">
        <v>0.67905199999999999</v>
      </c>
      <c r="F139" s="30">
        <v>24</v>
      </c>
      <c r="G139" s="22">
        <v>21.341249999999999</v>
      </c>
      <c r="H139" s="53" t="s">
        <v>315</v>
      </c>
      <c r="I139" s="48"/>
      <c r="J139" s="50">
        <f t="shared" si="14"/>
        <v>0</v>
      </c>
      <c r="K139" s="6"/>
      <c r="L139" s="6"/>
      <c r="M139" s="42" t="str">
        <f t="shared" si="15"/>
        <v>-</v>
      </c>
      <c r="N139" s="42" t="str">
        <f t="shared" si="19"/>
        <v>-</v>
      </c>
      <c r="O139" s="43" t="str">
        <f t="shared" si="16"/>
        <v>-</v>
      </c>
      <c r="P139" s="44" t="str">
        <f t="shared" si="17"/>
        <v>-</v>
      </c>
      <c r="Q139" s="35"/>
      <c r="R139" s="45" t="str">
        <f t="shared" si="18"/>
        <v>-</v>
      </c>
    </row>
    <row r="140" spans="1:18" ht="14.4">
      <c r="A140" s="8" t="s">
        <v>296</v>
      </c>
      <c r="B140" s="9" t="s">
        <v>145</v>
      </c>
      <c r="C140" s="62">
        <v>23249010326</v>
      </c>
      <c r="D140" s="18" t="s">
        <v>300</v>
      </c>
      <c r="E140" s="26">
        <v>1.0241439999999999</v>
      </c>
      <c r="F140" s="29">
        <v>24</v>
      </c>
      <c r="G140" s="21">
        <v>21.341249999999999</v>
      </c>
      <c r="H140" s="53" t="s">
        <v>315</v>
      </c>
      <c r="I140" s="47"/>
      <c r="J140" s="51">
        <f t="shared" si="14"/>
        <v>0</v>
      </c>
      <c r="K140" s="6"/>
      <c r="L140" s="6"/>
      <c r="M140" s="42" t="str">
        <f t="shared" si="15"/>
        <v>-</v>
      </c>
      <c r="N140" s="42" t="str">
        <f t="shared" si="19"/>
        <v>-</v>
      </c>
      <c r="O140" s="43" t="str">
        <f t="shared" si="16"/>
        <v>-</v>
      </c>
      <c r="P140" s="44" t="str">
        <f t="shared" si="17"/>
        <v>-</v>
      </c>
      <c r="Q140" s="35"/>
      <c r="R140" s="45" t="str">
        <f t="shared" si="18"/>
        <v>-</v>
      </c>
    </row>
    <row r="141" spans="1:18" ht="14.4">
      <c r="A141" s="10" t="s">
        <v>303</v>
      </c>
      <c r="B141" s="11" t="s">
        <v>148</v>
      </c>
      <c r="C141" s="63">
        <v>23249091158</v>
      </c>
      <c r="D141" s="19" t="s">
        <v>8</v>
      </c>
      <c r="E141" s="26">
        <v>0.51</v>
      </c>
      <c r="F141" s="30">
        <v>12</v>
      </c>
      <c r="G141" s="22">
        <v>30.341249999999999</v>
      </c>
      <c r="H141" s="53" t="s">
        <v>315</v>
      </c>
      <c r="I141" s="48"/>
      <c r="J141" s="50">
        <f t="shared" si="14"/>
        <v>0</v>
      </c>
      <c r="K141" s="6"/>
      <c r="L141" s="6"/>
      <c r="M141" s="42" t="str">
        <f t="shared" si="15"/>
        <v>-</v>
      </c>
      <c r="N141" s="42" t="str">
        <f t="shared" si="19"/>
        <v>-</v>
      </c>
      <c r="O141" s="43" t="str">
        <f t="shared" si="16"/>
        <v>-</v>
      </c>
      <c r="P141" s="44" t="str">
        <f t="shared" si="17"/>
        <v>-</v>
      </c>
      <c r="Q141" s="35"/>
      <c r="R141" s="45" t="str">
        <f t="shared" si="18"/>
        <v>-</v>
      </c>
    </row>
    <row r="142" spans="1:18" ht="14.4">
      <c r="A142" s="8" t="s">
        <v>303</v>
      </c>
      <c r="B142" s="9" t="s">
        <v>154</v>
      </c>
      <c r="C142" s="62">
        <v>23249091165</v>
      </c>
      <c r="D142" s="18" t="s">
        <v>14</v>
      </c>
      <c r="E142" s="26">
        <v>0.51</v>
      </c>
      <c r="F142" s="29">
        <v>12</v>
      </c>
      <c r="G142" s="21">
        <v>30.341249999999999</v>
      </c>
      <c r="H142" s="53" t="s">
        <v>315</v>
      </c>
      <c r="I142" s="47"/>
      <c r="J142" s="51">
        <f t="shared" si="14"/>
        <v>0</v>
      </c>
      <c r="K142" s="6"/>
      <c r="L142" s="6"/>
      <c r="M142" s="42" t="str">
        <f t="shared" si="15"/>
        <v>-</v>
      </c>
      <c r="N142" s="42" t="str">
        <f t="shared" si="19"/>
        <v>-</v>
      </c>
      <c r="O142" s="43" t="str">
        <f t="shared" si="16"/>
        <v>-</v>
      </c>
      <c r="P142" s="44" t="str">
        <f t="shared" si="17"/>
        <v>-</v>
      </c>
      <c r="Q142" s="35"/>
      <c r="R142" s="45" t="str">
        <f t="shared" si="18"/>
        <v>-</v>
      </c>
    </row>
    <row r="143" spans="1:18" ht="14.4">
      <c r="A143" s="10"/>
      <c r="B143" s="11" t="s">
        <v>374</v>
      </c>
      <c r="C143" s="63">
        <v>23249094104</v>
      </c>
      <c r="D143" s="19" t="s">
        <v>318</v>
      </c>
      <c r="E143" s="26">
        <v>0.12</v>
      </c>
      <c r="F143" s="30">
        <v>12</v>
      </c>
      <c r="G143" s="22">
        <v>21.341249999999999</v>
      </c>
      <c r="H143" s="53" t="s">
        <v>315</v>
      </c>
      <c r="I143" s="48"/>
      <c r="J143" s="50">
        <f t="shared" si="14"/>
        <v>0</v>
      </c>
      <c r="K143" s="6"/>
      <c r="L143" s="6"/>
      <c r="M143" s="42" t="str">
        <f t="shared" ref="M143:M198" si="20">IFERROR(IF($M$2*E143=0, "-", $M$2*E143), "-")</f>
        <v>-</v>
      </c>
      <c r="N143" s="42" t="str">
        <f t="shared" si="19"/>
        <v>-</v>
      </c>
      <c r="O143" s="43" t="str">
        <f t="shared" ref="O143:O198" si="21">IF(I143&gt;0,I143*E143, "-")</f>
        <v>-</v>
      </c>
      <c r="P143" s="44" t="str">
        <f t="shared" ref="P143:P198" si="22">IFERROR(IF($M$2&gt;0, $M$2*O143, "-"), "-")</f>
        <v>-</v>
      </c>
      <c r="Q143" s="35"/>
      <c r="R143" s="45" t="str">
        <f t="shared" ref="R143:R198" si="23">IFERROR(IF(P143+J143=0, "-", IF(P143&gt;0, P143+J143, "-")), "-")</f>
        <v>-</v>
      </c>
    </row>
    <row r="144" spans="1:18" ht="14.4">
      <c r="A144" s="8"/>
      <c r="B144" s="9" t="s">
        <v>375</v>
      </c>
      <c r="C144" s="62">
        <v>23249013013</v>
      </c>
      <c r="D144" s="18" t="s">
        <v>319</v>
      </c>
      <c r="E144" s="26">
        <v>0.33</v>
      </c>
      <c r="F144" s="29">
        <v>12</v>
      </c>
      <c r="G144" s="21">
        <v>16.841250000000002</v>
      </c>
      <c r="H144" s="53" t="s">
        <v>315</v>
      </c>
      <c r="I144" s="47"/>
      <c r="J144" s="51">
        <f t="shared" si="14"/>
        <v>0</v>
      </c>
      <c r="K144" s="6"/>
      <c r="L144" s="6"/>
      <c r="M144" s="42" t="str">
        <f t="shared" si="20"/>
        <v>-</v>
      </c>
      <c r="N144" s="42" t="str">
        <f t="shared" si="19"/>
        <v>-</v>
      </c>
      <c r="O144" s="43" t="str">
        <f t="shared" si="21"/>
        <v>-</v>
      </c>
      <c r="P144" s="44" t="str">
        <f t="shared" si="22"/>
        <v>-</v>
      </c>
      <c r="Q144" s="35"/>
      <c r="R144" s="45" t="str">
        <f t="shared" si="23"/>
        <v>-</v>
      </c>
    </row>
    <row r="145" spans="1:18" ht="14.4">
      <c r="A145" s="10"/>
      <c r="B145" s="11" t="s">
        <v>376</v>
      </c>
      <c r="C145" s="63">
        <v>23249093169</v>
      </c>
      <c r="D145" s="19" t="s">
        <v>320</v>
      </c>
      <c r="E145" s="26">
        <v>0.27</v>
      </c>
      <c r="F145" s="30">
        <v>12</v>
      </c>
      <c r="G145" s="22">
        <v>44.966250000000002</v>
      </c>
      <c r="H145" s="53" t="s">
        <v>315</v>
      </c>
      <c r="I145" s="48"/>
      <c r="J145" s="50">
        <f t="shared" si="14"/>
        <v>0</v>
      </c>
      <c r="K145" s="6"/>
      <c r="L145" s="6"/>
      <c r="M145" s="42" t="str">
        <f t="shared" si="20"/>
        <v>-</v>
      </c>
      <c r="N145" s="42" t="str">
        <f t="shared" si="19"/>
        <v>-</v>
      </c>
      <c r="O145" s="43" t="str">
        <f t="shared" si="21"/>
        <v>-</v>
      </c>
      <c r="P145" s="44" t="str">
        <f t="shared" si="22"/>
        <v>-</v>
      </c>
      <c r="Q145" s="35"/>
      <c r="R145" s="45" t="str">
        <f t="shared" si="23"/>
        <v>-</v>
      </c>
    </row>
    <row r="146" spans="1:18" ht="20.399999999999999">
      <c r="A146" s="8"/>
      <c r="B146" s="9" t="s">
        <v>377</v>
      </c>
      <c r="C146" s="62">
        <v>23249093084</v>
      </c>
      <c r="D146" s="18" t="s">
        <v>321</v>
      </c>
      <c r="E146" s="26">
        <v>0.46</v>
      </c>
      <c r="F146" s="29">
        <v>24</v>
      </c>
      <c r="G146" s="21">
        <v>37.091250000000002</v>
      </c>
      <c r="H146" s="53" t="s">
        <v>315</v>
      </c>
      <c r="I146" s="47"/>
      <c r="J146" s="51">
        <f t="shared" si="14"/>
        <v>0</v>
      </c>
      <c r="K146" s="6"/>
      <c r="L146" s="6"/>
      <c r="M146" s="42" t="str">
        <f t="shared" si="20"/>
        <v>-</v>
      </c>
      <c r="N146" s="42" t="str">
        <f t="shared" si="19"/>
        <v>-</v>
      </c>
      <c r="O146" s="43" t="str">
        <f t="shared" si="21"/>
        <v>-</v>
      </c>
      <c r="P146" s="44" t="str">
        <f t="shared" si="22"/>
        <v>-</v>
      </c>
      <c r="Q146" s="35"/>
      <c r="R146" s="45" t="str">
        <f t="shared" si="23"/>
        <v>-</v>
      </c>
    </row>
    <row r="147" spans="1:18" ht="20.399999999999999">
      <c r="A147" s="10"/>
      <c r="B147" s="11" t="s">
        <v>378</v>
      </c>
      <c r="C147" s="63">
        <v>23249093404</v>
      </c>
      <c r="D147" s="19" t="s">
        <v>322</v>
      </c>
      <c r="E147" s="26">
        <v>0.3</v>
      </c>
      <c r="F147" s="30">
        <v>12</v>
      </c>
      <c r="G147" s="22">
        <v>31.466249999999999</v>
      </c>
      <c r="H147" s="53" t="s">
        <v>315</v>
      </c>
      <c r="I147" s="48"/>
      <c r="J147" s="50">
        <f t="shared" si="14"/>
        <v>0</v>
      </c>
      <c r="K147" s="6"/>
      <c r="L147" s="6"/>
      <c r="M147" s="42" t="str">
        <f t="shared" si="20"/>
        <v>-</v>
      </c>
      <c r="N147" s="42" t="str">
        <f t="shared" si="19"/>
        <v>-</v>
      </c>
      <c r="O147" s="43" t="str">
        <f t="shared" si="21"/>
        <v>-</v>
      </c>
      <c r="P147" s="44" t="str">
        <f t="shared" si="22"/>
        <v>-</v>
      </c>
      <c r="Q147" s="35"/>
      <c r="R147" s="45" t="str">
        <f t="shared" si="23"/>
        <v>-</v>
      </c>
    </row>
    <row r="148" spans="1:18" ht="14.4">
      <c r="A148" s="8"/>
      <c r="B148" s="9" t="s">
        <v>379</v>
      </c>
      <c r="C148" s="62">
        <v>23249092728</v>
      </c>
      <c r="D148" s="18" t="s">
        <v>323</v>
      </c>
      <c r="E148" s="26">
        <v>0.23</v>
      </c>
      <c r="F148" s="29">
        <v>12</v>
      </c>
      <c r="G148" s="21">
        <v>19.091249999999999</v>
      </c>
      <c r="H148" s="53" t="s">
        <v>315</v>
      </c>
      <c r="I148" s="47"/>
      <c r="J148" s="51">
        <f t="shared" si="14"/>
        <v>0</v>
      </c>
      <c r="K148" s="6"/>
      <c r="L148" s="6"/>
      <c r="M148" s="42" t="str">
        <f t="shared" si="20"/>
        <v>-</v>
      </c>
      <c r="N148" s="42" t="str">
        <f t="shared" si="19"/>
        <v>-</v>
      </c>
      <c r="O148" s="43" t="str">
        <f t="shared" si="21"/>
        <v>-</v>
      </c>
      <c r="P148" s="44" t="str">
        <f t="shared" si="22"/>
        <v>-</v>
      </c>
      <c r="Q148" s="35"/>
      <c r="R148" s="45" t="str">
        <f t="shared" si="23"/>
        <v>-</v>
      </c>
    </row>
    <row r="149" spans="1:18" ht="14.4">
      <c r="A149" s="10"/>
      <c r="B149" s="11" t="s">
        <v>380</v>
      </c>
      <c r="C149" s="63">
        <v>23249092902</v>
      </c>
      <c r="D149" s="19" t="s">
        <v>324</v>
      </c>
      <c r="E149" s="26">
        <v>0.45</v>
      </c>
      <c r="F149" s="30">
        <v>12</v>
      </c>
      <c r="G149" s="22">
        <v>22.466249999999999</v>
      </c>
      <c r="H149" s="53" t="s">
        <v>315</v>
      </c>
      <c r="I149" s="48"/>
      <c r="J149" s="50">
        <f t="shared" si="14"/>
        <v>0</v>
      </c>
      <c r="K149" s="6"/>
      <c r="L149" s="6"/>
      <c r="M149" s="42" t="str">
        <f t="shared" si="20"/>
        <v>-</v>
      </c>
      <c r="N149" s="42" t="str">
        <f t="shared" si="19"/>
        <v>-</v>
      </c>
      <c r="O149" s="43" t="str">
        <f t="shared" si="21"/>
        <v>-</v>
      </c>
      <c r="P149" s="44" t="str">
        <f t="shared" si="22"/>
        <v>-</v>
      </c>
      <c r="Q149" s="35"/>
      <c r="R149" s="45" t="str">
        <f t="shared" si="23"/>
        <v>-</v>
      </c>
    </row>
    <row r="150" spans="1:18" ht="14.4">
      <c r="A150" s="8"/>
      <c r="B150" s="9" t="s">
        <v>381</v>
      </c>
      <c r="C150" s="62">
        <v>23249093008</v>
      </c>
      <c r="D150" s="18" t="s">
        <v>325</v>
      </c>
      <c r="E150" s="26">
        <v>0.19</v>
      </c>
      <c r="F150" s="29">
        <v>12</v>
      </c>
      <c r="G150" s="21">
        <v>23.591249999999999</v>
      </c>
      <c r="H150" s="53" t="s">
        <v>315</v>
      </c>
      <c r="I150" s="47"/>
      <c r="J150" s="51">
        <f t="shared" si="14"/>
        <v>0</v>
      </c>
      <c r="K150" s="6"/>
      <c r="L150" s="6"/>
      <c r="M150" s="42" t="str">
        <f t="shared" si="20"/>
        <v>-</v>
      </c>
      <c r="N150" s="42" t="str">
        <f t="shared" si="19"/>
        <v>-</v>
      </c>
      <c r="O150" s="43" t="str">
        <f t="shared" si="21"/>
        <v>-</v>
      </c>
      <c r="P150" s="44" t="str">
        <f t="shared" si="22"/>
        <v>-</v>
      </c>
      <c r="Q150" s="35"/>
      <c r="R150" s="45" t="str">
        <f t="shared" si="23"/>
        <v>-</v>
      </c>
    </row>
    <row r="151" spans="1:18" ht="20.399999999999999">
      <c r="A151" s="10"/>
      <c r="B151" s="11" t="s">
        <v>382</v>
      </c>
      <c r="C151" s="63">
        <v>23249093381</v>
      </c>
      <c r="D151" s="19" t="s">
        <v>326</v>
      </c>
      <c r="E151" s="26">
        <v>0.42</v>
      </c>
      <c r="F151" s="30">
        <v>12</v>
      </c>
      <c r="G151" s="22">
        <v>24.716249999999999</v>
      </c>
      <c r="H151" s="53" t="s">
        <v>315</v>
      </c>
      <c r="I151" s="48"/>
      <c r="J151" s="50">
        <f t="shared" si="14"/>
        <v>0</v>
      </c>
      <c r="K151" s="6"/>
      <c r="L151" s="6"/>
      <c r="M151" s="42" t="str">
        <f t="shared" si="20"/>
        <v>-</v>
      </c>
      <c r="N151" s="42" t="str">
        <f t="shared" si="19"/>
        <v>-</v>
      </c>
      <c r="O151" s="43" t="str">
        <f t="shared" si="21"/>
        <v>-</v>
      </c>
      <c r="P151" s="44" t="str">
        <f t="shared" si="22"/>
        <v>-</v>
      </c>
      <c r="Q151" s="35"/>
      <c r="R151" s="45" t="str">
        <f t="shared" si="23"/>
        <v>-</v>
      </c>
    </row>
    <row r="152" spans="1:18" ht="14.4">
      <c r="A152" s="8"/>
      <c r="B152" s="9" t="s">
        <v>383</v>
      </c>
      <c r="C152" s="62">
        <v>23249093664</v>
      </c>
      <c r="D152" s="18" t="s">
        <v>327</v>
      </c>
      <c r="E152" s="26">
        <v>0.21000000000000002</v>
      </c>
      <c r="F152" s="29">
        <v>12</v>
      </c>
      <c r="G152" s="21">
        <v>29.216249999999999</v>
      </c>
      <c r="H152" s="53" t="s">
        <v>315</v>
      </c>
      <c r="I152" s="47"/>
      <c r="J152" s="51">
        <f t="shared" si="14"/>
        <v>0</v>
      </c>
      <c r="K152" s="6"/>
      <c r="L152" s="6"/>
      <c r="M152" s="42" t="str">
        <f t="shared" si="20"/>
        <v>-</v>
      </c>
      <c r="N152" s="42" t="str">
        <f t="shared" si="19"/>
        <v>-</v>
      </c>
      <c r="O152" s="43" t="str">
        <f t="shared" si="21"/>
        <v>-</v>
      </c>
      <c r="P152" s="44" t="str">
        <f t="shared" si="22"/>
        <v>-</v>
      </c>
      <c r="Q152" s="35"/>
      <c r="R152" s="45" t="str">
        <f t="shared" si="23"/>
        <v>-</v>
      </c>
    </row>
    <row r="153" spans="1:18" ht="14.4">
      <c r="A153" s="10"/>
      <c r="B153" s="11" t="s">
        <v>384</v>
      </c>
      <c r="C153" s="63">
        <v>23249093671</v>
      </c>
      <c r="D153" s="19" t="s">
        <v>328</v>
      </c>
      <c r="E153" s="26">
        <v>0.19</v>
      </c>
      <c r="F153" s="30">
        <v>12</v>
      </c>
      <c r="G153" s="22">
        <v>29.216249999999999</v>
      </c>
      <c r="H153" s="53" t="s">
        <v>315</v>
      </c>
      <c r="I153" s="48"/>
      <c r="J153" s="50">
        <f t="shared" si="14"/>
        <v>0</v>
      </c>
      <c r="K153" s="6"/>
      <c r="L153" s="6"/>
      <c r="M153" s="42" t="str">
        <f t="shared" si="20"/>
        <v>-</v>
      </c>
      <c r="N153" s="42" t="str">
        <f t="shared" si="19"/>
        <v>-</v>
      </c>
      <c r="O153" s="43" t="str">
        <f t="shared" si="21"/>
        <v>-</v>
      </c>
      <c r="P153" s="44" t="str">
        <f t="shared" si="22"/>
        <v>-</v>
      </c>
      <c r="Q153" s="35"/>
      <c r="R153" s="45" t="str">
        <f t="shared" si="23"/>
        <v>-</v>
      </c>
    </row>
    <row r="154" spans="1:18" ht="14.4">
      <c r="A154" s="8"/>
      <c r="B154" s="9" t="s">
        <v>385</v>
      </c>
      <c r="C154" s="62">
        <v>23249092001</v>
      </c>
      <c r="D154" s="18" t="s">
        <v>329</v>
      </c>
      <c r="E154" s="26">
        <v>0.32</v>
      </c>
      <c r="F154" s="29">
        <v>12</v>
      </c>
      <c r="G154" s="21">
        <v>29.216249999999999</v>
      </c>
      <c r="H154" s="53" t="s">
        <v>315</v>
      </c>
      <c r="I154" s="47"/>
      <c r="J154" s="51">
        <f t="shared" si="14"/>
        <v>0</v>
      </c>
      <c r="K154" s="6"/>
      <c r="L154" s="6"/>
      <c r="M154" s="42" t="str">
        <f t="shared" si="20"/>
        <v>-</v>
      </c>
      <c r="N154" s="42" t="str">
        <f t="shared" si="19"/>
        <v>-</v>
      </c>
      <c r="O154" s="43" t="str">
        <f t="shared" si="21"/>
        <v>-</v>
      </c>
      <c r="P154" s="44" t="str">
        <f t="shared" si="22"/>
        <v>-</v>
      </c>
      <c r="Q154" s="35"/>
      <c r="R154" s="45" t="str">
        <f t="shared" si="23"/>
        <v>-</v>
      </c>
    </row>
    <row r="155" spans="1:18" ht="14.4">
      <c r="A155" s="10"/>
      <c r="B155" s="11" t="s">
        <v>386</v>
      </c>
      <c r="C155" s="63">
        <v>23249092018</v>
      </c>
      <c r="D155" s="19" t="s">
        <v>330</v>
      </c>
      <c r="E155" s="26">
        <v>0.34</v>
      </c>
      <c r="F155" s="30">
        <v>12</v>
      </c>
      <c r="G155" s="22">
        <v>29.216249999999999</v>
      </c>
      <c r="H155" s="53" t="s">
        <v>315</v>
      </c>
      <c r="I155" s="48"/>
      <c r="J155" s="50">
        <f t="shared" si="14"/>
        <v>0</v>
      </c>
      <c r="K155" s="6"/>
      <c r="L155" s="6"/>
      <c r="M155" s="42" t="str">
        <f t="shared" si="20"/>
        <v>-</v>
      </c>
      <c r="N155" s="42" t="str">
        <f t="shared" si="19"/>
        <v>-</v>
      </c>
      <c r="O155" s="43" t="str">
        <f t="shared" si="21"/>
        <v>-</v>
      </c>
      <c r="P155" s="44" t="str">
        <f t="shared" si="22"/>
        <v>-</v>
      </c>
      <c r="Q155" s="35"/>
      <c r="R155" s="45" t="str">
        <f t="shared" si="23"/>
        <v>-</v>
      </c>
    </row>
    <row r="156" spans="1:18" ht="14.4">
      <c r="A156" s="8"/>
      <c r="B156" s="9" t="s">
        <v>387</v>
      </c>
      <c r="C156" s="62">
        <v>23249093305</v>
      </c>
      <c r="D156" s="18" t="s">
        <v>331</v>
      </c>
      <c r="E156" s="26">
        <v>0.43</v>
      </c>
      <c r="F156" s="29">
        <v>12</v>
      </c>
      <c r="G156" s="21">
        <v>38.216250000000002</v>
      </c>
      <c r="H156" s="53" t="s">
        <v>315</v>
      </c>
      <c r="I156" s="47"/>
      <c r="J156" s="51">
        <f t="shared" si="14"/>
        <v>0</v>
      </c>
      <c r="K156" s="6"/>
      <c r="L156" s="6"/>
      <c r="M156" s="42" t="str">
        <f t="shared" si="20"/>
        <v>-</v>
      </c>
      <c r="N156" s="42" t="str">
        <f t="shared" si="19"/>
        <v>-</v>
      </c>
      <c r="O156" s="43" t="str">
        <f t="shared" si="21"/>
        <v>-</v>
      </c>
      <c r="P156" s="44" t="str">
        <f t="shared" si="22"/>
        <v>-</v>
      </c>
      <c r="Q156" s="35"/>
      <c r="R156" s="45" t="str">
        <f t="shared" si="23"/>
        <v>-</v>
      </c>
    </row>
    <row r="157" spans="1:18" ht="14.4">
      <c r="A157" s="10"/>
      <c r="B157" s="11" t="s">
        <v>388</v>
      </c>
      <c r="C157" s="63">
        <v>23249093312</v>
      </c>
      <c r="D157" s="19" t="s">
        <v>332</v>
      </c>
      <c r="E157" s="26">
        <v>0.47000000000000003</v>
      </c>
      <c r="F157" s="30">
        <v>12</v>
      </c>
      <c r="G157" s="22">
        <v>38.216250000000002</v>
      </c>
      <c r="H157" s="53" t="s">
        <v>315</v>
      </c>
      <c r="I157" s="48"/>
      <c r="J157" s="50">
        <f t="shared" si="14"/>
        <v>0</v>
      </c>
      <c r="K157" s="6"/>
      <c r="L157" s="6"/>
      <c r="M157" s="42" t="str">
        <f t="shared" si="20"/>
        <v>-</v>
      </c>
      <c r="N157" s="42" t="str">
        <f t="shared" si="19"/>
        <v>-</v>
      </c>
      <c r="O157" s="43" t="str">
        <f t="shared" si="21"/>
        <v>-</v>
      </c>
      <c r="P157" s="44" t="str">
        <f t="shared" si="22"/>
        <v>-</v>
      </c>
      <c r="Q157" s="35"/>
      <c r="R157" s="45" t="str">
        <f t="shared" si="23"/>
        <v>-</v>
      </c>
    </row>
    <row r="158" spans="1:18" ht="14.4">
      <c r="A158" s="8"/>
      <c r="B158" s="9" t="s">
        <v>389</v>
      </c>
      <c r="C158" s="62">
        <v>23249093725</v>
      </c>
      <c r="D158" s="18" t="s">
        <v>333</v>
      </c>
      <c r="E158" s="26">
        <v>9.9999999999999992E-2</v>
      </c>
      <c r="F158" s="29">
        <v>12</v>
      </c>
      <c r="G158" s="21">
        <v>19.091249999999999</v>
      </c>
      <c r="H158" s="53" t="s">
        <v>315</v>
      </c>
      <c r="I158" s="47"/>
      <c r="J158" s="51">
        <f t="shared" si="14"/>
        <v>0</v>
      </c>
      <c r="K158" s="6"/>
      <c r="L158" s="6"/>
      <c r="M158" s="42" t="str">
        <f t="shared" si="20"/>
        <v>-</v>
      </c>
      <c r="N158" s="42" t="str">
        <f t="shared" si="19"/>
        <v>-</v>
      </c>
      <c r="O158" s="43" t="str">
        <f t="shared" si="21"/>
        <v>-</v>
      </c>
      <c r="P158" s="44" t="str">
        <f t="shared" si="22"/>
        <v>-</v>
      </c>
      <c r="Q158" s="35"/>
      <c r="R158" s="45" t="str">
        <f t="shared" si="23"/>
        <v>-</v>
      </c>
    </row>
    <row r="159" spans="1:18" ht="14.4">
      <c r="A159" s="10"/>
      <c r="B159" s="11" t="s">
        <v>390</v>
      </c>
      <c r="C159" s="63">
        <v>23249093046</v>
      </c>
      <c r="D159" s="19" t="s">
        <v>334</v>
      </c>
      <c r="E159" s="26">
        <v>0.31</v>
      </c>
      <c r="F159" s="30">
        <v>12</v>
      </c>
      <c r="G159" s="22">
        <v>21.341249999999999</v>
      </c>
      <c r="H159" s="53" t="s">
        <v>315</v>
      </c>
      <c r="I159" s="48"/>
      <c r="J159" s="50">
        <f t="shared" si="14"/>
        <v>0</v>
      </c>
      <c r="K159" s="6"/>
      <c r="L159" s="6"/>
      <c r="M159" s="42" t="str">
        <f t="shared" si="20"/>
        <v>-</v>
      </c>
      <c r="N159" s="42" t="str">
        <f t="shared" si="19"/>
        <v>-</v>
      </c>
      <c r="O159" s="43" t="str">
        <f t="shared" si="21"/>
        <v>-</v>
      </c>
      <c r="P159" s="44" t="str">
        <f t="shared" si="22"/>
        <v>-</v>
      </c>
      <c r="Q159" s="35"/>
      <c r="R159" s="45" t="str">
        <f t="shared" si="23"/>
        <v>-</v>
      </c>
    </row>
    <row r="160" spans="1:18" ht="14.4">
      <c r="A160" s="8"/>
      <c r="B160" s="9" t="s">
        <v>391</v>
      </c>
      <c r="C160" s="62">
        <v>23249093985</v>
      </c>
      <c r="D160" s="18" t="s">
        <v>335</v>
      </c>
      <c r="E160" s="26">
        <v>6.9999999999999993E-2</v>
      </c>
      <c r="F160" s="29">
        <v>12</v>
      </c>
      <c r="G160" s="21">
        <v>24.716249999999999</v>
      </c>
      <c r="H160" s="53" t="s">
        <v>315</v>
      </c>
      <c r="I160" s="47"/>
      <c r="J160" s="51">
        <f t="shared" si="14"/>
        <v>0</v>
      </c>
      <c r="K160" s="6"/>
      <c r="L160" s="6"/>
      <c r="M160" s="42" t="str">
        <f t="shared" si="20"/>
        <v>-</v>
      </c>
      <c r="N160" s="42" t="str">
        <f t="shared" si="19"/>
        <v>-</v>
      </c>
      <c r="O160" s="43" t="str">
        <f t="shared" si="21"/>
        <v>-</v>
      </c>
      <c r="P160" s="44" t="str">
        <f t="shared" si="22"/>
        <v>-</v>
      </c>
      <c r="Q160" s="35"/>
      <c r="R160" s="45" t="str">
        <f t="shared" si="23"/>
        <v>-</v>
      </c>
    </row>
    <row r="161" spans="1:18" ht="20.399999999999999">
      <c r="A161" s="10"/>
      <c r="B161" s="11" t="s">
        <v>392</v>
      </c>
      <c r="C161" s="63">
        <v>23249094043</v>
      </c>
      <c r="D161" s="19" t="s">
        <v>336</v>
      </c>
      <c r="E161" s="26">
        <v>0.13</v>
      </c>
      <c r="F161" s="30">
        <v>12</v>
      </c>
      <c r="G161" s="22">
        <v>28.091249999999999</v>
      </c>
      <c r="H161" s="53" t="s">
        <v>315</v>
      </c>
      <c r="I161" s="48"/>
      <c r="J161" s="50">
        <f t="shared" si="14"/>
        <v>0</v>
      </c>
      <c r="K161" s="6"/>
      <c r="L161" s="6"/>
      <c r="M161" s="42" t="str">
        <f t="shared" si="20"/>
        <v>-</v>
      </c>
      <c r="N161" s="42" t="str">
        <f t="shared" si="19"/>
        <v>-</v>
      </c>
      <c r="O161" s="43" t="str">
        <f t="shared" si="21"/>
        <v>-</v>
      </c>
      <c r="P161" s="44" t="str">
        <f t="shared" si="22"/>
        <v>-</v>
      </c>
      <c r="Q161" s="35"/>
      <c r="R161" s="45" t="str">
        <f t="shared" si="23"/>
        <v>-</v>
      </c>
    </row>
    <row r="162" spans="1:18" ht="14.4">
      <c r="A162" s="8"/>
      <c r="B162" s="9" t="s">
        <v>393</v>
      </c>
      <c r="C162" s="62">
        <v>23249092193</v>
      </c>
      <c r="D162" s="18" t="s">
        <v>337</v>
      </c>
      <c r="E162" s="26">
        <v>0.14000000000000001</v>
      </c>
      <c r="F162" s="29">
        <v>12</v>
      </c>
      <c r="G162" s="21">
        <v>14.591250000000002</v>
      </c>
      <c r="H162" s="53" t="s">
        <v>315</v>
      </c>
      <c r="I162" s="47"/>
      <c r="J162" s="51">
        <f t="shared" si="14"/>
        <v>0</v>
      </c>
      <c r="K162" s="6"/>
      <c r="L162" s="6"/>
      <c r="M162" s="42" t="str">
        <f t="shared" si="20"/>
        <v>-</v>
      </c>
      <c r="N162" s="42" t="str">
        <f t="shared" si="19"/>
        <v>-</v>
      </c>
      <c r="O162" s="43" t="str">
        <f t="shared" si="21"/>
        <v>-</v>
      </c>
      <c r="P162" s="44" t="str">
        <f t="shared" si="22"/>
        <v>-</v>
      </c>
      <c r="Q162" s="35"/>
      <c r="R162" s="45" t="str">
        <f t="shared" si="23"/>
        <v>-</v>
      </c>
    </row>
    <row r="163" spans="1:18" ht="14.4">
      <c r="A163" s="10"/>
      <c r="B163" s="11" t="s">
        <v>394</v>
      </c>
      <c r="C163" s="63">
        <v>23249092209</v>
      </c>
      <c r="D163" s="19" t="s">
        <v>338</v>
      </c>
      <c r="E163" s="26">
        <v>0.24000000000000002</v>
      </c>
      <c r="F163" s="30">
        <v>12</v>
      </c>
      <c r="G163" s="22">
        <v>24.716249999999999</v>
      </c>
      <c r="H163" s="53" t="s">
        <v>315</v>
      </c>
      <c r="I163" s="48"/>
      <c r="J163" s="50">
        <f t="shared" si="14"/>
        <v>0</v>
      </c>
      <c r="K163" s="6"/>
      <c r="L163" s="6"/>
      <c r="M163" s="42" t="str">
        <f t="shared" si="20"/>
        <v>-</v>
      </c>
      <c r="N163" s="42" t="str">
        <f t="shared" si="19"/>
        <v>-</v>
      </c>
      <c r="O163" s="43" t="str">
        <f t="shared" si="21"/>
        <v>-</v>
      </c>
      <c r="P163" s="44" t="str">
        <f t="shared" si="22"/>
        <v>-</v>
      </c>
      <c r="Q163" s="35"/>
      <c r="R163" s="45" t="str">
        <f t="shared" si="23"/>
        <v>-</v>
      </c>
    </row>
    <row r="164" spans="1:18" ht="14.4">
      <c r="A164" s="8"/>
      <c r="B164" s="9" t="s">
        <v>395</v>
      </c>
      <c r="C164" s="62">
        <v>23249093794</v>
      </c>
      <c r="D164" s="18" t="s">
        <v>339</v>
      </c>
      <c r="E164" s="26">
        <v>6.9999999999999993E-2</v>
      </c>
      <c r="F164" s="29">
        <v>12</v>
      </c>
      <c r="G164" s="21">
        <v>29.216249999999999</v>
      </c>
      <c r="H164" s="53" t="s">
        <v>315</v>
      </c>
      <c r="I164" s="47"/>
      <c r="J164" s="51">
        <f t="shared" si="14"/>
        <v>0</v>
      </c>
      <c r="K164" s="6"/>
      <c r="L164" s="6"/>
      <c r="M164" s="42" t="str">
        <f t="shared" si="20"/>
        <v>-</v>
      </c>
      <c r="N164" s="42" t="str">
        <f t="shared" si="19"/>
        <v>-</v>
      </c>
      <c r="O164" s="43" t="str">
        <f t="shared" si="21"/>
        <v>-</v>
      </c>
      <c r="P164" s="44" t="str">
        <f t="shared" si="22"/>
        <v>-</v>
      </c>
      <c r="Q164" s="35"/>
      <c r="R164" s="45" t="str">
        <f t="shared" si="23"/>
        <v>-</v>
      </c>
    </row>
    <row r="165" spans="1:18" ht="14.4">
      <c r="A165" s="10"/>
      <c r="B165" s="11" t="s">
        <v>396</v>
      </c>
      <c r="C165" s="63">
        <v>23249013365</v>
      </c>
      <c r="D165" s="19" t="s">
        <v>340</v>
      </c>
      <c r="E165" s="26">
        <v>9.9999999999999992E-2</v>
      </c>
      <c r="F165" s="30">
        <v>12</v>
      </c>
      <c r="G165" s="22">
        <v>22.466249999999999</v>
      </c>
      <c r="H165" s="53" t="s">
        <v>315</v>
      </c>
      <c r="I165" s="48"/>
      <c r="J165" s="50">
        <f t="shared" si="14"/>
        <v>0</v>
      </c>
      <c r="K165" s="6"/>
      <c r="L165" s="6"/>
      <c r="M165" s="42" t="str">
        <f t="shared" si="20"/>
        <v>-</v>
      </c>
      <c r="N165" s="42" t="str">
        <f t="shared" si="19"/>
        <v>-</v>
      </c>
      <c r="O165" s="43" t="str">
        <f t="shared" si="21"/>
        <v>-</v>
      </c>
      <c r="P165" s="44" t="str">
        <f t="shared" si="22"/>
        <v>-</v>
      </c>
      <c r="Q165" s="35"/>
      <c r="R165" s="45" t="str">
        <f t="shared" si="23"/>
        <v>-</v>
      </c>
    </row>
    <row r="166" spans="1:18" ht="14.4">
      <c r="A166" s="8"/>
      <c r="B166" s="9" t="s">
        <v>397</v>
      </c>
      <c r="C166" s="62">
        <v>23249093343</v>
      </c>
      <c r="D166" s="18" t="s">
        <v>341</v>
      </c>
      <c r="E166" s="26">
        <v>0.15000000000000002</v>
      </c>
      <c r="F166" s="29">
        <v>12</v>
      </c>
      <c r="G166" s="21">
        <v>24.716249999999999</v>
      </c>
      <c r="H166" s="53" t="s">
        <v>315</v>
      </c>
      <c r="I166" s="47"/>
      <c r="J166" s="51">
        <f t="shared" si="14"/>
        <v>0</v>
      </c>
      <c r="K166" s="6"/>
      <c r="L166" s="6"/>
      <c r="M166" s="42" t="str">
        <f t="shared" si="20"/>
        <v>-</v>
      </c>
      <c r="N166" s="42" t="str">
        <f t="shared" si="19"/>
        <v>-</v>
      </c>
      <c r="O166" s="43" t="str">
        <f t="shared" si="21"/>
        <v>-</v>
      </c>
      <c r="P166" s="44" t="str">
        <f t="shared" si="22"/>
        <v>-</v>
      </c>
      <c r="Q166" s="35"/>
      <c r="R166" s="45" t="str">
        <f t="shared" si="23"/>
        <v>-</v>
      </c>
    </row>
    <row r="167" spans="1:18" ht="14.4">
      <c r="A167" s="10"/>
      <c r="B167" s="11" t="s">
        <v>398</v>
      </c>
      <c r="C167" s="63">
        <v>23249093688</v>
      </c>
      <c r="D167" s="19" t="s">
        <v>342</v>
      </c>
      <c r="E167" s="26">
        <v>0.09</v>
      </c>
      <c r="F167" s="30">
        <v>12</v>
      </c>
      <c r="G167" s="22">
        <v>22.466249999999999</v>
      </c>
      <c r="H167" s="53" t="s">
        <v>315</v>
      </c>
      <c r="I167" s="48"/>
      <c r="J167" s="50">
        <f t="shared" si="14"/>
        <v>0</v>
      </c>
      <c r="K167" s="6"/>
      <c r="L167" s="6"/>
      <c r="M167" s="42" t="str">
        <f t="shared" si="20"/>
        <v>-</v>
      </c>
      <c r="N167" s="42" t="str">
        <f t="shared" si="19"/>
        <v>-</v>
      </c>
      <c r="O167" s="43" t="str">
        <f t="shared" si="21"/>
        <v>-</v>
      </c>
      <c r="P167" s="44" t="str">
        <f t="shared" si="22"/>
        <v>-</v>
      </c>
      <c r="Q167" s="35"/>
      <c r="R167" s="45" t="str">
        <f t="shared" si="23"/>
        <v>-</v>
      </c>
    </row>
    <row r="168" spans="1:18" ht="14.4">
      <c r="A168" s="8"/>
      <c r="B168" s="9" t="s">
        <v>399</v>
      </c>
      <c r="C168" s="62">
        <v>23249093695</v>
      </c>
      <c r="D168" s="18" t="s">
        <v>343</v>
      </c>
      <c r="E168" s="26">
        <v>0.15000000000000002</v>
      </c>
      <c r="F168" s="29">
        <v>12</v>
      </c>
      <c r="G168" s="21">
        <v>32.591250000000002</v>
      </c>
      <c r="H168" s="53" t="s">
        <v>315</v>
      </c>
      <c r="I168" s="47"/>
      <c r="J168" s="51">
        <f t="shared" si="14"/>
        <v>0</v>
      </c>
      <c r="K168" s="6"/>
      <c r="L168" s="6"/>
      <c r="M168" s="42" t="str">
        <f t="shared" si="20"/>
        <v>-</v>
      </c>
      <c r="N168" s="42" t="str">
        <f t="shared" si="19"/>
        <v>-</v>
      </c>
      <c r="O168" s="43" t="str">
        <f t="shared" si="21"/>
        <v>-</v>
      </c>
      <c r="P168" s="44" t="str">
        <f t="shared" si="22"/>
        <v>-</v>
      </c>
      <c r="Q168" s="35"/>
      <c r="R168" s="45" t="str">
        <f t="shared" si="23"/>
        <v>-</v>
      </c>
    </row>
    <row r="169" spans="1:18" ht="14.4">
      <c r="A169" s="10"/>
      <c r="B169" s="11" t="s">
        <v>400</v>
      </c>
      <c r="C169" s="63">
        <v>23249093701</v>
      </c>
      <c r="D169" s="19" t="s">
        <v>344</v>
      </c>
      <c r="E169" s="26">
        <v>9.9999999999999992E-2</v>
      </c>
      <c r="F169" s="30">
        <v>12</v>
      </c>
      <c r="G169" s="22">
        <v>16.841250000000002</v>
      </c>
      <c r="H169" s="53" t="s">
        <v>315</v>
      </c>
      <c r="I169" s="48"/>
      <c r="J169" s="50">
        <f t="shared" si="14"/>
        <v>0</v>
      </c>
      <c r="K169" s="6"/>
      <c r="L169" s="6"/>
      <c r="M169" s="42" t="str">
        <f t="shared" si="20"/>
        <v>-</v>
      </c>
      <c r="N169" s="42" t="str">
        <f t="shared" si="19"/>
        <v>-</v>
      </c>
      <c r="O169" s="43" t="str">
        <f t="shared" si="21"/>
        <v>-</v>
      </c>
      <c r="P169" s="44" t="str">
        <f t="shared" si="22"/>
        <v>-</v>
      </c>
      <c r="Q169" s="35"/>
      <c r="R169" s="45" t="str">
        <f t="shared" si="23"/>
        <v>-</v>
      </c>
    </row>
    <row r="170" spans="1:18" ht="14.4">
      <c r="A170" s="8"/>
      <c r="B170" s="9" t="s">
        <v>401</v>
      </c>
      <c r="C170" s="62">
        <v>23249093749</v>
      </c>
      <c r="D170" s="18" t="s">
        <v>345</v>
      </c>
      <c r="E170" s="26">
        <v>9.9999999999999992E-2</v>
      </c>
      <c r="F170" s="29">
        <v>12</v>
      </c>
      <c r="G170" s="21">
        <v>22.466249999999999</v>
      </c>
      <c r="H170" s="53" t="s">
        <v>315</v>
      </c>
      <c r="I170" s="47"/>
      <c r="J170" s="51">
        <f t="shared" si="14"/>
        <v>0</v>
      </c>
      <c r="K170" s="6"/>
      <c r="L170" s="6"/>
      <c r="M170" s="42" t="str">
        <f t="shared" si="20"/>
        <v>-</v>
      </c>
      <c r="N170" s="42" t="str">
        <f t="shared" si="19"/>
        <v>-</v>
      </c>
      <c r="O170" s="43" t="str">
        <f t="shared" si="21"/>
        <v>-</v>
      </c>
      <c r="P170" s="44" t="str">
        <f t="shared" si="22"/>
        <v>-</v>
      </c>
      <c r="Q170" s="35"/>
      <c r="R170" s="45" t="str">
        <f t="shared" si="23"/>
        <v>-</v>
      </c>
    </row>
    <row r="171" spans="1:18" ht="14.4">
      <c r="A171" s="10"/>
      <c r="B171" s="11" t="s">
        <v>402</v>
      </c>
      <c r="C171" s="63">
        <v>23249094029</v>
      </c>
      <c r="D171" s="19" t="s">
        <v>346</v>
      </c>
      <c r="E171" s="26">
        <v>0.13</v>
      </c>
      <c r="F171" s="30">
        <v>12</v>
      </c>
      <c r="G171" s="22">
        <v>22.466249999999999</v>
      </c>
      <c r="H171" s="53" t="s">
        <v>315</v>
      </c>
      <c r="I171" s="48"/>
      <c r="J171" s="50">
        <f t="shared" si="14"/>
        <v>0</v>
      </c>
      <c r="K171" s="6"/>
      <c r="L171" s="6"/>
      <c r="M171" s="42" t="str">
        <f t="shared" si="20"/>
        <v>-</v>
      </c>
      <c r="N171" s="42" t="str">
        <f t="shared" si="19"/>
        <v>-</v>
      </c>
      <c r="O171" s="43" t="str">
        <f t="shared" si="21"/>
        <v>-</v>
      </c>
      <c r="P171" s="44" t="str">
        <f t="shared" si="22"/>
        <v>-</v>
      </c>
      <c r="Q171" s="35"/>
      <c r="R171" s="45" t="str">
        <f t="shared" si="23"/>
        <v>-</v>
      </c>
    </row>
    <row r="172" spans="1:18" ht="14.4">
      <c r="A172" s="8"/>
      <c r="B172" s="9" t="s">
        <v>403</v>
      </c>
      <c r="C172" s="62">
        <v>23249091394</v>
      </c>
      <c r="D172" s="18" t="s">
        <v>347</v>
      </c>
      <c r="E172" s="26">
        <v>0.66</v>
      </c>
      <c r="F172" s="29">
        <v>12</v>
      </c>
      <c r="G172" s="21">
        <v>32.591250000000002</v>
      </c>
      <c r="H172" s="53" t="s">
        <v>315</v>
      </c>
      <c r="I172" s="47"/>
      <c r="J172" s="51">
        <f t="shared" si="14"/>
        <v>0</v>
      </c>
      <c r="K172" s="6"/>
      <c r="L172" s="6"/>
      <c r="M172" s="42" t="str">
        <f t="shared" si="20"/>
        <v>-</v>
      </c>
      <c r="N172" s="42" t="str">
        <f t="shared" si="19"/>
        <v>-</v>
      </c>
      <c r="O172" s="43" t="str">
        <f t="shared" si="21"/>
        <v>-</v>
      </c>
      <c r="P172" s="44" t="str">
        <f t="shared" si="22"/>
        <v>-</v>
      </c>
      <c r="Q172" s="35"/>
      <c r="R172" s="45" t="str">
        <f t="shared" si="23"/>
        <v>-</v>
      </c>
    </row>
    <row r="173" spans="1:18" ht="14.4">
      <c r="A173" s="10"/>
      <c r="B173" s="11" t="s">
        <v>404</v>
      </c>
      <c r="C173" s="63">
        <v>23249091400</v>
      </c>
      <c r="D173" s="19" t="s">
        <v>348</v>
      </c>
      <c r="E173" s="26">
        <v>0.66</v>
      </c>
      <c r="F173" s="30">
        <v>12</v>
      </c>
      <c r="G173" s="22">
        <v>32.591250000000002</v>
      </c>
      <c r="H173" s="53" t="s">
        <v>315</v>
      </c>
      <c r="I173" s="48"/>
      <c r="J173" s="50">
        <f t="shared" si="14"/>
        <v>0</v>
      </c>
      <c r="K173" s="6"/>
      <c r="L173" s="6"/>
      <c r="M173" s="42" t="str">
        <f t="shared" si="20"/>
        <v>-</v>
      </c>
      <c r="N173" s="42" t="str">
        <f t="shared" si="19"/>
        <v>-</v>
      </c>
      <c r="O173" s="43" t="str">
        <f t="shared" si="21"/>
        <v>-</v>
      </c>
      <c r="P173" s="44" t="str">
        <f t="shared" si="22"/>
        <v>-</v>
      </c>
      <c r="Q173" s="35"/>
      <c r="R173" s="45" t="str">
        <f t="shared" si="23"/>
        <v>-</v>
      </c>
    </row>
    <row r="174" spans="1:18" ht="14.4">
      <c r="A174" s="8"/>
      <c r="B174" s="9" t="s">
        <v>405</v>
      </c>
      <c r="C174" s="62">
        <v>23249091417</v>
      </c>
      <c r="D174" s="18" t="s">
        <v>349</v>
      </c>
      <c r="E174" s="26">
        <v>0.66</v>
      </c>
      <c r="F174" s="29">
        <v>12</v>
      </c>
      <c r="G174" s="21">
        <v>32.591250000000002</v>
      </c>
      <c r="H174" s="53" t="s">
        <v>315</v>
      </c>
      <c r="I174" s="47"/>
      <c r="J174" s="51">
        <f t="shared" si="14"/>
        <v>0</v>
      </c>
      <c r="K174" s="6"/>
      <c r="L174" s="6"/>
      <c r="M174" s="42" t="str">
        <f t="shared" si="20"/>
        <v>-</v>
      </c>
      <c r="N174" s="42" t="str">
        <f t="shared" si="19"/>
        <v>-</v>
      </c>
      <c r="O174" s="43" t="str">
        <f t="shared" si="21"/>
        <v>-</v>
      </c>
      <c r="P174" s="44" t="str">
        <f t="shared" si="22"/>
        <v>-</v>
      </c>
      <c r="Q174" s="35"/>
      <c r="R174" s="45" t="str">
        <f t="shared" si="23"/>
        <v>-</v>
      </c>
    </row>
    <row r="175" spans="1:18" ht="14.4">
      <c r="A175" s="10"/>
      <c r="B175" s="11" t="s">
        <v>406</v>
      </c>
      <c r="C175" s="63">
        <v>23249092858</v>
      </c>
      <c r="D175" s="19" t="s">
        <v>350</v>
      </c>
      <c r="E175" s="26">
        <v>0.66</v>
      </c>
      <c r="F175" s="30">
        <v>12</v>
      </c>
      <c r="G175" s="22">
        <v>32.591250000000002</v>
      </c>
      <c r="H175" s="53" t="s">
        <v>315</v>
      </c>
      <c r="I175" s="48"/>
      <c r="J175" s="50">
        <f t="shared" si="14"/>
        <v>0</v>
      </c>
      <c r="K175" s="6"/>
      <c r="L175" s="6"/>
      <c r="M175" s="42" t="str">
        <f t="shared" si="20"/>
        <v>-</v>
      </c>
      <c r="N175" s="42" t="str">
        <f t="shared" si="19"/>
        <v>-</v>
      </c>
      <c r="O175" s="43" t="str">
        <f t="shared" si="21"/>
        <v>-</v>
      </c>
      <c r="P175" s="44" t="str">
        <f t="shared" si="22"/>
        <v>-</v>
      </c>
      <c r="Q175" s="35"/>
      <c r="R175" s="45" t="str">
        <f t="shared" si="23"/>
        <v>-</v>
      </c>
    </row>
    <row r="176" spans="1:18" ht="14.4">
      <c r="A176" s="8"/>
      <c r="B176" s="9" t="s">
        <v>407</v>
      </c>
      <c r="C176" s="62">
        <v>23249093275</v>
      </c>
      <c r="D176" s="18" t="s">
        <v>351</v>
      </c>
      <c r="E176" s="26">
        <v>0.24000000000000002</v>
      </c>
      <c r="F176" s="29">
        <v>12</v>
      </c>
      <c r="G176" s="21">
        <v>29.216249999999999</v>
      </c>
      <c r="H176" s="53" t="s">
        <v>315</v>
      </c>
      <c r="I176" s="47"/>
      <c r="J176" s="51">
        <f t="shared" si="14"/>
        <v>0</v>
      </c>
      <c r="K176" s="6"/>
      <c r="L176" s="6"/>
      <c r="M176" s="42" t="str">
        <f t="shared" si="20"/>
        <v>-</v>
      </c>
      <c r="N176" s="42" t="str">
        <f t="shared" si="19"/>
        <v>-</v>
      </c>
      <c r="O176" s="43" t="str">
        <f t="shared" si="21"/>
        <v>-</v>
      </c>
      <c r="P176" s="44" t="str">
        <f t="shared" si="22"/>
        <v>-</v>
      </c>
      <c r="Q176" s="35"/>
      <c r="R176" s="45" t="str">
        <f t="shared" si="23"/>
        <v>-</v>
      </c>
    </row>
    <row r="177" spans="1:18" ht="14.4">
      <c r="A177" s="10"/>
      <c r="B177" s="11" t="s">
        <v>408</v>
      </c>
      <c r="C177" s="63">
        <v>23249093367</v>
      </c>
      <c r="D177" s="19" t="s">
        <v>352</v>
      </c>
      <c r="E177" s="26">
        <v>1.29</v>
      </c>
      <c r="F177" s="30">
        <v>6</v>
      </c>
      <c r="G177" s="22">
        <v>35.966250000000002</v>
      </c>
      <c r="H177" s="53" t="s">
        <v>315</v>
      </c>
      <c r="I177" s="48"/>
      <c r="J177" s="50">
        <f t="shared" si="14"/>
        <v>0</v>
      </c>
      <c r="K177" s="6"/>
      <c r="L177" s="6"/>
      <c r="M177" s="42" t="str">
        <f t="shared" si="20"/>
        <v>-</v>
      </c>
      <c r="N177" s="42" t="str">
        <f t="shared" si="19"/>
        <v>-</v>
      </c>
      <c r="O177" s="43" t="str">
        <f t="shared" si="21"/>
        <v>-</v>
      </c>
      <c r="P177" s="44" t="str">
        <f t="shared" si="22"/>
        <v>-</v>
      </c>
      <c r="Q177" s="35"/>
      <c r="R177" s="45" t="str">
        <f t="shared" si="23"/>
        <v>-</v>
      </c>
    </row>
    <row r="178" spans="1:18" ht="14.4">
      <c r="A178" s="8"/>
      <c r="B178" s="9" t="s">
        <v>409</v>
      </c>
      <c r="C178" s="62">
        <v>23249093411</v>
      </c>
      <c r="D178" s="18" t="s">
        <v>353</v>
      </c>
      <c r="E178" s="26">
        <v>0.26</v>
      </c>
      <c r="F178" s="29">
        <v>12</v>
      </c>
      <c r="G178" s="21">
        <v>24.716249999999999</v>
      </c>
      <c r="H178" s="53" t="s">
        <v>315</v>
      </c>
      <c r="I178" s="47"/>
      <c r="J178" s="51">
        <f t="shared" si="14"/>
        <v>0</v>
      </c>
      <c r="K178" s="6"/>
      <c r="L178" s="6"/>
      <c r="M178" s="42" t="str">
        <f t="shared" si="20"/>
        <v>-</v>
      </c>
      <c r="N178" s="42" t="str">
        <f t="shared" si="19"/>
        <v>-</v>
      </c>
      <c r="O178" s="43" t="str">
        <f t="shared" si="21"/>
        <v>-</v>
      </c>
      <c r="P178" s="44" t="str">
        <f t="shared" si="22"/>
        <v>-</v>
      </c>
      <c r="Q178" s="35"/>
      <c r="R178" s="45" t="str">
        <f t="shared" si="23"/>
        <v>-</v>
      </c>
    </row>
    <row r="179" spans="1:18" ht="14.4">
      <c r="A179" s="10"/>
      <c r="B179" s="11" t="s">
        <v>410</v>
      </c>
      <c r="C179" s="63">
        <v>23249094036</v>
      </c>
      <c r="D179" s="19" t="s">
        <v>354</v>
      </c>
      <c r="E179" s="26">
        <v>0.62</v>
      </c>
      <c r="F179" s="30">
        <v>12</v>
      </c>
      <c r="G179" s="22">
        <v>31.466249999999999</v>
      </c>
      <c r="H179" s="53" t="s">
        <v>315</v>
      </c>
      <c r="I179" s="48"/>
      <c r="J179" s="50">
        <f t="shared" si="14"/>
        <v>0</v>
      </c>
      <c r="K179" s="6"/>
      <c r="L179" s="6"/>
      <c r="M179" s="42" t="str">
        <f t="shared" si="20"/>
        <v>-</v>
      </c>
      <c r="N179" s="42" t="str">
        <f t="shared" si="19"/>
        <v>-</v>
      </c>
      <c r="O179" s="43" t="str">
        <f t="shared" si="21"/>
        <v>-</v>
      </c>
      <c r="P179" s="44" t="str">
        <f t="shared" si="22"/>
        <v>-</v>
      </c>
      <c r="Q179" s="35"/>
      <c r="R179" s="45" t="str">
        <f t="shared" si="23"/>
        <v>-</v>
      </c>
    </row>
    <row r="180" spans="1:18" ht="14.4">
      <c r="A180" s="8"/>
      <c r="B180" s="9" t="s">
        <v>411</v>
      </c>
      <c r="C180" s="62">
        <v>23249093954</v>
      </c>
      <c r="D180" s="18" t="s">
        <v>355</v>
      </c>
      <c r="E180" s="26">
        <v>2.69</v>
      </c>
      <c r="F180" s="29">
        <v>6</v>
      </c>
      <c r="G180" s="21">
        <v>98.966249999999988</v>
      </c>
      <c r="H180" s="53" t="s">
        <v>315</v>
      </c>
      <c r="I180" s="47"/>
      <c r="J180" s="51">
        <f t="shared" si="14"/>
        <v>0</v>
      </c>
      <c r="K180" s="6"/>
      <c r="L180" s="6"/>
      <c r="M180" s="42" t="str">
        <f t="shared" si="20"/>
        <v>-</v>
      </c>
      <c r="N180" s="42" t="str">
        <f t="shared" si="19"/>
        <v>-</v>
      </c>
      <c r="O180" s="43" t="str">
        <f t="shared" si="21"/>
        <v>-</v>
      </c>
      <c r="P180" s="44" t="str">
        <f t="shared" si="22"/>
        <v>-</v>
      </c>
      <c r="Q180" s="35"/>
      <c r="R180" s="45" t="str">
        <f t="shared" si="23"/>
        <v>-</v>
      </c>
    </row>
    <row r="181" spans="1:18" ht="14.4">
      <c r="A181" s="10"/>
      <c r="B181" s="11" t="s">
        <v>412</v>
      </c>
      <c r="C181" s="63">
        <v>23249093947</v>
      </c>
      <c r="D181" s="19" t="s">
        <v>356</v>
      </c>
      <c r="E181" s="26">
        <v>1.1200000000000001</v>
      </c>
      <c r="F181" s="30">
        <v>6</v>
      </c>
      <c r="G181" s="22">
        <v>57.341250000000002</v>
      </c>
      <c r="H181" s="53" t="s">
        <v>315</v>
      </c>
      <c r="I181" s="48"/>
      <c r="J181" s="50">
        <f t="shared" si="14"/>
        <v>0</v>
      </c>
      <c r="K181" s="6"/>
      <c r="L181" s="6"/>
      <c r="M181" s="42" t="str">
        <f t="shared" si="20"/>
        <v>-</v>
      </c>
      <c r="N181" s="42" t="str">
        <f t="shared" si="19"/>
        <v>-</v>
      </c>
      <c r="O181" s="43" t="str">
        <f t="shared" si="21"/>
        <v>-</v>
      </c>
      <c r="P181" s="44" t="str">
        <f t="shared" si="22"/>
        <v>-</v>
      </c>
      <c r="Q181" s="35"/>
      <c r="R181" s="45" t="str">
        <f t="shared" si="23"/>
        <v>-</v>
      </c>
    </row>
    <row r="182" spans="1:18" ht="14.4">
      <c r="A182" s="8"/>
      <c r="B182" s="9" t="s">
        <v>413</v>
      </c>
      <c r="C182" s="62">
        <v>23249093602</v>
      </c>
      <c r="D182" s="18" t="s">
        <v>357</v>
      </c>
      <c r="E182" s="26">
        <v>0.08</v>
      </c>
      <c r="F182" s="29">
        <v>12</v>
      </c>
      <c r="G182" s="21">
        <v>21.341249999999999</v>
      </c>
      <c r="H182" s="53" t="s">
        <v>315</v>
      </c>
      <c r="I182" s="47"/>
      <c r="J182" s="51">
        <f t="shared" si="14"/>
        <v>0</v>
      </c>
      <c r="K182" s="6"/>
      <c r="L182" s="6"/>
      <c r="M182" s="42" t="str">
        <f t="shared" si="20"/>
        <v>-</v>
      </c>
      <c r="N182" s="42" t="str">
        <f t="shared" si="19"/>
        <v>-</v>
      </c>
      <c r="O182" s="43" t="str">
        <f t="shared" si="21"/>
        <v>-</v>
      </c>
      <c r="P182" s="44" t="str">
        <f t="shared" si="22"/>
        <v>-</v>
      </c>
      <c r="Q182" s="35"/>
      <c r="R182" s="45" t="str">
        <f t="shared" si="23"/>
        <v>-</v>
      </c>
    </row>
    <row r="183" spans="1:18" ht="14.4">
      <c r="A183" s="10"/>
      <c r="B183" s="11" t="s">
        <v>414</v>
      </c>
      <c r="C183" s="63">
        <v>23249093619</v>
      </c>
      <c r="D183" s="19" t="s">
        <v>358</v>
      </c>
      <c r="E183" s="26">
        <v>0.08</v>
      </c>
      <c r="F183" s="30">
        <v>12</v>
      </c>
      <c r="G183" s="22">
        <v>24.716249999999999</v>
      </c>
      <c r="H183" s="53" t="s">
        <v>315</v>
      </c>
      <c r="I183" s="48"/>
      <c r="J183" s="50">
        <f t="shared" si="14"/>
        <v>0</v>
      </c>
      <c r="K183" s="6"/>
      <c r="L183" s="6"/>
      <c r="M183" s="42" t="str">
        <f t="shared" si="20"/>
        <v>-</v>
      </c>
      <c r="N183" s="42" t="str">
        <f t="shared" si="19"/>
        <v>-</v>
      </c>
      <c r="O183" s="43" t="str">
        <f t="shared" si="21"/>
        <v>-</v>
      </c>
      <c r="P183" s="44" t="str">
        <f t="shared" si="22"/>
        <v>-</v>
      </c>
      <c r="Q183" s="35"/>
      <c r="R183" s="45" t="str">
        <f t="shared" si="23"/>
        <v>-</v>
      </c>
    </row>
    <row r="184" spans="1:18" ht="14.4">
      <c r="A184" s="8"/>
      <c r="B184" s="9" t="s">
        <v>415</v>
      </c>
      <c r="C184" s="62">
        <v>23249093626</v>
      </c>
      <c r="D184" s="18" t="s">
        <v>359</v>
      </c>
      <c r="E184" s="26">
        <v>0.28000000000000003</v>
      </c>
      <c r="F184" s="29">
        <v>12</v>
      </c>
      <c r="G184" s="21">
        <v>32.591250000000002</v>
      </c>
      <c r="H184" s="53" t="s">
        <v>315</v>
      </c>
      <c r="I184" s="47"/>
      <c r="J184" s="51">
        <f t="shared" si="14"/>
        <v>0</v>
      </c>
      <c r="K184" s="6"/>
      <c r="L184" s="6"/>
      <c r="M184" s="42" t="str">
        <f t="shared" si="20"/>
        <v>-</v>
      </c>
      <c r="N184" s="42" t="str">
        <f t="shared" si="19"/>
        <v>-</v>
      </c>
      <c r="O184" s="43" t="str">
        <f t="shared" si="21"/>
        <v>-</v>
      </c>
      <c r="P184" s="44" t="str">
        <f t="shared" si="22"/>
        <v>-</v>
      </c>
      <c r="Q184" s="35"/>
      <c r="R184" s="45" t="str">
        <f t="shared" si="23"/>
        <v>-</v>
      </c>
    </row>
    <row r="185" spans="1:18" ht="20.399999999999999">
      <c r="A185" s="10"/>
      <c r="B185" s="11" t="s">
        <v>416</v>
      </c>
      <c r="C185" s="63">
        <v>23249013464</v>
      </c>
      <c r="D185" s="19" t="s">
        <v>360</v>
      </c>
      <c r="E185" s="26">
        <v>0.32</v>
      </c>
      <c r="F185" s="30">
        <v>12</v>
      </c>
      <c r="G185" s="22">
        <v>21.341249999999999</v>
      </c>
      <c r="H185" s="53" t="s">
        <v>315</v>
      </c>
      <c r="I185" s="48"/>
      <c r="J185" s="50">
        <f t="shared" si="14"/>
        <v>0</v>
      </c>
      <c r="K185" s="6"/>
      <c r="L185" s="6"/>
      <c r="M185" s="42" t="str">
        <f t="shared" si="20"/>
        <v>-</v>
      </c>
      <c r="N185" s="42" t="str">
        <f t="shared" si="19"/>
        <v>-</v>
      </c>
      <c r="O185" s="43" t="str">
        <f t="shared" si="21"/>
        <v>-</v>
      </c>
      <c r="P185" s="44" t="str">
        <f t="shared" si="22"/>
        <v>-</v>
      </c>
      <c r="Q185" s="35"/>
      <c r="R185" s="45" t="str">
        <f t="shared" si="23"/>
        <v>-</v>
      </c>
    </row>
    <row r="186" spans="1:18" ht="14.4">
      <c r="A186" s="8"/>
      <c r="B186" s="9" t="s">
        <v>417</v>
      </c>
      <c r="C186" s="62">
        <v>23249090199</v>
      </c>
      <c r="D186" s="18" t="s">
        <v>361</v>
      </c>
      <c r="E186" s="26">
        <v>0.35000000000000003</v>
      </c>
      <c r="F186" s="29">
        <v>12</v>
      </c>
      <c r="G186" s="21">
        <v>21.341249999999999</v>
      </c>
      <c r="H186" s="53" t="s">
        <v>315</v>
      </c>
      <c r="I186" s="47"/>
      <c r="J186" s="51">
        <f t="shared" si="14"/>
        <v>0</v>
      </c>
      <c r="K186" s="6"/>
      <c r="L186" s="6"/>
      <c r="M186" s="42" t="str">
        <f t="shared" si="20"/>
        <v>-</v>
      </c>
      <c r="N186" s="42" t="str">
        <f t="shared" si="19"/>
        <v>-</v>
      </c>
      <c r="O186" s="43" t="str">
        <f t="shared" si="21"/>
        <v>-</v>
      </c>
      <c r="P186" s="44" t="str">
        <f t="shared" si="22"/>
        <v>-</v>
      </c>
      <c r="Q186" s="35"/>
      <c r="R186" s="45" t="str">
        <f t="shared" si="23"/>
        <v>-</v>
      </c>
    </row>
    <row r="187" spans="1:18" ht="20.399999999999999">
      <c r="A187" s="10"/>
      <c r="B187" s="11" t="s">
        <v>418</v>
      </c>
      <c r="C187" s="63">
        <v>23249091660</v>
      </c>
      <c r="D187" s="19" t="s">
        <v>362</v>
      </c>
      <c r="E187" s="26">
        <v>6.0000000000000005E-2</v>
      </c>
      <c r="F187" s="30">
        <v>12</v>
      </c>
      <c r="G187" s="22">
        <v>16.841250000000002</v>
      </c>
      <c r="H187" s="53" t="s">
        <v>315</v>
      </c>
      <c r="I187" s="48"/>
      <c r="J187" s="50">
        <f t="shared" ref="J187:J198" si="24">I187*G187</f>
        <v>0</v>
      </c>
      <c r="K187" s="6"/>
      <c r="L187" s="6"/>
      <c r="M187" s="42" t="str">
        <f t="shared" si="20"/>
        <v>-</v>
      </c>
      <c r="N187" s="42" t="str">
        <f t="shared" si="19"/>
        <v>-</v>
      </c>
      <c r="O187" s="43" t="str">
        <f t="shared" si="21"/>
        <v>-</v>
      </c>
      <c r="P187" s="44" t="str">
        <f t="shared" si="22"/>
        <v>-</v>
      </c>
      <c r="Q187" s="35"/>
      <c r="R187" s="45" t="str">
        <f t="shared" si="23"/>
        <v>-</v>
      </c>
    </row>
    <row r="188" spans="1:18" ht="20.399999999999999">
      <c r="A188" s="8"/>
      <c r="B188" s="9" t="s">
        <v>419</v>
      </c>
      <c r="C188" s="62">
        <v>23249093282</v>
      </c>
      <c r="D188" s="18" t="s">
        <v>363</v>
      </c>
      <c r="E188" s="26">
        <v>6.9999999999999993E-2</v>
      </c>
      <c r="F188" s="29">
        <v>12</v>
      </c>
      <c r="G188" s="21">
        <v>24.716249999999999</v>
      </c>
      <c r="H188" s="53" t="s">
        <v>315</v>
      </c>
      <c r="I188" s="47"/>
      <c r="J188" s="51">
        <f t="shared" si="24"/>
        <v>0</v>
      </c>
      <c r="K188" s="6"/>
      <c r="L188" s="6"/>
      <c r="M188" s="42" t="str">
        <f t="shared" si="20"/>
        <v>-</v>
      </c>
      <c r="N188" s="42" t="str">
        <f t="shared" si="19"/>
        <v>-</v>
      </c>
      <c r="O188" s="43" t="str">
        <f t="shared" si="21"/>
        <v>-</v>
      </c>
      <c r="P188" s="44" t="str">
        <f t="shared" si="22"/>
        <v>-</v>
      </c>
      <c r="Q188" s="35"/>
      <c r="R188" s="45" t="str">
        <f t="shared" si="23"/>
        <v>-</v>
      </c>
    </row>
    <row r="189" spans="1:18" ht="14.4">
      <c r="A189" s="10"/>
      <c r="B189" s="11" t="s">
        <v>420</v>
      </c>
      <c r="C189" s="63">
        <v>23249094296</v>
      </c>
      <c r="D189" s="19" t="s">
        <v>364</v>
      </c>
      <c r="E189" s="26">
        <v>0.11</v>
      </c>
      <c r="F189" s="30">
        <v>12</v>
      </c>
      <c r="G189" s="22">
        <v>19.091249999999999</v>
      </c>
      <c r="H189" s="53" t="s">
        <v>315</v>
      </c>
      <c r="I189" s="48"/>
      <c r="J189" s="50">
        <f t="shared" si="24"/>
        <v>0</v>
      </c>
      <c r="K189" s="6"/>
      <c r="L189" s="6"/>
      <c r="M189" s="42" t="str">
        <f t="shared" si="20"/>
        <v>-</v>
      </c>
      <c r="N189" s="42" t="str">
        <f t="shared" si="19"/>
        <v>-</v>
      </c>
      <c r="O189" s="43" t="str">
        <f t="shared" si="21"/>
        <v>-</v>
      </c>
      <c r="P189" s="44" t="str">
        <f t="shared" si="22"/>
        <v>-</v>
      </c>
      <c r="Q189" s="35"/>
      <c r="R189" s="45" t="str">
        <f t="shared" si="23"/>
        <v>-</v>
      </c>
    </row>
    <row r="190" spans="1:18" ht="14.4">
      <c r="A190" s="8"/>
      <c r="B190" s="9" t="s">
        <v>421</v>
      </c>
      <c r="C190" s="62">
        <v>23249010753</v>
      </c>
      <c r="D190" s="18" t="s">
        <v>365</v>
      </c>
      <c r="E190" s="26">
        <v>0.16</v>
      </c>
      <c r="F190" s="29">
        <v>60</v>
      </c>
      <c r="G190" s="21">
        <v>15.716250000000002</v>
      </c>
      <c r="H190" s="53" t="s">
        <v>315</v>
      </c>
      <c r="I190" s="47"/>
      <c r="J190" s="51">
        <f t="shared" si="24"/>
        <v>0</v>
      </c>
      <c r="K190" s="6"/>
      <c r="L190" s="6"/>
      <c r="M190" s="42" t="str">
        <f t="shared" si="20"/>
        <v>-</v>
      </c>
      <c r="N190" s="42" t="str">
        <f t="shared" si="19"/>
        <v>-</v>
      </c>
      <c r="O190" s="43" t="str">
        <f t="shared" si="21"/>
        <v>-</v>
      </c>
      <c r="P190" s="44" t="str">
        <f t="shared" si="22"/>
        <v>-</v>
      </c>
      <c r="Q190" s="35"/>
      <c r="R190" s="45" t="str">
        <f t="shared" si="23"/>
        <v>-</v>
      </c>
    </row>
    <row r="191" spans="1:18" ht="14.4">
      <c r="A191" s="10"/>
      <c r="B191" s="11" t="s">
        <v>422</v>
      </c>
      <c r="C191" s="63">
        <v>23249091097</v>
      </c>
      <c r="D191" s="19" t="s">
        <v>366</v>
      </c>
      <c r="E191" s="26">
        <v>0.13</v>
      </c>
      <c r="F191" s="30">
        <v>60</v>
      </c>
      <c r="G191" s="22">
        <v>15.716250000000002</v>
      </c>
      <c r="H191" s="53" t="s">
        <v>315</v>
      </c>
      <c r="I191" s="48"/>
      <c r="J191" s="50">
        <f t="shared" si="24"/>
        <v>0</v>
      </c>
      <c r="K191" s="6"/>
      <c r="L191" s="6"/>
      <c r="M191" s="42" t="str">
        <f t="shared" si="20"/>
        <v>-</v>
      </c>
      <c r="N191" s="42" t="str">
        <f t="shared" si="19"/>
        <v>-</v>
      </c>
      <c r="O191" s="43" t="str">
        <f t="shared" si="21"/>
        <v>-</v>
      </c>
      <c r="P191" s="44" t="str">
        <f t="shared" si="22"/>
        <v>-</v>
      </c>
      <c r="Q191" s="35"/>
      <c r="R191" s="45" t="str">
        <f t="shared" si="23"/>
        <v>-</v>
      </c>
    </row>
    <row r="192" spans="1:18" ht="14.4">
      <c r="A192" s="8"/>
      <c r="B192" s="9" t="s">
        <v>423</v>
      </c>
      <c r="C192" s="62">
        <v>23249010357</v>
      </c>
      <c r="D192" s="18" t="s">
        <v>367</v>
      </c>
      <c r="E192" s="26">
        <v>0.38</v>
      </c>
      <c r="F192" s="29">
        <v>36</v>
      </c>
      <c r="G192" s="21">
        <v>17.966250000000002</v>
      </c>
      <c r="H192" s="53" t="s">
        <v>315</v>
      </c>
      <c r="I192" s="47"/>
      <c r="J192" s="51">
        <f t="shared" si="24"/>
        <v>0</v>
      </c>
      <c r="K192" s="6"/>
      <c r="L192" s="6"/>
      <c r="M192" s="42" t="str">
        <f t="shared" si="20"/>
        <v>-</v>
      </c>
      <c r="N192" s="42" t="str">
        <f t="shared" si="19"/>
        <v>-</v>
      </c>
      <c r="O192" s="43" t="str">
        <f t="shared" si="21"/>
        <v>-</v>
      </c>
      <c r="P192" s="44" t="str">
        <f t="shared" si="22"/>
        <v>-</v>
      </c>
      <c r="Q192" s="35"/>
      <c r="R192" s="45" t="str">
        <f t="shared" si="23"/>
        <v>-</v>
      </c>
    </row>
    <row r="193" spans="1:18" ht="14.4">
      <c r="A193" s="10"/>
      <c r="B193" s="11" t="s">
        <v>424</v>
      </c>
      <c r="C193" s="63">
        <v>23249011668</v>
      </c>
      <c r="D193" s="19" t="s">
        <v>368</v>
      </c>
      <c r="E193" s="26">
        <v>0.38</v>
      </c>
      <c r="F193" s="30">
        <v>36</v>
      </c>
      <c r="G193" s="22">
        <v>17.966250000000002</v>
      </c>
      <c r="H193" s="53" t="s">
        <v>315</v>
      </c>
      <c r="I193" s="48"/>
      <c r="J193" s="50">
        <f t="shared" si="24"/>
        <v>0</v>
      </c>
      <c r="K193" s="6"/>
      <c r="L193" s="6"/>
      <c r="M193" s="42" t="str">
        <f t="shared" si="20"/>
        <v>-</v>
      </c>
      <c r="N193" s="42" t="str">
        <f t="shared" si="19"/>
        <v>-</v>
      </c>
      <c r="O193" s="43" t="str">
        <f t="shared" si="21"/>
        <v>-</v>
      </c>
      <c r="P193" s="44" t="str">
        <f t="shared" si="22"/>
        <v>-</v>
      </c>
      <c r="Q193" s="35"/>
      <c r="R193" s="45" t="str">
        <f t="shared" si="23"/>
        <v>-</v>
      </c>
    </row>
    <row r="194" spans="1:18" ht="14.4">
      <c r="A194" s="8"/>
      <c r="B194" s="9" t="s">
        <v>425</v>
      </c>
      <c r="C194" s="62">
        <v>23249010852</v>
      </c>
      <c r="D194" s="18" t="s">
        <v>369</v>
      </c>
      <c r="E194" s="26">
        <v>0.26</v>
      </c>
      <c r="F194" s="29">
        <v>42</v>
      </c>
      <c r="G194" s="21">
        <v>17.966250000000002</v>
      </c>
      <c r="H194" s="53" t="s">
        <v>315</v>
      </c>
      <c r="I194" s="47"/>
      <c r="J194" s="51">
        <f t="shared" si="24"/>
        <v>0</v>
      </c>
      <c r="K194" s="6"/>
      <c r="L194" s="6"/>
      <c r="M194" s="42" t="str">
        <f t="shared" si="20"/>
        <v>-</v>
      </c>
      <c r="N194" s="42" t="str">
        <f t="shared" si="19"/>
        <v>-</v>
      </c>
      <c r="O194" s="43" t="str">
        <f t="shared" si="21"/>
        <v>-</v>
      </c>
      <c r="P194" s="44" t="str">
        <f t="shared" si="22"/>
        <v>-</v>
      </c>
      <c r="Q194" s="35"/>
      <c r="R194" s="45" t="str">
        <f t="shared" si="23"/>
        <v>-</v>
      </c>
    </row>
    <row r="195" spans="1:18" ht="14.4">
      <c r="A195" s="10"/>
      <c r="B195" s="11" t="s">
        <v>426</v>
      </c>
      <c r="C195" s="63">
        <v>23249011675</v>
      </c>
      <c r="D195" s="19" t="s">
        <v>370</v>
      </c>
      <c r="E195" s="26">
        <v>0.26</v>
      </c>
      <c r="F195" s="30">
        <v>42</v>
      </c>
      <c r="G195" s="22">
        <v>17.966250000000002</v>
      </c>
      <c r="H195" s="53" t="s">
        <v>315</v>
      </c>
      <c r="I195" s="48"/>
      <c r="J195" s="50">
        <f t="shared" si="24"/>
        <v>0</v>
      </c>
      <c r="K195" s="6"/>
      <c r="L195" s="6"/>
      <c r="M195" s="42" t="str">
        <f t="shared" si="20"/>
        <v>-</v>
      </c>
      <c r="N195" s="42" t="str">
        <f t="shared" si="19"/>
        <v>-</v>
      </c>
      <c r="O195" s="43" t="str">
        <f t="shared" si="21"/>
        <v>-</v>
      </c>
      <c r="P195" s="44" t="str">
        <f t="shared" si="22"/>
        <v>-</v>
      </c>
      <c r="Q195" s="35"/>
      <c r="R195" s="45" t="str">
        <f t="shared" si="23"/>
        <v>-</v>
      </c>
    </row>
    <row r="196" spans="1:18" ht="14.4">
      <c r="A196" s="8"/>
      <c r="B196" s="9" t="s">
        <v>427</v>
      </c>
      <c r="C196" s="62">
        <v>23249093893</v>
      </c>
      <c r="D196" s="18" t="s">
        <v>371</v>
      </c>
      <c r="E196" s="26">
        <v>0.26</v>
      </c>
      <c r="F196" s="29">
        <v>36</v>
      </c>
      <c r="G196" s="21">
        <v>17.966250000000002</v>
      </c>
      <c r="H196" s="53" t="s">
        <v>315</v>
      </c>
      <c r="I196" s="47"/>
      <c r="J196" s="51">
        <f t="shared" si="24"/>
        <v>0</v>
      </c>
      <c r="K196" s="6"/>
      <c r="L196" s="6"/>
      <c r="M196" s="42" t="str">
        <f t="shared" si="20"/>
        <v>-</v>
      </c>
      <c r="N196" s="42" t="str">
        <f t="shared" ref="N196:N198" si="25">IFERROR(IF(M196&gt;0,G196+M196,"-"),"-")</f>
        <v>-</v>
      </c>
      <c r="O196" s="43" t="str">
        <f t="shared" si="21"/>
        <v>-</v>
      </c>
      <c r="P196" s="44" t="str">
        <f t="shared" si="22"/>
        <v>-</v>
      </c>
      <c r="Q196" s="35"/>
      <c r="R196" s="45" t="str">
        <f t="shared" si="23"/>
        <v>-</v>
      </c>
    </row>
    <row r="197" spans="1:18" ht="14.4">
      <c r="A197" s="8"/>
      <c r="B197" s="9" t="s">
        <v>428</v>
      </c>
      <c r="C197" s="62">
        <v>23249093909</v>
      </c>
      <c r="D197" s="18" t="s">
        <v>372</v>
      </c>
      <c r="E197" s="26">
        <v>0.31</v>
      </c>
      <c r="F197" s="29">
        <v>32</v>
      </c>
      <c r="G197" s="21">
        <v>17.966250000000002</v>
      </c>
      <c r="H197" s="53" t="s">
        <v>315</v>
      </c>
      <c r="I197" s="47"/>
      <c r="J197" s="51">
        <f t="shared" si="24"/>
        <v>0</v>
      </c>
      <c r="K197" s="6"/>
      <c r="L197" s="6"/>
      <c r="M197" s="42" t="str">
        <f t="shared" si="20"/>
        <v>-</v>
      </c>
      <c r="N197" s="42" t="str">
        <f t="shared" si="25"/>
        <v>-</v>
      </c>
      <c r="O197" s="43" t="str">
        <f t="shared" si="21"/>
        <v>-</v>
      </c>
      <c r="P197" s="44" t="str">
        <f t="shared" si="22"/>
        <v>-</v>
      </c>
      <c r="Q197" s="35"/>
      <c r="R197" s="45" t="str">
        <f t="shared" si="23"/>
        <v>-</v>
      </c>
    </row>
    <row r="198" spans="1:18" ht="15" thickBot="1">
      <c r="A198" s="54"/>
      <c r="B198" s="55" t="s">
        <v>429</v>
      </c>
      <c r="C198" s="65">
        <v>23249093916</v>
      </c>
      <c r="D198" s="56" t="s">
        <v>373</v>
      </c>
      <c r="E198" s="27">
        <v>0.41000000000000003</v>
      </c>
      <c r="F198" s="58">
        <v>32</v>
      </c>
      <c r="G198" s="57">
        <v>17.966250000000002</v>
      </c>
      <c r="H198" s="75" t="s">
        <v>315</v>
      </c>
      <c r="I198" s="59"/>
      <c r="J198" s="60">
        <f t="shared" si="24"/>
        <v>0</v>
      </c>
      <c r="K198" s="6"/>
      <c r="L198" s="6"/>
      <c r="M198" s="42" t="str">
        <f t="shared" si="20"/>
        <v>-</v>
      </c>
      <c r="N198" s="42" t="str">
        <f t="shared" si="25"/>
        <v>-</v>
      </c>
      <c r="O198" s="43" t="str">
        <f t="shared" si="21"/>
        <v>-</v>
      </c>
      <c r="P198" s="44" t="str">
        <f t="shared" si="22"/>
        <v>-</v>
      </c>
      <c r="Q198" s="35"/>
      <c r="R198" s="45" t="str">
        <f t="shared" si="23"/>
        <v>-</v>
      </c>
    </row>
    <row r="199" spans="1:18">
      <c r="I199" s="23"/>
      <c r="M199" s="42"/>
      <c r="N199" s="42"/>
      <c r="O199" s="43"/>
      <c r="P199" s="44"/>
      <c r="Q199" s="35"/>
      <c r="R199" s="45"/>
    </row>
    <row r="200" spans="1:18">
      <c r="I200" s="23"/>
      <c r="M200" s="42"/>
      <c r="N200" s="42"/>
      <c r="O200" s="43"/>
      <c r="P200" s="44"/>
      <c r="Q200" s="35"/>
      <c r="R200" s="45"/>
    </row>
    <row r="201" spans="1:18" ht="13.8" thickBot="1">
      <c r="I201" s="23"/>
      <c r="M201" s="42"/>
      <c r="N201" s="42"/>
      <c r="O201" s="43"/>
      <c r="P201" s="44"/>
      <c r="Q201" s="35"/>
      <c r="R201" s="45"/>
    </row>
    <row r="202" spans="1:18" ht="13.8" thickBot="1">
      <c r="D202" s="66" t="e" vm="1">
        <v>#VALUE!</v>
      </c>
      <c r="M202" s="42"/>
      <c r="N202" s="42"/>
      <c r="O202" s="43"/>
      <c r="P202" s="44"/>
      <c r="Q202" s="35"/>
      <c r="R202" s="45"/>
    </row>
    <row r="203" spans="1:18">
      <c r="D203" s="13" t="s">
        <v>305</v>
      </c>
      <c r="M203" s="42"/>
      <c r="N203" s="42"/>
      <c r="O203" s="43"/>
      <c r="P203" s="44"/>
      <c r="Q203" s="35"/>
      <c r="R203" s="45"/>
    </row>
    <row r="204" spans="1:18">
      <c r="D204" s="14" t="s">
        <v>306</v>
      </c>
      <c r="M204" s="42"/>
      <c r="N204" s="42"/>
      <c r="O204" s="43"/>
      <c r="P204" s="44"/>
      <c r="Q204" s="35"/>
      <c r="R204" s="45"/>
    </row>
    <row r="205" spans="1:18" ht="13.8" thickBot="1">
      <c r="D205" s="16" t="s">
        <v>167</v>
      </c>
      <c r="M205" s="42"/>
      <c r="N205" s="42"/>
      <c r="O205" s="43"/>
      <c r="P205" s="44"/>
      <c r="Q205" s="35"/>
      <c r="R205" s="45"/>
    </row>
    <row r="206" spans="1:18">
      <c r="D206" s="13" t="s">
        <v>168</v>
      </c>
      <c r="M206" s="42"/>
      <c r="N206" s="42"/>
      <c r="O206" s="43"/>
      <c r="P206" s="44"/>
      <c r="Q206" s="35"/>
      <c r="R206" s="45"/>
    </row>
    <row r="207" spans="1:18" ht="13.8" thickBot="1">
      <c r="D207" s="15" t="s">
        <v>169</v>
      </c>
      <c r="M207" s="42"/>
      <c r="N207" s="42"/>
      <c r="O207" s="43"/>
      <c r="P207" s="44"/>
      <c r="Q207" s="35"/>
      <c r="R207" s="45"/>
    </row>
    <row r="208" spans="1:18">
      <c r="M208" s="42"/>
      <c r="N208" s="42"/>
      <c r="O208" s="43"/>
      <c r="P208" s="44"/>
      <c r="Q208" s="35"/>
      <c r="R208" s="45"/>
    </row>
    <row r="209" spans="13:18">
      <c r="M209" s="42"/>
      <c r="N209" s="42"/>
      <c r="O209" s="43"/>
      <c r="P209" s="44"/>
      <c r="Q209" s="35"/>
      <c r="R209" s="45"/>
    </row>
    <row r="210" spans="13:18">
      <c r="M210" s="42"/>
      <c r="N210" s="42"/>
      <c r="O210" s="43"/>
      <c r="P210" s="44"/>
      <c r="Q210" s="35"/>
      <c r="R210" s="45"/>
    </row>
    <row r="211" spans="13:18">
      <c r="M211" s="42"/>
      <c r="N211" s="42"/>
      <c r="O211" s="43"/>
      <c r="P211" s="44"/>
      <c r="Q211" s="35"/>
      <c r="R211" s="45"/>
    </row>
    <row r="212" spans="13:18">
      <c r="M212" s="42"/>
      <c r="N212" s="42"/>
      <c r="O212" s="43"/>
      <c r="P212" s="44"/>
      <c r="Q212" s="35"/>
      <c r="R212" s="45"/>
    </row>
    <row r="213" spans="13:18">
      <c r="M213" s="42"/>
      <c r="N213" s="42"/>
      <c r="O213" s="43"/>
      <c r="P213" s="44"/>
      <c r="Q213" s="35"/>
      <c r="R213" s="45"/>
    </row>
    <row r="214" spans="13:18">
      <c r="M214" s="42"/>
      <c r="N214" s="42"/>
      <c r="O214" s="43"/>
      <c r="P214" s="44"/>
      <c r="Q214" s="35"/>
      <c r="R214" s="45"/>
    </row>
    <row r="215" spans="13:18">
      <c r="M215" s="42"/>
      <c r="N215" s="42"/>
      <c r="O215" s="43"/>
      <c r="P215" s="44"/>
      <c r="Q215" s="35"/>
      <c r="R215" s="45"/>
    </row>
    <row r="216" spans="13:18">
      <c r="M216" s="42"/>
      <c r="N216" s="42"/>
      <c r="O216" s="43"/>
      <c r="P216" s="44"/>
      <c r="Q216" s="35"/>
      <c r="R216" s="45"/>
    </row>
    <row r="217" spans="13:18">
      <c r="M217" s="42"/>
      <c r="N217" s="42"/>
      <c r="O217" s="43"/>
      <c r="P217" s="44"/>
      <c r="Q217" s="35"/>
      <c r="R217" s="45"/>
    </row>
    <row r="218" spans="13:18">
      <c r="M218" s="42"/>
      <c r="N218" s="42"/>
      <c r="O218" s="43"/>
      <c r="P218" s="44"/>
      <c r="Q218" s="35"/>
      <c r="R218" s="45"/>
    </row>
    <row r="219" spans="13:18">
      <c r="M219" s="42"/>
      <c r="N219" s="42"/>
      <c r="O219" s="43"/>
      <c r="P219" s="44"/>
      <c r="Q219" s="35"/>
      <c r="R219" s="45"/>
    </row>
    <row r="220" spans="13:18">
      <c r="M220" s="42"/>
      <c r="N220" s="42"/>
      <c r="O220" s="43"/>
      <c r="P220" s="44"/>
      <c r="Q220" s="35"/>
      <c r="R220" s="45"/>
    </row>
    <row r="221" spans="13:18">
      <c r="M221" s="42"/>
      <c r="N221" s="42"/>
      <c r="O221" s="43"/>
      <c r="P221" s="44"/>
      <c r="Q221" s="35"/>
      <c r="R221" s="45"/>
    </row>
    <row r="222" spans="13:18">
      <c r="M222" s="42"/>
      <c r="N222" s="42"/>
      <c r="O222" s="43"/>
      <c r="P222" s="44"/>
      <c r="Q222" s="35"/>
      <c r="R222" s="45"/>
    </row>
    <row r="223" spans="13:18">
      <c r="M223" s="42"/>
      <c r="N223" s="42"/>
      <c r="O223" s="43"/>
      <c r="P223" s="44"/>
      <c r="Q223" s="35"/>
      <c r="R223" s="45"/>
    </row>
    <row r="224" spans="13:18">
      <c r="M224" s="42"/>
      <c r="N224" s="42"/>
      <c r="O224" s="43"/>
      <c r="P224" s="44"/>
      <c r="Q224" s="35"/>
      <c r="R224" s="45"/>
    </row>
    <row r="225" spans="13:18">
      <c r="M225" s="42"/>
      <c r="N225" s="42"/>
      <c r="O225" s="43"/>
      <c r="P225" s="44"/>
      <c r="Q225" s="35"/>
      <c r="R225" s="45"/>
    </row>
    <row r="226" spans="13:18">
      <c r="M226" s="42"/>
      <c r="N226" s="42"/>
      <c r="O226" s="43"/>
      <c r="P226" s="44"/>
      <c r="Q226" s="35"/>
      <c r="R226" s="45"/>
    </row>
    <row r="227" spans="13:18">
      <c r="M227" s="42"/>
      <c r="N227" s="42"/>
      <c r="O227" s="43"/>
      <c r="P227" s="44"/>
      <c r="Q227" s="35"/>
      <c r="R227" s="45"/>
    </row>
    <row r="228" spans="13:18">
      <c r="M228" s="42"/>
      <c r="N228" s="42"/>
      <c r="O228" s="43"/>
      <c r="P228" s="44"/>
      <c r="Q228" s="35"/>
      <c r="R228" s="45"/>
    </row>
    <row r="229" spans="13:18">
      <c r="M229" s="42"/>
      <c r="N229" s="42"/>
      <c r="O229" s="43"/>
      <c r="P229" s="44"/>
      <c r="Q229" s="35"/>
      <c r="R229" s="45"/>
    </row>
    <row r="230" spans="13:18">
      <c r="M230" s="42"/>
      <c r="N230" s="42"/>
      <c r="O230" s="43"/>
      <c r="P230" s="44"/>
      <c r="Q230" s="35"/>
      <c r="R230" s="45"/>
    </row>
    <row r="231" spans="13:18">
      <c r="M231" s="42"/>
      <c r="N231" s="42"/>
      <c r="O231" s="43"/>
      <c r="P231" s="44"/>
      <c r="Q231" s="35"/>
      <c r="R231" s="45"/>
    </row>
    <row r="232" spans="13:18">
      <c r="M232" s="42"/>
      <c r="N232" s="42"/>
      <c r="O232" s="43"/>
      <c r="P232" s="44"/>
      <c r="Q232" s="35"/>
      <c r="R232" s="45"/>
    </row>
    <row r="233" spans="13:18">
      <c r="M233" s="42"/>
      <c r="N233" s="42"/>
      <c r="O233" s="43"/>
      <c r="P233" s="44"/>
      <c r="Q233" s="35"/>
      <c r="R233" s="45"/>
    </row>
    <row r="234" spans="13:18">
      <c r="M234" s="42"/>
      <c r="N234" s="42"/>
      <c r="O234" s="43"/>
      <c r="P234" s="44"/>
      <c r="Q234" s="35"/>
      <c r="R234" s="45"/>
    </row>
    <row r="235" spans="13:18">
      <c r="M235" s="42"/>
      <c r="N235" s="42"/>
      <c r="O235" s="43"/>
      <c r="P235" s="44"/>
      <c r="Q235" s="35"/>
      <c r="R235" s="45"/>
    </row>
    <row r="236" spans="13:18">
      <c r="M236" s="42"/>
      <c r="N236" s="42"/>
      <c r="O236" s="43"/>
      <c r="P236" s="44"/>
      <c r="Q236" s="35"/>
      <c r="R236" s="45"/>
    </row>
    <row r="237" spans="13:18">
      <c r="M237" s="42"/>
      <c r="N237" s="42"/>
      <c r="O237" s="43"/>
      <c r="P237" s="44"/>
      <c r="Q237" s="35"/>
      <c r="R237" s="45"/>
    </row>
    <row r="238" spans="13:18">
      <c r="M238" s="42"/>
      <c r="N238" s="42"/>
      <c r="O238" s="43"/>
      <c r="P238" s="44"/>
      <c r="Q238" s="35"/>
      <c r="R238" s="45"/>
    </row>
    <row r="239" spans="13:18">
      <c r="M239" s="42"/>
      <c r="N239" s="42"/>
      <c r="O239" s="43"/>
      <c r="P239" s="44"/>
      <c r="Q239" s="35"/>
      <c r="R239" s="45"/>
    </row>
    <row r="240" spans="13:18">
      <c r="M240" s="42"/>
      <c r="N240" s="42"/>
      <c r="O240" s="43"/>
      <c r="P240" s="44"/>
      <c r="Q240" s="35"/>
      <c r="R240" s="45"/>
    </row>
    <row r="241" spans="13:18">
      <c r="M241" s="42"/>
      <c r="N241" s="42"/>
      <c r="O241" s="43"/>
      <c r="P241" s="44"/>
      <c r="Q241" s="35"/>
      <c r="R241" s="45"/>
    </row>
    <row r="242" spans="13:18">
      <c r="M242" s="42"/>
      <c r="N242" s="42"/>
      <c r="O242" s="43"/>
      <c r="P242" s="44"/>
      <c r="Q242" s="35"/>
      <c r="R242" s="45"/>
    </row>
    <row r="243" spans="13:18">
      <c r="M243" s="42"/>
      <c r="N243" s="42"/>
      <c r="O243" s="43"/>
      <c r="P243" s="44"/>
      <c r="Q243" s="35"/>
      <c r="R243" s="45"/>
    </row>
    <row r="244" spans="13:18">
      <c r="M244" s="42"/>
      <c r="N244" s="42"/>
      <c r="O244" s="43"/>
      <c r="P244" s="44"/>
      <c r="Q244" s="35"/>
      <c r="R244" s="45"/>
    </row>
    <row r="245" spans="13:18">
      <c r="M245" s="42"/>
      <c r="N245" s="42"/>
      <c r="O245" s="43"/>
      <c r="P245" s="44"/>
      <c r="Q245" s="35"/>
      <c r="R245" s="45"/>
    </row>
    <row r="246" spans="13:18">
      <c r="M246" s="42"/>
      <c r="N246" s="42"/>
      <c r="O246" s="43"/>
      <c r="P246" s="44"/>
      <c r="Q246" s="35"/>
      <c r="R246" s="45"/>
    </row>
    <row r="247" spans="13:18">
      <c r="M247" s="42"/>
      <c r="N247" s="42"/>
      <c r="O247" s="43"/>
      <c r="P247" s="44"/>
      <c r="Q247" s="35"/>
      <c r="R247" s="45"/>
    </row>
    <row r="248" spans="13:18">
      <c r="M248" s="42"/>
      <c r="N248" s="42"/>
      <c r="O248" s="43"/>
      <c r="P248" s="44"/>
      <c r="Q248" s="35"/>
      <c r="R248" s="45"/>
    </row>
    <row r="249" spans="13:18">
      <c r="M249" s="42"/>
      <c r="N249" s="42"/>
      <c r="O249" s="43"/>
      <c r="P249" s="44"/>
      <c r="Q249" s="35"/>
      <c r="R249" s="45"/>
    </row>
    <row r="250" spans="13:18">
      <c r="M250" s="42"/>
      <c r="N250" s="42"/>
      <c r="O250" s="43"/>
      <c r="P250" s="44"/>
      <c r="Q250" s="35"/>
      <c r="R250" s="45"/>
    </row>
    <row r="251" spans="13:18">
      <c r="M251" s="42"/>
      <c r="N251" s="42"/>
      <c r="O251" s="43"/>
      <c r="P251" s="44"/>
      <c r="Q251" s="35"/>
      <c r="R251" s="45"/>
    </row>
    <row r="252" spans="13:18">
      <c r="M252" s="42"/>
      <c r="N252" s="42"/>
      <c r="O252" s="43"/>
      <c r="P252" s="44"/>
      <c r="Q252" s="35"/>
      <c r="R252" s="45"/>
    </row>
    <row r="253" spans="13:18">
      <c r="M253" s="42"/>
      <c r="N253" s="42"/>
      <c r="O253" s="43"/>
      <c r="P253" s="44"/>
      <c r="Q253" s="35"/>
      <c r="R253" s="45"/>
    </row>
    <row r="254" spans="13:18">
      <c r="M254" s="42"/>
      <c r="N254" s="42"/>
      <c r="O254" s="43"/>
      <c r="P254" s="44"/>
      <c r="Q254" s="35"/>
      <c r="R254" s="45"/>
    </row>
    <row r="255" spans="13:18">
      <c r="M255" s="42"/>
      <c r="N255" s="42"/>
      <c r="O255" s="43"/>
      <c r="P255" s="44"/>
      <c r="Q255" s="35"/>
      <c r="R255" s="45"/>
    </row>
    <row r="256" spans="13:18">
      <c r="M256" s="42"/>
      <c r="N256" s="42"/>
      <c r="O256" s="43"/>
      <c r="P256" s="44"/>
      <c r="Q256" s="35"/>
      <c r="R256" s="45"/>
    </row>
    <row r="257" spans="13:18">
      <c r="M257" s="42"/>
      <c r="N257" s="42"/>
      <c r="O257" s="43"/>
      <c r="P257" s="44"/>
      <c r="Q257" s="35"/>
      <c r="R257" s="45"/>
    </row>
    <row r="258" spans="13:18">
      <c r="M258" s="42"/>
      <c r="N258" s="42"/>
      <c r="O258" s="43"/>
      <c r="P258" s="44"/>
      <c r="Q258" s="35"/>
      <c r="R258" s="45"/>
    </row>
    <row r="259" spans="13:18">
      <c r="M259" s="42"/>
      <c r="N259" s="42"/>
      <c r="O259" s="43"/>
      <c r="P259" s="44"/>
      <c r="Q259" s="35"/>
      <c r="R259" s="45"/>
    </row>
    <row r="260" spans="13:18">
      <c r="M260" s="42"/>
      <c r="N260" s="42"/>
      <c r="O260" s="43"/>
      <c r="P260" s="44"/>
      <c r="Q260" s="35"/>
      <c r="R260" s="45"/>
    </row>
    <row r="261" spans="13:18">
      <c r="M261" s="42"/>
      <c r="N261" s="42"/>
      <c r="O261" s="43"/>
      <c r="P261" s="44"/>
      <c r="Q261" s="35"/>
      <c r="R261" s="45"/>
    </row>
    <row r="262" spans="13:18">
      <c r="M262" s="42"/>
      <c r="N262" s="42"/>
      <c r="O262" s="43"/>
      <c r="P262" s="44"/>
      <c r="Q262" s="35"/>
      <c r="R262" s="45"/>
    </row>
    <row r="263" spans="13:18">
      <c r="M263" s="42"/>
      <c r="N263" s="42"/>
      <c r="O263" s="43"/>
      <c r="P263" s="44"/>
      <c r="Q263" s="35"/>
      <c r="R263" s="45"/>
    </row>
    <row r="264" spans="13:18">
      <c r="M264" s="42"/>
      <c r="N264" s="42"/>
      <c r="O264" s="43"/>
      <c r="P264" s="44"/>
      <c r="Q264" s="35"/>
      <c r="R264" s="45"/>
    </row>
    <row r="265" spans="13:18">
      <c r="M265" s="42"/>
      <c r="N265" s="42"/>
      <c r="O265" s="43"/>
      <c r="P265" s="44"/>
      <c r="Q265" s="35"/>
      <c r="R265" s="45"/>
    </row>
    <row r="266" spans="13:18">
      <c r="M266" s="42"/>
      <c r="N266" s="42"/>
      <c r="O266" s="43"/>
      <c r="P266" s="44"/>
      <c r="Q266" s="35"/>
      <c r="R266" s="45"/>
    </row>
    <row r="267" spans="13:18">
      <c r="M267" s="42"/>
      <c r="N267" s="42"/>
      <c r="O267" s="43"/>
      <c r="P267" s="44"/>
      <c r="Q267" s="35"/>
      <c r="R267" s="45"/>
    </row>
    <row r="268" spans="13:18">
      <c r="M268" s="42"/>
      <c r="N268" s="42"/>
      <c r="O268" s="43"/>
      <c r="P268" s="44"/>
      <c r="Q268" s="35"/>
      <c r="R268" s="45"/>
    </row>
    <row r="269" spans="13:18">
      <c r="M269" s="42"/>
      <c r="N269" s="42"/>
      <c r="O269" s="43"/>
      <c r="P269" s="44"/>
      <c r="Q269" s="35"/>
      <c r="R269" s="45"/>
    </row>
    <row r="270" spans="13:18">
      <c r="M270" s="42"/>
      <c r="N270" s="42"/>
      <c r="O270" s="43"/>
      <c r="P270" s="44"/>
      <c r="Q270" s="35"/>
      <c r="R270" s="45"/>
    </row>
    <row r="271" spans="13:18">
      <c r="M271" s="42"/>
      <c r="N271" s="42"/>
      <c r="O271" s="43"/>
      <c r="P271" s="44"/>
      <c r="Q271" s="35"/>
      <c r="R271" s="45"/>
    </row>
    <row r="272" spans="13:18">
      <c r="M272" s="42"/>
      <c r="N272" s="42"/>
      <c r="O272" s="43"/>
      <c r="P272" s="44"/>
      <c r="Q272" s="35"/>
      <c r="R272" s="45"/>
    </row>
    <row r="273" spans="13:18">
      <c r="M273" s="42"/>
      <c r="N273" s="42"/>
      <c r="O273" s="43"/>
      <c r="P273" s="44"/>
      <c r="Q273" s="35"/>
      <c r="R273" s="45"/>
    </row>
    <row r="274" spans="13:18">
      <c r="M274" s="42"/>
      <c r="N274" s="42"/>
      <c r="O274" s="43"/>
      <c r="P274" s="44"/>
      <c r="Q274" s="35"/>
      <c r="R274" s="45"/>
    </row>
    <row r="275" spans="13:18">
      <c r="M275" s="42"/>
      <c r="N275" s="42"/>
      <c r="O275" s="43"/>
      <c r="P275" s="44"/>
      <c r="Q275" s="35"/>
      <c r="R275" s="45"/>
    </row>
    <row r="276" spans="13:18">
      <c r="M276" s="42"/>
      <c r="N276" s="42"/>
      <c r="O276" s="43"/>
      <c r="P276" s="44"/>
      <c r="Q276" s="35"/>
      <c r="R276" s="45"/>
    </row>
    <row r="277" spans="13:18">
      <c r="M277" s="42"/>
      <c r="N277" s="42"/>
      <c r="O277" s="43"/>
      <c r="P277" s="44"/>
      <c r="Q277" s="35"/>
      <c r="R277" s="45"/>
    </row>
    <row r="278" spans="13:18">
      <c r="M278" s="42"/>
      <c r="N278" s="42"/>
      <c r="O278" s="43"/>
      <c r="P278" s="44"/>
      <c r="Q278" s="35"/>
      <c r="R278" s="45"/>
    </row>
    <row r="279" spans="13:18">
      <c r="M279" s="42"/>
      <c r="N279" s="42"/>
      <c r="O279" s="43"/>
      <c r="P279" s="44"/>
      <c r="Q279" s="35"/>
      <c r="R279" s="45"/>
    </row>
    <row r="280" spans="13:18">
      <c r="M280" s="42"/>
      <c r="N280" s="42"/>
      <c r="O280" s="43"/>
      <c r="P280" s="44"/>
      <c r="Q280" s="35"/>
      <c r="R280" s="45"/>
    </row>
    <row r="281" spans="13:18">
      <c r="M281" s="42"/>
      <c r="N281" s="42"/>
      <c r="O281" s="43"/>
      <c r="P281" s="44"/>
      <c r="Q281" s="35"/>
      <c r="R281" s="45"/>
    </row>
    <row r="282" spans="13:18">
      <c r="M282" s="42"/>
      <c r="N282" s="42"/>
      <c r="O282" s="43"/>
      <c r="P282" s="44"/>
      <c r="Q282" s="35"/>
      <c r="R282" s="45"/>
    </row>
    <row r="283" spans="13:18">
      <c r="M283" s="42"/>
      <c r="N283" s="42"/>
      <c r="O283" s="43"/>
      <c r="P283" s="44"/>
      <c r="Q283" s="35"/>
      <c r="R283" s="45"/>
    </row>
    <row r="284" spans="13:18">
      <c r="M284" s="42"/>
      <c r="N284" s="42"/>
      <c r="O284" s="43"/>
      <c r="P284" s="44"/>
      <c r="Q284" s="35"/>
      <c r="R284" s="45"/>
    </row>
    <row r="285" spans="13:18">
      <c r="M285" s="42"/>
      <c r="N285" s="42"/>
      <c r="O285" s="43"/>
      <c r="P285" s="44"/>
      <c r="Q285" s="35"/>
      <c r="R285" s="45"/>
    </row>
    <row r="286" spans="13:18">
      <c r="M286" s="42"/>
      <c r="N286" s="42"/>
      <c r="O286" s="43"/>
      <c r="P286" s="44"/>
      <c r="Q286" s="35"/>
      <c r="R286" s="45"/>
    </row>
    <row r="287" spans="13:18">
      <c r="M287" s="42"/>
      <c r="N287" s="42"/>
      <c r="O287" s="43"/>
      <c r="P287" s="44"/>
      <c r="Q287" s="35"/>
      <c r="R287" s="45"/>
    </row>
    <row r="288" spans="13:18">
      <c r="M288" s="42"/>
      <c r="N288" s="42"/>
      <c r="O288" s="43"/>
      <c r="P288" s="44"/>
      <c r="Q288" s="35"/>
      <c r="R288" s="45"/>
    </row>
    <row r="289" spans="13:18">
      <c r="M289" s="42"/>
      <c r="N289" s="42"/>
      <c r="O289" s="43"/>
      <c r="P289" s="44"/>
      <c r="Q289" s="35"/>
      <c r="R289" s="45"/>
    </row>
    <row r="290" spans="13:18">
      <c r="M290" s="42"/>
      <c r="N290" s="42"/>
      <c r="O290" s="43"/>
      <c r="P290" s="44"/>
      <c r="Q290" s="35"/>
      <c r="R290" s="45"/>
    </row>
    <row r="291" spans="13:18">
      <c r="M291" s="42"/>
      <c r="N291" s="42"/>
      <c r="O291" s="43"/>
      <c r="P291" s="44"/>
      <c r="Q291" s="35"/>
      <c r="R291" s="45"/>
    </row>
    <row r="292" spans="13:18">
      <c r="M292" s="42"/>
      <c r="N292" s="42"/>
      <c r="O292" s="43"/>
      <c r="P292" s="44"/>
      <c r="Q292" s="35"/>
      <c r="R292" s="45"/>
    </row>
    <row r="293" spans="13:18">
      <c r="M293" s="42"/>
      <c r="N293" s="42"/>
      <c r="O293" s="43"/>
      <c r="P293" s="44"/>
      <c r="Q293" s="35"/>
      <c r="R293" s="45"/>
    </row>
    <row r="294" spans="13:18">
      <c r="M294" s="42"/>
      <c r="N294" s="42"/>
      <c r="O294" s="43"/>
      <c r="P294" s="44"/>
      <c r="Q294" s="35"/>
      <c r="R294" s="45"/>
    </row>
    <row r="295" spans="13:18">
      <c r="M295" s="42"/>
      <c r="N295" s="42"/>
      <c r="O295" s="43"/>
      <c r="P295" s="44"/>
      <c r="Q295" s="35"/>
      <c r="R295" s="45"/>
    </row>
    <row r="296" spans="13:18">
      <c r="M296" s="42"/>
      <c r="N296" s="42"/>
      <c r="O296" s="43"/>
      <c r="P296" s="44"/>
      <c r="Q296" s="35"/>
      <c r="R296" s="45"/>
    </row>
    <row r="297" spans="13:18">
      <c r="M297" s="42"/>
      <c r="N297" s="42"/>
      <c r="O297" s="43"/>
      <c r="P297" s="44"/>
      <c r="Q297" s="35"/>
      <c r="R297" s="45"/>
    </row>
    <row r="298" spans="13:18">
      <c r="M298" s="42"/>
      <c r="N298" s="42"/>
      <c r="O298" s="43"/>
      <c r="P298" s="44"/>
      <c r="Q298" s="35"/>
      <c r="R298" s="45"/>
    </row>
    <row r="299" spans="13:18">
      <c r="M299" s="42"/>
      <c r="N299" s="42"/>
      <c r="O299" s="43"/>
      <c r="P299" s="44"/>
      <c r="Q299" s="35"/>
      <c r="R299" s="45"/>
    </row>
    <row r="300" spans="13:18">
      <c r="M300" s="42"/>
      <c r="N300" s="42"/>
      <c r="O300" s="43"/>
      <c r="P300" s="44"/>
      <c r="Q300" s="35"/>
      <c r="R300" s="45"/>
    </row>
    <row r="301" spans="13:18">
      <c r="M301" s="42"/>
      <c r="N301" s="42"/>
      <c r="O301" s="43"/>
      <c r="P301" s="44"/>
      <c r="Q301" s="35"/>
      <c r="R301" s="45"/>
    </row>
    <row r="302" spans="13:18">
      <c r="M302" s="42"/>
      <c r="N302" s="42"/>
      <c r="O302" s="43"/>
      <c r="P302" s="44"/>
      <c r="Q302" s="35"/>
      <c r="R302" s="45"/>
    </row>
    <row r="303" spans="13:18">
      <c r="M303" s="42"/>
      <c r="N303" s="42"/>
      <c r="O303" s="43"/>
      <c r="P303" s="44"/>
      <c r="Q303" s="35"/>
      <c r="R303" s="45"/>
    </row>
    <row r="304" spans="13:18">
      <c r="M304" s="42"/>
      <c r="N304" s="42"/>
      <c r="O304" s="43"/>
      <c r="P304" s="44"/>
      <c r="Q304" s="35"/>
      <c r="R304" s="45"/>
    </row>
    <row r="305" spans="13:18">
      <c r="M305" s="42"/>
      <c r="N305" s="42"/>
      <c r="O305" s="43"/>
      <c r="P305" s="44"/>
      <c r="Q305" s="35"/>
      <c r="R305" s="45"/>
    </row>
    <row r="306" spans="13:18">
      <c r="M306" s="42"/>
      <c r="N306" s="42"/>
      <c r="O306" s="43"/>
      <c r="P306" s="44"/>
      <c r="Q306" s="35"/>
      <c r="R306" s="45"/>
    </row>
    <row r="307" spans="13:18">
      <c r="M307" s="42"/>
      <c r="N307" s="42"/>
      <c r="O307" s="43"/>
      <c r="P307" s="44"/>
      <c r="Q307" s="35"/>
      <c r="R307" s="45"/>
    </row>
    <row r="308" spans="13:18">
      <c r="M308" s="42"/>
      <c r="N308" s="42"/>
      <c r="O308" s="43"/>
      <c r="P308" s="44"/>
      <c r="Q308" s="35"/>
      <c r="R308" s="45"/>
    </row>
    <row r="309" spans="13:18">
      <c r="M309" s="42"/>
      <c r="N309" s="42"/>
      <c r="O309" s="43"/>
      <c r="P309" s="44"/>
      <c r="Q309" s="35"/>
      <c r="R309" s="45"/>
    </row>
    <row r="310" spans="13:18">
      <c r="M310" s="42"/>
      <c r="N310" s="42"/>
      <c r="O310" s="43"/>
      <c r="P310" s="44"/>
      <c r="Q310" s="35"/>
      <c r="R310" s="45"/>
    </row>
    <row r="311" spans="13:18">
      <c r="M311" s="42"/>
      <c r="N311" s="42"/>
      <c r="O311" s="43"/>
      <c r="P311" s="44"/>
      <c r="Q311" s="35"/>
      <c r="R311" s="45"/>
    </row>
    <row r="312" spans="13:18">
      <c r="M312" s="42"/>
      <c r="N312" s="42"/>
      <c r="O312" s="43"/>
      <c r="P312" s="44"/>
      <c r="Q312" s="35"/>
      <c r="R312" s="45"/>
    </row>
    <row r="313" spans="13:18">
      <c r="M313" s="42"/>
      <c r="N313" s="42"/>
      <c r="O313" s="43"/>
      <c r="P313" s="44"/>
      <c r="Q313" s="35"/>
      <c r="R313" s="45"/>
    </row>
    <row r="314" spans="13:18">
      <c r="M314" s="42"/>
      <c r="N314" s="42"/>
      <c r="O314" s="43"/>
      <c r="P314" s="44"/>
      <c r="Q314" s="35"/>
      <c r="R314" s="45"/>
    </row>
    <row r="315" spans="13:18">
      <c r="M315" s="42"/>
      <c r="N315" s="42"/>
      <c r="O315" s="43"/>
      <c r="P315" s="44"/>
      <c r="Q315" s="35"/>
      <c r="R315" s="45"/>
    </row>
    <row r="316" spans="13:18">
      <c r="M316" s="42"/>
      <c r="N316" s="42"/>
      <c r="O316" s="43"/>
      <c r="P316" s="44"/>
      <c r="Q316" s="35"/>
      <c r="R316" s="45"/>
    </row>
    <row r="317" spans="13:18">
      <c r="M317" s="42"/>
      <c r="N317" s="42"/>
      <c r="O317" s="43"/>
      <c r="P317" s="44"/>
      <c r="Q317" s="35"/>
      <c r="R317" s="45"/>
    </row>
    <row r="318" spans="13:18">
      <c r="M318" s="42"/>
      <c r="N318" s="42"/>
      <c r="O318" s="43"/>
      <c r="P318" s="44"/>
      <c r="Q318" s="35"/>
      <c r="R318" s="45"/>
    </row>
    <row r="319" spans="13:18">
      <c r="M319" s="42"/>
      <c r="N319" s="42"/>
      <c r="O319" s="43"/>
      <c r="P319" s="44"/>
      <c r="Q319" s="35"/>
      <c r="R319" s="45"/>
    </row>
    <row r="320" spans="13:18">
      <c r="M320" s="42"/>
      <c r="N320" s="42"/>
      <c r="O320" s="43"/>
      <c r="P320" s="44"/>
      <c r="Q320" s="35"/>
      <c r="R320" s="45"/>
    </row>
    <row r="321" spans="13:18">
      <c r="M321" s="42"/>
      <c r="N321" s="42"/>
      <c r="O321" s="43"/>
      <c r="P321" s="44"/>
      <c r="Q321" s="35"/>
      <c r="R321" s="45"/>
    </row>
    <row r="322" spans="13:18">
      <c r="M322" s="42"/>
      <c r="N322" s="42"/>
      <c r="O322" s="43"/>
      <c r="P322" s="44"/>
      <c r="Q322" s="35"/>
      <c r="R322" s="45"/>
    </row>
    <row r="323" spans="13:18">
      <c r="M323" s="42"/>
      <c r="N323" s="42"/>
      <c r="O323" s="43"/>
      <c r="P323" s="44"/>
      <c r="Q323" s="35"/>
      <c r="R323" s="45"/>
    </row>
    <row r="324" spans="13:18">
      <c r="M324" s="42"/>
      <c r="N324" s="42"/>
      <c r="O324" s="43"/>
      <c r="P324" s="44"/>
      <c r="Q324" s="35"/>
      <c r="R324" s="45"/>
    </row>
    <row r="325" spans="13:18">
      <c r="M325" s="42"/>
      <c r="N325" s="42"/>
      <c r="O325" s="43"/>
      <c r="P325" s="44"/>
      <c r="Q325" s="35"/>
      <c r="R325" s="45"/>
    </row>
    <row r="326" spans="13:18">
      <c r="M326" s="42"/>
      <c r="N326" s="42"/>
      <c r="O326" s="43"/>
      <c r="P326" s="44"/>
      <c r="Q326" s="35"/>
      <c r="R326" s="45"/>
    </row>
    <row r="327" spans="13:18">
      <c r="M327" s="42"/>
      <c r="N327" s="42"/>
      <c r="O327" s="43"/>
      <c r="P327" s="44"/>
      <c r="Q327" s="35"/>
      <c r="R327" s="45"/>
    </row>
    <row r="328" spans="13:18">
      <c r="M328" s="42"/>
      <c r="N328" s="42"/>
      <c r="O328" s="43"/>
      <c r="P328" s="44"/>
      <c r="Q328" s="35"/>
      <c r="R328" s="45"/>
    </row>
    <row r="329" spans="13:18">
      <c r="M329" s="42"/>
      <c r="N329" s="42"/>
      <c r="O329" s="43"/>
      <c r="P329" s="44"/>
      <c r="Q329" s="35"/>
      <c r="R329" s="45"/>
    </row>
    <row r="330" spans="13:18">
      <c r="M330" s="42"/>
      <c r="N330" s="42"/>
      <c r="O330" s="43"/>
      <c r="P330" s="44"/>
      <c r="Q330" s="35"/>
      <c r="R330" s="45"/>
    </row>
    <row r="331" spans="13:18">
      <c r="M331" s="42"/>
      <c r="N331" s="42"/>
      <c r="O331" s="43"/>
      <c r="P331" s="44"/>
      <c r="Q331" s="35"/>
      <c r="R331" s="45"/>
    </row>
    <row r="332" spans="13:18">
      <c r="M332" s="42"/>
      <c r="N332" s="42"/>
      <c r="O332" s="43"/>
      <c r="P332" s="44"/>
      <c r="Q332" s="35"/>
      <c r="R332" s="45"/>
    </row>
    <row r="333" spans="13:18">
      <c r="M333" s="42"/>
      <c r="N333" s="42"/>
      <c r="O333" s="43"/>
      <c r="P333" s="44"/>
      <c r="Q333" s="35"/>
      <c r="R333" s="45"/>
    </row>
    <row r="334" spans="13:18">
      <c r="M334" s="42"/>
      <c r="N334" s="42"/>
      <c r="O334" s="43"/>
      <c r="P334" s="44"/>
      <c r="Q334" s="35"/>
      <c r="R334" s="45"/>
    </row>
    <row r="335" spans="13:18">
      <c r="M335" s="42"/>
      <c r="N335" s="42"/>
      <c r="O335" s="43"/>
      <c r="P335" s="44"/>
      <c r="Q335" s="35"/>
      <c r="R335" s="45"/>
    </row>
    <row r="336" spans="13:18">
      <c r="M336" s="42"/>
      <c r="N336" s="42"/>
      <c r="O336" s="43"/>
      <c r="P336" s="44"/>
      <c r="Q336" s="35"/>
      <c r="R336" s="45"/>
    </row>
    <row r="337" spans="13:18">
      <c r="M337" s="42"/>
      <c r="N337" s="42"/>
      <c r="O337" s="43"/>
      <c r="P337" s="44"/>
      <c r="Q337" s="35"/>
      <c r="R337" s="45"/>
    </row>
    <row r="338" spans="13:18">
      <c r="M338" s="42"/>
      <c r="N338" s="42"/>
      <c r="O338" s="43"/>
      <c r="P338" s="44"/>
      <c r="Q338" s="35"/>
      <c r="R338" s="45"/>
    </row>
    <row r="339" spans="13:18">
      <c r="M339" s="42"/>
      <c r="N339" s="42"/>
      <c r="O339" s="43"/>
      <c r="P339" s="44"/>
      <c r="Q339" s="35"/>
      <c r="R339" s="45"/>
    </row>
    <row r="340" spans="13:18">
      <c r="M340" s="42"/>
      <c r="N340" s="42"/>
      <c r="O340" s="43"/>
      <c r="P340" s="44"/>
      <c r="Q340" s="35"/>
      <c r="R340" s="45"/>
    </row>
    <row r="341" spans="13:18">
      <c r="M341" s="42"/>
      <c r="N341" s="42"/>
      <c r="O341" s="43"/>
      <c r="P341" s="44"/>
      <c r="Q341" s="35"/>
      <c r="R341" s="45"/>
    </row>
    <row r="342" spans="13:18">
      <c r="M342" s="42"/>
      <c r="N342" s="42"/>
      <c r="O342" s="43"/>
      <c r="P342" s="44"/>
      <c r="Q342" s="35"/>
      <c r="R342" s="45"/>
    </row>
    <row r="343" spans="13:18">
      <c r="M343" s="42"/>
      <c r="N343" s="42"/>
      <c r="O343" s="43"/>
      <c r="P343" s="44"/>
      <c r="Q343" s="35"/>
      <c r="R343" s="45"/>
    </row>
    <row r="344" spans="13:18">
      <c r="M344" s="42"/>
      <c r="N344" s="42"/>
      <c r="O344" s="43"/>
      <c r="P344" s="44"/>
      <c r="Q344" s="35"/>
      <c r="R344" s="45"/>
    </row>
    <row r="345" spans="13:18">
      <c r="M345" s="42"/>
      <c r="N345" s="42"/>
      <c r="O345" s="43"/>
      <c r="P345" s="44"/>
      <c r="Q345" s="35"/>
      <c r="R345" s="45"/>
    </row>
    <row r="346" spans="13:18">
      <c r="M346" s="42"/>
      <c r="N346" s="42"/>
      <c r="O346" s="43"/>
      <c r="P346" s="44"/>
      <c r="Q346" s="35"/>
      <c r="R346" s="45"/>
    </row>
    <row r="347" spans="13:18">
      <c r="M347" s="42"/>
      <c r="N347" s="42"/>
      <c r="O347" s="43"/>
      <c r="P347" s="44"/>
      <c r="Q347" s="35"/>
      <c r="R347" s="45"/>
    </row>
    <row r="348" spans="13:18">
      <c r="M348" s="42"/>
      <c r="N348" s="42"/>
      <c r="O348" s="43"/>
      <c r="P348" s="44"/>
      <c r="Q348" s="35"/>
      <c r="R348" s="45"/>
    </row>
    <row r="349" spans="13:18">
      <c r="M349" s="42"/>
      <c r="N349" s="42"/>
      <c r="O349" s="43"/>
      <c r="P349" s="44"/>
      <c r="Q349" s="35"/>
      <c r="R349" s="45"/>
    </row>
    <row r="350" spans="13:18">
      <c r="M350" s="42"/>
      <c r="N350" s="42"/>
      <c r="O350" s="43"/>
      <c r="P350" s="44"/>
      <c r="Q350" s="35"/>
      <c r="R350" s="45"/>
    </row>
    <row r="351" spans="13:18">
      <c r="M351" s="42"/>
      <c r="N351" s="42"/>
      <c r="O351" s="43"/>
      <c r="P351" s="44"/>
      <c r="Q351" s="35"/>
      <c r="R351" s="45"/>
    </row>
    <row r="352" spans="13:18">
      <c r="M352" s="42"/>
      <c r="N352" s="42"/>
      <c r="O352" s="43"/>
      <c r="P352" s="44"/>
      <c r="Q352" s="35"/>
      <c r="R352" s="45"/>
    </row>
    <row r="353" spans="13:18">
      <c r="M353" s="42"/>
      <c r="N353" s="42"/>
      <c r="O353" s="43"/>
      <c r="P353" s="44"/>
      <c r="Q353" s="35"/>
      <c r="R353" s="45"/>
    </row>
    <row r="354" spans="13:18">
      <c r="M354" s="42"/>
      <c r="N354" s="42"/>
      <c r="O354" s="43"/>
      <c r="P354" s="44"/>
      <c r="Q354" s="35"/>
      <c r="R354" s="45"/>
    </row>
    <row r="355" spans="13:18">
      <c r="M355" s="42"/>
      <c r="N355" s="42"/>
      <c r="O355" s="43"/>
      <c r="P355" s="44"/>
      <c r="Q355" s="35"/>
      <c r="R355" s="45"/>
    </row>
    <row r="356" spans="13:18">
      <c r="M356" s="42"/>
      <c r="N356" s="42"/>
      <c r="O356" s="43"/>
      <c r="P356" s="44"/>
      <c r="Q356" s="35"/>
      <c r="R356" s="45"/>
    </row>
    <row r="357" spans="13:18">
      <c r="M357" s="42"/>
      <c r="N357" s="42"/>
      <c r="O357" s="43"/>
      <c r="P357" s="44"/>
      <c r="Q357" s="35"/>
      <c r="R357" s="45"/>
    </row>
    <row r="358" spans="13:18">
      <c r="M358" s="42"/>
      <c r="N358" s="42"/>
      <c r="O358" s="43"/>
      <c r="P358" s="44"/>
      <c r="Q358" s="35"/>
      <c r="R358" s="45"/>
    </row>
    <row r="359" spans="13:18">
      <c r="M359" s="42"/>
      <c r="N359" s="42"/>
      <c r="O359" s="43"/>
      <c r="P359" s="44"/>
      <c r="Q359" s="35"/>
      <c r="R359" s="45"/>
    </row>
    <row r="360" spans="13:18">
      <c r="M360" s="42"/>
      <c r="N360" s="42"/>
      <c r="O360" s="43"/>
      <c r="P360" s="44"/>
      <c r="Q360" s="35"/>
      <c r="R360" s="45"/>
    </row>
    <row r="361" spans="13:18">
      <c r="M361" s="42"/>
      <c r="N361" s="42"/>
      <c r="O361" s="43"/>
      <c r="P361" s="44"/>
      <c r="Q361" s="35"/>
      <c r="R361" s="45"/>
    </row>
    <row r="362" spans="13:18">
      <c r="M362" s="42"/>
      <c r="N362" s="42"/>
      <c r="O362" s="43"/>
      <c r="P362" s="44"/>
      <c r="Q362" s="35"/>
      <c r="R362" s="45"/>
    </row>
    <row r="363" spans="13:18">
      <c r="M363" s="42"/>
      <c r="N363" s="42"/>
      <c r="O363" s="43"/>
      <c r="P363" s="44"/>
      <c r="Q363" s="35"/>
      <c r="R363" s="45"/>
    </row>
    <row r="364" spans="13:18">
      <c r="M364" s="42"/>
      <c r="N364" s="42"/>
      <c r="O364" s="43"/>
      <c r="P364" s="44"/>
      <c r="Q364" s="35"/>
      <c r="R364" s="45"/>
    </row>
    <row r="365" spans="13:18">
      <c r="M365" s="42"/>
      <c r="N365" s="42"/>
      <c r="O365" s="43"/>
      <c r="P365" s="44"/>
      <c r="Q365" s="35"/>
      <c r="R365" s="45"/>
    </row>
    <row r="366" spans="13:18">
      <c r="M366" s="42"/>
      <c r="N366" s="42"/>
      <c r="O366" s="43"/>
      <c r="P366" s="44"/>
      <c r="Q366" s="35"/>
      <c r="R366" s="45"/>
    </row>
    <row r="367" spans="13:18">
      <c r="M367" s="42"/>
      <c r="N367" s="42"/>
      <c r="O367" s="43"/>
      <c r="P367" s="44"/>
      <c r="Q367" s="35"/>
      <c r="R367" s="45"/>
    </row>
    <row r="368" spans="13:18">
      <c r="M368" s="42"/>
      <c r="N368" s="42"/>
      <c r="O368" s="43"/>
      <c r="P368" s="44"/>
      <c r="Q368" s="35"/>
      <c r="R368" s="45"/>
    </row>
    <row r="369" spans="13:18">
      <c r="M369" s="42"/>
      <c r="N369" s="42"/>
      <c r="O369" s="43"/>
      <c r="P369" s="44"/>
      <c r="Q369" s="35"/>
      <c r="R369" s="45"/>
    </row>
    <row r="370" spans="13:18">
      <c r="M370" s="42"/>
      <c r="N370" s="42"/>
      <c r="O370" s="43"/>
      <c r="P370" s="44"/>
      <c r="Q370" s="35"/>
      <c r="R370" s="45"/>
    </row>
    <row r="371" spans="13:18">
      <c r="M371" s="42"/>
      <c r="N371" s="42"/>
      <c r="O371" s="43"/>
      <c r="P371" s="44"/>
      <c r="Q371" s="35"/>
      <c r="R371" s="45"/>
    </row>
    <row r="372" spans="13:18">
      <c r="M372" s="42"/>
      <c r="N372" s="42"/>
      <c r="O372" s="43"/>
      <c r="P372" s="44"/>
      <c r="Q372" s="35"/>
      <c r="R372" s="45"/>
    </row>
    <row r="373" spans="13:18">
      <c r="M373" s="42"/>
      <c r="N373" s="42"/>
      <c r="O373" s="43"/>
      <c r="P373" s="44"/>
      <c r="Q373" s="35"/>
      <c r="R373" s="45"/>
    </row>
    <row r="374" spans="13:18">
      <c r="M374" s="42"/>
      <c r="N374" s="42"/>
      <c r="O374" s="43"/>
      <c r="P374" s="44"/>
      <c r="Q374" s="35"/>
      <c r="R374" s="45"/>
    </row>
    <row r="375" spans="13:18">
      <c r="M375" s="42"/>
      <c r="N375" s="42"/>
      <c r="O375" s="43"/>
      <c r="P375" s="44"/>
      <c r="Q375" s="35"/>
      <c r="R375" s="45"/>
    </row>
    <row r="376" spans="13:18">
      <c r="M376" s="42"/>
      <c r="N376" s="42"/>
      <c r="O376" s="43"/>
      <c r="P376" s="44"/>
      <c r="Q376" s="35"/>
      <c r="R376" s="45"/>
    </row>
    <row r="377" spans="13:18">
      <c r="M377" s="42"/>
      <c r="N377" s="42"/>
      <c r="O377" s="43"/>
      <c r="P377" s="44"/>
      <c r="Q377" s="35"/>
      <c r="R377" s="45"/>
    </row>
    <row r="378" spans="13:18">
      <c r="M378" s="42"/>
      <c r="N378" s="42"/>
      <c r="O378" s="43"/>
      <c r="P378" s="44"/>
      <c r="Q378" s="35"/>
      <c r="R378" s="45"/>
    </row>
    <row r="379" spans="13:18">
      <c r="M379" s="42"/>
      <c r="N379" s="42"/>
      <c r="O379" s="43"/>
      <c r="P379" s="44"/>
      <c r="Q379" s="35"/>
      <c r="R379" s="45"/>
    </row>
    <row r="380" spans="13:18">
      <c r="M380" s="42"/>
      <c r="N380" s="42"/>
      <c r="O380" s="43"/>
      <c r="P380" s="44"/>
      <c r="Q380" s="35"/>
      <c r="R380" s="45"/>
    </row>
    <row r="381" spans="13:18">
      <c r="M381" s="42"/>
      <c r="N381" s="42"/>
      <c r="O381" s="43"/>
      <c r="P381" s="44"/>
      <c r="Q381" s="35"/>
      <c r="R381" s="45"/>
    </row>
    <row r="382" spans="13:18">
      <c r="M382" s="42"/>
      <c r="N382" s="42"/>
      <c r="O382" s="43"/>
      <c r="P382" s="44"/>
      <c r="Q382" s="35"/>
      <c r="R382" s="45"/>
    </row>
    <row r="383" spans="13:18">
      <c r="M383" s="42"/>
      <c r="N383" s="42"/>
      <c r="O383" s="43"/>
      <c r="P383" s="44"/>
      <c r="Q383" s="35"/>
      <c r="R383" s="45"/>
    </row>
    <row r="384" spans="13:18">
      <c r="M384" s="42"/>
      <c r="N384" s="42"/>
      <c r="O384" s="43"/>
      <c r="P384" s="44"/>
      <c r="Q384" s="35"/>
      <c r="R384" s="45"/>
    </row>
    <row r="385" spans="13:18">
      <c r="M385" s="42"/>
      <c r="N385" s="42"/>
      <c r="O385" s="43"/>
      <c r="P385" s="44"/>
      <c r="Q385" s="35"/>
      <c r="R385" s="45"/>
    </row>
    <row r="386" spans="13:18">
      <c r="M386" s="42"/>
      <c r="N386" s="42"/>
      <c r="O386" s="43"/>
      <c r="P386" s="44"/>
      <c r="Q386" s="35"/>
      <c r="R386" s="45"/>
    </row>
    <row r="387" spans="13:18">
      <c r="M387" s="42"/>
      <c r="N387" s="42"/>
      <c r="O387" s="43"/>
      <c r="P387" s="44"/>
      <c r="Q387" s="35"/>
      <c r="R387" s="45"/>
    </row>
    <row r="388" spans="13:18">
      <c r="M388" s="42"/>
      <c r="N388" s="42"/>
      <c r="O388" s="43"/>
      <c r="P388" s="44"/>
      <c r="Q388" s="35"/>
      <c r="R388" s="45"/>
    </row>
    <row r="389" spans="13:18">
      <c r="M389" s="42"/>
      <c r="N389" s="42"/>
      <c r="O389" s="43"/>
      <c r="P389" s="44"/>
      <c r="Q389" s="35"/>
      <c r="R389" s="45"/>
    </row>
    <row r="390" spans="13:18">
      <c r="M390" s="42"/>
      <c r="N390" s="42"/>
      <c r="O390" s="43"/>
      <c r="P390" s="44"/>
      <c r="Q390" s="35"/>
      <c r="R390" s="45"/>
    </row>
    <row r="391" spans="13:18">
      <c r="M391" s="42"/>
      <c r="N391" s="42"/>
      <c r="O391" s="43"/>
      <c r="P391" s="44"/>
      <c r="Q391" s="35"/>
      <c r="R391" s="45"/>
    </row>
    <row r="392" spans="13:18">
      <c r="M392" s="42"/>
      <c r="N392" s="42"/>
      <c r="O392" s="43"/>
      <c r="P392" s="44"/>
      <c r="Q392" s="35"/>
      <c r="R392" s="45"/>
    </row>
    <row r="393" spans="13:18">
      <c r="M393" s="42"/>
      <c r="N393" s="42"/>
      <c r="O393" s="43"/>
      <c r="P393" s="44"/>
      <c r="Q393" s="35"/>
      <c r="R393" s="45"/>
    </row>
    <row r="394" spans="13:18">
      <c r="M394" s="42"/>
      <c r="N394" s="42"/>
      <c r="O394" s="43"/>
      <c r="P394" s="44"/>
      <c r="Q394" s="35"/>
      <c r="R394" s="45"/>
    </row>
    <row r="395" spans="13:18">
      <c r="M395" s="42"/>
      <c r="N395" s="42"/>
      <c r="O395" s="43"/>
      <c r="P395" s="44"/>
      <c r="Q395" s="35"/>
      <c r="R395" s="45"/>
    </row>
    <row r="396" spans="13:18">
      <c r="M396" s="42"/>
      <c r="N396" s="42"/>
      <c r="O396" s="43"/>
      <c r="P396" s="44"/>
      <c r="Q396" s="35"/>
      <c r="R396" s="45"/>
    </row>
    <row r="397" spans="13:18">
      <c r="M397" s="42"/>
      <c r="N397" s="42"/>
      <c r="O397" s="43"/>
      <c r="P397" s="44"/>
      <c r="Q397" s="35"/>
      <c r="R397" s="45"/>
    </row>
    <row r="398" spans="13:18">
      <c r="M398" s="42"/>
      <c r="N398" s="42"/>
      <c r="O398" s="43"/>
      <c r="P398" s="44"/>
      <c r="Q398" s="35"/>
      <c r="R398" s="45"/>
    </row>
    <row r="399" spans="13:18">
      <c r="M399" s="42"/>
      <c r="N399" s="42"/>
      <c r="O399" s="43"/>
      <c r="P399" s="44"/>
      <c r="Q399" s="35"/>
      <c r="R399" s="45"/>
    </row>
    <row r="400" spans="13:18">
      <c r="M400" s="42"/>
      <c r="N400" s="42"/>
      <c r="O400" s="43"/>
      <c r="P400" s="44"/>
      <c r="Q400" s="35"/>
      <c r="R400" s="45"/>
    </row>
    <row r="401" spans="13:18">
      <c r="M401" s="42"/>
      <c r="N401" s="42"/>
      <c r="O401" s="43"/>
      <c r="P401" s="44"/>
      <c r="Q401" s="35"/>
      <c r="R401" s="45"/>
    </row>
    <row r="402" spans="13:18">
      <c r="M402" s="42"/>
      <c r="N402" s="42"/>
      <c r="O402" s="43"/>
      <c r="P402" s="44"/>
      <c r="Q402" s="35"/>
      <c r="R402" s="45"/>
    </row>
    <row r="403" spans="13:18">
      <c r="M403" s="42"/>
      <c r="N403" s="42"/>
      <c r="O403" s="43"/>
      <c r="P403" s="44"/>
      <c r="Q403" s="35"/>
      <c r="R403" s="45"/>
    </row>
    <row r="404" spans="13:18">
      <c r="M404" s="42"/>
      <c r="N404" s="42"/>
      <c r="O404" s="43"/>
      <c r="P404" s="44"/>
      <c r="Q404" s="35"/>
      <c r="R404" s="45"/>
    </row>
    <row r="405" spans="13:18">
      <c r="M405" s="42"/>
      <c r="N405" s="42"/>
      <c r="O405" s="43"/>
      <c r="P405" s="44"/>
      <c r="Q405" s="35"/>
      <c r="R405" s="45"/>
    </row>
    <row r="406" spans="13:18">
      <c r="M406" s="42"/>
      <c r="N406" s="42"/>
      <c r="O406" s="43"/>
      <c r="P406" s="44"/>
      <c r="Q406" s="35"/>
      <c r="R406" s="45"/>
    </row>
    <row r="407" spans="13:18">
      <c r="M407" s="42"/>
      <c r="N407" s="42"/>
      <c r="O407" s="43"/>
      <c r="P407" s="44"/>
      <c r="Q407" s="35"/>
      <c r="R407" s="45"/>
    </row>
    <row r="408" spans="13:18">
      <c r="M408" s="42"/>
      <c r="N408" s="42"/>
      <c r="O408" s="43"/>
      <c r="P408" s="44"/>
      <c r="Q408" s="35"/>
      <c r="R408" s="45"/>
    </row>
    <row r="409" spans="13:18">
      <c r="M409" s="42"/>
      <c r="N409" s="42"/>
      <c r="O409" s="43"/>
      <c r="P409" s="44"/>
      <c r="Q409" s="35"/>
      <c r="R409" s="45"/>
    </row>
    <row r="410" spans="13:18">
      <c r="M410" s="42"/>
      <c r="N410" s="42"/>
      <c r="O410" s="43"/>
      <c r="P410" s="44"/>
      <c r="Q410" s="35"/>
      <c r="R410" s="45"/>
    </row>
    <row r="411" spans="13:18">
      <c r="M411" s="42"/>
      <c r="N411" s="42"/>
      <c r="O411" s="43"/>
      <c r="P411" s="44"/>
      <c r="Q411" s="35"/>
      <c r="R411" s="45"/>
    </row>
    <row r="412" spans="13:18">
      <c r="M412" s="42"/>
      <c r="N412" s="42"/>
      <c r="O412" s="43"/>
      <c r="P412" s="44"/>
      <c r="Q412" s="35"/>
      <c r="R412" s="45"/>
    </row>
    <row r="413" spans="13:18">
      <c r="M413" s="42"/>
      <c r="N413" s="42"/>
      <c r="O413" s="43"/>
      <c r="P413" s="44"/>
      <c r="Q413" s="35"/>
      <c r="R413" s="45"/>
    </row>
    <row r="414" spans="13:18">
      <c r="M414" s="42"/>
      <c r="N414" s="42"/>
      <c r="O414" s="43"/>
      <c r="P414" s="44"/>
      <c r="Q414" s="35"/>
      <c r="R414" s="45"/>
    </row>
    <row r="415" spans="13:18">
      <c r="M415" s="42"/>
      <c r="N415" s="42"/>
      <c r="O415" s="43"/>
      <c r="P415" s="44"/>
      <c r="Q415" s="35"/>
      <c r="R415" s="45"/>
    </row>
    <row r="416" spans="13:18">
      <c r="M416" s="42"/>
      <c r="N416" s="42"/>
      <c r="O416" s="43"/>
      <c r="P416" s="44"/>
      <c r="Q416" s="35"/>
      <c r="R416" s="45"/>
    </row>
    <row r="417" spans="13:18">
      <c r="M417" s="42"/>
      <c r="N417" s="42"/>
      <c r="O417" s="43"/>
      <c r="P417" s="44"/>
      <c r="Q417" s="35"/>
      <c r="R417" s="45"/>
    </row>
    <row r="418" spans="13:18">
      <c r="M418" s="42"/>
      <c r="N418" s="42"/>
      <c r="O418" s="43"/>
      <c r="P418" s="44"/>
      <c r="Q418" s="35"/>
      <c r="R418" s="45"/>
    </row>
    <row r="419" spans="13:18">
      <c r="M419" s="42"/>
      <c r="N419" s="42"/>
      <c r="O419" s="43"/>
      <c r="P419" s="44"/>
      <c r="Q419" s="35"/>
      <c r="R419" s="45"/>
    </row>
    <row r="420" spans="13:18">
      <c r="M420" s="42"/>
      <c r="N420" s="42"/>
      <c r="O420" s="43"/>
      <c r="P420" s="44"/>
      <c r="Q420" s="35"/>
      <c r="R420" s="45"/>
    </row>
    <row r="421" spans="13:18">
      <c r="M421" s="42"/>
      <c r="N421" s="42"/>
      <c r="O421" s="43"/>
      <c r="P421" s="44"/>
      <c r="Q421" s="35"/>
      <c r="R421" s="45"/>
    </row>
    <row r="422" spans="13:18">
      <c r="M422" s="42"/>
      <c r="N422" s="42"/>
      <c r="O422" s="43"/>
      <c r="P422" s="44"/>
      <c r="Q422" s="35"/>
      <c r="R422" s="45"/>
    </row>
    <row r="423" spans="13:18">
      <c r="M423" s="42"/>
      <c r="N423" s="42"/>
      <c r="O423" s="43"/>
      <c r="P423" s="44"/>
      <c r="Q423" s="35"/>
      <c r="R423" s="45"/>
    </row>
    <row r="424" spans="13:18">
      <c r="M424" s="42"/>
      <c r="N424" s="42"/>
      <c r="O424" s="43"/>
      <c r="P424" s="44"/>
      <c r="Q424" s="35"/>
      <c r="R424" s="45"/>
    </row>
    <row r="425" spans="13:18">
      <c r="M425" s="42"/>
      <c r="N425" s="42"/>
      <c r="O425" s="43"/>
      <c r="P425" s="44"/>
      <c r="Q425" s="35"/>
      <c r="R425" s="45"/>
    </row>
    <row r="426" spans="13:18">
      <c r="M426" s="42"/>
      <c r="N426" s="42"/>
      <c r="O426" s="43"/>
      <c r="P426" s="44"/>
      <c r="Q426" s="35"/>
      <c r="R426" s="45"/>
    </row>
    <row r="427" spans="13:18">
      <c r="M427" s="42"/>
      <c r="N427" s="42"/>
      <c r="O427" s="43"/>
      <c r="P427" s="44"/>
      <c r="Q427" s="35"/>
      <c r="R427" s="45"/>
    </row>
    <row r="428" spans="13:18">
      <c r="M428" s="42"/>
      <c r="N428" s="42"/>
      <c r="O428" s="43"/>
      <c r="P428" s="44"/>
      <c r="Q428" s="35"/>
      <c r="R428" s="45"/>
    </row>
    <row r="429" spans="13:18">
      <c r="M429" s="42"/>
      <c r="N429" s="42"/>
      <c r="O429" s="43"/>
      <c r="P429" s="44"/>
      <c r="Q429" s="35"/>
      <c r="R429" s="45"/>
    </row>
    <row r="430" spans="13:18">
      <c r="M430" s="42"/>
      <c r="N430" s="42"/>
      <c r="O430" s="43"/>
      <c r="P430" s="44"/>
      <c r="Q430" s="35"/>
      <c r="R430" s="45"/>
    </row>
    <row r="431" spans="13:18">
      <c r="M431" s="42"/>
      <c r="N431" s="42"/>
      <c r="O431" s="43"/>
      <c r="P431" s="44"/>
      <c r="Q431" s="35"/>
      <c r="R431" s="45"/>
    </row>
    <row r="432" spans="13:18">
      <c r="M432" s="42"/>
      <c r="N432" s="42"/>
      <c r="O432" s="43"/>
      <c r="P432" s="44"/>
      <c r="Q432" s="35"/>
      <c r="R432" s="45"/>
    </row>
    <row r="433" spans="13:18">
      <c r="M433" s="42"/>
      <c r="N433" s="42"/>
      <c r="O433" s="43"/>
      <c r="P433" s="44"/>
      <c r="Q433" s="35"/>
      <c r="R433" s="45"/>
    </row>
    <row r="434" spans="13:18">
      <c r="M434" s="42"/>
      <c r="N434" s="42"/>
      <c r="O434" s="43"/>
      <c r="P434" s="44"/>
      <c r="Q434" s="35"/>
      <c r="R434" s="45"/>
    </row>
    <row r="435" spans="13:18">
      <c r="M435" s="42"/>
      <c r="N435" s="42"/>
      <c r="O435" s="43"/>
      <c r="P435" s="44"/>
      <c r="Q435" s="35"/>
      <c r="R435" s="45"/>
    </row>
    <row r="436" spans="13:18">
      <c r="M436" s="42"/>
      <c r="N436" s="42"/>
      <c r="O436" s="43"/>
      <c r="P436" s="44"/>
      <c r="Q436" s="35"/>
      <c r="R436" s="45"/>
    </row>
    <row r="437" spans="13:18">
      <c r="M437" s="42"/>
      <c r="N437" s="42"/>
      <c r="O437" s="43"/>
      <c r="P437" s="44"/>
      <c r="Q437" s="35"/>
      <c r="R437" s="45"/>
    </row>
    <row r="438" spans="13:18">
      <c r="M438" s="42"/>
      <c r="N438" s="42"/>
      <c r="O438" s="43"/>
      <c r="P438" s="44"/>
      <c r="Q438" s="35"/>
      <c r="R438" s="45"/>
    </row>
    <row r="439" spans="13:18">
      <c r="M439" s="42"/>
      <c r="N439" s="42"/>
      <c r="O439" s="43"/>
      <c r="P439" s="44"/>
      <c r="Q439" s="35"/>
      <c r="R439" s="45"/>
    </row>
    <row r="440" spans="13:18">
      <c r="M440" s="42"/>
      <c r="N440" s="42"/>
      <c r="O440" s="43"/>
      <c r="P440" s="44"/>
      <c r="Q440" s="35"/>
      <c r="R440" s="45"/>
    </row>
    <row r="441" spans="13:18">
      <c r="M441" s="42"/>
      <c r="N441" s="42"/>
      <c r="O441" s="43"/>
      <c r="P441" s="44"/>
      <c r="Q441" s="35"/>
      <c r="R441" s="45"/>
    </row>
    <row r="442" spans="13:18">
      <c r="M442" s="42"/>
      <c r="N442" s="42"/>
      <c r="O442" s="43"/>
      <c r="P442" s="44"/>
      <c r="Q442" s="35"/>
      <c r="R442" s="45"/>
    </row>
    <row r="443" spans="13:18">
      <c r="M443" s="42"/>
      <c r="N443" s="42"/>
      <c r="O443" s="43"/>
      <c r="P443" s="44"/>
      <c r="Q443" s="35"/>
      <c r="R443" s="45"/>
    </row>
    <row r="444" spans="13:18">
      <c r="M444" s="42"/>
      <c r="N444" s="42"/>
      <c r="O444" s="43"/>
      <c r="P444" s="44"/>
      <c r="Q444" s="35"/>
      <c r="R444" s="45"/>
    </row>
    <row r="445" spans="13:18">
      <c r="M445" s="42"/>
      <c r="N445" s="42"/>
      <c r="O445" s="43"/>
      <c r="P445" s="44"/>
      <c r="Q445" s="35"/>
      <c r="R445" s="45"/>
    </row>
    <row r="446" spans="13:18">
      <c r="M446" s="42"/>
      <c r="N446" s="42"/>
      <c r="O446" s="43"/>
      <c r="P446" s="44"/>
      <c r="Q446" s="35"/>
      <c r="R446" s="45"/>
    </row>
    <row r="447" spans="13:18">
      <c r="M447" s="42"/>
      <c r="N447" s="42"/>
      <c r="O447" s="43"/>
      <c r="P447" s="44"/>
      <c r="Q447" s="35"/>
      <c r="R447" s="45"/>
    </row>
    <row r="448" spans="13:18">
      <c r="M448" s="42"/>
      <c r="N448" s="42"/>
      <c r="O448" s="43"/>
      <c r="P448" s="44"/>
      <c r="Q448" s="35"/>
      <c r="R448" s="45"/>
    </row>
    <row r="449" spans="13:18">
      <c r="M449" s="42"/>
      <c r="N449" s="42"/>
      <c r="O449" s="43"/>
      <c r="P449" s="44"/>
      <c r="Q449" s="35"/>
      <c r="R449" s="45"/>
    </row>
    <row r="450" spans="13:18">
      <c r="M450" s="42"/>
      <c r="N450" s="42"/>
      <c r="O450" s="43"/>
      <c r="P450" s="44"/>
      <c r="Q450" s="35"/>
      <c r="R450" s="45"/>
    </row>
    <row r="451" spans="13:18">
      <c r="M451" s="42"/>
      <c r="N451" s="42"/>
      <c r="O451" s="43"/>
      <c r="P451" s="44"/>
      <c r="Q451" s="35"/>
      <c r="R451" s="45"/>
    </row>
    <row r="452" spans="13:18">
      <c r="M452" s="42"/>
      <c r="N452" s="42"/>
      <c r="O452" s="43"/>
      <c r="P452" s="44"/>
      <c r="Q452" s="35"/>
      <c r="R452" s="45"/>
    </row>
    <row r="453" spans="13:18">
      <c r="M453" s="42"/>
      <c r="N453" s="42"/>
      <c r="O453" s="43"/>
      <c r="P453" s="44"/>
      <c r="Q453" s="35"/>
      <c r="R453" s="45"/>
    </row>
    <row r="454" spans="13:18">
      <c r="M454" s="42"/>
      <c r="N454" s="42"/>
      <c r="O454" s="43"/>
      <c r="P454" s="44"/>
      <c r="Q454" s="35"/>
      <c r="R454" s="45"/>
    </row>
    <row r="455" spans="13:18">
      <c r="M455" s="42"/>
      <c r="N455" s="42"/>
      <c r="O455" s="43"/>
      <c r="P455" s="44"/>
      <c r="Q455" s="35"/>
      <c r="R455" s="45"/>
    </row>
    <row r="456" spans="13:18">
      <c r="M456" s="42"/>
      <c r="N456" s="42"/>
      <c r="O456" s="43"/>
      <c r="P456" s="44"/>
      <c r="Q456" s="35"/>
      <c r="R456" s="45"/>
    </row>
    <row r="457" spans="13:18">
      <c r="M457" s="42"/>
      <c r="N457" s="42"/>
      <c r="O457" s="43"/>
      <c r="P457" s="44"/>
      <c r="Q457" s="35"/>
      <c r="R457" s="45"/>
    </row>
    <row r="458" spans="13:18">
      <c r="M458" s="42"/>
      <c r="N458" s="42"/>
      <c r="O458" s="43"/>
      <c r="P458" s="44"/>
      <c r="Q458" s="35"/>
      <c r="R458" s="45"/>
    </row>
    <row r="459" spans="13:18">
      <c r="M459" s="42"/>
      <c r="N459" s="42"/>
      <c r="O459" s="43"/>
      <c r="P459" s="44"/>
      <c r="Q459" s="35"/>
      <c r="R459" s="45"/>
    </row>
    <row r="460" spans="13:18">
      <c r="M460" s="42"/>
      <c r="N460" s="42"/>
      <c r="O460" s="43"/>
      <c r="P460" s="44"/>
      <c r="Q460" s="35"/>
      <c r="R460" s="45"/>
    </row>
    <row r="461" spans="13:18">
      <c r="M461" s="42"/>
      <c r="N461" s="42"/>
      <c r="O461" s="43"/>
      <c r="P461" s="44"/>
      <c r="Q461" s="35"/>
      <c r="R461" s="45"/>
    </row>
    <row r="462" spans="13:18">
      <c r="M462" s="42"/>
      <c r="N462" s="42"/>
      <c r="O462" s="43"/>
      <c r="P462" s="44"/>
      <c r="Q462" s="35"/>
      <c r="R462" s="45"/>
    </row>
    <row r="463" spans="13:18">
      <c r="M463" s="42"/>
      <c r="N463" s="42"/>
      <c r="O463" s="43"/>
      <c r="P463" s="44"/>
      <c r="Q463" s="35"/>
      <c r="R463" s="45"/>
    </row>
    <row r="464" spans="13:18">
      <c r="M464" s="42"/>
      <c r="N464" s="42"/>
      <c r="O464" s="43"/>
      <c r="P464" s="44"/>
      <c r="Q464" s="35"/>
      <c r="R464" s="45"/>
    </row>
    <row r="465" spans="13:18">
      <c r="M465" s="42"/>
      <c r="N465" s="42"/>
      <c r="O465" s="43"/>
      <c r="P465" s="44"/>
      <c r="Q465" s="35"/>
      <c r="R465" s="45"/>
    </row>
    <row r="466" spans="13:18">
      <c r="M466" s="42"/>
      <c r="N466" s="42"/>
      <c r="O466" s="43"/>
      <c r="P466" s="44"/>
      <c r="Q466" s="35"/>
      <c r="R466" s="45"/>
    </row>
    <row r="467" spans="13:18">
      <c r="M467" s="42"/>
      <c r="N467" s="42"/>
      <c r="O467" s="43"/>
      <c r="P467" s="44"/>
      <c r="Q467" s="35"/>
      <c r="R467" s="45"/>
    </row>
    <row r="468" spans="13:18">
      <c r="M468" s="42"/>
      <c r="N468" s="42"/>
      <c r="O468" s="43"/>
      <c r="P468" s="44"/>
      <c r="Q468" s="35"/>
      <c r="R468" s="45"/>
    </row>
    <row r="469" spans="13:18">
      <c r="M469" s="42"/>
      <c r="N469" s="42"/>
      <c r="O469" s="43"/>
      <c r="P469" s="44"/>
      <c r="Q469" s="35"/>
      <c r="R469" s="45"/>
    </row>
    <row r="470" spans="13:18">
      <c r="M470" s="42"/>
      <c r="N470" s="42"/>
      <c r="O470" s="43"/>
      <c r="P470" s="44"/>
      <c r="Q470" s="35"/>
      <c r="R470" s="45"/>
    </row>
    <row r="471" spans="13:18">
      <c r="M471" s="42"/>
      <c r="N471" s="42"/>
      <c r="O471" s="43"/>
      <c r="P471" s="44"/>
      <c r="Q471" s="35"/>
      <c r="R471" s="45"/>
    </row>
    <row r="472" spans="13:18">
      <c r="M472" s="42"/>
      <c r="N472" s="42"/>
      <c r="O472" s="43"/>
      <c r="P472" s="44"/>
      <c r="Q472" s="35"/>
      <c r="R472" s="45"/>
    </row>
    <row r="473" spans="13:18">
      <c r="M473" s="42"/>
      <c r="N473" s="42"/>
      <c r="O473" s="43"/>
      <c r="P473" s="44"/>
      <c r="Q473" s="35"/>
      <c r="R473" s="45"/>
    </row>
    <row r="474" spans="13:18">
      <c r="M474" s="42"/>
      <c r="N474" s="42"/>
      <c r="O474" s="43"/>
      <c r="P474" s="44"/>
      <c r="Q474" s="35"/>
      <c r="R474" s="45"/>
    </row>
    <row r="475" spans="13:18">
      <c r="M475" s="42"/>
      <c r="N475" s="42"/>
      <c r="O475" s="43"/>
      <c r="P475" s="44"/>
      <c r="Q475" s="35"/>
      <c r="R475" s="45"/>
    </row>
    <row r="476" spans="13:18">
      <c r="M476" s="42"/>
      <c r="N476" s="42"/>
      <c r="O476" s="43"/>
      <c r="P476" s="44"/>
      <c r="Q476" s="35"/>
      <c r="R476" s="45"/>
    </row>
    <row r="477" spans="13:18">
      <c r="M477" s="42"/>
      <c r="N477" s="42"/>
      <c r="O477" s="43"/>
      <c r="P477" s="44"/>
      <c r="Q477" s="35"/>
      <c r="R477" s="45"/>
    </row>
    <row r="478" spans="13:18">
      <c r="M478" s="42"/>
      <c r="N478" s="42"/>
      <c r="O478" s="43"/>
      <c r="P478" s="44"/>
      <c r="Q478" s="35"/>
      <c r="R478" s="45"/>
    </row>
    <row r="479" spans="13:18">
      <c r="M479" s="42"/>
      <c r="N479" s="42"/>
      <c r="O479" s="43"/>
      <c r="P479" s="44"/>
      <c r="Q479" s="35"/>
      <c r="R479" s="45"/>
    </row>
    <row r="480" spans="13:18">
      <c r="M480" s="42"/>
      <c r="N480" s="42"/>
      <c r="O480" s="43"/>
      <c r="P480" s="44"/>
      <c r="Q480" s="35"/>
      <c r="R480" s="45"/>
    </row>
    <row r="481" spans="13:18">
      <c r="M481" s="42"/>
      <c r="N481" s="42"/>
      <c r="O481" s="43"/>
      <c r="P481" s="44"/>
      <c r="Q481" s="35"/>
      <c r="R481" s="45"/>
    </row>
    <row r="482" spans="13:18">
      <c r="M482" s="42"/>
      <c r="N482" s="42"/>
      <c r="O482" s="43"/>
      <c r="P482" s="44"/>
      <c r="Q482" s="35"/>
      <c r="R482" s="45"/>
    </row>
    <row r="483" spans="13:18">
      <c r="M483" s="42"/>
      <c r="N483" s="42"/>
      <c r="O483" s="43"/>
      <c r="P483" s="44"/>
      <c r="Q483" s="35"/>
      <c r="R483" s="45"/>
    </row>
    <row r="484" spans="13:18">
      <c r="M484" s="42"/>
      <c r="N484" s="42"/>
      <c r="O484" s="43"/>
      <c r="P484" s="44"/>
      <c r="Q484" s="35"/>
      <c r="R484" s="45"/>
    </row>
    <row r="485" spans="13:18">
      <c r="M485" s="42"/>
      <c r="N485" s="42"/>
      <c r="O485" s="43"/>
      <c r="P485" s="44"/>
      <c r="Q485" s="35"/>
      <c r="R485" s="45"/>
    </row>
    <row r="486" spans="13:18">
      <c r="M486" s="42"/>
      <c r="N486" s="42"/>
      <c r="O486" s="43"/>
      <c r="P486" s="44"/>
      <c r="Q486" s="35"/>
      <c r="R486" s="45"/>
    </row>
    <row r="487" spans="13:18">
      <c r="M487" s="42"/>
      <c r="N487" s="42"/>
      <c r="O487" s="43"/>
      <c r="P487" s="44"/>
      <c r="Q487" s="35"/>
      <c r="R487" s="45"/>
    </row>
    <row r="488" spans="13:18">
      <c r="M488" s="42"/>
      <c r="N488" s="42"/>
      <c r="O488" s="43"/>
      <c r="P488" s="44"/>
      <c r="Q488" s="35"/>
      <c r="R488" s="45"/>
    </row>
    <row r="489" spans="13:18">
      <c r="M489" s="42"/>
      <c r="N489" s="42"/>
      <c r="O489" s="43"/>
      <c r="P489" s="44"/>
      <c r="Q489" s="35"/>
      <c r="R489" s="45"/>
    </row>
    <row r="490" spans="13:18">
      <c r="M490" s="42"/>
      <c r="N490" s="42"/>
      <c r="O490" s="43"/>
      <c r="P490" s="44"/>
      <c r="Q490" s="35"/>
      <c r="R490" s="45"/>
    </row>
    <row r="491" spans="13:18">
      <c r="M491" s="42"/>
      <c r="N491" s="42"/>
      <c r="O491" s="43"/>
      <c r="P491" s="44"/>
      <c r="Q491" s="35"/>
      <c r="R491" s="45"/>
    </row>
    <row r="492" spans="13:18">
      <c r="M492" s="42"/>
      <c r="N492" s="42"/>
      <c r="O492" s="43"/>
      <c r="P492" s="44"/>
      <c r="Q492" s="35"/>
      <c r="R492" s="45"/>
    </row>
    <row r="493" spans="13:18">
      <c r="M493" s="42"/>
      <c r="N493" s="42"/>
      <c r="O493" s="43"/>
      <c r="P493" s="44"/>
      <c r="Q493" s="35"/>
      <c r="R493" s="45"/>
    </row>
    <row r="494" spans="13:18">
      <c r="M494" s="42"/>
      <c r="N494" s="42"/>
      <c r="O494" s="43"/>
      <c r="P494" s="44"/>
      <c r="Q494" s="35"/>
      <c r="R494" s="45"/>
    </row>
    <row r="495" spans="13:18">
      <c r="M495" s="42"/>
      <c r="N495" s="42"/>
      <c r="O495" s="43"/>
      <c r="P495" s="44"/>
      <c r="Q495" s="35"/>
      <c r="R495" s="45"/>
    </row>
    <row r="496" spans="13:18">
      <c r="M496" s="42"/>
      <c r="N496" s="42"/>
      <c r="O496" s="43"/>
      <c r="P496" s="44"/>
      <c r="Q496" s="35"/>
      <c r="R496" s="45"/>
    </row>
    <row r="497" spans="13:18">
      <c r="M497" s="42"/>
      <c r="N497" s="42"/>
      <c r="O497" s="43"/>
      <c r="P497" s="44"/>
      <c r="Q497" s="35"/>
      <c r="R497" s="45"/>
    </row>
    <row r="498" spans="13:18">
      <c r="M498" s="42"/>
      <c r="N498" s="42"/>
      <c r="O498" s="43"/>
      <c r="P498" s="44"/>
      <c r="Q498" s="35"/>
      <c r="R498" s="45"/>
    </row>
    <row r="499" spans="13:18">
      <c r="M499" s="42"/>
      <c r="N499" s="42"/>
      <c r="O499" s="43"/>
      <c r="P499" s="44"/>
      <c r="Q499" s="35"/>
      <c r="R499" s="45"/>
    </row>
    <row r="500" spans="13:18">
      <c r="M500" s="42"/>
      <c r="N500" s="42"/>
      <c r="O500" s="43"/>
      <c r="P500" s="44"/>
      <c r="Q500" s="35"/>
      <c r="R500" s="45"/>
    </row>
    <row r="501" spans="13:18">
      <c r="M501" s="42"/>
      <c r="N501" s="42"/>
      <c r="O501" s="43"/>
      <c r="P501" s="44"/>
      <c r="Q501" s="35"/>
      <c r="R501" s="45"/>
    </row>
    <row r="502" spans="13:18">
      <c r="M502" s="42"/>
      <c r="N502" s="42"/>
      <c r="O502" s="43"/>
      <c r="P502" s="44"/>
      <c r="Q502" s="35"/>
      <c r="R502" s="45"/>
    </row>
    <row r="503" spans="13:18">
      <c r="M503" s="42"/>
      <c r="N503" s="42"/>
      <c r="O503" s="43"/>
      <c r="P503" s="44"/>
      <c r="Q503" s="35"/>
      <c r="R503" s="45"/>
    </row>
    <row r="504" spans="13:18">
      <c r="M504" s="42"/>
      <c r="N504" s="42"/>
      <c r="O504" s="43"/>
      <c r="P504" s="44"/>
      <c r="Q504" s="35"/>
      <c r="R504" s="45"/>
    </row>
    <row r="505" spans="13:18">
      <c r="M505" s="42"/>
      <c r="N505" s="42"/>
      <c r="O505" s="43"/>
      <c r="P505" s="44"/>
      <c r="Q505" s="35"/>
      <c r="R505" s="45"/>
    </row>
    <row r="506" spans="13:18">
      <c r="M506" s="42"/>
      <c r="N506" s="42"/>
      <c r="O506" s="43"/>
      <c r="P506" s="44"/>
      <c r="Q506" s="35"/>
      <c r="R506" s="45"/>
    </row>
    <row r="507" spans="13:18">
      <c r="M507" s="42"/>
      <c r="N507" s="42"/>
      <c r="O507" s="43"/>
      <c r="P507" s="44"/>
      <c r="Q507" s="35"/>
      <c r="R507" s="45"/>
    </row>
    <row r="508" spans="13:18">
      <c r="M508" s="42"/>
      <c r="N508" s="42"/>
      <c r="O508" s="43"/>
      <c r="P508" s="44"/>
      <c r="Q508" s="35"/>
      <c r="R508" s="45"/>
    </row>
    <row r="509" spans="13:18">
      <c r="M509" s="42"/>
      <c r="N509" s="42"/>
      <c r="O509" s="43"/>
      <c r="P509" s="44"/>
      <c r="Q509" s="35"/>
      <c r="R509" s="45"/>
    </row>
    <row r="510" spans="13:18">
      <c r="M510" s="42"/>
      <c r="N510" s="42"/>
      <c r="O510" s="43"/>
      <c r="P510" s="44"/>
      <c r="Q510" s="35"/>
      <c r="R510" s="45"/>
    </row>
    <row r="511" spans="13:18">
      <c r="M511" s="42"/>
      <c r="N511" s="42"/>
      <c r="O511" s="43"/>
      <c r="P511" s="44"/>
      <c r="Q511" s="35"/>
      <c r="R511" s="45"/>
    </row>
    <row r="512" spans="13:18">
      <c r="M512" s="42"/>
      <c r="N512" s="42"/>
      <c r="O512" s="43"/>
      <c r="P512" s="44"/>
      <c r="Q512" s="35"/>
      <c r="R512" s="45"/>
    </row>
    <row r="513" spans="13:18">
      <c r="M513" s="42"/>
      <c r="N513" s="42"/>
      <c r="O513" s="43"/>
      <c r="P513" s="44"/>
      <c r="Q513" s="35"/>
      <c r="R513" s="45"/>
    </row>
    <row r="514" spans="13:18">
      <c r="M514" s="42"/>
      <c r="N514" s="42"/>
      <c r="O514" s="43"/>
      <c r="P514" s="44"/>
      <c r="Q514" s="35"/>
      <c r="R514" s="45"/>
    </row>
    <row r="515" spans="13:18">
      <c r="M515" s="42"/>
      <c r="N515" s="42"/>
      <c r="O515" s="43"/>
      <c r="P515" s="44"/>
      <c r="Q515" s="35"/>
      <c r="R515" s="45"/>
    </row>
    <row r="516" spans="13:18">
      <c r="M516" s="42"/>
      <c r="N516" s="42"/>
      <c r="O516" s="43"/>
      <c r="P516" s="44"/>
      <c r="Q516" s="35"/>
      <c r="R516" s="45"/>
    </row>
    <row r="517" spans="13:18">
      <c r="M517" s="42"/>
      <c r="N517" s="42"/>
      <c r="O517" s="43"/>
      <c r="P517" s="44"/>
      <c r="Q517" s="35"/>
      <c r="R517" s="45"/>
    </row>
    <row r="518" spans="13:18">
      <c r="M518" s="42"/>
      <c r="N518" s="42"/>
      <c r="O518" s="43"/>
      <c r="P518" s="44"/>
      <c r="Q518" s="35"/>
      <c r="R518" s="45"/>
    </row>
    <row r="519" spans="13:18">
      <c r="M519" s="42"/>
      <c r="N519" s="42"/>
      <c r="O519" s="43"/>
      <c r="P519" s="44"/>
      <c r="Q519" s="35"/>
      <c r="R519" s="45"/>
    </row>
    <row r="520" spans="13:18">
      <c r="M520" s="42"/>
      <c r="N520" s="42"/>
      <c r="O520" s="43"/>
      <c r="P520" s="44"/>
      <c r="Q520" s="35"/>
      <c r="R520" s="45"/>
    </row>
    <row r="521" spans="13:18">
      <c r="M521" s="42"/>
      <c r="N521" s="42"/>
      <c r="O521" s="43"/>
      <c r="P521" s="44"/>
      <c r="Q521" s="35"/>
      <c r="R521" s="45"/>
    </row>
    <row r="522" spans="13:18">
      <c r="M522" s="42"/>
      <c r="N522" s="42"/>
      <c r="O522" s="43"/>
      <c r="P522" s="44"/>
      <c r="Q522" s="35"/>
      <c r="R522" s="45"/>
    </row>
    <row r="523" spans="13:18">
      <c r="M523" s="42"/>
      <c r="N523" s="42"/>
      <c r="O523" s="43"/>
      <c r="P523" s="44"/>
      <c r="Q523" s="35"/>
      <c r="R523" s="45"/>
    </row>
    <row r="524" spans="13:18">
      <c r="M524" s="42"/>
      <c r="N524" s="42"/>
      <c r="O524" s="43"/>
      <c r="P524" s="44"/>
      <c r="Q524" s="35"/>
      <c r="R524" s="45"/>
    </row>
    <row r="525" spans="13:18">
      <c r="M525" s="42"/>
      <c r="N525" s="42"/>
      <c r="O525" s="43"/>
      <c r="P525" s="44"/>
      <c r="Q525" s="35"/>
      <c r="R525" s="45"/>
    </row>
    <row r="526" spans="13:18">
      <c r="M526" s="42"/>
      <c r="N526" s="42"/>
      <c r="O526" s="43"/>
      <c r="P526" s="44"/>
      <c r="Q526" s="35"/>
      <c r="R526" s="45"/>
    </row>
    <row r="527" spans="13:18">
      <c r="M527" s="42"/>
      <c r="N527" s="42"/>
      <c r="O527" s="43"/>
      <c r="P527" s="44"/>
      <c r="Q527" s="35"/>
      <c r="R527" s="45"/>
    </row>
    <row r="528" spans="13:18">
      <c r="M528" s="42"/>
      <c r="N528" s="42"/>
      <c r="O528" s="43"/>
      <c r="P528" s="44"/>
      <c r="Q528" s="35"/>
      <c r="R528" s="45"/>
    </row>
    <row r="529" spans="13:18">
      <c r="M529" s="42"/>
      <c r="N529" s="42"/>
      <c r="O529" s="43"/>
      <c r="P529" s="44"/>
      <c r="Q529" s="35"/>
      <c r="R529" s="45"/>
    </row>
    <row r="530" spans="13:18">
      <c r="M530" s="42"/>
      <c r="N530" s="42"/>
      <c r="O530" s="43"/>
      <c r="P530" s="44"/>
      <c r="Q530" s="35"/>
      <c r="R530" s="45"/>
    </row>
    <row r="531" spans="13:18">
      <c r="M531" s="42"/>
      <c r="N531" s="42"/>
      <c r="O531" s="43"/>
      <c r="P531" s="44"/>
      <c r="Q531" s="35"/>
      <c r="R531" s="45"/>
    </row>
    <row r="532" spans="13:18">
      <c r="M532" s="42"/>
      <c r="N532" s="42"/>
      <c r="O532" s="43"/>
      <c r="P532" s="44"/>
      <c r="Q532" s="35"/>
      <c r="R532" s="45"/>
    </row>
    <row r="533" spans="13:18">
      <c r="M533" s="42"/>
      <c r="N533" s="42"/>
      <c r="O533" s="43"/>
      <c r="P533" s="44"/>
      <c r="Q533" s="35"/>
      <c r="R533" s="45"/>
    </row>
    <row r="534" spans="13:18">
      <c r="M534" s="42"/>
      <c r="N534" s="42"/>
      <c r="O534" s="43"/>
      <c r="P534" s="44"/>
      <c r="Q534" s="35"/>
      <c r="R534" s="45"/>
    </row>
    <row r="535" spans="13:18">
      <c r="M535" s="42"/>
      <c r="N535" s="42"/>
      <c r="O535" s="43"/>
      <c r="P535" s="44"/>
      <c r="Q535" s="35"/>
      <c r="R535" s="45"/>
    </row>
    <row r="536" spans="13:18">
      <c r="M536" s="42"/>
      <c r="N536" s="42"/>
      <c r="O536" s="43"/>
      <c r="P536" s="44"/>
      <c r="Q536" s="35"/>
      <c r="R536" s="45"/>
    </row>
    <row r="537" spans="13:18">
      <c r="M537" s="42"/>
      <c r="N537" s="42"/>
      <c r="O537" s="43"/>
      <c r="P537" s="44"/>
      <c r="Q537" s="35"/>
      <c r="R537" s="45"/>
    </row>
    <row r="538" spans="13:18">
      <c r="M538" s="42"/>
      <c r="N538" s="42"/>
      <c r="O538" s="43"/>
      <c r="P538" s="44"/>
      <c r="Q538" s="35"/>
      <c r="R538" s="45"/>
    </row>
    <row r="539" spans="13:18">
      <c r="M539" s="42"/>
      <c r="N539" s="42"/>
      <c r="O539" s="43"/>
      <c r="P539" s="44"/>
      <c r="Q539" s="35"/>
      <c r="R539" s="45"/>
    </row>
    <row r="540" spans="13:18">
      <c r="M540" s="42"/>
      <c r="N540" s="42"/>
      <c r="O540" s="43"/>
      <c r="P540" s="44"/>
      <c r="Q540" s="35"/>
      <c r="R540" s="45"/>
    </row>
    <row r="541" spans="13:18">
      <c r="M541" s="42"/>
      <c r="N541" s="42"/>
      <c r="O541" s="43"/>
      <c r="P541" s="44"/>
      <c r="Q541" s="35"/>
      <c r="R541" s="45"/>
    </row>
    <row r="542" spans="13:18">
      <c r="M542" s="42"/>
      <c r="N542" s="42"/>
      <c r="O542" s="43"/>
      <c r="P542" s="44"/>
      <c r="Q542" s="35"/>
      <c r="R542" s="45"/>
    </row>
    <row r="543" spans="13:18">
      <c r="M543" s="42"/>
      <c r="N543" s="42"/>
      <c r="O543" s="43"/>
      <c r="P543" s="44"/>
      <c r="Q543" s="35"/>
      <c r="R543" s="45"/>
    </row>
    <row r="544" spans="13:18">
      <c r="M544" s="42"/>
      <c r="N544" s="42"/>
      <c r="O544" s="43"/>
      <c r="P544" s="44"/>
      <c r="Q544" s="35"/>
      <c r="R544" s="45"/>
    </row>
    <row r="545" spans="13:18">
      <c r="M545" s="42"/>
      <c r="N545" s="42"/>
      <c r="O545" s="43"/>
      <c r="P545" s="44"/>
      <c r="Q545" s="35"/>
      <c r="R545" s="45"/>
    </row>
    <row r="546" spans="13:18">
      <c r="M546" s="42"/>
      <c r="N546" s="42"/>
      <c r="O546" s="43"/>
      <c r="P546" s="44"/>
      <c r="Q546" s="35"/>
      <c r="R546" s="45"/>
    </row>
    <row r="547" spans="13:18">
      <c r="M547" s="42"/>
      <c r="N547" s="42"/>
      <c r="O547" s="43"/>
      <c r="P547" s="44"/>
      <c r="Q547" s="35"/>
      <c r="R547" s="45"/>
    </row>
    <row r="548" spans="13:18">
      <c r="M548" s="42"/>
      <c r="N548" s="42"/>
      <c r="O548" s="43"/>
      <c r="P548" s="44"/>
      <c r="Q548" s="35"/>
      <c r="R548" s="45"/>
    </row>
    <row r="549" spans="13:18">
      <c r="M549" s="42"/>
      <c r="N549" s="42"/>
      <c r="O549" s="43"/>
      <c r="P549" s="44"/>
      <c r="Q549" s="35"/>
      <c r="R549" s="45"/>
    </row>
    <row r="550" spans="13:18">
      <c r="M550" s="42"/>
      <c r="N550" s="42"/>
      <c r="O550" s="43"/>
      <c r="P550" s="44"/>
      <c r="Q550" s="35"/>
      <c r="R550" s="45"/>
    </row>
    <row r="551" spans="13:18">
      <c r="M551" s="42"/>
      <c r="N551" s="42"/>
      <c r="O551" s="43"/>
      <c r="P551" s="44"/>
      <c r="Q551" s="35"/>
      <c r="R551" s="45"/>
    </row>
    <row r="552" spans="13:18">
      <c r="M552" s="42"/>
      <c r="N552" s="42"/>
      <c r="O552" s="43"/>
      <c r="P552" s="44"/>
      <c r="Q552" s="35"/>
      <c r="R552" s="45"/>
    </row>
    <row r="553" spans="13:18">
      <c r="M553" s="42"/>
      <c r="N553" s="42"/>
      <c r="O553" s="43"/>
      <c r="P553" s="44"/>
      <c r="Q553" s="35"/>
      <c r="R553" s="45"/>
    </row>
    <row r="554" spans="13:18">
      <c r="M554" s="42"/>
      <c r="N554" s="42"/>
      <c r="O554" s="43"/>
      <c r="P554" s="44"/>
      <c r="Q554" s="35"/>
      <c r="R554" s="45"/>
    </row>
    <row r="555" spans="13:18">
      <c r="M555" s="42"/>
      <c r="N555" s="42"/>
      <c r="O555" s="43"/>
      <c r="P555" s="44"/>
      <c r="Q555" s="35"/>
      <c r="R555" s="45"/>
    </row>
    <row r="556" spans="13:18">
      <c r="M556" s="42"/>
      <c r="N556" s="42"/>
      <c r="O556" s="43"/>
      <c r="P556" s="44"/>
      <c r="Q556" s="35"/>
      <c r="R556" s="45"/>
    </row>
    <row r="557" spans="13:18">
      <c r="M557" s="42"/>
      <c r="N557" s="42"/>
      <c r="O557" s="43"/>
      <c r="P557" s="44"/>
      <c r="Q557" s="35"/>
      <c r="R557" s="45"/>
    </row>
    <row r="558" spans="13:18">
      <c r="M558" s="42"/>
      <c r="N558" s="42"/>
      <c r="O558" s="43"/>
      <c r="P558" s="44"/>
      <c r="Q558" s="35"/>
      <c r="R558" s="45"/>
    </row>
    <row r="559" spans="13:18">
      <c r="M559" s="42"/>
      <c r="N559" s="42"/>
      <c r="O559" s="43"/>
      <c r="P559" s="44"/>
      <c r="Q559" s="35"/>
      <c r="R559" s="45"/>
    </row>
    <row r="560" spans="13:18">
      <c r="M560" s="42"/>
      <c r="N560" s="42"/>
      <c r="O560" s="43"/>
      <c r="P560" s="44"/>
      <c r="Q560" s="35"/>
      <c r="R560" s="45"/>
    </row>
    <row r="561" spans="13:18">
      <c r="M561" s="42"/>
      <c r="N561" s="42"/>
      <c r="O561" s="43"/>
      <c r="P561" s="44"/>
      <c r="Q561" s="35"/>
      <c r="R561" s="45"/>
    </row>
    <row r="562" spans="13:18">
      <c r="M562" s="42"/>
      <c r="N562" s="42"/>
      <c r="O562" s="43"/>
      <c r="P562" s="44"/>
      <c r="Q562" s="35"/>
      <c r="R562" s="45"/>
    </row>
    <row r="563" spans="13:18">
      <c r="M563" s="42"/>
      <c r="N563" s="42"/>
      <c r="O563" s="43"/>
      <c r="P563" s="44"/>
      <c r="Q563" s="35"/>
      <c r="R563" s="45"/>
    </row>
    <row r="564" spans="13:18">
      <c r="M564" s="42"/>
      <c r="N564" s="42"/>
      <c r="O564" s="43"/>
      <c r="P564" s="44"/>
      <c r="Q564" s="35"/>
      <c r="R564" s="45"/>
    </row>
    <row r="565" spans="13:18">
      <c r="M565" s="42"/>
      <c r="N565" s="42"/>
      <c r="O565" s="43"/>
      <c r="P565" s="44"/>
      <c r="Q565" s="35"/>
      <c r="R565" s="45"/>
    </row>
    <row r="566" spans="13:18">
      <c r="M566" s="42"/>
      <c r="N566" s="42"/>
      <c r="O566" s="43"/>
      <c r="P566" s="44"/>
      <c r="Q566" s="35"/>
      <c r="R566" s="45"/>
    </row>
    <row r="567" spans="13:18">
      <c r="M567" s="42"/>
      <c r="N567" s="42"/>
      <c r="O567" s="43"/>
      <c r="P567" s="44"/>
      <c r="Q567" s="35"/>
      <c r="R567" s="45"/>
    </row>
    <row r="568" spans="13:18">
      <c r="M568" s="42"/>
      <c r="N568" s="42"/>
      <c r="O568" s="43"/>
      <c r="P568" s="44"/>
      <c r="Q568" s="35"/>
      <c r="R568" s="45"/>
    </row>
    <row r="569" spans="13:18">
      <c r="M569" s="42"/>
      <c r="N569" s="42"/>
      <c r="O569" s="43"/>
      <c r="P569" s="44"/>
      <c r="Q569" s="35"/>
      <c r="R569" s="45"/>
    </row>
    <row r="570" spans="13:18">
      <c r="M570" s="42"/>
      <c r="N570" s="42"/>
      <c r="O570" s="43"/>
      <c r="P570" s="44"/>
      <c r="Q570" s="35"/>
      <c r="R570" s="45"/>
    </row>
    <row r="571" spans="13:18">
      <c r="M571" s="42"/>
      <c r="N571" s="42"/>
      <c r="O571" s="43"/>
      <c r="P571" s="44"/>
      <c r="Q571" s="35"/>
      <c r="R571" s="45"/>
    </row>
    <row r="572" spans="13:18">
      <c r="M572" s="42"/>
      <c r="N572" s="42"/>
      <c r="O572" s="43"/>
      <c r="P572" s="44"/>
      <c r="Q572" s="35"/>
      <c r="R572" s="45"/>
    </row>
    <row r="573" spans="13:18">
      <c r="M573" s="42"/>
      <c r="N573" s="42"/>
      <c r="O573" s="43"/>
      <c r="P573" s="44"/>
      <c r="Q573" s="35"/>
      <c r="R573" s="45"/>
    </row>
    <row r="574" spans="13:18">
      <c r="M574" s="42"/>
      <c r="N574" s="42"/>
      <c r="O574" s="43"/>
      <c r="P574" s="44"/>
      <c r="Q574" s="35"/>
      <c r="R574" s="45"/>
    </row>
    <row r="575" spans="13:18">
      <c r="M575" s="42"/>
      <c r="N575" s="42"/>
      <c r="O575" s="43"/>
      <c r="P575" s="44"/>
      <c r="Q575" s="35"/>
      <c r="R575" s="45"/>
    </row>
    <row r="576" spans="13:18">
      <c r="M576" s="42"/>
      <c r="N576" s="42"/>
      <c r="O576" s="43"/>
      <c r="P576" s="44"/>
      <c r="Q576" s="35"/>
      <c r="R576" s="45"/>
    </row>
    <row r="577" spans="13:18">
      <c r="M577" s="42"/>
      <c r="N577" s="42"/>
      <c r="O577" s="43"/>
      <c r="P577" s="44"/>
      <c r="Q577" s="35"/>
      <c r="R577" s="45"/>
    </row>
    <row r="578" spans="13:18">
      <c r="M578" s="42"/>
      <c r="N578" s="42"/>
      <c r="O578" s="43"/>
      <c r="P578" s="44"/>
      <c r="Q578" s="35"/>
      <c r="R578" s="45"/>
    </row>
    <row r="579" spans="13:18">
      <c r="M579" s="42"/>
      <c r="N579" s="42"/>
      <c r="O579" s="43"/>
      <c r="P579" s="44"/>
      <c r="Q579" s="35"/>
      <c r="R579" s="45"/>
    </row>
    <row r="580" spans="13:18">
      <c r="M580" s="42"/>
      <c r="N580" s="42"/>
      <c r="O580" s="43"/>
      <c r="P580" s="44"/>
      <c r="Q580" s="35"/>
      <c r="R580" s="45"/>
    </row>
    <row r="581" spans="13:18">
      <c r="M581" s="42"/>
      <c r="N581" s="42"/>
      <c r="O581" s="43"/>
      <c r="P581" s="44"/>
      <c r="Q581" s="35"/>
      <c r="R581" s="45"/>
    </row>
    <row r="582" spans="13:18">
      <c r="M582" s="42"/>
      <c r="N582" s="42"/>
      <c r="O582" s="43"/>
      <c r="P582" s="44"/>
      <c r="Q582" s="35"/>
      <c r="R582" s="45"/>
    </row>
    <row r="583" spans="13:18">
      <c r="M583" s="42"/>
      <c r="N583" s="42"/>
      <c r="O583" s="43"/>
      <c r="P583" s="44"/>
      <c r="Q583" s="35"/>
      <c r="R583" s="45"/>
    </row>
    <row r="584" spans="13:18">
      <c r="M584" s="42"/>
      <c r="N584" s="42"/>
      <c r="O584" s="43"/>
      <c r="P584" s="44"/>
      <c r="Q584" s="35"/>
      <c r="R584" s="45"/>
    </row>
    <row r="585" spans="13:18">
      <c r="M585" s="42"/>
      <c r="N585" s="42"/>
      <c r="O585" s="43"/>
      <c r="P585" s="44"/>
      <c r="Q585" s="35"/>
      <c r="R585" s="45"/>
    </row>
    <row r="586" spans="13:18">
      <c r="M586" s="42"/>
      <c r="N586" s="42"/>
      <c r="O586" s="43"/>
      <c r="P586" s="44"/>
      <c r="Q586" s="35"/>
      <c r="R586" s="45"/>
    </row>
    <row r="587" spans="13:18">
      <c r="M587" s="42"/>
      <c r="N587" s="42"/>
      <c r="O587" s="43"/>
      <c r="P587" s="44"/>
      <c r="Q587" s="35"/>
      <c r="R587" s="45"/>
    </row>
    <row r="588" spans="13:18">
      <c r="M588" s="42"/>
      <c r="N588" s="42"/>
      <c r="O588" s="43"/>
      <c r="P588" s="44"/>
      <c r="Q588" s="35"/>
      <c r="R588" s="45"/>
    </row>
    <row r="589" spans="13:18">
      <c r="M589" s="42"/>
      <c r="N589" s="42"/>
      <c r="O589" s="43"/>
      <c r="P589" s="44"/>
      <c r="Q589" s="35"/>
      <c r="R589" s="45"/>
    </row>
    <row r="590" spans="13:18">
      <c r="M590" s="42"/>
      <c r="N590" s="42"/>
      <c r="O590" s="43"/>
      <c r="P590" s="44"/>
      <c r="Q590" s="35"/>
      <c r="R590" s="45"/>
    </row>
    <row r="591" spans="13:18">
      <c r="M591" s="42"/>
      <c r="N591" s="42"/>
      <c r="O591" s="43"/>
      <c r="P591" s="44"/>
      <c r="Q591" s="35"/>
      <c r="R591" s="45"/>
    </row>
    <row r="592" spans="13:18">
      <c r="M592" s="42"/>
      <c r="N592" s="42"/>
      <c r="O592" s="43"/>
      <c r="P592" s="44"/>
      <c r="Q592" s="35"/>
      <c r="R592" s="45"/>
    </row>
    <row r="593" spans="13:18">
      <c r="M593" s="42"/>
      <c r="N593" s="42"/>
      <c r="O593" s="43"/>
      <c r="P593" s="44"/>
      <c r="Q593" s="35"/>
      <c r="R593" s="45"/>
    </row>
    <row r="594" spans="13:18">
      <c r="M594" s="42"/>
      <c r="N594" s="42"/>
      <c r="O594" s="43"/>
      <c r="P594" s="44"/>
      <c r="Q594" s="35"/>
      <c r="R594" s="45"/>
    </row>
    <row r="595" spans="13:18">
      <c r="M595" s="42"/>
      <c r="N595" s="42"/>
      <c r="O595" s="43"/>
      <c r="P595" s="44"/>
      <c r="Q595" s="35"/>
      <c r="R595" s="45"/>
    </row>
    <row r="596" spans="13:18">
      <c r="M596" s="42"/>
      <c r="N596" s="42"/>
      <c r="O596" s="43"/>
      <c r="P596" s="44"/>
      <c r="Q596" s="35"/>
      <c r="R596" s="45"/>
    </row>
    <row r="597" spans="13:18">
      <c r="M597" s="42"/>
      <c r="N597" s="42"/>
      <c r="O597" s="43"/>
      <c r="P597" s="44"/>
      <c r="Q597" s="35"/>
      <c r="R597" s="45"/>
    </row>
    <row r="598" spans="13:18">
      <c r="M598" s="42"/>
      <c r="N598" s="42"/>
      <c r="O598" s="43"/>
      <c r="P598" s="44"/>
      <c r="Q598" s="35"/>
      <c r="R598" s="45"/>
    </row>
    <row r="599" spans="13:18">
      <c r="M599" s="42"/>
      <c r="N599" s="42"/>
      <c r="O599" s="43"/>
      <c r="P599" s="44"/>
      <c r="Q599" s="35"/>
      <c r="R599" s="45"/>
    </row>
    <row r="600" spans="13:18">
      <c r="M600" s="42"/>
      <c r="N600" s="42"/>
      <c r="O600" s="43"/>
      <c r="P600" s="44"/>
      <c r="Q600" s="35"/>
      <c r="R600" s="45"/>
    </row>
    <row r="601" spans="13:18">
      <c r="M601" s="42"/>
      <c r="N601" s="42"/>
      <c r="O601" s="43"/>
      <c r="P601" s="44"/>
      <c r="Q601" s="35"/>
      <c r="R601" s="45"/>
    </row>
    <row r="602" spans="13:18">
      <c r="M602" s="42"/>
      <c r="N602" s="42"/>
      <c r="O602" s="43"/>
      <c r="P602" s="44"/>
      <c r="Q602" s="35"/>
      <c r="R602" s="45"/>
    </row>
    <row r="603" spans="13:18">
      <c r="M603" s="42"/>
      <c r="N603" s="42"/>
      <c r="O603" s="43"/>
      <c r="P603" s="44"/>
      <c r="Q603" s="35"/>
      <c r="R603" s="45"/>
    </row>
    <row r="604" spans="13:18">
      <c r="M604" s="42"/>
      <c r="N604" s="42"/>
      <c r="O604" s="43"/>
      <c r="P604" s="44"/>
      <c r="Q604" s="35"/>
      <c r="R604" s="45"/>
    </row>
    <row r="605" spans="13:18">
      <c r="M605" s="42"/>
      <c r="N605" s="42"/>
      <c r="O605" s="43"/>
      <c r="P605" s="44"/>
      <c r="Q605" s="35"/>
      <c r="R605" s="45"/>
    </row>
    <row r="606" spans="13:18">
      <c r="M606" s="42"/>
      <c r="N606" s="42"/>
      <c r="O606" s="43"/>
      <c r="P606" s="44"/>
      <c r="Q606" s="35"/>
      <c r="R606" s="45"/>
    </row>
    <row r="607" spans="13:18">
      <c r="M607" s="42"/>
      <c r="N607" s="42"/>
      <c r="O607" s="43"/>
      <c r="P607" s="44"/>
      <c r="Q607" s="35"/>
      <c r="R607" s="45"/>
    </row>
    <row r="608" spans="13:18">
      <c r="M608" s="42"/>
      <c r="N608" s="42"/>
      <c r="O608" s="43"/>
      <c r="P608" s="44"/>
      <c r="Q608" s="35"/>
      <c r="R608" s="45"/>
    </row>
    <row r="609" spans="13:18">
      <c r="M609" s="42"/>
      <c r="N609" s="42"/>
      <c r="O609" s="43"/>
      <c r="P609" s="44"/>
      <c r="Q609" s="35"/>
      <c r="R609" s="45"/>
    </row>
    <row r="610" spans="13:18">
      <c r="M610" s="42"/>
      <c r="N610" s="42"/>
      <c r="O610" s="43"/>
      <c r="P610" s="44"/>
      <c r="Q610" s="35"/>
      <c r="R610" s="45"/>
    </row>
    <row r="611" spans="13:18">
      <c r="M611" s="42"/>
      <c r="N611" s="42"/>
      <c r="O611" s="43"/>
      <c r="P611" s="44"/>
      <c r="Q611" s="35"/>
      <c r="R611" s="45"/>
    </row>
    <row r="612" spans="13:18">
      <c r="M612" s="42"/>
      <c r="N612" s="42"/>
      <c r="O612" s="43"/>
      <c r="P612" s="44"/>
      <c r="Q612" s="35"/>
      <c r="R612" s="45"/>
    </row>
    <row r="613" spans="13:18">
      <c r="M613" s="42"/>
      <c r="N613" s="42"/>
      <c r="O613" s="43"/>
      <c r="P613" s="44"/>
      <c r="Q613" s="35"/>
      <c r="R613" s="45"/>
    </row>
    <row r="614" spans="13:18">
      <c r="M614" s="42"/>
      <c r="N614" s="42"/>
      <c r="O614" s="43"/>
      <c r="P614" s="44"/>
      <c r="Q614" s="35"/>
      <c r="R614" s="45"/>
    </row>
    <row r="615" spans="13:18">
      <c r="M615" s="42"/>
      <c r="N615" s="42"/>
      <c r="O615" s="43"/>
      <c r="P615" s="44"/>
      <c r="Q615" s="35"/>
      <c r="R615" s="45"/>
    </row>
    <row r="616" spans="13:18">
      <c r="M616" s="42"/>
      <c r="N616" s="42"/>
      <c r="O616" s="43"/>
      <c r="P616" s="44"/>
      <c r="Q616" s="35"/>
      <c r="R616" s="45"/>
    </row>
    <row r="617" spans="13:18">
      <c r="M617" s="42"/>
      <c r="N617" s="42"/>
      <c r="O617" s="43"/>
      <c r="P617" s="44"/>
      <c r="Q617" s="35"/>
      <c r="R617" s="45"/>
    </row>
    <row r="618" spans="13:18">
      <c r="M618" s="42"/>
      <c r="N618" s="42"/>
      <c r="O618" s="43"/>
      <c r="P618" s="44"/>
      <c r="Q618" s="35"/>
      <c r="R618" s="45"/>
    </row>
    <row r="619" spans="13:18">
      <c r="M619" s="42"/>
      <c r="N619" s="42"/>
      <c r="O619" s="43"/>
      <c r="P619" s="44"/>
      <c r="Q619" s="35"/>
      <c r="R619" s="45"/>
    </row>
    <row r="620" spans="13:18">
      <c r="M620" s="42"/>
      <c r="N620" s="42"/>
      <c r="O620" s="43"/>
      <c r="P620" s="44"/>
      <c r="Q620" s="35"/>
      <c r="R620" s="45"/>
    </row>
    <row r="621" spans="13:18">
      <c r="M621" s="42"/>
      <c r="N621" s="42"/>
      <c r="O621" s="43"/>
      <c r="P621" s="44"/>
      <c r="Q621" s="35"/>
      <c r="R621" s="45"/>
    </row>
    <row r="622" spans="13:18">
      <c r="M622" s="42"/>
      <c r="N622" s="42"/>
      <c r="O622" s="43"/>
      <c r="P622" s="44"/>
      <c r="Q622" s="35"/>
      <c r="R622" s="45"/>
    </row>
    <row r="623" spans="13:18">
      <c r="M623" s="42"/>
      <c r="N623" s="42"/>
      <c r="O623" s="43"/>
      <c r="P623" s="44"/>
      <c r="Q623" s="35"/>
      <c r="R623" s="45"/>
    </row>
    <row r="624" spans="13:18">
      <c r="M624" s="42"/>
      <c r="N624" s="42"/>
      <c r="O624" s="43"/>
      <c r="P624" s="44"/>
      <c r="Q624" s="35"/>
      <c r="R624" s="45"/>
    </row>
    <row r="625" spans="13:18">
      <c r="M625" s="42"/>
      <c r="N625" s="42"/>
      <c r="O625" s="43"/>
      <c r="P625" s="44"/>
      <c r="Q625" s="35"/>
      <c r="R625" s="45"/>
    </row>
    <row r="626" spans="13:18">
      <c r="M626" s="42"/>
      <c r="N626" s="42"/>
      <c r="O626" s="43"/>
      <c r="P626" s="44"/>
      <c r="Q626" s="35"/>
      <c r="R626" s="45"/>
    </row>
    <row r="627" spans="13:18">
      <c r="M627" s="42"/>
      <c r="N627" s="42"/>
      <c r="O627" s="43"/>
      <c r="P627" s="44"/>
      <c r="Q627" s="35"/>
      <c r="R627" s="45"/>
    </row>
    <row r="628" spans="13:18">
      <c r="M628" s="42"/>
      <c r="N628" s="42"/>
      <c r="O628" s="43"/>
      <c r="P628" s="44"/>
      <c r="Q628" s="35"/>
      <c r="R628" s="45"/>
    </row>
    <row r="629" spans="13:18">
      <c r="M629" s="42"/>
      <c r="N629" s="42"/>
      <c r="O629" s="43"/>
      <c r="P629" s="44"/>
      <c r="Q629" s="35"/>
      <c r="R629" s="45"/>
    </row>
    <row r="630" spans="13:18">
      <c r="M630" s="42"/>
      <c r="N630" s="42"/>
      <c r="O630" s="43"/>
      <c r="P630" s="44"/>
      <c r="Q630" s="35"/>
      <c r="R630" s="45"/>
    </row>
    <row r="631" spans="13:18">
      <c r="M631" s="42"/>
      <c r="N631" s="42"/>
      <c r="O631" s="43"/>
      <c r="P631" s="44"/>
      <c r="Q631" s="35"/>
      <c r="R631" s="45"/>
    </row>
    <row r="632" spans="13:18">
      <c r="M632" s="42"/>
      <c r="N632" s="42"/>
      <c r="O632" s="43"/>
      <c r="P632" s="44"/>
      <c r="Q632" s="35"/>
      <c r="R632" s="45"/>
    </row>
    <row r="633" spans="13:18">
      <c r="M633" s="42"/>
      <c r="N633" s="42"/>
      <c r="O633" s="43"/>
      <c r="P633" s="44"/>
      <c r="Q633" s="35"/>
      <c r="R633" s="45"/>
    </row>
    <row r="634" spans="13:18">
      <c r="M634" s="42"/>
      <c r="N634" s="42"/>
      <c r="O634" s="43"/>
      <c r="P634" s="44"/>
      <c r="Q634" s="35"/>
      <c r="R634" s="45"/>
    </row>
    <row r="635" spans="13:18">
      <c r="M635" s="42"/>
      <c r="N635" s="42"/>
      <c r="O635" s="43"/>
      <c r="P635" s="44"/>
      <c r="Q635" s="35"/>
      <c r="R635" s="45"/>
    </row>
    <row r="636" spans="13:18">
      <c r="M636" s="42"/>
      <c r="N636" s="42"/>
      <c r="O636" s="43"/>
      <c r="P636" s="44"/>
      <c r="Q636" s="35"/>
      <c r="R636" s="45"/>
    </row>
    <row r="637" spans="13:18">
      <c r="M637" s="42"/>
      <c r="N637" s="42"/>
      <c r="O637" s="43"/>
      <c r="P637" s="44"/>
      <c r="Q637" s="35"/>
      <c r="R637" s="45"/>
    </row>
    <row r="638" spans="13:18">
      <c r="M638" s="42"/>
      <c r="N638" s="42"/>
      <c r="O638" s="43"/>
      <c r="P638" s="44"/>
      <c r="Q638" s="35"/>
      <c r="R638" s="45"/>
    </row>
    <row r="639" spans="13:18">
      <c r="M639" s="42"/>
      <c r="N639" s="42"/>
      <c r="O639" s="43"/>
      <c r="P639" s="44"/>
      <c r="Q639" s="35"/>
      <c r="R639" s="45"/>
    </row>
    <row r="640" spans="13:18">
      <c r="M640" s="42"/>
      <c r="N640" s="42"/>
      <c r="O640" s="43"/>
      <c r="P640" s="44"/>
      <c r="Q640" s="35"/>
      <c r="R640" s="45"/>
    </row>
    <row r="641" spans="13:18">
      <c r="M641" s="42"/>
      <c r="N641" s="42"/>
      <c r="O641" s="43"/>
      <c r="P641" s="44"/>
      <c r="Q641" s="35"/>
      <c r="R641" s="45"/>
    </row>
    <row r="642" spans="13:18">
      <c r="M642" s="42"/>
      <c r="N642" s="42"/>
      <c r="O642" s="43"/>
      <c r="P642" s="44"/>
      <c r="Q642" s="35"/>
      <c r="R642" s="45"/>
    </row>
    <row r="643" spans="13:18">
      <c r="M643" s="42"/>
      <c r="N643" s="42"/>
      <c r="O643" s="43"/>
      <c r="P643" s="44"/>
      <c r="Q643" s="35"/>
      <c r="R643" s="45"/>
    </row>
    <row r="644" spans="13:18">
      <c r="M644" s="42"/>
      <c r="N644" s="42"/>
      <c r="O644" s="43"/>
      <c r="P644" s="44"/>
      <c r="Q644" s="35"/>
      <c r="R644" s="45"/>
    </row>
    <row r="645" spans="13:18">
      <c r="M645" s="42"/>
      <c r="N645" s="42"/>
      <c r="O645" s="43"/>
      <c r="P645" s="44"/>
      <c r="Q645" s="35"/>
      <c r="R645" s="45"/>
    </row>
    <row r="646" spans="13:18">
      <c r="M646" s="42"/>
      <c r="N646" s="42"/>
      <c r="O646" s="43"/>
      <c r="P646" s="44"/>
      <c r="Q646" s="35"/>
      <c r="R646" s="45"/>
    </row>
    <row r="647" spans="13:18">
      <c r="M647" s="42"/>
      <c r="N647" s="42"/>
      <c r="O647" s="43"/>
      <c r="P647" s="44"/>
      <c r="Q647" s="35"/>
      <c r="R647" s="45"/>
    </row>
    <row r="648" spans="13:18">
      <c r="M648" s="42"/>
      <c r="N648" s="42"/>
      <c r="O648" s="43"/>
      <c r="P648" s="44"/>
      <c r="Q648" s="35"/>
      <c r="R648" s="45"/>
    </row>
    <row r="649" spans="13:18">
      <c r="M649" s="42"/>
      <c r="N649" s="42"/>
      <c r="O649" s="43"/>
      <c r="P649" s="44"/>
      <c r="Q649" s="35"/>
      <c r="R649" s="45"/>
    </row>
    <row r="650" spans="13:18">
      <c r="M650" s="42"/>
      <c r="N650" s="42"/>
      <c r="O650" s="43"/>
      <c r="P650" s="44"/>
      <c r="Q650" s="35"/>
      <c r="R650" s="45"/>
    </row>
    <row r="651" spans="13:18">
      <c r="M651" s="42"/>
      <c r="N651" s="42"/>
      <c r="O651" s="43"/>
      <c r="P651" s="44"/>
      <c r="Q651" s="35"/>
      <c r="R651" s="45"/>
    </row>
    <row r="652" spans="13:18">
      <c r="M652" s="42"/>
      <c r="N652" s="42"/>
      <c r="O652" s="43"/>
      <c r="P652" s="44"/>
      <c r="Q652" s="35"/>
      <c r="R652" s="45"/>
    </row>
    <row r="653" spans="13:18">
      <c r="M653" s="42"/>
      <c r="N653" s="42"/>
      <c r="O653" s="43"/>
      <c r="P653" s="44"/>
      <c r="Q653" s="35"/>
      <c r="R653" s="45"/>
    </row>
    <row r="654" spans="13:18">
      <c r="M654" s="42"/>
      <c r="N654" s="42"/>
      <c r="O654" s="43"/>
      <c r="P654" s="44"/>
      <c r="Q654" s="35"/>
      <c r="R654" s="45"/>
    </row>
    <row r="655" spans="13:18">
      <c r="M655" s="42"/>
      <c r="N655" s="42"/>
      <c r="O655" s="43"/>
      <c r="P655" s="44"/>
      <c r="Q655" s="35"/>
      <c r="R655" s="45"/>
    </row>
    <row r="656" spans="13:18">
      <c r="M656" s="42"/>
      <c r="N656" s="42"/>
      <c r="O656" s="43"/>
      <c r="P656" s="44"/>
      <c r="Q656" s="35"/>
      <c r="R656" s="45"/>
    </row>
    <row r="657" spans="13:18">
      <c r="M657" s="42"/>
      <c r="N657" s="42"/>
      <c r="O657" s="43"/>
      <c r="P657" s="44"/>
      <c r="Q657" s="35"/>
      <c r="R657" s="45"/>
    </row>
    <row r="658" spans="13:18">
      <c r="M658" s="42"/>
      <c r="N658" s="42"/>
      <c r="O658" s="43"/>
      <c r="P658" s="44"/>
      <c r="Q658" s="35"/>
      <c r="R658" s="45"/>
    </row>
    <row r="659" spans="13:18">
      <c r="M659" s="42"/>
      <c r="N659" s="42"/>
      <c r="O659" s="43"/>
      <c r="P659" s="44"/>
      <c r="Q659" s="35"/>
      <c r="R659" s="45"/>
    </row>
    <row r="660" spans="13:18">
      <c r="M660" s="42"/>
      <c r="N660" s="42"/>
      <c r="O660" s="43"/>
      <c r="P660" s="44"/>
      <c r="Q660" s="35"/>
      <c r="R660" s="45"/>
    </row>
    <row r="661" spans="13:18">
      <c r="M661" s="42"/>
      <c r="N661" s="42"/>
      <c r="O661" s="43"/>
      <c r="P661" s="44"/>
      <c r="Q661" s="35"/>
      <c r="R661" s="45"/>
    </row>
    <row r="662" spans="13:18">
      <c r="M662" s="42"/>
      <c r="N662" s="42"/>
      <c r="O662" s="43"/>
      <c r="P662" s="44"/>
      <c r="Q662" s="35"/>
      <c r="R662" s="45"/>
    </row>
    <row r="663" spans="13:18">
      <c r="M663" s="42"/>
      <c r="N663" s="42"/>
      <c r="O663" s="43"/>
      <c r="P663" s="44"/>
      <c r="Q663" s="35"/>
      <c r="R663" s="45"/>
    </row>
    <row r="664" spans="13:18">
      <c r="M664" s="42"/>
      <c r="N664" s="42"/>
      <c r="O664" s="43"/>
      <c r="P664" s="44"/>
      <c r="Q664" s="35"/>
      <c r="R664" s="45"/>
    </row>
    <row r="665" spans="13:18">
      <c r="M665" s="42"/>
      <c r="N665" s="42"/>
      <c r="O665" s="43"/>
      <c r="P665" s="44"/>
      <c r="Q665" s="35"/>
      <c r="R665" s="45"/>
    </row>
    <row r="666" spans="13:18">
      <c r="M666" s="42"/>
      <c r="N666" s="42"/>
      <c r="O666" s="43"/>
      <c r="P666" s="44"/>
      <c r="Q666" s="35"/>
      <c r="R666" s="45"/>
    </row>
    <row r="667" spans="13:18">
      <c r="M667" s="42"/>
      <c r="N667" s="42"/>
      <c r="O667" s="43"/>
      <c r="P667" s="44"/>
      <c r="Q667" s="35"/>
      <c r="R667" s="45"/>
    </row>
    <row r="668" spans="13:18">
      <c r="M668" s="42"/>
      <c r="N668" s="42"/>
      <c r="O668" s="43"/>
      <c r="P668" s="44"/>
      <c r="Q668" s="35"/>
      <c r="R668" s="45"/>
    </row>
    <row r="669" spans="13:18">
      <c r="M669" s="42"/>
      <c r="N669" s="42"/>
      <c r="O669" s="43"/>
      <c r="P669" s="44"/>
      <c r="Q669" s="35"/>
      <c r="R669" s="45"/>
    </row>
    <row r="670" spans="13:18">
      <c r="M670" s="42"/>
      <c r="N670" s="42"/>
      <c r="O670" s="43"/>
      <c r="P670" s="44"/>
      <c r="Q670" s="35"/>
      <c r="R670" s="45"/>
    </row>
    <row r="671" spans="13:18">
      <c r="M671" s="42"/>
      <c r="N671" s="42"/>
      <c r="O671" s="43"/>
      <c r="P671" s="44"/>
      <c r="Q671" s="35"/>
      <c r="R671" s="45"/>
    </row>
    <row r="672" spans="13:18">
      <c r="M672" s="42"/>
      <c r="N672" s="42"/>
      <c r="O672" s="43"/>
      <c r="P672" s="44"/>
      <c r="Q672" s="35"/>
      <c r="R672" s="45"/>
    </row>
    <row r="673" spans="13:18">
      <c r="M673" s="42"/>
      <c r="N673" s="42"/>
      <c r="O673" s="43"/>
      <c r="P673" s="44"/>
      <c r="Q673" s="35"/>
      <c r="R673" s="45"/>
    </row>
    <row r="674" spans="13:18">
      <c r="M674" s="42"/>
      <c r="N674" s="42"/>
      <c r="O674" s="43"/>
      <c r="P674" s="44"/>
      <c r="Q674" s="35"/>
      <c r="R674" s="45"/>
    </row>
    <row r="675" spans="13:18">
      <c r="M675" s="42"/>
      <c r="N675" s="42"/>
      <c r="O675" s="43"/>
      <c r="P675" s="44"/>
      <c r="Q675" s="35"/>
      <c r="R675" s="45"/>
    </row>
    <row r="676" spans="13:18">
      <c r="M676" s="42"/>
      <c r="N676" s="42"/>
      <c r="O676" s="43"/>
      <c r="P676" s="44"/>
      <c r="Q676" s="35"/>
      <c r="R676" s="45"/>
    </row>
    <row r="677" spans="13:18">
      <c r="M677" s="42"/>
      <c r="N677" s="42"/>
      <c r="O677" s="43"/>
      <c r="P677" s="44"/>
      <c r="Q677" s="35"/>
      <c r="R677" s="45"/>
    </row>
    <row r="678" spans="13:18">
      <c r="M678" s="42"/>
      <c r="N678" s="42"/>
      <c r="O678" s="43"/>
      <c r="P678" s="44"/>
      <c r="Q678" s="35"/>
      <c r="R678" s="45"/>
    </row>
    <row r="679" spans="13:18">
      <c r="M679" s="42"/>
      <c r="N679" s="42"/>
      <c r="O679" s="43"/>
      <c r="P679" s="44"/>
      <c r="Q679" s="35"/>
      <c r="R679" s="45"/>
    </row>
    <row r="680" spans="13:18">
      <c r="M680" s="42"/>
      <c r="N680" s="42"/>
      <c r="O680" s="43"/>
      <c r="P680" s="44"/>
      <c r="Q680" s="35"/>
      <c r="R680" s="45"/>
    </row>
    <row r="681" spans="13:18">
      <c r="M681" s="42"/>
      <c r="N681" s="42"/>
      <c r="O681" s="43"/>
      <c r="P681" s="44"/>
      <c r="Q681" s="35"/>
      <c r="R681" s="45"/>
    </row>
    <row r="682" spans="13:18">
      <c r="M682" s="42"/>
      <c r="N682" s="42"/>
      <c r="O682" s="43"/>
      <c r="P682" s="44"/>
      <c r="Q682" s="35"/>
      <c r="R682" s="45"/>
    </row>
    <row r="683" spans="13:18">
      <c r="M683" s="42"/>
      <c r="N683" s="42"/>
      <c r="O683" s="43"/>
      <c r="P683" s="44"/>
      <c r="Q683" s="35"/>
      <c r="R683" s="45"/>
    </row>
    <row r="684" spans="13:18">
      <c r="M684" s="42"/>
      <c r="N684" s="42"/>
      <c r="O684" s="43"/>
      <c r="P684" s="44"/>
      <c r="Q684" s="35"/>
      <c r="R684" s="45"/>
    </row>
    <row r="685" spans="13:18">
      <c r="M685" s="42"/>
      <c r="N685" s="42"/>
      <c r="O685" s="43"/>
      <c r="P685" s="44"/>
      <c r="Q685" s="35"/>
      <c r="R685" s="45"/>
    </row>
    <row r="686" spans="13:18">
      <c r="M686" s="42"/>
      <c r="N686" s="42"/>
      <c r="O686" s="43"/>
      <c r="P686" s="44"/>
      <c r="Q686" s="35"/>
      <c r="R686" s="45"/>
    </row>
    <row r="687" spans="13:18">
      <c r="M687" s="42"/>
      <c r="N687" s="42"/>
      <c r="O687" s="43"/>
      <c r="P687" s="44"/>
      <c r="Q687" s="35"/>
      <c r="R687" s="45"/>
    </row>
    <row r="688" spans="13:18">
      <c r="M688" s="42"/>
      <c r="N688" s="42"/>
      <c r="O688" s="43"/>
      <c r="P688" s="44"/>
      <c r="Q688" s="35"/>
      <c r="R688" s="45"/>
    </row>
    <row r="689" spans="13:18">
      <c r="M689" s="42"/>
      <c r="N689" s="42"/>
      <c r="O689" s="43"/>
      <c r="P689" s="44"/>
      <c r="Q689" s="35"/>
      <c r="R689" s="45"/>
    </row>
    <row r="690" spans="13:18">
      <c r="M690" s="42"/>
      <c r="N690" s="42"/>
      <c r="O690" s="43"/>
      <c r="P690" s="44"/>
      <c r="Q690" s="35"/>
      <c r="R690" s="45"/>
    </row>
    <row r="691" spans="13:18">
      <c r="M691" s="42"/>
      <c r="N691" s="42"/>
      <c r="O691" s="43"/>
      <c r="P691" s="44"/>
      <c r="Q691" s="35"/>
      <c r="R691" s="45"/>
    </row>
    <row r="692" spans="13:18">
      <c r="M692" s="42"/>
      <c r="N692" s="42"/>
      <c r="O692" s="43"/>
      <c r="P692" s="44"/>
      <c r="Q692" s="35"/>
      <c r="R692" s="45"/>
    </row>
    <row r="693" spans="13:18">
      <c r="M693" s="42"/>
      <c r="N693" s="42"/>
      <c r="O693" s="43"/>
      <c r="P693" s="44"/>
      <c r="Q693" s="35"/>
      <c r="R693" s="45"/>
    </row>
    <row r="694" spans="13:18">
      <c r="M694" s="42"/>
      <c r="N694" s="42"/>
      <c r="O694" s="43"/>
      <c r="P694" s="44"/>
      <c r="Q694" s="35"/>
      <c r="R694" s="45"/>
    </row>
    <row r="695" spans="13:18">
      <c r="M695" s="42"/>
      <c r="N695" s="42"/>
      <c r="O695" s="43"/>
      <c r="P695" s="44"/>
      <c r="Q695" s="35"/>
      <c r="R695" s="45"/>
    </row>
    <row r="696" spans="13:18">
      <c r="M696" s="42"/>
      <c r="N696" s="42"/>
      <c r="O696" s="43"/>
      <c r="P696" s="44"/>
      <c r="Q696" s="35"/>
      <c r="R696" s="45"/>
    </row>
    <row r="697" spans="13:18">
      <c r="M697" s="42"/>
      <c r="N697" s="42"/>
      <c r="O697" s="43"/>
      <c r="P697" s="44"/>
      <c r="Q697" s="35"/>
      <c r="R697" s="45"/>
    </row>
    <row r="698" spans="13:18">
      <c r="M698" s="42"/>
      <c r="N698" s="42"/>
      <c r="O698" s="43"/>
      <c r="P698" s="44"/>
      <c r="Q698" s="35"/>
      <c r="R698" s="45"/>
    </row>
    <row r="699" spans="13:18">
      <c r="M699" s="42"/>
      <c r="N699" s="42"/>
      <c r="O699" s="43"/>
      <c r="P699" s="44"/>
      <c r="Q699" s="35"/>
      <c r="R699" s="45"/>
    </row>
    <row r="700" spans="13:18">
      <c r="M700" s="42"/>
      <c r="N700" s="42"/>
      <c r="O700" s="43"/>
      <c r="P700" s="44"/>
      <c r="Q700" s="35"/>
      <c r="R700" s="45"/>
    </row>
    <row r="701" spans="13:18">
      <c r="M701" s="42"/>
      <c r="N701" s="42"/>
      <c r="O701" s="43"/>
      <c r="P701" s="44"/>
      <c r="Q701" s="35"/>
      <c r="R701" s="45"/>
    </row>
    <row r="702" spans="13:18">
      <c r="M702" s="42"/>
      <c r="N702" s="42"/>
      <c r="O702" s="43"/>
      <c r="P702" s="44"/>
      <c r="Q702" s="35"/>
      <c r="R702" s="45"/>
    </row>
    <row r="703" spans="13:18">
      <c r="M703" s="42"/>
      <c r="N703" s="42"/>
      <c r="O703" s="43"/>
      <c r="P703" s="44"/>
      <c r="Q703" s="35"/>
      <c r="R703" s="45"/>
    </row>
    <row r="704" spans="13:18">
      <c r="M704" s="42"/>
      <c r="N704" s="42"/>
      <c r="O704" s="43"/>
      <c r="P704" s="44"/>
      <c r="Q704" s="35"/>
      <c r="R704" s="45"/>
    </row>
    <row r="705" spans="13:18">
      <c r="M705" s="42"/>
      <c r="N705" s="42"/>
      <c r="O705" s="43"/>
      <c r="P705" s="44"/>
      <c r="Q705" s="35"/>
      <c r="R705" s="45"/>
    </row>
    <row r="706" spans="13:18">
      <c r="M706" s="42"/>
      <c r="N706" s="42"/>
      <c r="O706" s="43"/>
      <c r="P706" s="44"/>
      <c r="Q706" s="35"/>
      <c r="R706" s="45"/>
    </row>
    <row r="707" spans="13:18">
      <c r="M707" s="42"/>
      <c r="N707" s="42"/>
      <c r="O707" s="43"/>
      <c r="P707" s="44"/>
      <c r="Q707" s="35"/>
      <c r="R707" s="45"/>
    </row>
    <row r="708" spans="13:18">
      <c r="M708" s="42"/>
      <c r="N708" s="42"/>
      <c r="O708" s="43"/>
      <c r="P708" s="44"/>
      <c r="Q708" s="35"/>
      <c r="R708" s="45"/>
    </row>
    <row r="709" spans="13:18">
      <c r="M709" s="42"/>
      <c r="N709" s="42"/>
      <c r="O709" s="43"/>
      <c r="P709" s="44"/>
      <c r="Q709" s="35"/>
      <c r="R709" s="45"/>
    </row>
    <row r="710" spans="13:18">
      <c r="M710" s="42"/>
      <c r="N710" s="42"/>
      <c r="O710" s="43"/>
      <c r="P710" s="44"/>
      <c r="Q710" s="35"/>
      <c r="R710" s="45"/>
    </row>
    <row r="711" spans="13:18">
      <c r="M711" s="42"/>
      <c r="N711" s="42"/>
      <c r="O711" s="43"/>
      <c r="P711" s="44"/>
      <c r="Q711" s="35"/>
      <c r="R711" s="45"/>
    </row>
    <row r="712" spans="13:18">
      <c r="M712" s="42"/>
      <c r="N712" s="42"/>
      <c r="O712" s="43"/>
      <c r="P712" s="44"/>
      <c r="Q712" s="35"/>
      <c r="R712" s="45"/>
    </row>
    <row r="713" spans="13:18">
      <c r="M713" s="42"/>
      <c r="N713" s="42"/>
      <c r="O713" s="43"/>
      <c r="P713" s="44"/>
      <c r="Q713" s="35"/>
      <c r="R713" s="45"/>
    </row>
    <row r="714" spans="13:18">
      <c r="M714" s="42"/>
      <c r="N714" s="42"/>
      <c r="O714" s="43"/>
      <c r="P714" s="44"/>
      <c r="Q714" s="35"/>
      <c r="R714" s="45"/>
    </row>
    <row r="715" spans="13:18">
      <c r="M715" s="42"/>
      <c r="N715" s="42"/>
      <c r="O715" s="43"/>
      <c r="P715" s="44"/>
      <c r="Q715" s="35"/>
      <c r="R715" s="45"/>
    </row>
    <row r="716" spans="13:18">
      <c r="M716" s="42"/>
      <c r="N716" s="42"/>
      <c r="O716" s="43"/>
      <c r="P716" s="44"/>
      <c r="Q716" s="35"/>
      <c r="R716" s="45"/>
    </row>
    <row r="717" spans="13:18">
      <c r="M717" s="42"/>
      <c r="N717" s="42"/>
      <c r="O717" s="43"/>
      <c r="P717" s="44"/>
      <c r="Q717" s="35"/>
      <c r="R717" s="45"/>
    </row>
    <row r="718" spans="13:18">
      <c r="M718" s="42"/>
      <c r="N718" s="42"/>
      <c r="O718" s="43"/>
      <c r="P718" s="44"/>
      <c r="Q718" s="35"/>
      <c r="R718" s="45"/>
    </row>
    <row r="719" spans="13:18">
      <c r="M719" s="42"/>
      <c r="N719" s="42"/>
      <c r="O719" s="43"/>
      <c r="P719" s="44"/>
      <c r="Q719" s="35"/>
      <c r="R719" s="45"/>
    </row>
    <row r="720" spans="13:18">
      <c r="M720" s="42"/>
      <c r="N720" s="42"/>
      <c r="O720" s="43"/>
      <c r="P720" s="44"/>
      <c r="Q720" s="35"/>
      <c r="R720" s="45"/>
    </row>
    <row r="721" spans="13:18">
      <c r="M721" s="42"/>
      <c r="N721" s="42"/>
      <c r="O721" s="43"/>
      <c r="P721" s="44"/>
      <c r="Q721" s="35"/>
      <c r="R721" s="45"/>
    </row>
    <row r="722" spans="13:18">
      <c r="M722" s="42"/>
      <c r="N722" s="42"/>
      <c r="O722" s="43"/>
      <c r="P722" s="44"/>
      <c r="Q722" s="35"/>
      <c r="R722" s="45"/>
    </row>
    <row r="723" spans="13:18">
      <c r="M723" s="42"/>
      <c r="N723" s="42"/>
      <c r="O723" s="43"/>
      <c r="P723" s="44"/>
      <c r="Q723" s="35"/>
      <c r="R723" s="45"/>
    </row>
    <row r="724" spans="13:18">
      <c r="M724" s="42"/>
      <c r="N724" s="42"/>
      <c r="O724" s="43"/>
      <c r="P724" s="44"/>
      <c r="Q724" s="35"/>
      <c r="R724" s="45"/>
    </row>
    <row r="725" spans="13:18">
      <c r="M725" s="42"/>
      <c r="N725" s="42"/>
      <c r="O725" s="43"/>
      <c r="P725" s="44"/>
      <c r="Q725" s="35"/>
      <c r="R725" s="45"/>
    </row>
    <row r="726" spans="13:18">
      <c r="M726" s="42"/>
      <c r="N726" s="42"/>
      <c r="O726" s="43"/>
      <c r="P726" s="44"/>
      <c r="Q726" s="35"/>
      <c r="R726" s="45"/>
    </row>
    <row r="727" spans="13:18">
      <c r="M727" s="42"/>
      <c r="N727" s="42"/>
      <c r="O727" s="43"/>
      <c r="P727" s="44"/>
      <c r="Q727" s="35"/>
      <c r="R727" s="45"/>
    </row>
    <row r="728" spans="13:18">
      <c r="M728" s="42"/>
      <c r="N728" s="42"/>
      <c r="O728" s="43"/>
      <c r="P728" s="44"/>
      <c r="Q728" s="35"/>
      <c r="R728" s="45"/>
    </row>
    <row r="729" spans="13:18">
      <c r="M729" s="42"/>
      <c r="N729" s="42"/>
      <c r="O729" s="43"/>
      <c r="P729" s="44"/>
      <c r="Q729" s="35"/>
      <c r="R729" s="45"/>
    </row>
    <row r="730" spans="13:18">
      <c r="M730" s="42"/>
      <c r="N730" s="42"/>
      <c r="O730" s="43"/>
      <c r="P730" s="44"/>
      <c r="Q730" s="35"/>
      <c r="R730" s="45"/>
    </row>
    <row r="731" spans="13:18">
      <c r="M731" s="42"/>
      <c r="N731" s="42"/>
      <c r="O731" s="43"/>
      <c r="P731" s="44"/>
      <c r="Q731" s="35"/>
      <c r="R731" s="45"/>
    </row>
    <row r="732" spans="13:18">
      <c r="M732" s="42"/>
      <c r="N732" s="42"/>
      <c r="O732" s="43"/>
      <c r="P732" s="44"/>
      <c r="Q732" s="35"/>
      <c r="R732" s="45"/>
    </row>
    <row r="733" spans="13:18">
      <c r="M733" s="42"/>
      <c r="N733" s="42"/>
      <c r="O733" s="43"/>
      <c r="P733" s="44"/>
      <c r="Q733" s="35"/>
      <c r="R733" s="45"/>
    </row>
    <row r="734" spans="13:18">
      <c r="M734" s="42"/>
      <c r="N734" s="42"/>
      <c r="O734" s="43"/>
      <c r="P734" s="44"/>
      <c r="Q734" s="35"/>
      <c r="R734" s="45"/>
    </row>
    <row r="735" spans="13:18">
      <c r="M735" s="42"/>
      <c r="N735" s="42"/>
      <c r="O735" s="43"/>
      <c r="P735" s="44"/>
      <c r="Q735" s="35"/>
      <c r="R735" s="45"/>
    </row>
    <row r="736" spans="13:18">
      <c r="M736" s="42"/>
      <c r="N736" s="42"/>
      <c r="O736" s="43"/>
      <c r="P736" s="44"/>
      <c r="Q736" s="35"/>
      <c r="R736" s="45"/>
    </row>
    <row r="737" spans="13:18">
      <c r="M737" s="42"/>
      <c r="N737" s="42"/>
      <c r="O737" s="43"/>
      <c r="P737" s="44"/>
      <c r="Q737" s="35"/>
      <c r="R737" s="45"/>
    </row>
    <row r="738" spans="13:18">
      <c r="M738" s="42"/>
      <c r="N738" s="42"/>
      <c r="O738" s="43"/>
      <c r="P738" s="44"/>
      <c r="Q738" s="35"/>
      <c r="R738" s="45"/>
    </row>
    <row r="739" spans="13:18">
      <c r="M739" s="42"/>
      <c r="N739" s="42"/>
      <c r="O739" s="43"/>
      <c r="P739" s="44"/>
      <c r="Q739" s="35"/>
      <c r="R739" s="45"/>
    </row>
    <row r="740" spans="13:18">
      <c r="M740" s="42"/>
      <c r="N740" s="42"/>
      <c r="O740" s="43"/>
      <c r="P740" s="44"/>
      <c r="Q740" s="35"/>
      <c r="R740" s="45"/>
    </row>
    <row r="741" spans="13:18">
      <c r="M741" s="42"/>
      <c r="N741" s="42"/>
      <c r="O741" s="43"/>
      <c r="P741" s="44"/>
      <c r="Q741" s="35"/>
      <c r="R741" s="45"/>
    </row>
    <row r="742" spans="13:18">
      <c r="M742" s="42"/>
      <c r="N742" s="42"/>
      <c r="O742" s="43"/>
      <c r="P742" s="44"/>
      <c r="Q742" s="35"/>
      <c r="R742" s="45"/>
    </row>
    <row r="743" spans="13:18">
      <c r="M743" s="42"/>
      <c r="N743" s="42"/>
      <c r="O743" s="43"/>
      <c r="P743" s="44"/>
      <c r="Q743" s="35"/>
      <c r="R743" s="45"/>
    </row>
    <row r="744" spans="13:18">
      <c r="M744" s="42"/>
      <c r="N744" s="42"/>
      <c r="O744" s="43"/>
      <c r="P744" s="44"/>
      <c r="Q744" s="35"/>
      <c r="R744" s="45"/>
    </row>
    <row r="745" spans="13:18">
      <c r="M745" s="42"/>
      <c r="N745" s="42"/>
      <c r="O745" s="43"/>
      <c r="P745" s="44"/>
      <c r="Q745" s="35"/>
      <c r="R745" s="45"/>
    </row>
    <row r="746" spans="13:18">
      <c r="M746" s="42"/>
      <c r="N746" s="42"/>
      <c r="O746" s="43"/>
      <c r="P746" s="44"/>
      <c r="Q746" s="35"/>
      <c r="R746" s="45"/>
    </row>
    <row r="747" spans="13:18">
      <c r="M747" s="42"/>
      <c r="N747" s="42"/>
      <c r="O747" s="43"/>
      <c r="P747" s="44"/>
      <c r="Q747" s="35"/>
      <c r="R747" s="45"/>
    </row>
    <row r="748" spans="13:18">
      <c r="M748" s="42"/>
      <c r="N748" s="42"/>
      <c r="O748" s="43"/>
      <c r="P748" s="44"/>
      <c r="Q748" s="35"/>
      <c r="R748" s="45"/>
    </row>
    <row r="749" spans="13:18">
      <c r="M749" s="42"/>
      <c r="N749" s="42"/>
      <c r="O749" s="43"/>
      <c r="P749" s="44"/>
      <c r="Q749" s="35"/>
      <c r="R749" s="45"/>
    </row>
    <row r="750" spans="13:18">
      <c r="M750" s="42"/>
      <c r="N750" s="42"/>
      <c r="O750" s="43"/>
      <c r="P750" s="44"/>
      <c r="Q750" s="35"/>
      <c r="R750" s="45"/>
    </row>
    <row r="751" spans="13:18">
      <c r="M751" s="42"/>
      <c r="N751" s="42"/>
      <c r="O751" s="43"/>
      <c r="P751" s="44"/>
      <c r="Q751" s="35"/>
      <c r="R751" s="45"/>
    </row>
    <row r="752" spans="13:18">
      <c r="M752" s="42"/>
      <c r="N752" s="42"/>
      <c r="O752" s="43"/>
      <c r="P752" s="44"/>
      <c r="Q752" s="35"/>
      <c r="R752" s="45"/>
    </row>
    <row r="753" spans="13:18">
      <c r="M753" s="42"/>
      <c r="N753" s="42"/>
      <c r="O753" s="43"/>
      <c r="P753" s="44"/>
      <c r="Q753" s="35"/>
      <c r="R753" s="45"/>
    </row>
    <row r="754" spans="13:18">
      <c r="M754" s="42"/>
      <c r="N754" s="42"/>
      <c r="O754" s="43"/>
      <c r="P754" s="44"/>
      <c r="Q754" s="35"/>
      <c r="R754" s="45"/>
    </row>
    <row r="755" spans="13:18">
      <c r="M755" s="42"/>
      <c r="N755" s="42"/>
      <c r="O755" s="43"/>
      <c r="P755" s="44"/>
      <c r="Q755" s="35"/>
      <c r="R755" s="45"/>
    </row>
    <row r="756" spans="13:18">
      <c r="M756" s="42"/>
      <c r="N756" s="42"/>
      <c r="O756" s="43"/>
      <c r="P756" s="44"/>
      <c r="Q756" s="35"/>
      <c r="R756" s="45"/>
    </row>
    <row r="757" spans="13:18">
      <c r="M757" s="42"/>
      <c r="N757" s="42"/>
      <c r="O757" s="43"/>
      <c r="P757" s="44"/>
      <c r="Q757" s="35"/>
      <c r="R757" s="45"/>
    </row>
    <row r="758" spans="13:18">
      <c r="M758" s="42"/>
      <c r="N758" s="42"/>
      <c r="O758" s="43"/>
      <c r="P758" s="44"/>
      <c r="Q758" s="35"/>
      <c r="R758" s="45"/>
    </row>
    <row r="759" spans="13:18">
      <c r="M759" s="42"/>
      <c r="N759" s="42"/>
      <c r="O759" s="43"/>
      <c r="P759" s="44"/>
      <c r="Q759" s="35"/>
      <c r="R759" s="45"/>
    </row>
    <row r="760" spans="13:18">
      <c r="M760" s="42"/>
      <c r="N760" s="42"/>
      <c r="O760" s="43"/>
      <c r="P760" s="44"/>
      <c r="Q760" s="35"/>
      <c r="R760" s="45"/>
    </row>
    <row r="761" spans="13:18">
      <c r="M761" s="42"/>
      <c r="N761" s="42"/>
      <c r="O761" s="43"/>
      <c r="P761" s="44"/>
      <c r="Q761" s="35"/>
      <c r="R761" s="45"/>
    </row>
    <row r="762" spans="13:18">
      <c r="M762" s="42"/>
      <c r="N762" s="42"/>
      <c r="O762" s="43"/>
      <c r="P762" s="44"/>
      <c r="Q762" s="35"/>
      <c r="R762" s="45"/>
    </row>
    <row r="763" spans="13:18">
      <c r="M763" s="42"/>
      <c r="N763" s="42"/>
      <c r="O763" s="43"/>
      <c r="P763" s="44"/>
      <c r="Q763" s="35"/>
      <c r="R763" s="45"/>
    </row>
    <row r="764" spans="13:18">
      <c r="M764" s="42"/>
      <c r="N764" s="42"/>
      <c r="O764" s="43"/>
      <c r="P764" s="44"/>
      <c r="Q764" s="35"/>
      <c r="R764" s="45"/>
    </row>
    <row r="765" spans="13:18">
      <c r="M765" s="42"/>
      <c r="N765" s="42"/>
      <c r="O765" s="43"/>
      <c r="P765" s="44"/>
      <c r="Q765" s="35"/>
      <c r="R765" s="45"/>
    </row>
    <row r="766" spans="13:18">
      <c r="M766" s="42"/>
      <c r="N766" s="42"/>
      <c r="O766" s="43"/>
      <c r="P766" s="44"/>
      <c r="Q766" s="35"/>
      <c r="R766" s="45"/>
    </row>
    <row r="767" spans="13:18">
      <c r="M767" s="42"/>
      <c r="N767" s="42"/>
      <c r="O767" s="43"/>
      <c r="P767" s="44"/>
      <c r="Q767" s="35"/>
      <c r="R767" s="45"/>
    </row>
    <row r="768" spans="13:18">
      <c r="M768" s="42"/>
      <c r="N768" s="42"/>
      <c r="O768" s="43"/>
      <c r="P768" s="44"/>
      <c r="Q768" s="35"/>
      <c r="R768" s="45"/>
    </row>
    <row r="769" spans="13:18">
      <c r="M769" s="42"/>
      <c r="N769" s="42"/>
      <c r="O769" s="43"/>
      <c r="P769" s="44"/>
      <c r="Q769" s="35"/>
      <c r="R769" s="45"/>
    </row>
    <row r="770" spans="13:18">
      <c r="M770" s="42"/>
      <c r="N770" s="42"/>
      <c r="O770" s="43"/>
      <c r="P770" s="44"/>
      <c r="Q770" s="35"/>
      <c r="R770" s="45"/>
    </row>
    <row r="771" spans="13:18">
      <c r="M771" s="42"/>
      <c r="N771" s="42"/>
      <c r="O771" s="43"/>
      <c r="P771" s="44"/>
      <c r="Q771" s="35"/>
      <c r="R771" s="45"/>
    </row>
    <row r="772" spans="13:18">
      <c r="M772" s="42"/>
      <c r="N772" s="42"/>
      <c r="O772" s="43"/>
      <c r="P772" s="44"/>
      <c r="Q772" s="35"/>
      <c r="R772" s="45"/>
    </row>
    <row r="773" spans="13:18">
      <c r="M773" s="42"/>
      <c r="N773" s="42"/>
      <c r="O773" s="43"/>
      <c r="P773" s="44"/>
      <c r="Q773" s="35"/>
      <c r="R773" s="45"/>
    </row>
    <row r="774" spans="13:18">
      <c r="M774" s="42"/>
      <c r="N774" s="42"/>
      <c r="O774" s="43"/>
      <c r="P774" s="44"/>
      <c r="Q774" s="35"/>
      <c r="R774" s="45"/>
    </row>
  </sheetData>
  <sheetProtection algorithmName="SHA-512" hashValue="iNbg2ElOWID5gaJU1hllyiRy4fTVa8vrRUR9lC9EN/iB9AbTLcUZKQCB0QljOd5aSasNlpoLRcZB9r/kLpBUgA==" saltValue="Gw+UpG2d6KFo+vEOo+aC7w==" spinCount="100000" sheet="1" formatCells="0" formatColumns="0" formatRows="0" insertColumns="0" insertRows="0" insertHyperlinks="0" deleteColumns="0" deleteRows="0" sort="0" autoFilter="0" pivotTables="0"/>
  <autoFilter ref="A2:K198" xr:uid="{C0671884-2D6F-4BF3-8939-ED991204FAB9}">
    <sortState xmlns:xlrd2="http://schemas.microsoft.com/office/spreadsheetml/2017/richdata2" ref="A3:K142">
      <sortCondition ref="H2:H142"/>
    </sortState>
  </autoFilter>
  <mergeCells count="2">
    <mergeCell ref="A1:J1"/>
    <mergeCell ref="N1:N2"/>
  </mergeCells>
  <conditionalFormatting sqref="H2">
    <cfRule type="containsText" dxfId="4" priority="22" operator="containsText" text="Please">
      <formula>NOT(ISERROR(SEARCH("Please",H2)))</formula>
    </cfRule>
  </conditionalFormatting>
  <conditionalFormatting sqref="H3:H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98">
    <cfRule type="containsText" dxfId="3" priority="6" operator="containsText" text="В">
      <formula>NOT(ISERROR(SEARCH("В",H3)))</formula>
    </cfRule>
    <cfRule type="containsText" dxfId="2" priority="7" operator="containsText" text="А">
      <formula>NOT(ISERROR(SEARCH("А",H3)))</formula>
    </cfRule>
    <cfRule type="containsText" dxfId="1" priority="8" operator="containsText" text="С">
      <formula>NOT(ISERROR(SEARCH("С",H3)))</formula>
    </cfRule>
  </conditionalFormatting>
  <conditionalFormatting sqref="H28:H5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5:H198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6:H198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">
    <cfRule type="expression" dxfId="0" priority="23">
      <formula>"&gt;0"</formula>
    </cfRule>
  </conditionalFormatting>
  <dataValidations disablePrompts="1" count="1">
    <dataValidation type="custom" allowBlank="1" showInputMessage="1" showErrorMessage="1" errorTitle="ERROR" error="Order quantity must be a multiple of Sales per Unit Case (See Column F)." prompt="Order quantity must be a multiple of Sales per Unit Case (See Column F)." sqref="I3:I198" xr:uid="{993B1D0E-F77D-4973-B3DE-5E110C1E2848}">
      <formula1>MOD(I3,F3)=0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(Sport Research)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Workbook</dc:title>
  <dc:creator>Acer</dc:creator>
  <cp:lastModifiedBy>Денис Хомик</cp:lastModifiedBy>
  <dcterms:created xsi:type="dcterms:W3CDTF">2024-07-09T16:38:39Z</dcterms:created>
  <dcterms:modified xsi:type="dcterms:W3CDTF">2026-05-05T10:36:06Z</dcterms:modified>
</cp:coreProperties>
</file>