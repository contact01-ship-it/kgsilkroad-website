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13_ncr:1_{594971B1-883C-4D0F-A1CA-BB4C5BAF02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21 Century)" sheetId="2" r:id="rId1"/>
  </sheets>
  <externalReferences>
    <externalReference r:id="rId2"/>
  </externalReferences>
  <definedNames>
    <definedName name="_xlnm._FilterDatabase" localSheetId="0" hidden="1">'DSN GROUP (21 Century)'!$A$2:$L$245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0" i="2" l="1"/>
  <c r="O240" i="2" s="1"/>
  <c r="N239" i="2"/>
  <c r="O239" i="2" s="1"/>
  <c r="N238" i="2"/>
  <c r="O238" i="2" s="1"/>
  <c r="N237" i="2"/>
  <c r="O237" i="2" s="1"/>
  <c r="N236" i="2"/>
  <c r="O236" i="2" s="1"/>
  <c r="N235" i="2"/>
  <c r="O235" i="2" s="1"/>
  <c r="N234" i="2"/>
  <c r="O234" i="2" s="1"/>
  <c r="N233" i="2"/>
  <c r="O233" i="2" s="1"/>
  <c r="N232" i="2"/>
  <c r="O232" i="2" s="1"/>
  <c r="N231" i="2"/>
  <c r="O231" i="2" s="1"/>
  <c r="N230" i="2"/>
  <c r="O230" i="2" s="1"/>
  <c r="N229" i="2"/>
  <c r="O229" i="2" s="1"/>
  <c r="N228" i="2"/>
  <c r="O228" i="2" s="1"/>
  <c r="N227" i="2"/>
  <c r="O227" i="2" s="1"/>
  <c r="N226" i="2"/>
  <c r="O226" i="2" s="1"/>
  <c r="N225" i="2"/>
  <c r="O225" i="2" s="1"/>
  <c r="N224" i="2"/>
  <c r="O224" i="2" s="1"/>
  <c r="N223" i="2"/>
  <c r="O223" i="2" s="1"/>
  <c r="N222" i="2"/>
  <c r="O222" i="2" s="1"/>
  <c r="N220" i="2"/>
  <c r="O220" i="2" s="1"/>
  <c r="N219" i="2"/>
  <c r="O219" i="2" s="1"/>
  <c r="N218" i="2"/>
  <c r="O218" i="2" s="1"/>
  <c r="N217" i="2"/>
  <c r="O217" i="2" s="1"/>
  <c r="N216" i="2"/>
  <c r="O216" i="2" s="1"/>
  <c r="N215" i="2"/>
  <c r="O215" i="2" s="1"/>
  <c r="N214" i="2"/>
  <c r="O214" i="2" s="1"/>
  <c r="N213" i="2"/>
  <c r="O213" i="2" s="1"/>
  <c r="N212" i="2"/>
  <c r="O212" i="2" s="1"/>
  <c r="N211" i="2"/>
  <c r="O211" i="2" s="1"/>
  <c r="N73" i="2"/>
  <c r="O73" i="2" s="1"/>
  <c r="N72" i="2"/>
  <c r="O72" i="2" s="1"/>
  <c r="N71" i="2"/>
  <c r="O71" i="2" s="1"/>
  <c r="N70" i="2"/>
  <c r="O70" i="2" s="1"/>
  <c r="N69" i="2"/>
  <c r="O69" i="2" s="1"/>
  <c r="N68" i="2"/>
  <c r="O68" i="2" s="1"/>
  <c r="N67" i="2"/>
  <c r="O67" i="2" s="1"/>
  <c r="N66" i="2"/>
  <c r="O66" i="2" s="1"/>
  <c r="N65" i="2"/>
  <c r="O65" i="2" s="1"/>
  <c r="N64" i="2"/>
  <c r="O64" i="2" s="1"/>
  <c r="N63" i="2"/>
  <c r="O63" i="2" s="1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3" i="2"/>
  <c r="O53" i="2" s="1"/>
  <c r="N52" i="2"/>
  <c r="O52" i="2" s="1"/>
  <c r="N51" i="2"/>
  <c r="O51" i="2" s="1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N39" i="2"/>
  <c r="O39" i="2" s="1"/>
  <c r="N38" i="2"/>
  <c r="O38" i="2" s="1"/>
  <c r="N37" i="2"/>
  <c r="O37" i="2" s="1"/>
  <c r="N36" i="2"/>
  <c r="O36" i="2" s="1"/>
  <c r="N35" i="2"/>
  <c r="O35" i="2" s="1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N4" i="2"/>
  <c r="O4" i="2" s="1"/>
  <c r="N221" i="2"/>
  <c r="O221" i="2" s="1"/>
  <c r="N210" i="2"/>
  <c r="O210" i="2" s="1"/>
  <c r="N209" i="2"/>
  <c r="O209" i="2" s="1"/>
  <c r="N208" i="2"/>
  <c r="O208" i="2" s="1"/>
  <c r="N207" i="2"/>
  <c r="O207" i="2" s="1"/>
  <c r="N206" i="2"/>
  <c r="O206" i="2" s="1"/>
  <c r="N205" i="2"/>
  <c r="O205" i="2" s="1"/>
  <c r="N204" i="2"/>
  <c r="O204" i="2" s="1"/>
  <c r="N203" i="2"/>
  <c r="O203" i="2" s="1"/>
  <c r="N202" i="2"/>
  <c r="O202" i="2" s="1"/>
  <c r="N201" i="2"/>
  <c r="O201" i="2" s="1"/>
  <c r="N200" i="2"/>
  <c r="O200" i="2" s="1"/>
  <c r="N199" i="2"/>
  <c r="O199" i="2" s="1"/>
  <c r="N198" i="2"/>
  <c r="O198" i="2" s="1"/>
  <c r="N197" i="2"/>
  <c r="O197" i="2" s="1"/>
  <c r="N196" i="2"/>
  <c r="O196" i="2" s="1"/>
  <c r="N195" i="2"/>
  <c r="O195" i="2" s="1"/>
  <c r="N194" i="2"/>
  <c r="O194" i="2" s="1"/>
  <c r="N193" i="2"/>
  <c r="O193" i="2" s="1"/>
  <c r="N192" i="2"/>
  <c r="O192" i="2" s="1"/>
  <c r="N191" i="2"/>
  <c r="O191" i="2" s="1"/>
  <c r="N190" i="2"/>
  <c r="O190" i="2" s="1"/>
  <c r="N189" i="2"/>
  <c r="O189" i="2" s="1"/>
  <c r="N188" i="2"/>
  <c r="O188" i="2" s="1"/>
  <c r="N187" i="2"/>
  <c r="O187" i="2" s="1"/>
  <c r="N186" i="2"/>
  <c r="O186" i="2" s="1"/>
  <c r="N185" i="2"/>
  <c r="O185" i="2" s="1"/>
  <c r="N184" i="2"/>
  <c r="O184" i="2" s="1"/>
  <c r="N183" i="2"/>
  <c r="O183" i="2" s="1"/>
  <c r="N182" i="2"/>
  <c r="O182" i="2" s="1"/>
  <c r="N181" i="2"/>
  <c r="O181" i="2" s="1"/>
  <c r="N180" i="2"/>
  <c r="O180" i="2" s="1"/>
  <c r="N179" i="2"/>
  <c r="O179" i="2" s="1"/>
  <c r="N178" i="2"/>
  <c r="O178" i="2" s="1"/>
  <c r="N177" i="2"/>
  <c r="O177" i="2" s="1"/>
  <c r="N176" i="2"/>
  <c r="O176" i="2" s="1"/>
  <c r="N175" i="2"/>
  <c r="O175" i="2" s="1"/>
  <c r="N174" i="2"/>
  <c r="O174" i="2" s="1"/>
  <c r="N173" i="2"/>
  <c r="O173" i="2" s="1"/>
  <c r="N172" i="2"/>
  <c r="O172" i="2" s="1"/>
  <c r="N171" i="2"/>
  <c r="O171" i="2" s="1"/>
  <c r="N170" i="2"/>
  <c r="O170" i="2" s="1"/>
  <c r="N169" i="2"/>
  <c r="O169" i="2" s="1"/>
  <c r="N168" i="2"/>
  <c r="O168" i="2" s="1"/>
  <c r="N167" i="2"/>
  <c r="O167" i="2" s="1"/>
  <c r="N166" i="2"/>
  <c r="O166" i="2" s="1"/>
  <c r="N165" i="2"/>
  <c r="O165" i="2" s="1"/>
  <c r="N164" i="2"/>
  <c r="O164" i="2" s="1"/>
  <c r="N163" i="2"/>
  <c r="O163" i="2" s="1"/>
  <c r="N162" i="2"/>
  <c r="O162" i="2" s="1"/>
  <c r="N161" i="2"/>
  <c r="O161" i="2" s="1"/>
  <c r="N160" i="2"/>
  <c r="O160" i="2" s="1"/>
  <c r="N159" i="2"/>
  <c r="O159" i="2" s="1"/>
  <c r="N158" i="2"/>
  <c r="O158" i="2" s="1"/>
  <c r="N157" i="2"/>
  <c r="O157" i="2" s="1"/>
  <c r="N156" i="2"/>
  <c r="O156" i="2" s="1"/>
  <c r="N155" i="2"/>
  <c r="O155" i="2" s="1"/>
  <c r="N154" i="2"/>
  <c r="O154" i="2" s="1"/>
  <c r="N153" i="2"/>
  <c r="O153" i="2" s="1"/>
  <c r="N152" i="2"/>
  <c r="O152" i="2" s="1"/>
  <c r="N151" i="2"/>
  <c r="O151" i="2" s="1"/>
  <c r="N150" i="2"/>
  <c r="O150" i="2" s="1"/>
  <c r="N149" i="2"/>
  <c r="O149" i="2" s="1"/>
  <c r="N148" i="2"/>
  <c r="O148" i="2" s="1"/>
  <c r="N147" i="2"/>
  <c r="O147" i="2" s="1"/>
  <c r="N146" i="2"/>
  <c r="O146" i="2" s="1"/>
  <c r="N145" i="2"/>
  <c r="O145" i="2" s="1"/>
  <c r="N144" i="2"/>
  <c r="O144" i="2" s="1"/>
  <c r="N143" i="2"/>
  <c r="O143" i="2" s="1"/>
  <c r="N142" i="2"/>
  <c r="O142" i="2" s="1"/>
  <c r="N141" i="2"/>
  <c r="O141" i="2" s="1"/>
  <c r="N140" i="2"/>
  <c r="O140" i="2" s="1"/>
  <c r="N139" i="2"/>
  <c r="O139" i="2" s="1"/>
  <c r="N138" i="2"/>
  <c r="O138" i="2" s="1"/>
  <c r="N137" i="2"/>
  <c r="O137" i="2" s="1"/>
  <c r="N136" i="2"/>
  <c r="O136" i="2" s="1"/>
  <c r="N135" i="2"/>
  <c r="O135" i="2" s="1"/>
  <c r="N134" i="2"/>
  <c r="O134" i="2" s="1"/>
  <c r="N133" i="2"/>
  <c r="O133" i="2" s="1"/>
  <c r="N132" i="2"/>
  <c r="O132" i="2" s="1"/>
  <c r="N131" i="2"/>
  <c r="O131" i="2" s="1"/>
  <c r="N130" i="2"/>
  <c r="O130" i="2" s="1"/>
  <c r="N129" i="2"/>
  <c r="O129" i="2" s="1"/>
  <c r="N128" i="2"/>
  <c r="O128" i="2" s="1"/>
  <c r="N127" i="2"/>
  <c r="O127" i="2" s="1"/>
  <c r="N126" i="2"/>
  <c r="O126" i="2" s="1"/>
  <c r="N125" i="2"/>
  <c r="O125" i="2" s="1"/>
  <c r="N124" i="2"/>
  <c r="O124" i="2" s="1"/>
  <c r="N123" i="2"/>
  <c r="O123" i="2" s="1"/>
  <c r="N122" i="2"/>
  <c r="O122" i="2" s="1"/>
  <c r="N121" i="2"/>
  <c r="O121" i="2" s="1"/>
  <c r="N120" i="2"/>
  <c r="O120" i="2" s="1"/>
  <c r="N119" i="2"/>
  <c r="O119" i="2" s="1"/>
  <c r="N118" i="2"/>
  <c r="O118" i="2" s="1"/>
  <c r="N117" i="2"/>
  <c r="O117" i="2" s="1"/>
  <c r="N116" i="2"/>
  <c r="O116" i="2" s="1"/>
  <c r="N115" i="2"/>
  <c r="O115" i="2" s="1"/>
  <c r="N114" i="2"/>
  <c r="O114" i="2" s="1"/>
  <c r="N113" i="2"/>
  <c r="O113" i="2" s="1"/>
  <c r="N112" i="2"/>
  <c r="O112" i="2" s="1"/>
  <c r="N111" i="2"/>
  <c r="O111" i="2" s="1"/>
  <c r="N110" i="2"/>
  <c r="O110" i="2" s="1"/>
  <c r="N109" i="2"/>
  <c r="O109" i="2" s="1"/>
  <c r="N108" i="2"/>
  <c r="O108" i="2" s="1"/>
  <c r="N107" i="2"/>
  <c r="O107" i="2" s="1"/>
  <c r="N106" i="2"/>
  <c r="O106" i="2" s="1"/>
  <c r="N105" i="2"/>
  <c r="O105" i="2" s="1"/>
  <c r="N104" i="2"/>
  <c r="O104" i="2" s="1"/>
  <c r="N103" i="2"/>
  <c r="O103" i="2" s="1"/>
  <c r="N102" i="2"/>
  <c r="O102" i="2" s="1"/>
  <c r="N101" i="2"/>
  <c r="O101" i="2" s="1"/>
  <c r="N100" i="2"/>
  <c r="O100" i="2" s="1"/>
  <c r="N99" i="2"/>
  <c r="O99" i="2" s="1"/>
  <c r="N98" i="2"/>
  <c r="O98" i="2" s="1"/>
  <c r="N97" i="2"/>
  <c r="O97" i="2" s="1"/>
  <c r="N96" i="2"/>
  <c r="O96" i="2" s="1"/>
  <c r="N95" i="2"/>
  <c r="O95" i="2" s="1"/>
  <c r="N94" i="2"/>
  <c r="O94" i="2" s="1"/>
  <c r="N93" i="2"/>
  <c r="O93" i="2" s="1"/>
  <c r="N92" i="2"/>
  <c r="O92" i="2" s="1"/>
  <c r="N91" i="2"/>
  <c r="O91" i="2" s="1"/>
  <c r="N90" i="2"/>
  <c r="O90" i="2" s="1"/>
  <c r="N89" i="2"/>
  <c r="O89" i="2" s="1"/>
  <c r="N88" i="2"/>
  <c r="O88" i="2" s="1"/>
  <c r="N87" i="2"/>
  <c r="O87" i="2" s="1"/>
  <c r="N86" i="2"/>
  <c r="O86" i="2" s="1"/>
  <c r="N85" i="2"/>
  <c r="O85" i="2" s="1"/>
  <c r="N84" i="2"/>
  <c r="O84" i="2" s="1"/>
  <c r="N83" i="2"/>
  <c r="O83" i="2" s="1"/>
  <c r="N82" i="2"/>
  <c r="O82" i="2" s="1"/>
  <c r="N81" i="2"/>
  <c r="O81" i="2" s="1"/>
  <c r="N80" i="2"/>
  <c r="O80" i="2" s="1"/>
  <c r="N79" i="2"/>
  <c r="O79" i="2" s="1"/>
  <c r="N78" i="2"/>
  <c r="O78" i="2" s="1"/>
  <c r="N77" i="2"/>
  <c r="O77" i="2" s="1"/>
  <c r="N76" i="2"/>
  <c r="O76" i="2" s="1"/>
  <c r="N75" i="2"/>
  <c r="O75" i="2" s="1"/>
  <c r="N74" i="2"/>
  <c r="O74" i="2" s="1"/>
  <c r="N3" i="2"/>
  <c r="O3" i="2" s="1"/>
  <c r="I90" i="2"/>
  <c r="I110" i="2"/>
  <c r="I111" i="2"/>
  <c r="I145" i="2"/>
  <c r="I146" i="2"/>
  <c r="I147" i="2"/>
  <c r="I148" i="2"/>
  <c r="I149" i="2"/>
  <c r="I150" i="2"/>
  <c r="I151" i="2"/>
  <c r="I152" i="2"/>
  <c r="I153" i="2"/>
  <c r="I156" i="2"/>
  <c r="I157" i="2"/>
  <c r="I158" i="2"/>
  <c r="I160" i="2"/>
  <c r="I163" i="2"/>
  <c r="I164" i="2"/>
  <c r="I165" i="2"/>
  <c r="I167" i="2"/>
  <c r="I168" i="2"/>
  <c r="I169" i="2"/>
  <c r="I170" i="2"/>
  <c r="I171" i="2"/>
  <c r="I172" i="2"/>
  <c r="I173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8" i="2"/>
  <c r="I209" i="2"/>
  <c r="I211" i="2"/>
  <c r="I212" i="2"/>
  <c r="I213" i="2"/>
  <c r="I214" i="2"/>
  <c r="I215" i="2"/>
  <c r="I216" i="2"/>
  <c r="I217" i="2"/>
  <c r="I218" i="2"/>
  <c r="I220" i="2"/>
  <c r="I222" i="2"/>
  <c r="I224" i="2"/>
  <c r="I225" i="2"/>
  <c r="I226" i="2"/>
  <c r="I227" i="2"/>
  <c r="I228" i="2"/>
  <c r="P241" i="2"/>
  <c r="Q241" i="2"/>
  <c r="P242" i="2"/>
  <c r="Q242" i="2"/>
  <c r="P243" i="2"/>
  <c r="Q243" i="2"/>
  <c r="P244" i="2"/>
  <c r="Q244" i="2"/>
  <c r="P245" i="2"/>
  <c r="Q245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3" i="2"/>
  <c r="Q240" i="2"/>
  <c r="K144" i="2"/>
  <c r="Q239" i="2"/>
  <c r="K143" i="2"/>
  <c r="Q238" i="2"/>
  <c r="K19" i="2"/>
  <c r="Q237" i="2"/>
  <c r="K79" i="2"/>
  <c r="Q236" i="2"/>
  <c r="K32" i="2"/>
  <c r="Q235" i="2"/>
  <c r="K63" i="2"/>
  <c r="Q234" i="2"/>
  <c r="K62" i="2"/>
  <c r="Q233" i="2"/>
  <c r="K18" i="2"/>
  <c r="Q232" i="2"/>
  <c r="K17" i="2"/>
  <c r="Q231" i="2"/>
  <c r="K240" i="2"/>
  <c r="Q230" i="2"/>
  <c r="K239" i="2"/>
  <c r="Q229" i="2"/>
  <c r="K238" i="2"/>
  <c r="Q228" i="2"/>
  <c r="K237" i="2"/>
  <c r="Q227" i="2"/>
  <c r="K236" i="2"/>
  <c r="Q226" i="2"/>
  <c r="K235" i="2"/>
  <c r="Q225" i="2"/>
  <c r="K36" i="2"/>
  <c r="Q224" i="2"/>
  <c r="K35" i="2"/>
  <c r="Q223" i="2"/>
  <c r="K234" i="2"/>
  <c r="Q222" i="2"/>
  <c r="K233" i="2"/>
  <c r="Q221" i="2"/>
  <c r="K232" i="2"/>
  <c r="Q220" i="2"/>
  <c r="K231" i="2"/>
  <c r="Q219" i="2"/>
  <c r="K230" i="2"/>
  <c r="Q218" i="2"/>
  <c r="K229" i="2"/>
  <c r="Q217" i="2"/>
  <c r="K228" i="2"/>
  <c r="Q216" i="2"/>
  <c r="K142" i="2"/>
  <c r="Q215" i="2"/>
  <c r="K227" i="2"/>
  <c r="Q214" i="2"/>
  <c r="K141" i="2"/>
  <c r="Q213" i="2"/>
  <c r="K226" i="2"/>
  <c r="Q212" i="2"/>
  <c r="K78" i="2"/>
  <c r="Q211" i="2"/>
  <c r="K140" i="2"/>
  <c r="Q210" i="2"/>
  <c r="K225" i="2"/>
  <c r="Q209" i="2"/>
  <c r="K224" i="2"/>
  <c r="Q208" i="2"/>
  <c r="K223" i="2"/>
  <c r="Q207" i="2"/>
  <c r="K222" i="2"/>
  <c r="Q206" i="2"/>
  <c r="K221" i="2"/>
  <c r="Q205" i="2"/>
  <c r="K220" i="2"/>
  <c r="Q204" i="2"/>
  <c r="K77" i="2"/>
  <c r="Q203" i="2"/>
  <c r="K219" i="2"/>
  <c r="Q202" i="2"/>
  <c r="K76" i="2"/>
  <c r="Q201" i="2"/>
  <c r="K61" i="2"/>
  <c r="Q200" i="2"/>
  <c r="K75" i="2"/>
  <c r="Q199" i="2"/>
  <c r="K74" i="2"/>
  <c r="Q198" i="2"/>
  <c r="K139" i="2"/>
  <c r="Q197" i="2"/>
  <c r="K73" i="2"/>
  <c r="Q196" i="2"/>
  <c r="K31" i="2"/>
  <c r="Q195" i="2"/>
  <c r="K138" i="2"/>
  <c r="Q194" i="2"/>
  <c r="K137" i="2"/>
  <c r="Q193" i="2"/>
  <c r="K60" i="2"/>
  <c r="Q192" i="2"/>
  <c r="K218" i="2"/>
  <c r="Q191" i="2"/>
  <c r="K217" i="2"/>
  <c r="Q190" i="2"/>
  <c r="K59" i="2"/>
  <c r="Q189" i="2"/>
  <c r="K216" i="2"/>
  <c r="Q188" i="2"/>
  <c r="K136" i="2"/>
  <c r="Q187" i="2"/>
  <c r="K135" i="2"/>
  <c r="Q186" i="2"/>
  <c r="K134" i="2"/>
  <c r="Q185" i="2"/>
  <c r="K133" i="2"/>
  <c r="Q184" i="2"/>
  <c r="K58" i="2"/>
  <c r="Q183" i="2"/>
  <c r="K72" i="2"/>
  <c r="Q182" i="2"/>
  <c r="K30" i="2"/>
  <c r="Q181" i="2"/>
  <c r="K29" i="2"/>
  <c r="Q180" i="2"/>
  <c r="K28" i="2"/>
  <c r="Q179" i="2"/>
  <c r="K34" i="2"/>
  <c r="Q178" i="2"/>
  <c r="K27" i="2"/>
  <c r="Q177" i="2"/>
  <c r="K16" i="2"/>
  <c r="Q176" i="2"/>
  <c r="K80" i="2"/>
  <c r="Q175" i="2"/>
  <c r="K15" i="2"/>
  <c r="Q174" i="2"/>
  <c r="K132" i="2"/>
  <c r="Q173" i="2"/>
  <c r="K57" i="2"/>
  <c r="Q172" i="2"/>
  <c r="K56" i="2"/>
  <c r="Q171" i="2"/>
  <c r="K215" i="2"/>
  <c r="Q170" i="2"/>
  <c r="K131" i="2"/>
  <c r="Q169" i="2"/>
  <c r="K214" i="2"/>
  <c r="Q168" i="2"/>
  <c r="K213" i="2"/>
  <c r="Q167" i="2"/>
  <c r="K212" i="2"/>
  <c r="Q166" i="2"/>
  <c r="K211" i="2"/>
  <c r="Q165" i="2"/>
  <c r="K210" i="2"/>
  <c r="Q164" i="2"/>
  <c r="K33" i="2"/>
  <c r="Q163" i="2"/>
  <c r="K26" i="2"/>
  <c r="Q162" i="2"/>
  <c r="K14" i="2"/>
  <c r="Q161" i="2"/>
  <c r="K55" i="2"/>
  <c r="Q160" i="2"/>
  <c r="K25" i="2"/>
  <c r="Q159" i="2"/>
  <c r="K24" i="2"/>
  <c r="Q158" i="2"/>
  <c r="K13" i="2"/>
  <c r="Q157" i="2"/>
  <c r="K54" i="2"/>
  <c r="Q156" i="2"/>
  <c r="K130" i="2"/>
  <c r="Q155" i="2"/>
  <c r="K12" i="2"/>
  <c r="Q154" i="2"/>
  <c r="K129" i="2"/>
  <c r="Q153" i="2"/>
  <c r="K128" i="2"/>
  <c r="Q152" i="2"/>
  <c r="K127" i="2"/>
  <c r="Q151" i="2"/>
  <c r="K126" i="2"/>
  <c r="Q150" i="2"/>
  <c r="K209" i="2"/>
  <c r="Q149" i="2"/>
  <c r="K53" i="2"/>
  <c r="Q148" i="2"/>
  <c r="K208" i="2"/>
  <c r="Q147" i="2"/>
  <c r="K207" i="2"/>
  <c r="Q146" i="2"/>
  <c r="K125" i="2"/>
  <c r="Q145" i="2"/>
  <c r="K11" i="2"/>
  <c r="Q144" i="2"/>
  <c r="K52" i="2"/>
  <c r="Q143" i="2"/>
  <c r="K124" i="2"/>
  <c r="Q142" i="2"/>
  <c r="K206" i="2"/>
  <c r="Q141" i="2"/>
  <c r="K71" i="2"/>
  <c r="Q140" i="2"/>
  <c r="K205" i="2"/>
  <c r="Q139" i="2"/>
  <c r="K123" i="2"/>
  <c r="Q138" i="2"/>
  <c r="K122" i="2"/>
  <c r="Q137" i="2"/>
  <c r="K23" i="2"/>
  <c r="Q136" i="2"/>
  <c r="K70" i="2"/>
  <c r="Q135" i="2"/>
  <c r="K204" i="2"/>
  <c r="Q134" i="2"/>
  <c r="K203" i="2"/>
  <c r="Q133" i="2"/>
  <c r="K202" i="2"/>
  <c r="Q132" i="2"/>
  <c r="K201" i="2"/>
  <c r="Q131" i="2"/>
  <c r="K121" i="2"/>
  <c r="Q130" i="2"/>
  <c r="K200" i="2"/>
  <c r="Q129" i="2"/>
  <c r="K69" i="2"/>
  <c r="Q128" i="2"/>
  <c r="K120" i="2"/>
  <c r="Q127" i="2"/>
  <c r="K119" i="2"/>
  <c r="Q126" i="2"/>
  <c r="K199" i="2"/>
  <c r="Q125" i="2"/>
  <c r="K198" i="2"/>
  <c r="Q124" i="2"/>
  <c r="K197" i="2"/>
  <c r="Q123" i="2"/>
  <c r="K196" i="2"/>
  <c r="Q122" i="2"/>
  <c r="K195" i="2"/>
  <c r="Q121" i="2"/>
  <c r="K194" i="2"/>
  <c r="Q120" i="2"/>
  <c r="K193" i="2"/>
  <c r="Q119" i="2"/>
  <c r="K192" i="2"/>
  <c r="Q118" i="2"/>
  <c r="K81" i="2"/>
  <c r="Q117" i="2"/>
  <c r="K191" i="2"/>
  <c r="Q116" i="2"/>
  <c r="K190" i="2"/>
  <c r="Q115" i="2"/>
  <c r="K118" i="2"/>
  <c r="Q114" i="2"/>
  <c r="K51" i="2"/>
  <c r="Q113" i="2"/>
  <c r="K117" i="2"/>
  <c r="Q112" i="2"/>
  <c r="K189" i="2"/>
  <c r="Q111" i="2"/>
  <c r="K188" i="2"/>
  <c r="Q110" i="2"/>
  <c r="K187" i="2"/>
  <c r="Q109" i="2"/>
  <c r="K116" i="2"/>
  <c r="Q108" i="2"/>
  <c r="K186" i="2"/>
  <c r="Q107" i="2"/>
  <c r="K185" i="2"/>
  <c r="Q106" i="2"/>
  <c r="K115" i="2"/>
  <c r="Q105" i="2"/>
  <c r="K114" i="2"/>
  <c r="Q104" i="2"/>
  <c r="K50" i="2"/>
  <c r="Q103" i="2"/>
  <c r="K184" i="2"/>
  <c r="Q102" i="2"/>
  <c r="K183" i="2"/>
  <c r="Q101" i="2"/>
  <c r="K182" i="2"/>
  <c r="Q100" i="2"/>
  <c r="K113" i="2"/>
  <c r="Q99" i="2"/>
  <c r="K49" i="2"/>
  <c r="Q98" i="2"/>
  <c r="K68" i="2"/>
  <c r="Q97" i="2"/>
  <c r="K48" i="2"/>
  <c r="Q96" i="2"/>
  <c r="K181" i="2"/>
  <c r="Q95" i="2"/>
  <c r="K112" i="2"/>
  <c r="Q94" i="2"/>
  <c r="K180" i="2"/>
  <c r="Q93" i="2"/>
  <c r="K111" i="2"/>
  <c r="Q92" i="2"/>
  <c r="K179" i="2"/>
  <c r="Q91" i="2"/>
  <c r="K110" i="2"/>
  <c r="Q90" i="2"/>
  <c r="K109" i="2"/>
  <c r="Q89" i="2"/>
  <c r="K22" i="2"/>
  <c r="Q88" i="2"/>
  <c r="K178" i="2"/>
  <c r="Q87" i="2"/>
  <c r="K108" i="2"/>
  <c r="Q86" i="2"/>
  <c r="K67" i="2"/>
  <c r="Q85" i="2"/>
  <c r="K107" i="2"/>
  <c r="Q84" i="2"/>
  <c r="K106" i="2"/>
  <c r="Q83" i="2"/>
  <c r="K105" i="2"/>
  <c r="Q82" i="2"/>
  <c r="K104" i="2"/>
  <c r="Q81" i="2"/>
  <c r="K103" i="2"/>
  <c r="Q80" i="2"/>
  <c r="K66" i="2"/>
  <c r="Q79" i="2"/>
  <c r="K102" i="2"/>
  <c r="Q78" i="2"/>
  <c r="K101" i="2"/>
  <c r="Q77" i="2"/>
  <c r="K100" i="2"/>
  <c r="Q76" i="2"/>
  <c r="K177" i="2"/>
  <c r="Q75" i="2"/>
  <c r="K176" i="2"/>
  <c r="Q74" i="2"/>
  <c r="K175" i="2"/>
  <c r="Q73" i="2"/>
  <c r="K174" i="2"/>
  <c r="Q72" i="2"/>
  <c r="K173" i="2"/>
  <c r="Q71" i="2"/>
  <c r="K172" i="2"/>
  <c r="Q70" i="2"/>
  <c r="K171" i="2"/>
  <c r="Q69" i="2"/>
  <c r="K170" i="2"/>
  <c r="Q68" i="2"/>
  <c r="K47" i="2"/>
  <c r="Q67" i="2"/>
  <c r="K169" i="2"/>
  <c r="Q66" i="2"/>
  <c r="K99" i="2"/>
  <c r="Q65" i="2"/>
  <c r="K168" i="2"/>
  <c r="Q64" i="2"/>
  <c r="K98" i="2"/>
  <c r="Q63" i="2"/>
  <c r="K167" i="2"/>
  <c r="Q62" i="2"/>
  <c r="K166" i="2"/>
  <c r="Q61" i="2"/>
  <c r="K165" i="2"/>
  <c r="Q60" i="2"/>
  <c r="K97" i="2"/>
  <c r="Q59" i="2"/>
  <c r="K96" i="2"/>
  <c r="Q58" i="2"/>
  <c r="K95" i="2"/>
  <c r="Q57" i="2"/>
  <c r="K164" i="2"/>
  <c r="Q56" i="2"/>
  <c r="K46" i="2"/>
  <c r="Q55" i="2"/>
  <c r="K94" i="2"/>
  <c r="Q54" i="2"/>
  <c r="K45" i="2"/>
  <c r="Q53" i="2"/>
  <c r="K44" i="2"/>
  <c r="Q52" i="2"/>
  <c r="K21" i="2"/>
  <c r="Q51" i="2"/>
  <c r="K20" i="2"/>
  <c r="Q50" i="2"/>
  <c r="K163" i="2"/>
  <c r="Q49" i="2"/>
  <c r="K162" i="2"/>
  <c r="Q48" i="2"/>
  <c r="K93" i="2"/>
  <c r="Q47" i="2"/>
  <c r="K161" i="2"/>
  <c r="Q46" i="2"/>
  <c r="K160" i="2"/>
  <c r="Q45" i="2"/>
  <c r="K159" i="2"/>
  <c r="Q44" i="2"/>
  <c r="K158" i="2"/>
  <c r="Q43" i="2"/>
  <c r="K92" i="2"/>
  <c r="Q42" i="2"/>
  <c r="K157" i="2"/>
  <c r="Q41" i="2"/>
  <c r="K156" i="2"/>
  <c r="Q40" i="2"/>
  <c r="K10" i="2"/>
  <c r="Q39" i="2"/>
  <c r="K9" i="2"/>
  <c r="Q38" i="2"/>
  <c r="K65" i="2"/>
  <c r="Q37" i="2"/>
  <c r="K91" i="2"/>
  <c r="Q36" i="2"/>
  <c r="K155" i="2"/>
  <c r="Q35" i="2"/>
  <c r="K90" i="2"/>
  <c r="Q34" i="2"/>
  <c r="K154" i="2"/>
  <c r="Q33" i="2"/>
  <c r="K43" i="2"/>
  <c r="Q32" i="2"/>
  <c r="K8" i="2"/>
  <c r="Q31" i="2"/>
  <c r="K153" i="2"/>
  <c r="Q30" i="2"/>
  <c r="K89" i="2"/>
  <c r="Q29" i="2"/>
  <c r="K7" i="2"/>
  <c r="Q28" i="2"/>
  <c r="K6" i="2"/>
  <c r="Q27" i="2"/>
  <c r="K5" i="2"/>
  <c r="Q26" i="2"/>
  <c r="K88" i="2"/>
  <c r="Q25" i="2"/>
  <c r="K152" i="2"/>
  <c r="Q24" i="2"/>
  <c r="K42" i="2"/>
  <c r="Q23" i="2"/>
  <c r="K4" i="2"/>
  <c r="Q22" i="2"/>
  <c r="K151" i="2"/>
  <c r="Q21" i="2"/>
  <c r="K41" i="2"/>
  <c r="Q20" i="2"/>
  <c r="K87" i="2"/>
  <c r="Q19" i="2"/>
  <c r="K86" i="2"/>
  <c r="Q18" i="2"/>
  <c r="K37" i="2"/>
  <c r="Q17" i="2"/>
  <c r="K85" i="2"/>
  <c r="Q16" i="2"/>
  <c r="K3" i="2"/>
  <c r="Q15" i="2"/>
  <c r="K40" i="2"/>
  <c r="Q14" i="2"/>
  <c r="K150" i="2"/>
  <c r="Q13" i="2"/>
  <c r="K84" i="2"/>
  <c r="Q12" i="2"/>
  <c r="K83" i="2"/>
  <c r="Q11" i="2"/>
  <c r="K149" i="2"/>
  <c r="Q10" i="2"/>
  <c r="K148" i="2"/>
  <c r="Q9" i="2"/>
  <c r="K82" i="2"/>
  <c r="Q8" i="2"/>
  <c r="K147" i="2"/>
  <c r="Q7" i="2"/>
  <c r="K146" i="2"/>
  <c r="Q6" i="2"/>
  <c r="K64" i="2"/>
  <c r="Q5" i="2"/>
  <c r="K145" i="2"/>
  <c r="Q4" i="2"/>
  <c r="K39" i="2"/>
  <c r="Q3" i="2"/>
  <c r="K38" i="2"/>
  <c r="N245" i="2" l="1"/>
  <c r="O245" i="2" s="1"/>
  <c r="N242" i="2"/>
  <c r="O242" i="2" s="1"/>
  <c r="N244" i="2"/>
  <c r="O244" i="2" s="1"/>
  <c r="N243" i="2"/>
  <c r="O243" i="2" s="1"/>
  <c r="N241" i="2"/>
  <c r="O241" i="2" s="1"/>
  <c r="K241" i="2"/>
  <c r="K242" i="2"/>
  <c r="S242" i="2" s="1"/>
  <c r="K243" i="2"/>
  <c r="S243" i="2" s="1"/>
  <c r="K244" i="2"/>
  <c r="S244" i="2" s="1"/>
  <c r="K245" i="2"/>
  <c r="S245" i="2" s="1"/>
  <c r="S231" i="2"/>
  <c r="S23" i="2"/>
  <c r="Q2" i="2"/>
  <c r="S228" i="2"/>
  <c r="S20" i="2"/>
  <c r="S58" i="2"/>
  <c r="S61" i="2"/>
  <c r="S77" i="2"/>
  <c r="S93" i="2"/>
  <c r="S109" i="2"/>
  <c r="S125" i="2"/>
  <c r="S141" i="2"/>
  <c r="S157" i="2"/>
  <c r="S205" i="2"/>
  <c r="S202" i="2"/>
  <c r="S221" i="2"/>
  <c r="S218" i="2"/>
  <c r="S49" i="2"/>
  <c r="S237" i="2"/>
  <c r="S234" i="2"/>
  <c r="S14" i="2"/>
  <c r="S9" i="2"/>
  <c r="S25" i="2"/>
  <c r="S41" i="2"/>
  <c r="S73" i="2"/>
  <c r="S185" i="2"/>
  <c r="S201" i="2"/>
  <c r="S70" i="2"/>
  <c r="S86" i="2"/>
  <c r="S102" i="2"/>
  <c r="S118" i="2"/>
  <c r="S134" i="2"/>
  <c r="S150" i="2"/>
  <c r="S166" i="2"/>
  <c r="S182" i="2"/>
  <c r="S198" i="2"/>
  <c r="S67" i="2"/>
  <c r="S83" i="2"/>
  <c r="S99" i="2"/>
  <c r="S115" i="2"/>
  <c r="S131" i="2"/>
  <c r="S147" i="2"/>
  <c r="S163" i="2"/>
  <c r="S179" i="2"/>
  <c r="S195" i="2"/>
  <c r="S80" i="2"/>
  <c r="S96" i="2"/>
  <c r="S112" i="2"/>
  <c r="S128" i="2"/>
  <c r="S144" i="2"/>
  <c r="S160" i="2"/>
  <c r="S30" i="2"/>
  <c r="S46" i="2"/>
  <c r="S78" i="2"/>
  <c r="S94" i="2"/>
  <c r="S110" i="2"/>
  <c r="S126" i="2"/>
  <c r="S142" i="2"/>
  <c r="S158" i="2"/>
  <c r="S174" i="2"/>
  <c r="S190" i="2"/>
  <c r="S43" i="2"/>
  <c r="S75" i="2"/>
  <c r="S91" i="2"/>
  <c r="S107" i="2"/>
  <c r="S123" i="2"/>
  <c r="S139" i="2"/>
  <c r="S155" i="2"/>
  <c r="S171" i="2"/>
  <c r="S187" i="2"/>
  <c r="S56" i="2"/>
  <c r="S72" i="2"/>
  <c r="S88" i="2"/>
  <c r="S104" i="2"/>
  <c r="S120" i="2"/>
  <c r="S136" i="2"/>
  <c r="S152" i="2"/>
  <c r="S168" i="2"/>
  <c r="S53" i="2"/>
  <c r="S69" i="2"/>
  <c r="S165" i="2"/>
  <c r="S213" i="2"/>
  <c r="S229" i="2"/>
  <c r="S18" i="2"/>
  <c r="S34" i="2"/>
  <c r="S50" i="2"/>
  <c r="S66" i="2"/>
  <c r="S210" i="2"/>
  <c r="S226" i="2"/>
  <c r="S207" i="2"/>
  <c r="S204" i="2"/>
  <c r="S17" i="2"/>
  <c r="S33" i="2"/>
  <c r="S81" i="2"/>
  <c r="S97" i="2"/>
  <c r="S113" i="2"/>
  <c r="S129" i="2"/>
  <c r="S145" i="2"/>
  <c r="S193" i="2"/>
  <c r="S6" i="2"/>
  <c r="S22" i="2"/>
  <c r="S38" i="2"/>
  <c r="S85" i="2"/>
  <c r="S101" i="2"/>
  <c r="S117" i="2"/>
  <c r="S133" i="2"/>
  <c r="S149" i="2"/>
  <c r="S3" i="2"/>
  <c r="S19" i="2"/>
  <c r="S35" i="2"/>
  <c r="S57" i="2"/>
  <c r="S82" i="2"/>
  <c r="S98" i="2"/>
  <c r="S114" i="2"/>
  <c r="S130" i="2"/>
  <c r="S146" i="2"/>
  <c r="S162" i="2"/>
  <c r="S184" i="2"/>
  <c r="S209" i="2"/>
  <c r="S225" i="2"/>
  <c r="S16" i="2"/>
  <c r="S32" i="2"/>
  <c r="S54" i="2"/>
  <c r="S79" i="2"/>
  <c r="S127" i="2"/>
  <c r="S181" i="2"/>
  <c r="S206" i="2"/>
  <c r="S222" i="2"/>
  <c r="S238" i="2"/>
  <c r="S13" i="2"/>
  <c r="S29" i="2"/>
  <c r="S51" i="2"/>
  <c r="S76" i="2"/>
  <c r="S124" i="2"/>
  <c r="S178" i="2"/>
  <c r="S194" i="2"/>
  <c r="S197" i="2"/>
  <c r="S200" i="2"/>
  <c r="S203" i="2"/>
  <c r="S219" i="2"/>
  <c r="S235" i="2"/>
  <c r="S10" i="2"/>
  <c r="S26" i="2"/>
  <c r="S42" i="2"/>
  <c r="S45" i="2"/>
  <c r="S48" i="2"/>
  <c r="S64" i="2"/>
  <c r="S89" i="2"/>
  <c r="S105" i="2"/>
  <c r="S121" i="2"/>
  <c r="S137" i="2"/>
  <c r="S153" i="2"/>
  <c r="S169" i="2"/>
  <c r="S216" i="2"/>
  <c r="S232" i="2"/>
  <c r="S11" i="2"/>
  <c r="S27" i="2"/>
  <c r="S65" i="2"/>
  <c r="S74" i="2"/>
  <c r="S90" i="2"/>
  <c r="S106" i="2"/>
  <c r="S122" i="2"/>
  <c r="S138" i="2"/>
  <c r="S154" i="2"/>
  <c r="S170" i="2"/>
  <c r="S173" i="2"/>
  <c r="S176" i="2"/>
  <c r="S192" i="2"/>
  <c r="S217" i="2"/>
  <c r="S8" i="2"/>
  <c r="S24" i="2"/>
  <c r="S40" i="2"/>
  <c r="S62" i="2"/>
  <c r="S103" i="2"/>
  <c r="S151" i="2"/>
  <c r="S177" i="2"/>
  <c r="S189" i="2"/>
  <c r="S214" i="2"/>
  <c r="S230" i="2"/>
  <c r="S5" i="2"/>
  <c r="S21" i="2"/>
  <c r="S37" i="2"/>
  <c r="S59" i="2"/>
  <c r="S100" i="2"/>
  <c r="S148" i="2"/>
  <c r="S186" i="2"/>
  <c r="S211" i="2"/>
  <c r="S227" i="2"/>
  <c r="S161" i="2"/>
  <c r="S208" i="2"/>
  <c r="S224" i="2"/>
  <c r="S240" i="2"/>
  <c r="S44" i="2"/>
  <c r="S47" i="2"/>
  <c r="S172" i="2"/>
  <c r="S175" i="2"/>
  <c r="S92" i="2"/>
  <c r="S95" i="2"/>
  <c r="S15" i="2"/>
  <c r="S140" i="2"/>
  <c r="S143" i="2"/>
  <c r="S164" i="2"/>
  <c r="S167" i="2"/>
  <c r="S233" i="2"/>
  <c r="S239" i="2"/>
  <c r="S212" i="2"/>
  <c r="S108" i="2"/>
  <c r="S111" i="2"/>
  <c r="S132" i="2"/>
  <c r="S135" i="2"/>
  <c r="S28" i="2"/>
  <c r="S31" i="2"/>
  <c r="S156" i="2"/>
  <c r="S159" i="2"/>
  <c r="S68" i="2"/>
  <c r="S71" i="2"/>
  <c r="S196" i="2"/>
  <c r="S199" i="2"/>
  <c r="S220" i="2"/>
  <c r="S223" i="2"/>
  <c r="S116" i="2"/>
  <c r="S119" i="2"/>
  <c r="S12" i="2"/>
  <c r="S36" i="2"/>
  <c r="S39" i="2"/>
  <c r="S60" i="2"/>
  <c r="S63" i="2"/>
  <c r="S188" i="2"/>
  <c r="S191" i="2"/>
  <c r="S236" i="2"/>
  <c r="S84" i="2"/>
  <c r="S87" i="2"/>
  <c r="S215" i="2"/>
  <c r="P2" i="2"/>
  <c r="S4" i="2"/>
  <c r="S7" i="2"/>
  <c r="S52" i="2"/>
  <c r="S55" i="2"/>
  <c r="S180" i="2"/>
  <c r="S183" i="2"/>
  <c r="S241" i="2" l="1"/>
  <c r="S1" i="2" s="1"/>
  <c r="L2" i="2"/>
  <c r="I9" i="2"/>
  <c r="I15" i="2" l="1"/>
  <c r="I17" i="2" l="1"/>
  <c r="I18" i="2" l="1"/>
  <c r="I7" i="2" l="1"/>
  <c r="I12" i="2" l="1"/>
  <c r="I5" i="2" l="1"/>
  <c r="I6" i="2" l="1"/>
  <c r="I10" i="2" l="1"/>
  <c r="I11" i="2" l="1"/>
  <c r="I8" i="2" l="1"/>
  <c r="I14" i="2" l="1"/>
  <c r="I13" i="2" l="1"/>
  <c r="I3" i="2" l="1"/>
  <c r="I24" i="2" l="1"/>
  <c r="I19" i="2" l="1"/>
  <c r="I25" i="2" l="1"/>
  <c r="I27" i="2" l="1"/>
  <c r="I22" i="2" l="1"/>
  <c r="I26" i="2" l="1"/>
  <c r="I4" i="2" l="1"/>
  <c r="I28" i="2" l="1"/>
  <c r="I23" i="2" l="1"/>
  <c r="I35" i="2" l="1"/>
  <c r="I36" i="2" l="1"/>
  <c r="I31" i="2" l="1"/>
  <c r="I16" i="2" l="1"/>
  <c r="I30" i="2" l="1"/>
  <c r="I29" i="2" l="1"/>
  <c r="I20" i="2" l="1"/>
  <c r="I21" i="2" l="1"/>
  <c r="I32" i="2" l="1"/>
  <c r="I34" i="2" l="1"/>
  <c r="I33" i="2" l="1"/>
  <c r="I58" i="2" l="1"/>
  <c r="I61" i="2" l="1"/>
  <c r="I62" i="2" l="1"/>
  <c r="I49" i="2" l="1"/>
  <c r="I37" i="2" l="1"/>
  <c r="I75" i="2" l="1"/>
  <c r="I52" i="2" l="1"/>
  <c r="I78" i="2" l="1"/>
  <c r="I46" i="2" l="1"/>
  <c r="I53" i="2" l="1"/>
  <c r="I45" i="2" l="1"/>
  <c r="I63" i="2" l="1"/>
  <c r="I59" i="2" l="1"/>
  <c r="I60" i="2" l="1"/>
  <c r="I55" i="2" l="1"/>
  <c r="I48" i="2" l="1"/>
  <c r="I79" i="2" l="1"/>
  <c r="I51" i="2" l="1"/>
  <c r="I50" i="2" l="1"/>
  <c r="I38" i="2" l="1"/>
  <c r="I74" i="2" l="1"/>
  <c r="I65" i="2" l="1"/>
  <c r="I47" i="2" l="1"/>
  <c r="I54" i="2" l="1"/>
  <c r="I40" i="2" l="1"/>
  <c r="I56" i="2" l="1"/>
  <c r="I39" i="2" l="1"/>
  <c r="I71" i="2" l="1"/>
  <c r="I70" i="2" l="1"/>
  <c r="I64" i="2" l="1"/>
  <c r="I41" i="2" l="1"/>
  <c r="I42" i="2" l="1"/>
  <c r="I66" i="2" l="1"/>
  <c r="I44" i="2" l="1"/>
  <c r="I72" i="2" l="1"/>
  <c r="I80" i="2" l="1"/>
  <c r="I69" i="2" l="1"/>
  <c r="I73" i="2" l="1"/>
  <c r="I67" i="2" l="1"/>
  <c r="I68" i="2" l="1"/>
  <c r="I76" i="2" l="1"/>
  <c r="I57" i="2" l="1"/>
  <c r="I77" i="2" l="1"/>
  <c r="I43" i="2" l="1"/>
  <c r="I108" i="2" l="1"/>
  <c r="I107" i="2" l="1"/>
  <c r="I122" i="2" l="1"/>
  <c r="I134" i="2" l="1"/>
  <c r="I84" i="2" l="1"/>
  <c r="I85" i="2" l="1"/>
  <c r="I100" i="2" l="1"/>
  <c r="I123" i="2" l="1"/>
  <c r="I219" i="2" l="1"/>
  <c r="I221" i="2" l="1"/>
  <c r="I223" i="2" l="1"/>
  <c r="I81" i="2" l="1"/>
  <c r="I86" i="2" l="1"/>
  <c r="I138" i="2" l="1"/>
  <c r="I119" i="2" l="1"/>
  <c r="I83" i="2" l="1"/>
  <c r="I137" i="2" l="1"/>
  <c r="I102" i="2" l="1"/>
  <c r="I112" i="2" l="1"/>
  <c r="I105" i="2" l="1"/>
  <c r="I113" i="2" l="1"/>
  <c r="I136" i="2" l="1"/>
  <c r="I120" i="2" l="1"/>
  <c r="I125" i="2" l="1"/>
  <c r="I154" i="2" l="1"/>
  <c r="I155" i="2" l="1"/>
  <c r="I92" i="2" l="1"/>
  <c r="I114" i="2" l="1"/>
  <c r="I97" i="2" l="1"/>
  <c r="I126" i="2" l="1"/>
  <c r="I87" i="2" l="1"/>
  <c r="I143" i="2" l="1"/>
  <c r="I142" i="2" l="1"/>
  <c r="I117" i="2" l="1"/>
  <c r="I140" i="2" l="1"/>
  <c r="I161" i="2" l="1"/>
  <c r="I144" i="2" l="1"/>
  <c r="I129" i="2" l="1"/>
  <c r="I159" i="2" l="1"/>
  <c r="I174" i="2" l="1"/>
  <c r="I194" i="2" l="1"/>
  <c r="I104" i="2" l="1"/>
  <c r="I95" i="2" l="1"/>
  <c r="I132" i="2" l="1"/>
  <c r="I109" i="2" l="1"/>
  <c r="I106" i="2" l="1"/>
  <c r="I103" i="2" l="1"/>
  <c r="I116" i="2" l="1"/>
  <c r="I89" i="2" l="1"/>
  <c r="I130" i="2" l="1"/>
  <c r="I166" i="2" l="1"/>
  <c r="I207" i="2" l="1"/>
  <c r="I210" i="2" l="1"/>
  <c r="I88" i="2" l="1"/>
  <c r="I98" i="2" l="1"/>
  <c r="I91" i="2" l="1"/>
  <c r="I93" i="2" l="1"/>
  <c r="I96" i="2" l="1"/>
  <c r="I162" i="2" l="1"/>
  <c r="I178" i="2" l="1"/>
  <c r="I139" i="2" l="1"/>
  <c r="I124" i="2" l="1"/>
  <c r="I101" i="2" l="1"/>
  <c r="I131" i="2" l="1"/>
  <c r="I99" i="2" l="1"/>
  <c r="I135" i="2" l="1"/>
  <c r="I127" i="2" l="1"/>
  <c r="I118" i="2" l="1"/>
  <c r="I133" i="2" l="1"/>
  <c r="I141" i="2" l="1"/>
  <c r="I94" i="2" l="1"/>
  <c r="I115" i="2" l="1"/>
  <c r="I128" i="2" l="1"/>
  <c r="I82" i="2" l="1"/>
  <c r="I12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I3" authorId="0" shapeId="0" xr:uid="{0284365B-1D4F-4CF2-963C-D3034DD7786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4" authorId="0" shapeId="0" xr:uid="{00DE8A5E-25E5-4E3F-A42F-3DB51244D2B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5" authorId="0" shapeId="0" xr:uid="{8CF2395E-B8C3-475D-B943-0E3871CCB5A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6" authorId="0" shapeId="0" xr:uid="{64E5A0FD-A8BE-41D6-A44E-0C7A3BD4A64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7" authorId="0" shapeId="0" xr:uid="{1797B33D-8466-4CBF-B8AC-4862253B16B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8" authorId="0" shapeId="0" xr:uid="{CE9C41ED-D27E-4ACB-8DFA-EEA052E0EB2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9" authorId="0" shapeId="0" xr:uid="{23BCD26C-14B3-44FA-82FB-2DCB054BB18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0" authorId="0" shapeId="0" xr:uid="{824E9373-49C1-4875-A0D6-A9D8C6E1FB8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1" authorId="0" shapeId="0" xr:uid="{12D3EFC3-061E-4279-AEA3-DA7A5AD0985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2" authorId="0" shapeId="0" xr:uid="{8027089E-D573-4553-8776-86E00ED3313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3" authorId="0" shapeId="0" xr:uid="{5BB35319-D086-41E8-B817-9484E7EB396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4" authorId="0" shapeId="0" xr:uid="{B198AA29-FBDB-41CE-BE84-55F4F61BF6D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5" authorId="0" shapeId="0" xr:uid="{83F1D252-83BE-43E3-80D0-1A41593107C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6" authorId="0" shapeId="0" xr:uid="{A542419F-3929-45EB-988A-9EDF2185047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7" authorId="0" shapeId="0" xr:uid="{320F1ABA-E399-41AB-ABA3-B76795BC383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8" authorId="0" shapeId="0" xr:uid="{7B3D3337-5091-44F2-A994-D97601B2A41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9" authorId="0" shapeId="0" xr:uid="{BAE6CF40-220A-447B-AFC8-39AFBBA38D4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20" authorId="0" shapeId="0" xr:uid="{197578FC-382D-49E4-8F3E-75C92858F88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1" authorId="0" shapeId="0" xr:uid="{57EE16CA-BD3D-489D-8BFE-66B358C43B3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2" authorId="0" shapeId="0" xr:uid="{CF4BAB46-94E0-413E-9F12-AC1D89935F7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3" authorId="0" shapeId="0" xr:uid="{2653C5E8-1303-4708-9374-B48ABD73ED5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4" authorId="0" shapeId="0" xr:uid="{244EB202-C2F2-464B-86D5-FFE26296CB0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5" authorId="0" shapeId="0" xr:uid="{32FF9CAA-61DE-4131-9062-16C3DA51E50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6" authorId="0" shapeId="0" xr:uid="{3D0DC13B-CD98-4AD8-9C4C-8416866C65B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7" authorId="0" shapeId="0" xr:uid="{4016AF5E-0FE2-4159-92DA-7CD2F2FE55A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8" authorId="0" shapeId="0" xr:uid="{2E10760C-F186-4A0E-9D8B-C18BCD5224F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9" authorId="0" shapeId="0" xr:uid="{EC3C17BF-87AE-4487-973F-EB49BF06F0B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0" authorId="0" shapeId="0" xr:uid="{1596298E-0C24-49A7-A8C0-EFDBF2C9643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1" authorId="0" shapeId="0" xr:uid="{643DE911-EBC4-436C-8489-3CFBE56A2C0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2" authorId="0" shapeId="0" xr:uid="{66810431-E392-40E0-B7CB-F5A5837CE6C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3" authorId="0" shapeId="0" xr:uid="{D4EFE4D0-B4FD-4789-A995-BF911DB708E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4" authorId="0" shapeId="0" xr:uid="{362E4689-BFE6-4B36-B3A6-22CB0A6BC2F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5" authorId="0" shapeId="0" xr:uid="{59BAF959-956E-4539-B9E6-7EEFC5733EA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6" authorId="0" shapeId="0" xr:uid="{09357FC4-772A-4568-AA77-DD29F920A35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7" authorId="0" shapeId="0" xr:uid="{BFF18C17-CF27-49E7-8CA5-240CBBBC419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38" authorId="0" shapeId="0" xr:uid="{A8ADC784-9B33-46B4-9F70-BA60BEB44FB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9" authorId="0" shapeId="0" xr:uid="{E1F24B46-10FF-46CD-A48A-DA70F99FDDB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0" authorId="0" shapeId="0" xr:uid="{49CE1D8B-ECE9-42B8-99F4-AB25C2B0996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1" authorId="0" shapeId="0" xr:uid="{D0A67A44-220A-43F6-9A78-E2D7E6B2008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2" authorId="0" shapeId="0" xr:uid="{0926F6C9-D1EB-4022-AC6A-EEDC0BDD101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3" authorId="0" shapeId="0" xr:uid="{9698A559-E906-4A94-80C8-4D6E1D3C19C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4" authorId="0" shapeId="0" xr:uid="{607186B0-11DE-4C51-A8A8-E6731DF12EF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5" authorId="0" shapeId="0" xr:uid="{09F83AFC-F8F6-4E9D-84A9-FBEE16039A0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6" authorId="0" shapeId="0" xr:uid="{BD038C8F-DF76-421D-921D-DCC94FC9B54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7" authorId="0" shapeId="0" xr:uid="{BBA8A763-F94B-4F56-A692-486A848A818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8" authorId="0" shapeId="0" xr:uid="{B6FD6182-AD9E-4955-A573-92A42AA27D1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49" authorId="0" shapeId="0" xr:uid="{723C022E-1F88-4238-A81B-8791D7EF109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50" authorId="0" shapeId="0" xr:uid="{0D37FD07-987A-4E82-97DD-C14B1C6FBE4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51" authorId="0" shapeId="0" xr:uid="{E19FF181-6272-48CE-AA3B-2CDB29E412D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52" authorId="0" shapeId="0" xr:uid="{C4AE9C90-D125-42BE-8A20-C560F235F76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53" authorId="0" shapeId="0" xr:uid="{516175A4-DE49-458C-8083-A74ED56D6EE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54" authorId="0" shapeId="0" xr:uid="{5F763B60-FDCD-4AEF-BAF3-BBA0E56CF45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55" authorId="0" shapeId="0" xr:uid="{A2AFC4D2-C912-432C-AB3E-AD4395F6DEE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56" authorId="0" shapeId="0" xr:uid="{4D8C3ADE-5A34-4852-A63A-E5EF4462294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57" authorId="0" shapeId="0" xr:uid="{54B73866-C1C5-42CA-A176-63D11937860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58" authorId="0" shapeId="0" xr:uid="{E6D3F5CF-757C-4ED0-A5F7-A740B51F064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59" authorId="0" shapeId="0" xr:uid="{F2493401-8850-4ED9-856D-874816161D8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60" authorId="0" shapeId="0" xr:uid="{31F67E65-126F-4CD8-AFF0-C48D023CCAD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61" authorId="0" shapeId="0" xr:uid="{BAB90D67-13D4-4A30-8EF6-2CFDB766A35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62" authorId="0" shapeId="0" xr:uid="{8CD17F65-DEF7-4895-B401-B0D586D885C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63" authorId="0" shapeId="0" xr:uid="{46216570-ADD3-4524-9C7E-3FFD733404B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64" authorId="0" shapeId="0" xr:uid="{4029751F-E2A1-48AB-B249-3524233AC11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5" authorId="0" shapeId="0" xr:uid="{4E12EE83-4D77-482B-BEBA-7EDF25721C9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6" authorId="0" shapeId="0" xr:uid="{6BC4678D-0D88-4C9E-ACC0-DB545A52423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7" authorId="0" shapeId="0" xr:uid="{9B8E1A0A-7F0E-4E75-B897-5259D03FA65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8" authorId="0" shapeId="0" xr:uid="{9DED631F-4CFC-4095-A90D-D348BE0F5F3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69" authorId="0" shapeId="0" xr:uid="{0D3EA35C-9060-4C10-9250-19AB92C85C9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0" authorId="0" shapeId="0" xr:uid="{16263EE4-74CA-4E5A-81B2-B6D50E5E9F3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1" authorId="0" shapeId="0" xr:uid="{FC763A86-061D-454C-BD41-725833E0430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2" authorId="0" shapeId="0" xr:uid="{201C3F6D-59C2-4D71-9740-76CDC7DFD8A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3" authorId="0" shapeId="0" xr:uid="{EB3EDFE2-E739-4705-93A5-77C3AB5108F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4" authorId="0" shapeId="0" xr:uid="{11870A83-5BA4-47E9-90DA-B69038B6C9E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5" authorId="0" shapeId="0" xr:uid="{6C3D7653-BD14-4D75-B775-C0647CBBB3F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6" authorId="0" shapeId="0" xr:uid="{EE106B8B-351A-4C9B-9874-4BB9DA07031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7" authorId="0" shapeId="0" xr:uid="{E99201DF-4A1C-470B-8CED-A722B8708D6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8" authorId="0" shapeId="0" xr:uid="{423B08D7-B719-4C46-94F9-829A45EA98A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79" authorId="0" shapeId="0" xr:uid="{E2B5FE9B-EBFD-4D8D-A050-35B8B59C5D9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1" authorId="0" shapeId="0" xr:uid="{28AB9668-0170-46BE-A333-F1BBAE98B02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82" authorId="0" shapeId="0" xr:uid="{B748E1AD-4E72-45B1-BA9B-658D38E67FC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3" authorId="0" shapeId="0" xr:uid="{8C0964D2-E1BB-4899-8671-AF68E9A1F7B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4" authorId="0" shapeId="0" xr:uid="{DFC971AD-FDC8-4716-A46A-47879A968CA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5" authorId="0" shapeId="0" xr:uid="{1BD31C2B-6E3E-4C71-A58B-2C162FE86E2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6" authorId="0" shapeId="0" xr:uid="{17B6E0C9-723B-483E-92A9-7FE199C9FDB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7" authorId="0" shapeId="0" xr:uid="{D73AE6BB-DFC9-4E36-932A-C9996164EA1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8" authorId="0" shapeId="0" xr:uid="{8A5E812D-EE91-45FA-8D7B-26DE591DE06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89" authorId="0" shapeId="0" xr:uid="{3BBB4065-FA92-4A2D-B4A8-8D7CED18BB8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0" authorId="0" shapeId="0" xr:uid="{61AA635D-A52B-4B7D-80AB-E631C82A998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1" authorId="0" shapeId="0" xr:uid="{09444D14-5304-4492-BE77-281532C8B6A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2" authorId="0" shapeId="0" xr:uid="{B73ED829-3F9E-4F01-A1E9-1C56306674A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3" authorId="0" shapeId="0" xr:uid="{21E421FB-D14F-4CBE-8EE7-90FC911743A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4" authorId="0" shapeId="0" xr:uid="{51F01C88-80BD-4298-9533-4DAF472209A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5" authorId="0" shapeId="0" xr:uid="{BBE984F4-6D94-46C1-B417-A44F0FBA9CD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6" authorId="0" shapeId="0" xr:uid="{9AC00022-47E3-441C-A80F-9209A3E4439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7" authorId="0" shapeId="0" xr:uid="{2F883FBB-710C-4AA1-BA77-DC4FFC0B061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8" authorId="0" shapeId="0" xr:uid="{06A441CC-7C8B-4F64-A626-605BEE8D99B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99" authorId="0" shapeId="0" xr:uid="{45E2DD32-A478-4AF8-8B17-E99DDAF3CC5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0" authorId="0" shapeId="0" xr:uid="{3FDC6DD9-61EB-4319-A033-5B68DDC42BF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1" authorId="0" shapeId="0" xr:uid="{EFA38BC7-7CBE-4744-BEBC-ED51E9CAB37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2" authorId="0" shapeId="0" xr:uid="{95DB5782-EDD4-4039-8FBB-855CE5047AF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3" authorId="0" shapeId="0" xr:uid="{AAFECBC9-FFC4-4AD1-8619-4EE898D9FC7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4" authorId="0" shapeId="0" xr:uid="{68FF9DDB-5F61-4687-A444-8BA8E1CCB0C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5" authorId="0" shapeId="0" xr:uid="{B4AAC6EC-BDFB-4CFC-9A3D-561F6D65A54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6" authorId="0" shapeId="0" xr:uid="{2E5326FD-93D8-4B87-8DD6-426A9D3D26A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7" authorId="0" shapeId="0" xr:uid="{D99F60C0-753D-435B-A961-05615452A5E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8" authorId="0" shapeId="0" xr:uid="{DF790972-564E-4350-BAF5-55CEBB67169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09" authorId="0" shapeId="0" xr:uid="{3A7B4983-17E9-4D6F-A401-E14CFF58408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0" authorId="0" shapeId="0" xr:uid="{85D9342A-3910-4C33-B407-3558CA7BC74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1" authorId="0" shapeId="0" xr:uid="{D2BEB140-7F1D-422A-B846-09B1F25E0FC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2" authorId="0" shapeId="0" xr:uid="{05FDDB0A-3C6F-4CE9-83F6-A381C34DA12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3" authorId="0" shapeId="0" xr:uid="{52C7FA97-4769-4C73-8E88-1FCC1FBC924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4" authorId="0" shapeId="0" xr:uid="{30DEFBF0-BE35-4E59-AD9F-F221D6016BD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5" authorId="0" shapeId="0" xr:uid="{4384F6F0-2A22-49D7-9575-988A80CBA26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6" authorId="0" shapeId="0" xr:uid="{E6E9685E-54CF-4F7E-8241-A68171C1CC1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7" authorId="0" shapeId="0" xr:uid="{4C056249-7F6A-4D1A-8171-D62A7F0C51D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8" authorId="0" shapeId="0" xr:uid="{266BE53C-7DBC-46A8-B875-48FA176CB06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19" authorId="0" shapeId="0" xr:uid="{81F32E13-5B9C-4C52-80A9-D07FD637111B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0" authorId="0" shapeId="0" xr:uid="{E27A5413-13F2-4DA8-B801-2498A222488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1" authorId="0" shapeId="0" xr:uid="{B8290955-260B-4B5E-A6F5-611DD25313B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2" authorId="0" shapeId="0" xr:uid="{88A8E3B8-C137-4E8B-B4CB-61C25A4DA2E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3" authorId="0" shapeId="0" xr:uid="{65E7D195-6CE3-409A-B2EC-DC098BC8D71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4" authorId="0" shapeId="0" xr:uid="{C6A9A149-2653-4F71-BDB5-754279D4102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5" authorId="0" shapeId="0" xr:uid="{6BE6925C-CABD-45F0-98D6-95849012746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6" authorId="0" shapeId="0" xr:uid="{9B321DB1-95CE-4C86-8CC9-59C71935BD5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7" authorId="0" shapeId="0" xr:uid="{2613759E-A46C-493C-A51A-EAE1925691E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8" authorId="0" shapeId="0" xr:uid="{D74607F9-4E0A-40BD-B2D7-235BDC9CE5E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29" authorId="0" shapeId="0" xr:uid="{D59EE0ED-964D-4C00-959E-C1C3F5C217C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0" authorId="0" shapeId="0" xr:uid="{50563C6A-FBF8-4996-8BE6-D4399AF274D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1" authorId="0" shapeId="0" xr:uid="{1DE11AF6-4310-4094-BDBF-3B4FDAD5B7C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2" authorId="0" shapeId="0" xr:uid="{A6A6E9E5-4801-4C73-B443-299019F7261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3" authorId="0" shapeId="0" xr:uid="{B9B5BEF9-89EA-4F54-BAF5-6D06B16F037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4" authorId="0" shapeId="0" xr:uid="{2080A94E-BAC0-4410-AA7A-4F4C265A7D4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5" authorId="0" shapeId="0" xr:uid="{9A266A78-0711-45C8-AD19-0E6911343DA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6" authorId="0" shapeId="0" xr:uid="{C10D05DB-698B-4BAD-BC8F-B832D3DBC73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7" authorId="0" shapeId="0" xr:uid="{26E013B6-9261-494F-B7AF-04A9254DF99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8" authorId="0" shapeId="0" xr:uid="{CF978D08-44F3-4D30-8C52-1E06BCA185B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39" authorId="0" shapeId="0" xr:uid="{FF9305C5-9B8A-4EFE-AE1F-D9D3448369F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0" authorId="0" shapeId="0" xr:uid="{AE911349-B284-497C-B4E1-0CF132D9A17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1" authorId="0" shapeId="0" xr:uid="{ADCAF7B4-A6DF-4574-AB1E-4368E8B5079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2" authorId="0" shapeId="0" xr:uid="{8C1A38D8-5696-40A2-9B2F-18276CF7859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3" authorId="0" shapeId="0" xr:uid="{A71DBD74-ABCE-4ED5-A91A-DB8CC7C8117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144" authorId="0" shapeId="0" xr:uid="{9E549345-8DAC-4F8A-826F-0066F74EA53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<sst xmlns="http://schemas.openxmlformats.org/spreadsheetml/2006/main" count="529" uniqueCount="236">
  <si>
    <t>Item Number</t>
  </si>
  <si>
    <t>Description</t>
  </si>
  <si>
    <t>UPC</t>
  </si>
  <si>
    <t>Wholesale price</t>
  </si>
  <si>
    <t>Item Size</t>
  </si>
  <si>
    <t>Form</t>
  </si>
  <si>
    <t>Cod Liver Oil</t>
  </si>
  <si>
    <t>B-1 100mg</t>
  </si>
  <si>
    <t>Biotin   800 mcg</t>
  </si>
  <si>
    <t xml:space="preserve">Biotin  5000 mcg </t>
  </si>
  <si>
    <t>Biotin 10,000 mcg</t>
  </si>
  <si>
    <t>B-6 100 mg</t>
  </si>
  <si>
    <t>B-12 500 mcg</t>
  </si>
  <si>
    <t>B-12 1000 mcg PR</t>
  </si>
  <si>
    <t>B-12 2500 mcg Sublingual</t>
  </si>
  <si>
    <t xml:space="preserve">B-12 5000 mcg Sublingual </t>
  </si>
  <si>
    <t>Folic Acid 400 mcg</t>
  </si>
  <si>
    <t>Folic Acid 800 mcg</t>
  </si>
  <si>
    <t>Niacin 100 mg</t>
  </si>
  <si>
    <t>Niacin 250 mg PR</t>
  </si>
  <si>
    <t xml:space="preserve">Niacin 500 mg PR </t>
  </si>
  <si>
    <t>Niacinamide 500 mg PR</t>
  </si>
  <si>
    <t>B-50 Complex PR</t>
  </si>
  <si>
    <t>B-100 Complex PR</t>
  </si>
  <si>
    <t>Stress B + Zinc</t>
  </si>
  <si>
    <t>B Complex w/C</t>
  </si>
  <si>
    <t>C  500 mg</t>
  </si>
  <si>
    <t>C  500 mg - Orange</t>
  </si>
  <si>
    <t>C  500 mg Prolonged Release</t>
  </si>
  <si>
    <t>C  500 mg w/Rose Hips</t>
  </si>
  <si>
    <t>C 1000 mg  Prolonged Release</t>
  </si>
  <si>
    <t>C 1000 mg w/Rose Hips</t>
  </si>
  <si>
    <t>ImmuBlast</t>
  </si>
  <si>
    <t>D  10 mcg  (400 iu)</t>
  </si>
  <si>
    <t>D  10 mcg  (400 iu) Orange</t>
  </si>
  <si>
    <t>D  25 mcg  (1000 iu)</t>
  </si>
  <si>
    <t>D  50 mcg  (2000 iu)</t>
  </si>
  <si>
    <t>D 125 mcg  (5000 iu)</t>
  </si>
  <si>
    <t>D 250 mcg  (10,000 iu)</t>
  </si>
  <si>
    <t>E  90 mg  (200iu dl-alpha)</t>
  </si>
  <si>
    <t>E 180 mg  (400iu dl-alpha)</t>
  </si>
  <si>
    <t>E 268 mg  (400iu d-alpha)  Natural</t>
  </si>
  <si>
    <t>E 450 mg  (1000iu dl-alpha)</t>
  </si>
  <si>
    <t>K2 (MK7) 100 mcg</t>
  </si>
  <si>
    <t>ArthriFlex +D</t>
  </si>
  <si>
    <t>ArthriFlex +Turmeric</t>
  </si>
  <si>
    <t>Glucosamine Relief  500 mg</t>
  </si>
  <si>
    <t>Glucosamine Relief 1000 mg</t>
  </si>
  <si>
    <t xml:space="preserve">Glucosamine Daily Complex +D </t>
  </si>
  <si>
    <t>Glucosamine Chondroitin 250/200mg (Original)</t>
  </si>
  <si>
    <t>Glucosamine Chondroitin 500/400mg (DS)</t>
  </si>
  <si>
    <t>Glucosamine Chondroitin 750/600mg (3X)</t>
  </si>
  <si>
    <t>Glucosamine Chondroitin Advanced + MSM</t>
  </si>
  <si>
    <t>Glucosamine Chondroitin Complex Triple</t>
  </si>
  <si>
    <t xml:space="preserve">Glucosamine Chondroitin Plus </t>
  </si>
  <si>
    <t>MSM 1000 mg</t>
  </si>
  <si>
    <t>Calcium Citrate +D Max</t>
  </si>
  <si>
    <t>Calcium Citrate +D Petites</t>
  </si>
  <si>
    <t>Calcium  500 mg +D</t>
  </si>
  <si>
    <t>Calcium  500 mg + Extra D</t>
  </si>
  <si>
    <t>Calcium  600 mg</t>
  </si>
  <si>
    <t>Calcium  600 mg +D</t>
  </si>
  <si>
    <t>Calcium  600 mg +D Plus Minerals</t>
  </si>
  <si>
    <t>Calcium 1200 mg +D Liquid Filled</t>
  </si>
  <si>
    <t>Calcium 1000 mg +D</t>
  </si>
  <si>
    <t>Coral Calcium 1000 mg</t>
  </si>
  <si>
    <t>Cal Mag Zinc +D</t>
  </si>
  <si>
    <t>Chromium Picolinate 200 mcg</t>
  </si>
  <si>
    <t>Iron 27 mg (Ferrous Gluconate)</t>
  </si>
  <si>
    <t>Iron Slow Release</t>
  </si>
  <si>
    <t>Iron 65 mg (Ferrous Sulfate 325 mg)</t>
  </si>
  <si>
    <t>Magnesium 250 mg</t>
  </si>
  <si>
    <t>MgO 400 mg</t>
  </si>
  <si>
    <t>Magnesium Glycinate</t>
  </si>
  <si>
    <t>Potassium Gluconate 595 mg</t>
  </si>
  <si>
    <t>Selenium 200 mcg</t>
  </si>
  <si>
    <t>Zinc 50 mg (Citrate)</t>
  </si>
  <si>
    <t>Zinc Chewable w/C &amp; B6 - Cherry</t>
  </si>
  <si>
    <t>Antioxidant</t>
  </si>
  <si>
    <t>Estro Support Max + Energy</t>
  </si>
  <si>
    <t>Healthy Eyes with Lutein</t>
  </si>
  <si>
    <t>Healthy Eyes Extra</t>
  </si>
  <si>
    <t>Healthy Eyes Lutein &amp; Zeaxanthin</t>
  </si>
  <si>
    <t>Healthy Eyes SuperView 2</t>
  </si>
  <si>
    <t>Mega Multi for Men</t>
  </si>
  <si>
    <t>Mega Multi for Women</t>
  </si>
  <si>
    <t>One Daily Essential</t>
  </si>
  <si>
    <t>One Daily Maximum</t>
  </si>
  <si>
    <t>One Daily Men's</t>
  </si>
  <si>
    <t>One Daily Men's 50+</t>
  </si>
  <si>
    <t xml:space="preserve">One Daily Women's  </t>
  </si>
  <si>
    <t>One Daily Women's 50+</t>
  </si>
  <si>
    <t>PreNatal</t>
  </si>
  <si>
    <t>PreNatal + DHA</t>
  </si>
  <si>
    <t>PreNatal DHA</t>
  </si>
  <si>
    <t>Sentry</t>
  </si>
  <si>
    <t>Sentry Men</t>
  </si>
  <si>
    <t>Sentry Women</t>
  </si>
  <si>
    <t>Sentry Senior</t>
  </si>
  <si>
    <t>Sentry Senior Men 50+</t>
  </si>
  <si>
    <t>Sentry Senior Women 50+</t>
  </si>
  <si>
    <t>Therapeutic M</t>
  </si>
  <si>
    <t>Wellify Men's Energy</t>
  </si>
  <si>
    <t>Wellify Women's Energy</t>
  </si>
  <si>
    <t>Wellify Men's 50+</t>
  </si>
  <si>
    <t>Wellify Women's 50+</t>
  </si>
  <si>
    <t>VitaJoy B-12 3000 mcg</t>
  </si>
  <si>
    <t>VitaJoy Biotin</t>
  </si>
  <si>
    <t>VitaJoy Daily C</t>
  </si>
  <si>
    <t>VitaJoy Daily D</t>
  </si>
  <si>
    <t>VitaJoy Elderberry</t>
  </si>
  <si>
    <t>VitaJoy Melatonin  5 mg</t>
  </si>
  <si>
    <t>VitaJoy Melatonin 10 mg</t>
  </si>
  <si>
    <t xml:space="preserve">VitaJoy Multi      </t>
  </si>
  <si>
    <t>Zoo Friends Multi Gummies</t>
  </si>
  <si>
    <t>Zoo Friends Multi w/ Extra C Gummies</t>
  </si>
  <si>
    <t>Zoo Friends Multi w/ Extra C</t>
  </si>
  <si>
    <t>Zoo Friends Probiotic</t>
  </si>
  <si>
    <t>Zoo Friends Sleep</t>
  </si>
  <si>
    <t>Acidophilus</t>
  </si>
  <si>
    <t>Acidophilus Probiotic Blend</t>
  </si>
  <si>
    <t>Advanced Probiotic</t>
  </si>
  <si>
    <t xml:space="preserve">Alaska Wild Fish Oil  </t>
  </si>
  <si>
    <t>Alpha Lipoic Acid 200 mg</t>
  </si>
  <si>
    <t>Apple Cider Vinegar 300mg</t>
  </si>
  <si>
    <t>Apple Cider Vinegar</t>
  </si>
  <si>
    <t>Brilliant Brain Performance</t>
  </si>
  <si>
    <t>Cinnamon</t>
  </si>
  <si>
    <t xml:space="preserve">Cinnamon plus Chromium </t>
  </si>
  <si>
    <t>Co Q-10  30 mg</t>
  </si>
  <si>
    <t>Co Q-10 100 mg</t>
  </si>
  <si>
    <t>Co Q-10 200 mg</t>
  </si>
  <si>
    <t>Co Q-10 400 mg</t>
  </si>
  <si>
    <t>Colon Cleanse</t>
  </si>
  <si>
    <t>Cranberry + Probiotic</t>
  </si>
  <si>
    <t>Daily Amino Acid</t>
  </si>
  <si>
    <t>DHEA 25 mg</t>
  </si>
  <si>
    <t>Digestive Enzymes</t>
  </si>
  <si>
    <t>Fish Oil 1000 mg</t>
  </si>
  <si>
    <t>Fish Oil 1200 mg</t>
  </si>
  <si>
    <t>Fish Oil 1200 mg Enteric Coated</t>
  </si>
  <si>
    <t>Flaxseed Oil 1000 mg</t>
  </si>
  <si>
    <t>Gelatin</t>
  </si>
  <si>
    <t>Hair, Skin &amp; Nails</t>
  </si>
  <si>
    <t>Hair, Skin &amp; Nails Extra Strength</t>
  </si>
  <si>
    <t>Krill Oil</t>
  </si>
  <si>
    <t>L-Arginine 1000 mg</t>
  </si>
  <si>
    <t>L-Lysine 1000 mg</t>
  </si>
  <si>
    <t>Lutein 10 mg</t>
  </si>
  <si>
    <t>Lutein 20 mg</t>
  </si>
  <si>
    <t>Lycopene 25 mg</t>
  </si>
  <si>
    <t>Melatonin  3 mg</t>
  </si>
  <si>
    <t>Melatonin  5 mg</t>
  </si>
  <si>
    <t>Melatonin 10 mg Prolonged Release</t>
  </si>
  <si>
    <t>Melatonin 10 mg Quick Dissolve</t>
  </si>
  <si>
    <t>Nerve Health</t>
  </si>
  <si>
    <t>Papaya Enzyme</t>
  </si>
  <si>
    <t>Prostate Health</t>
  </si>
  <si>
    <t xml:space="preserve">Psyllium   </t>
  </si>
  <si>
    <t>Red Yeast Rice</t>
  </si>
  <si>
    <t xml:space="preserve">Resveratrol Red Wine Extract </t>
  </si>
  <si>
    <t>Super Collagen +C</t>
  </si>
  <si>
    <t>Triple Omega Complex Enteric Coated</t>
  </si>
  <si>
    <t>Ashwagandha Extract 500 mg</t>
  </si>
  <si>
    <t>Cranberry Extract</t>
  </si>
  <si>
    <t>Curcumin 95</t>
  </si>
  <si>
    <t>Evening Primrose Oil</t>
  </si>
  <si>
    <t>Fenugreek 610mg</t>
  </si>
  <si>
    <t>Garlic (Odorless)</t>
  </si>
  <si>
    <t>Ginkgo Biloba Extract</t>
  </si>
  <si>
    <t>Ginseng Extract</t>
  </si>
  <si>
    <t xml:space="preserve">Grape Seed Extract </t>
  </si>
  <si>
    <t>Horse Chestnut Seed Extract</t>
  </si>
  <si>
    <t>Lion's Mane</t>
  </si>
  <si>
    <t>Milk Thistle Extract</t>
  </si>
  <si>
    <t>Saw Palmetto</t>
  </si>
  <si>
    <t>Soy Isoflavones</t>
  </si>
  <si>
    <t>Turmeric Complex</t>
  </si>
  <si>
    <t>Turmeric w/ Black Pepper Extract</t>
  </si>
  <si>
    <t>Slimming Tea - CranRaspberry</t>
  </si>
  <si>
    <t>Slimming Tea - Green Tea</t>
  </si>
  <si>
    <t>Slimming Tea - Honey Lemon</t>
  </si>
  <si>
    <t>Slimming Tea - Lemon Lime</t>
  </si>
  <si>
    <t>Slimming Tea - Natural</t>
  </si>
  <si>
    <t>Slimming Tea - Orange</t>
  </si>
  <si>
    <t>Slimming Tea - Peach Apricot</t>
  </si>
  <si>
    <t>Slimming Tea - Peppermint</t>
  </si>
  <si>
    <t>GLP Support</t>
  </si>
  <si>
    <t>60+60</t>
  </si>
  <si>
    <t>sg</t>
  </si>
  <si>
    <t>tb</t>
  </si>
  <si>
    <t>cp</t>
  </si>
  <si>
    <t>chw</t>
  </si>
  <si>
    <t>v-cp</t>
  </si>
  <si>
    <t>tb+sg</t>
  </si>
  <si>
    <t>gmy</t>
  </si>
  <si>
    <t>bag</t>
  </si>
  <si>
    <t>Case</t>
  </si>
  <si>
    <r>
      <rPr>
        <b/>
        <sz val="12"/>
        <color rgb="FFFF0000"/>
        <rFont val="Calibri"/>
        <family val="2"/>
        <charset val="204"/>
        <scheme val="minor"/>
      </rPr>
      <t>Importantly!</t>
    </r>
    <r>
      <rPr>
        <sz val="12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</si>
  <si>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Total</t>
  </si>
  <si>
    <t>Order</t>
  </si>
  <si>
    <t>USA → +13-322-093-910</t>
  </si>
  <si>
    <t>Poland → +48-459-568-603</t>
  </si>
  <si>
    <t>WhatsApp → +380-9871-54085</t>
  </si>
  <si>
    <t>E-mail → info@dsn.group</t>
  </si>
  <si>
    <t>Instagram → https://www.instagram.com/dsngroup.official/</t>
  </si>
  <si>
    <t>Weight, 
kg</t>
  </si>
  <si>
    <t>A 3000 mcg (10,000 IU)</t>
  </si>
  <si>
    <t>Beet Root 1000mg</t>
  </si>
  <si>
    <t>Berberine HCl 1000mg</t>
  </si>
  <si>
    <t>Echinacea</t>
  </si>
  <si>
    <t>Full Fuel 365™ Creatine Monohydrate</t>
  </si>
  <si>
    <t>Full Fuel 365™ Electrolyte Hydrate</t>
  </si>
  <si>
    <t>Full Fuel 365™ BCAA Performance</t>
  </si>
  <si>
    <t>Full Fuel 365™ L-Arginine 1000mg</t>
  </si>
  <si>
    <t>Full Fuel 365™ Men's Multi Max Performance</t>
  </si>
  <si>
    <t>Full Fuel 365™ Women's Multi Max Performance</t>
  </si>
  <si>
    <t>Glutathione 500mg vc</t>
  </si>
  <si>
    <t>Melatonin 12 mg Quick Dissolve</t>
  </si>
  <si>
    <t>VitaJoy Fiber</t>
  </si>
  <si>
    <t>Zinc 50 mg (Chelated)</t>
  </si>
  <si>
    <t>vc</t>
  </si>
  <si>
    <t>Unіt Freight Cost</t>
  </si>
  <si>
    <t>unit, key</t>
  </si>
  <si>
    <t>Weight, kg</t>
  </si>
  <si>
    <t>Logistic Price</t>
  </si>
  <si>
    <t>Landed Cost</t>
  </si>
  <si>
    <t>RATING</t>
  </si>
  <si>
    <t>С</t>
  </si>
  <si>
    <t>C 1000 mg</t>
  </si>
  <si>
    <t>Full Fuel 365™ Creatine</t>
  </si>
  <si>
    <t>1 lb</t>
  </si>
  <si>
    <t>pwd</t>
  </si>
  <si>
    <t>Full Fuel 365™ Pre-Workout Performance (Blue Razz)</t>
  </si>
  <si>
    <t>5.8oz</t>
  </si>
  <si>
    <t>K&amp;S Collagen Peptides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</si>
</sst>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-[$$-3C09]* #,##0.00_-;\-[$$-3C09]* #,##0.00_-;_-[$$-3C09]* &quot;-&quot;??_-;_-@_-"/>
    <numFmt numFmtId="166" formatCode="_-[$$-409]* #,##0.00_ ;_-[$$-409]* \-#,##0.00\ ;_-[$$-409]* &quot;-&quot;??_ ;_-@_ "/>
    <numFmt numFmtId="167" formatCode="[$$-409]#,##0.00"/>
    <numFmt numFmtId="168" formatCode="_-* #,##0.00\ _₴_-;\-* #,##0.00\ _₴_-;_-* &quot;-&quot;??\ _₴_-;_-@_-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94C4C"/>
      <name val="Open Sans"/>
      <family val="2"/>
    </font>
    <font>
      <sz val="11"/>
      <color rgb="FF494C4C"/>
      <name val="Open Sans"/>
      <family val="2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14"/>
      <color theme="1"/>
      <name val="Calibri"/>
      <family val="2"/>
      <charset val="204"/>
      <scheme val="minor"/>
    </font>
    <font>
      <b/>
      <sz val="13"/>
      <color theme="1"/>
      <name val="Open Sans"/>
      <family val="2"/>
    </font>
    <font>
      <sz val="10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  <font>
      <b/>
      <sz val="11"/>
      <color theme="1"/>
      <name val="Segoe U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rgb="FF0064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12" fillId="0" borderId="0"/>
  </cellStyleXfs>
  <cellXfs count="73">
    <xf numFmtId="0" fontId="0" fillId="0" borderId="0" xfId="0"/>
    <xf numFmtId="0" fontId="3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164" fontId="4" fillId="0" borderId="1" xfId="1" applyFont="1" applyBorder="1" applyProtection="1"/>
    <xf numFmtId="1" fontId="3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9" fillId="0" borderId="3" xfId="2" applyFont="1" applyBorder="1" applyAlignment="1" applyProtection="1">
      <alignment horizontal="center"/>
      <protection hidden="1"/>
    </xf>
    <xf numFmtId="0" fontId="9" fillId="0" borderId="4" xfId="2" applyFont="1" applyBorder="1" applyAlignment="1" applyProtection="1">
      <alignment horizontal="center"/>
      <protection hidden="1"/>
    </xf>
    <xf numFmtId="0" fontId="9" fillId="0" borderId="5" xfId="2" applyFont="1" applyBorder="1" applyAlignment="1" applyProtection="1">
      <alignment horizontal="center"/>
      <protection hidden="1"/>
    </xf>
    <xf numFmtId="0" fontId="9" fillId="0" borderId="6" xfId="2" applyFont="1" applyBorder="1" applyAlignment="1" applyProtection="1">
      <alignment horizontal="center"/>
      <protection hidden="1"/>
    </xf>
    <xf numFmtId="0" fontId="9" fillId="0" borderId="7" xfId="2" applyFont="1" applyBorder="1" applyAlignment="1" applyProtection="1">
      <alignment horizontal="center"/>
      <protection hidden="1"/>
    </xf>
    <xf numFmtId="166" fontId="14" fillId="3" borderId="2" xfId="0" applyNumberFormat="1" applyFont="1" applyFill="1" applyBorder="1" applyAlignment="1" applyProtection="1">
      <alignment horizontal="center" vertical="center" wrapText="1" readingOrder="1"/>
      <protection hidden="1"/>
    </xf>
    <xf numFmtId="166" fontId="14" fillId="0" borderId="0" xfId="0" applyNumberFormat="1" applyFont="1" applyAlignment="1" applyProtection="1">
      <alignment vertical="center" wrapText="1" readingOrder="1"/>
      <protection hidden="1"/>
    </xf>
    <xf numFmtId="4" fontId="13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2" fillId="0" borderId="11" xfId="0" applyFont="1" applyBorder="1" applyProtection="1">
      <protection locked="0"/>
    </xf>
    <xf numFmtId="164" fontId="4" fillId="0" borderId="12" xfId="0" applyNumberFormat="1" applyFont="1" applyBorder="1"/>
    <xf numFmtId="166" fontId="16" fillId="6" borderId="2" xfId="0" applyNumberFormat="1" applyFont="1" applyFill="1" applyBorder="1" applyAlignment="1" applyProtection="1">
      <alignment horizontal="center" vertical="center" readingOrder="1"/>
      <protection hidden="1"/>
    </xf>
    <xf numFmtId="0" fontId="7" fillId="0" borderId="8" xfId="0" applyFont="1" applyBorder="1" applyAlignment="1" applyProtection="1">
      <alignment horizontal="center"/>
      <protection hidden="1"/>
    </xf>
    <xf numFmtId="0" fontId="7" fillId="0" borderId="9" xfId="0" applyFont="1" applyBorder="1" applyAlignment="1" applyProtection="1">
      <alignment horizontal="center"/>
      <protection hidden="1"/>
    </xf>
    <xf numFmtId="0" fontId="15" fillId="4" borderId="2" xfId="0" applyFont="1" applyFill="1" applyBorder="1" applyAlignment="1" applyProtection="1">
      <alignment horizontal="center" vertical="center" wrapText="1" readingOrder="1"/>
      <protection locked="0" hidden="1"/>
    </xf>
    <xf numFmtId="0" fontId="4" fillId="0" borderId="18" xfId="0" applyFont="1" applyBorder="1" applyAlignment="1" applyProtection="1">
      <alignment horizontal="center"/>
      <protection locked="0" hidden="1"/>
    </xf>
    <xf numFmtId="0" fontId="4" fillId="0" borderId="1" xfId="0" applyFont="1" applyBorder="1" applyAlignment="1" applyProtection="1">
      <alignment horizontal="center"/>
      <protection locked="0" hidden="1"/>
    </xf>
    <xf numFmtId="0" fontId="4" fillId="0" borderId="14" xfId="0" applyFont="1" applyBorder="1" applyAlignment="1" applyProtection="1">
      <alignment horizontal="center"/>
      <protection locked="0" hidden="1"/>
    </xf>
    <xf numFmtId="0" fontId="5" fillId="0" borderId="0" xfId="0" applyFont="1" applyAlignment="1" applyProtection="1">
      <alignment horizontal="left" wrapText="1"/>
      <protection hidden="1"/>
    </xf>
    <xf numFmtId="0" fontId="0" fillId="0" borderId="0" xfId="0" applyAlignment="1" applyProtection="1">
      <alignment horizontal="left"/>
      <protection hidden="1"/>
    </xf>
    <xf numFmtId="14" fontId="10" fillId="0" borderId="0" xfId="0" quotePrefix="1" applyNumberFormat="1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14" fontId="13" fillId="3" borderId="2" xfId="0" applyNumberFormat="1" applyFont="1" applyFill="1" applyBorder="1" applyAlignment="1" applyProtection="1">
      <alignment horizontal="center" vertical="center" wrapText="1"/>
      <protection hidden="1"/>
    </xf>
    <xf numFmtId="14" fontId="13" fillId="3" borderId="8" xfId="0" applyNumberFormat="1" applyFont="1" applyFill="1" applyBorder="1" applyAlignment="1" applyProtection="1">
      <alignment horizontal="center" vertical="center" wrapText="1"/>
      <protection hidden="1"/>
    </xf>
    <xf numFmtId="0" fontId="13" fillId="3" borderId="2" xfId="0" applyFont="1" applyFill="1" applyBorder="1" applyAlignment="1" applyProtection="1">
      <alignment horizontal="center" vertical="center" wrapText="1"/>
      <protection hidden="1"/>
    </xf>
    <xf numFmtId="167" fontId="13" fillId="3" borderId="2" xfId="0" applyNumberFormat="1" applyFont="1" applyFill="1" applyBorder="1" applyAlignment="1" applyProtection="1">
      <alignment horizontal="center" vertical="center"/>
      <protection hidden="1"/>
    </xf>
    <xf numFmtId="0" fontId="11" fillId="2" borderId="2" xfId="0" applyFont="1" applyFill="1" applyBorder="1" applyAlignment="1" applyProtection="1">
      <alignment horizontal="center" vertical="center" wrapText="1"/>
      <protection hidden="1"/>
    </xf>
    <xf numFmtId="165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14" fontId="13" fillId="3" borderId="9" xfId="0" applyNumberFormat="1" applyFont="1" applyFill="1" applyBorder="1" applyAlignment="1" applyProtection="1">
      <alignment horizontal="center" vertical="center" wrapText="1"/>
      <protection hidden="1"/>
    </xf>
    <xf numFmtId="4" fontId="13" fillId="4" borderId="9" xfId="0" applyNumberFormat="1" applyFont="1" applyFill="1" applyBorder="1" applyAlignment="1" applyProtection="1">
      <alignment horizontal="center" vertical="center"/>
      <protection hidden="1"/>
    </xf>
    <xf numFmtId="0" fontId="13" fillId="5" borderId="2" xfId="0" applyFont="1" applyFill="1" applyBorder="1" applyAlignment="1" applyProtection="1">
      <alignment horizontal="center" vertical="center" wrapText="1"/>
      <protection hidden="1"/>
    </xf>
    <xf numFmtId="0" fontId="2" fillId="0" borderId="17" xfId="0" applyFont="1" applyBorder="1" applyProtection="1">
      <protection hidden="1"/>
    </xf>
    <xf numFmtId="0" fontId="3" fillId="0" borderId="18" xfId="0" applyFont="1" applyBorder="1" applyProtection="1">
      <protection hidden="1"/>
    </xf>
    <xf numFmtId="1" fontId="3" fillId="0" borderId="18" xfId="0" applyNumberFormat="1" applyFont="1" applyBorder="1" applyAlignment="1" applyProtection="1">
      <alignment horizontal="center"/>
      <protection hidden="1"/>
    </xf>
    <xf numFmtId="0" fontId="2" fillId="0" borderId="18" xfId="0" applyFont="1" applyBorder="1" applyAlignment="1" applyProtection="1">
      <alignment horizontal="center"/>
      <protection hidden="1"/>
    </xf>
    <xf numFmtId="2" fontId="2" fillId="0" borderId="18" xfId="0" applyNumberFormat="1" applyFont="1" applyBorder="1" applyAlignment="1" applyProtection="1">
      <alignment horizontal="center"/>
      <protection hidden="1"/>
    </xf>
    <xf numFmtId="164" fontId="4" fillId="0" borderId="18" xfId="1" applyFont="1" applyBorder="1" applyProtection="1">
      <protection hidden="1"/>
    </xf>
    <xf numFmtId="0" fontId="13" fillId="0" borderId="10" xfId="0" applyFont="1" applyBorder="1" applyAlignment="1" applyProtection="1">
      <alignment horizontal="center"/>
      <protection hidden="1"/>
    </xf>
    <xf numFmtId="164" fontId="4" fillId="0" borderId="19" xfId="0" applyNumberFormat="1" applyFont="1" applyBorder="1" applyProtection="1">
      <protection hidden="1"/>
    </xf>
    <xf numFmtId="168" fontId="0" fillId="0" borderId="0" xfId="0" applyNumberFormat="1" applyProtection="1">
      <protection hidden="1"/>
    </xf>
    <xf numFmtId="4" fontId="13" fillId="0" borderId="0" xfId="0" applyNumberFormat="1" applyFont="1" applyAlignment="1" applyProtection="1">
      <alignment horizontal="center" vertical="center"/>
      <protection hidden="1"/>
    </xf>
    <xf numFmtId="4" fontId="0" fillId="0" borderId="0" xfId="0" applyNumberFormat="1" applyAlignment="1" applyProtection="1">
      <alignment horizontal="center" vertical="center"/>
      <protection hidden="1"/>
    </xf>
    <xf numFmtId="167" fontId="13" fillId="0" borderId="0" xfId="0" applyNumberFormat="1" applyFont="1" applyAlignment="1" applyProtection="1">
      <alignment horizontal="center" vertical="center"/>
      <protection hidden="1"/>
    </xf>
    <xf numFmtId="0" fontId="2" fillId="0" borderId="11" xfId="0" applyFont="1" applyBorder="1" applyProtection="1">
      <protection hidden="1"/>
    </xf>
    <xf numFmtId="0" fontId="3" fillId="0" borderId="1" xfId="0" applyFont="1" applyBorder="1" applyProtection="1">
      <protection hidden="1"/>
    </xf>
    <xf numFmtId="1" fontId="3" fillId="0" borderId="1" xfId="0" applyNumberFormat="1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2" fontId="2" fillId="0" borderId="1" xfId="0" applyNumberFormat="1" applyFont="1" applyBorder="1" applyAlignment="1" applyProtection="1">
      <alignment horizontal="center"/>
      <protection hidden="1"/>
    </xf>
    <xf numFmtId="164" fontId="4" fillId="0" borderId="1" xfId="1" applyFont="1" applyBorder="1" applyProtection="1">
      <protection hidden="1"/>
    </xf>
    <xf numFmtId="164" fontId="4" fillId="0" borderId="12" xfId="0" applyNumberFormat="1" applyFont="1" applyBorder="1" applyProtection="1">
      <protection hidden="1"/>
    </xf>
    <xf numFmtId="0" fontId="2" fillId="0" borderId="13" xfId="0" applyFont="1" applyBorder="1" applyProtection="1">
      <protection hidden="1"/>
    </xf>
    <xf numFmtId="0" fontId="3" fillId="0" borderId="14" xfId="0" applyFont="1" applyBorder="1" applyProtection="1">
      <protection hidden="1"/>
    </xf>
    <xf numFmtId="1" fontId="3" fillId="0" borderId="14" xfId="0" applyNumberFormat="1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2" fontId="2" fillId="0" borderId="14" xfId="0" applyNumberFormat="1" applyFont="1" applyBorder="1" applyAlignment="1" applyProtection="1">
      <alignment horizontal="center"/>
      <protection hidden="1"/>
    </xf>
    <xf numFmtId="164" fontId="4" fillId="0" borderId="14" xfId="1" applyFont="1" applyBorder="1" applyProtection="1">
      <protection hidden="1"/>
    </xf>
    <xf numFmtId="0" fontId="13" fillId="0" borderId="15" xfId="0" applyFont="1" applyBorder="1" applyAlignment="1" applyProtection="1">
      <alignment horizontal="center"/>
      <protection hidden="1"/>
    </xf>
    <xf numFmtId="164" fontId="4" fillId="0" borderId="16" xfId="0" applyNumberFormat="1" applyFont="1" applyBorder="1" applyProtection="1">
      <protection hidden="1"/>
    </xf>
    <xf numFmtId="2" fontId="0" fillId="0" borderId="0" xfId="0" applyNumberForma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</cellXfs>
  <cellStyles count="4">
    <cellStyle name="Excel Built-in Normal" xfId="2" xr:uid="{550AC2B2-3F2D-49DA-BB3E-E176F660C7DB}"/>
    <cellStyle name="Normal__USA Drug PL Select Brand - MASTER" xfId="3" xr:uid="{F263335D-F86F-482B-B64C-1BBA3F16C444}"/>
    <cellStyle name="Грошовий" xfId="1" builtinId="4"/>
    <cellStyle name="Звичайний" xfId="0" builtinId="0"/>
  </cellStyles>
  <dxfs count="5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gradientFill degree="180">
          <stop position="0">
            <color rgb="FFFF6600"/>
          </stop>
          <stop position="1">
            <color rgb="FFFFFF00"/>
          </stop>
        </gradient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205740</xdr:colOff>
      <xdr:row>0</xdr:row>
      <xdr:rowOff>115389</xdr:rowOff>
    </xdr:from>
    <xdr:to>
      <xdr:col>7</xdr:col>
      <xdr:colOff>815340</xdr:colOff>
      <xdr:row>0</xdr:row>
      <xdr:rowOff>1262437</xdr:rowOff>
    </xdr:to>
    <xdr:pic>
      <xdr:nvPicPr>
        <xdr:cNvPr id="2" name="Рисунок 1" descr="AIM2Flourish | A Breath of Fresh Air">
          <a:extLst>
            <a:ext uri="{FF2B5EF4-FFF2-40B4-BE49-F238E27FC236}">
              <a16:creationId xmlns:a16="http://schemas.microsoft.com/office/drawing/2014/main" id="{42099997-27D2-4446-B63E-EF7E48400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115389"/>
          <a:ext cx="2499360" cy="1147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Ponch/Downloads/&#1054;&#1073;&#1077;&#1088;&#1090;&#1080;%20&#1090;&#1086;&#1074;&#1072;&#1088;&#1110;&#1074;%20(&#1090;&#1091;&#1087;&#1086;%20&#1087;&#1088;&#1080;&#1093;&#1110;&#1076;%20&#1090;&#1072;%20&#1088;&#1086;&#1079;&#1093;&#1110;&#1076;)%20upd_-denis@info2131-2026-04-23-12-03-18.xls" TargetMode="External"/><Relationship Id="rId2" Type="http://schemas.openxmlformats.org/officeDocument/2006/relationships/externalLinkPath" Target="file:///C:\Users\Ponch\Downloads\&#1054;&#1073;&#1077;&#1088;&#1090;&#1080;%20&#1090;&#1086;&#1074;&#1072;&#1088;&#1110;&#1074;%20(&#1090;&#1091;&#1087;&#1086;%20&#1087;&#1088;&#1080;&#1093;&#1110;&#1076;%20&#1090;&#1072;%20&#1088;&#1086;&#1079;&#1093;&#1110;&#1076;)%20upd_-denis@info2131-2026-04-23-12-03-18.xls" TargetMode="External"/><Relationship Id="rId1" Type="http://schemas.openxmlformats.org/officeDocument/2006/relationships/externalLinkPath" Target="/Users/Ponch/Downloads/&#1054;&#1073;&#1077;&#1088;&#1090;&#1080;%20&#1090;&#1086;&#1074;&#1072;&#1088;&#1110;&#1074;%20(&#1090;&#1091;&#1087;&#1086;%20&#1087;&#1088;&#1080;&#1093;&#1110;&#1076;%20&#1090;&#1072;%20&#1088;&#1086;&#1079;&#1093;&#1110;&#1076;)%20upd_-denis@info2131-2026-04-23-12-03-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Лист1"/>
    </sheetNames>
    <sheetDataSet>
      <sheetData sheetId="0">
        <row r="16">
          <cell r="B16" t="str">
            <v>21ST-22263</v>
          </cell>
          <cell r="C16" t="str">
            <v>740985222638</v>
          </cell>
          <cell r="D16" t="str">
            <v>100-77-6130050-20</v>
          </cell>
          <cell r="E16" t="str">
            <v>21st Century Cal Mag Zinc + D - 90 tabs</v>
          </cell>
          <cell r="F16">
            <v>21021</v>
          </cell>
          <cell r="G16">
            <v>2271878.9500000002</v>
          </cell>
          <cell r="H16">
            <v>20346</v>
          </cell>
          <cell r="I16">
            <v>2201095.5299999998</v>
          </cell>
          <cell r="J16" t="str">
            <v>21st Century</v>
          </cell>
          <cell r="K16">
            <v>2.4</v>
          </cell>
          <cell r="L16" t="str">
            <v>USD</v>
          </cell>
          <cell r="N16">
            <v>0.2243293603978081</v>
          </cell>
          <cell r="O16">
            <v>0.2243293603978081</v>
          </cell>
          <cell r="P16" t="str">
            <v>А</v>
          </cell>
        </row>
        <row r="17">
          <cell r="B17" t="str">
            <v>21ST-22550</v>
          </cell>
          <cell r="C17" t="str">
            <v>740985225509</v>
          </cell>
          <cell r="D17" t="str">
            <v>2023-10-7100</v>
          </cell>
          <cell r="E17" t="str">
            <v>21st Century Niacinamide 500 mg - 110 tabs</v>
          </cell>
          <cell r="F17">
            <v>6460</v>
          </cell>
          <cell r="G17">
            <v>748657.6</v>
          </cell>
          <cell r="H17">
            <v>6364</v>
          </cell>
          <cell r="I17">
            <v>737081.5</v>
          </cell>
          <cell r="J17" t="str">
            <v>21st Century</v>
          </cell>
          <cell r="K17">
            <v>2.76</v>
          </cell>
          <cell r="L17" t="str">
            <v>USD</v>
          </cell>
          <cell r="N17">
            <v>7.0167701247009273E-2</v>
          </cell>
          <cell r="O17">
            <v>0.29449706164481737</v>
          </cell>
          <cell r="P17" t="str">
            <v>А</v>
          </cell>
        </row>
        <row r="18">
          <cell r="B18" t="str">
            <v>21ST-28024</v>
          </cell>
          <cell r="C18" t="str">
            <v>740985280249</v>
          </cell>
          <cell r="D18" t="str">
            <v>2023-10-7073</v>
          </cell>
          <cell r="E18" t="str">
            <v>21st Century Zinc Chelated 50 mg - 60 tabs</v>
          </cell>
          <cell r="F18">
            <v>5676</v>
          </cell>
          <cell r="G18">
            <v>373441.81</v>
          </cell>
          <cell r="H18">
            <v>5269</v>
          </cell>
          <cell r="I18">
            <v>346656</v>
          </cell>
          <cell r="J18" t="str">
            <v>21st Century</v>
          </cell>
          <cell r="K18">
            <v>1.5</v>
          </cell>
          <cell r="L18" t="str">
            <v>USD</v>
          </cell>
          <cell r="N18">
            <v>5.8094534549103058E-2</v>
          </cell>
          <cell r="O18">
            <v>0.35259159619392044</v>
          </cell>
          <cell r="P18" t="str">
            <v>А</v>
          </cell>
        </row>
        <row r="19">
          <cell r="B19" t="str">
            <v>21ST-28026</v>
          </cell>
          <cell r="C19" t="str">
            <v>740985280263</v>
          </cell>
          <cell r="D19" t="str">
            <v>2023-10-7129</v>
          </cell>
          <cell r="E19" t="str">
            <v>21st Century Zinc Citrate 50 mg - 60 tabs</v>
          </cell>
          <cell r="F19">
            <v>5382</v>
          </cell>
          <cell r="G19">
            <v>293507.89</v>
          </cell>
          <cell r="H19">
            <v>4861</v>
          </cell>
          <cell r="I19">
            <v>259133.28</v>
          </cell>
          <cell r="J19" t="str">
            <v>21st Century</v>
          </cell>
          <cell r="K19">
            <v>1.5</v>
          </cell>
          <cell r="L19" t="str">
            <v>USD</v>
          </cell>
          <cell r="N19">
            <v>5.3596039560294163E-2</v>
          </cell>
          <cell r="O19">
            <v>0.40618763575421463</v>
          </cell>
          <cell r="P19" t="str">
            <v>А</v>
          </cell>
        </row>
        <row r="20">
          <cell r="B20" t="str">
            <v>21ST-27757</v>
          </cell>
          <cell r="C20" t="str">
            <v>740985277577</v>
          </cell>
          <cell r="D20" t="str">
            <v>2023-10-7074</v>
          </cell>
          <cell r="E20" t="str">
            <v>21st Century Biotin 10,000 mcg - 120 tabs</v>
          </cell>
          <cell r="F20">
            <v>3440</v>
          </cell>
          <cell r="G20">
            <v>735508.04</v>
          </cell>
          <cell r="H20">
            <v>3155</v>
          </cell>
          <cell r="I20">
            <v>673992.21</v>
          </cell>
          <cell r="J20" t="str">
            <v>21st Century</v>
          </cell>
          <cell r="K20">
            <v>4.95</v>
          </cell>
          <cell r="L20" t="str">
            <v>USD</v>
          </cell>
          <cell r="N20">
            <v>3.4786156102186404E-2</v>
          </cell>
          <cell r="O20">
            <v>0.44097379185640101</v>
          </cell>
          <cell r="P20" t="str">
            <v>А</v>
          </cell>
        </row>
        <row r="21">
          <cell r="B21" t="str">
            <v>21ST-22713</v>
          </cell>
          <cell r="C21" t="str">
            <v>740985227138</v>
          </cell>
          <cell r="D21" t="str">
            <v>2023-10-7079</v>
          </cell>
          <cell r="E21" t="str">
            <v>21st Century Magnesium 250 mg - 110 tabs</v>
          </cell>
          <cell r="F21">
            <v>3144</v>
          </cell>
          <cell r="G21">
            <v>250902.03</v>
          </cell>
          <cell r="H21">
            <v>2942</v>
          </cell>
          <cell r="I21">
            <v>236332.7</v>
          </cell>
          <cell r="J21" t="str">
            <v>21st Century</v>
          </cell>
          <cell r="K21">
            <v>1.65</v>
          </cell>
          <cell r="L21" t="str">
            <v>USD</v>
          </cell>
          <cell r="N21">
            <v>3.2437677100675875E-2</v>
          </cell>
          <cell r="O21">
            <v>0.47341146895707686</v>
          </cell>
          <cell r="P21" t="str">
            <v>А</v>
          </cell>
        </row>
        <row r="22">
          <cell r="B22" t="str">
            <v>21ST-22881</v>
          </cell>
          <cell r="C22" t="str">
            <v>740985228814</v>
          </cell>
          <cell r="D22" t="str">
            <v>100-13-7896671-20</v>
          </cell>
          <cell r="E22" t="str">
            <v>21st Century Biotin 800 mcg 110 tb</v>
          </cell>
          <cell r="F22">
            <v>2218</v>
          </cell>
          <cell r="G22">
            <v>163458.79</v>
          </cell>
          <cell r="H22">
            <v>2218</v>
          </cell>
          <cell r="I22">
            <v>163458.79</v>
          </cell>
          <cell r="J22" t="str">
            <v>21st Century</v>
          </cell>
          <cell r="K22">
            <v>1.65</v>
          </cell>
          <cell r="L22" t="str">
            <v>USD</v>
          </cell>
          <cell r="N22">
            <v>2.4455053640142454E-2</v>
          </cell>
          <cell r="O22">
            <v>0.49786652259721931</v>
          </cell>
          <cell r="P22" t="str">
            <v>А</v>
          </cell>
        </row>
        <row r="23">
          <cell r="B23" t="str">
            <v>21ST-27116</v>
          </cell>
          <cell r="C23" t="str">
            <v>740985271162</v>
          </cell>
          <cell r="D23" t="str">
            <v>2023-10-7076</v>
          </cell>
          <cell r="E23" t="str">
            <v>21st Century Biotin 5000 mcg - 110 caps</v>
          </cell>
          <cell r="F23">
            <v>2252</v>
          </cell>
          <cell r="G23">
            <v>375648.33</v>
          </cell>
          <cell r="H23">
            <v>2169</v>
          </cell>
          <cell r="I23">
            <v>361782.39</v>
          </cell>
          <cell r="J23" t="str">
            <v>21st Century</v>
          </cell>
          <cell r="K23">
            <v>3.83</v>
          </cell>
          <cell r="L23" t="str">
            <v>USD</v>
          </cell>
          <cell r="N23">
            <v>2.3914793212564914E-2</v>
          </cell>
          <cell r="O23">
            <v>0.52178131580978426</v>
          </cell>
          <cell r="P23" t="str">
            <v>А</v>
          </cell>
        </row>
        <row r="24">
          <cell r="B24" t="str">
            <v>21ST-28048</v>
          </cell>
          <cell r="C24" t="str">
            <v>740985280485</v>
          </cell>
          <cell r="D24" t="str">
            <v>2023-10-7044</v>
          </cell>
          <cell r="E24" t="str">
            <v>21st Century Calcium Magnesium Zinc +D3 - 250 tabs</v>
          </cell>
          <cell r="F24">
            <v>2052</v>
          </cell>
          <cell r="G24">
            <v>534716.93000000005</v>
          </cell>
          <cell r="H24">
            <v>1884</v>
          </cell>
          <cell r="I24">
            <v>490310.41</v>
          </cell>
          <cell r="J24" t="str">
            <v>21st Century</v>
          </cell>
          <cell r="K24">
            <v>6.05</v>
          </cell>
          <cell r="L24" t="str">
            <v>USD</v>
          </cell>
          <cell r="N24">
            <v>2.0772462154205761E-2</v>
          </cell>
          <cell r="O24">
            <v>0.54255377796399007</v>
          </cell>
          <cell r="P24" t="str">
            <v>А</v>
          </cell>
        </row>
        <row r="25">
          <cell r="B25" t="str">
            <v>21ST-22670</v>
          </cell>
          <cell r="C25" t="str">
            <v>740985226704</v>
          </cell>
          <cell r="D25" t="str">
            <v>2023-10-7122</v>
          </cell>
          <cell r="E25" t="str">
            <v>21st Century Iron 65 mg Ferrous Sulfate 325 mg - 120 tabs</v>
          </cell>
          <cell r="F25">
            <v>1745</v>
          </cell>
          <cell r="G25">
            <v>202179.68</v>
          </cell>
          <cell r="H25">
            <v>1649</v>
          </cell>
          <cell r="I25">
            <v>190603.58</v>
          </cell>
          <cell r="J25" t="str">
            <v>21st Century</v>
          </cell>
          <cell r="K25">
            <v>2.76</v>
          </cell>
          <cell r="L25" t="str">
            <v>USD</v>
          </cell>
          <cell r="N25">
            <v>1.8181417246435936E-2</v>
          </cell>
          <cell r="O25">
            <v>0.56073519521042603</v>
          </cell>
          <cell r="P25" t="str">
            <v>А</v>
          </cell>
        </row>
        <row r="26">
          <cell r="B26" t="str">
            <v>21ST-22316</v>
          </cell>
          <cell r="C26" t="str">
            <v>740985223161</v>
          </cell>
          <cell r="D26" t="str">
            <v>2023-10-7134</v>
          </cell>
          <cell r="E26" t="str">
            <v>21st Century C 500 mg - 110 tabs</v>
          </cell>
          <cell r="F26">
            <v>1759</v>
          </cell>
          <cell r="G26">
            <v>187170.57</v>
          </cell>
          <cell r="H26">
            <v>1591</v>
          </cell>
          <cell r="I26">
            <v>169040.97</v>
          </cell>
          <cell r="J26" t="str">
            <v>21st Century</v>
          </cell>
          <cell r="K26">
            <v>2.4700000000000002</v>
          </cell>
          <cell r="L26" t="str">
            <v>USD</v>
          </cell>
          <cell r="N26">
            <v>1.7541925311752318E-2</v>
          </cell>
          <cell r="O26">
            <v>0.57827712052217839</v>
          </cell>
          <cell r="P26" t="str">
            <v>А</v>
          </cell>
        </row>
        <row r="27">
          <cell r="B27" t="str">
            <v>21ST-27087</v>
          </cell>
          <cell r="C27" t="str">
            <v>740985270875</v>
          </cell>
          <cell r="D27" t="str">
            <v>100-96-6179401-20</v>
          </cell>
          <cell r="E27" t="str">
            <v>21st Century Melatonin 5 mg - 120 tabs</v>
          </cell>
          <cell r="F27">
            <v>1523</v>
          </cell>
          <cell r="G27">
            <v>293872.53999999998</v>
          </cell>
          <cell r="H27">
            <v>1498</v>
          </cell>
          <cell r="I27">
            <v>289079.92</v>
          </cell>
          <cell r="J27" t="str">
            <v>21st Century</v>
          </cell>
          <cell r="K27">
            <v>4.3899999999999997</v>
          </cell>
          <cell r="L27" t="str">
            <v>USD</v>
          </cell>
          <cell r="N27">
            <v>1.6516533071656174E-2</v>
          </cell>
          <cell r="O27">
            <v>0.59479365359383451</v>
          </cell>
          <cell r="P27" t="str">
            <v>А</v>
          </cell>
        </row>
        <row r="28">
          <cell r="B28" t="str">
            <v>21ST-22658</v>
          </cell>
          <cell r="C28" t="str">
            <v>740985226582</v>
          </cell>
          <cell r="D28" t="str">
            <v>2023-10-7118</v>
          </cell>
          <cell r="E28" t="str">
            <v>21st Century Mega Multi For Men - 90 tabs</v>
          </cell>
          <cell r="F28">
            <v>1715</v>
          </cell>
          <cell r="G28">
            <v>505210.81</v>
          </cell>
          <cell r="H28">
            <v>1487</v>
          </cell>
          <cell r="I28">
            <v>437673.06</v>
          </cell>
          <cell r="J28" t="str">
            <v>21st Century</v>
          </cell>
          <cell r="K28">
            <v>6.78</v>
          </cell>
          <cell r="L28" t="str">
            <v>USD</v>
          </cell>
          <cell r="N28">
            <v>1.6395250118526522E-2</v>
          </cell>
          <cell r="O28">
            <v>0.61118890371236101</v>
          </cell>
          <cell r="P28" t="str">
            <v>А</v>
          </cell>
        </row>
        <row r="29">
          <cell r="B29" t="str">
            <v>21ST-22668</v>
          </cell>
          <cell r="C29" t="str">
            <v>740985226681</v>
          </cell>
          <cell r="D29" t="str">
            <v>2023-10-7059</v>
          </cell>
          <cell r="E29" t="str">
            <v>21st Century B Complex plus Vitamin C - 100 tabs</v>
          </cell>
          <cell r="F29">
            <v>1440</v>
          </cell>
          <cell r="G29">
            <v>237336.57</v>
          </cell>
          <cell r="H29">
            <v>1368</v>
          </cell>
          <cell r="I29">
            <v>225288.62</v>
          </cell>
          <cell r="J29" t="str">
            <v>21st Century</v>
          </cell>
          <cell r="K29">
            <v>3.83</v>
          </cell>
          <cell r="L29" t="str">
            <v>USD</v>
          </cell>
          <cell r="N29">
            <v>1.5083189080123929E-2</v>
          </cell>
          <cell r="O29">
            <v>0.62627209279248497</v>
          </cell>
          <cell r="P29" t="str">
            <v>А</v>
          </cell>
        </row>
        <row r="30">
          <cell r="B30" t="str">
            <v>21ST-22659</v>
          </cell>
          <cell r="C30" t="str">
            <v>740985226599</v>
          </cell>
          <cell r="D30" t="str">
            <v>2023-10-7117</v>
          </cell>
          <cell r="E30" t="str">
            <v>21st Century Mega Multi For Women - 90 tabs</v>
          </cell>
          <cell r="F30">
            <v>1378</v>
          </cell>
          <cell r="G30">
            <v>410363.72</v>
          </cell>
          <cell r="H30">
            <v>1209</v>
          </cell>
          <cell r="I30">
            <v>360299.78</v>
          </cell>
          <cell r="J30" t="str">
            <v>21st Century</v>
          </cell>
          <cell r="K30">
            <v>6.78</v>
          </cell>
          <cell r="L30" t="str">
            <v>USD</v>
          </cell>
          <cell r="N30">
            <v>1.3330099121249876E-2</v>
          </cell>
          <cell r="O30">
            <v>0.6396021919137348</v>
          </cell>
          <cell r="P30" t="str">
            <v>А</v>
          </cell>
        </row>
        <row r="31">
          <cell r="B31" t="str">
            <v>21ST-27685</v>
          </cell>
          <cell r="C31" t="str">
            <v>740985276853</v>
          </cell>
          <cell r="D31" t="str">
            <v>2023-10-7121</v>
          </cell>
          <cell r="E31" t="str">
            <v>21st Century Zoo Friends Multi Gummies Plus Extra C - 60 gummies</v>
          </cell>
          <cell r="F31">
            <v>1132</v>
          </cell>
          <cell r="G31">
            <v>174334.86</v>
          </cell>
          <cell r="H31">
            <v>1048</v>
          </cell>
          <cell r="I31">
            <v>161123</v>
          </cell>
          <cell r="J31" t="str">
            <v>21st Century</v>
          </cell>
          <cell r="K31">
            <v>3.6</v>
          </cell>
          <cell r="L31" t="str">
            <v>USD</v>
          </cell>
          <cell r="N31">
            <v>1.1554957716352249E-2</v>
          </cell>
          <cell r="O31">
            <v>0.65115714963008708</v>
          </cell>
          <cell r="P31" t="str">
            <v>А</v>
          </cell>
        </row>
        <row r="32">
          <cell r="B32" t="str">
            <v>21ST-21240</v>
          </cell>
          <cell r="C32" t="str">
            <v>740985212400</v>
          </cell>
          <cell r="D32" t="str">
            <v>2023-10-7116</v>
          </cell>
          <cell r="E32" t="str">
            <v>21st Century Melatonin 3 mg - 90 tabs</v>
          </cell>
          <cell r="F32">
            <v>1021</v>
          </cell>
          <cell r="G32">
            <v>124030.62</v>
          </cell>
          <cell r="H32">
            <v>996</v>
          </cell>
          <cell r="I32">
            <v>121017.49</v>
          </cell>
          <cell r="J32" t="str">
            <v>21st Century</v>
          </cell>
          <cell r="K32">
            <v>2.76</v>
          </cell>
          <cell r="L32" t="str">
            <v>USD</v>
          </cell>
          <cell r="N32">
            <v>1.0981620119739351E-2</v>
          </cell>
          <cell r="O32">
            <v>0.66213876974982644</v>
          </cell>
          <cell r="P32" t="str">
            <v>А</v>
          </cell>
        </row>
        <row r="33">
          <cell r="B33" t="str">
            <v>21ST-27305</v>
          </cell>
          <cell r="C33" t="str">
            <v>740985273050</v>
          </cell>
          <cell r="D33" t="str">
            <v>100-54-1371334-20</v>
          </cell>
          <cell r="E33" t="str">
            <v>21st Century One Daily Men's - 100 tabs</v>
          </cell>
          <cell r="F33">
            <v>1406</v>
          </cell>
          <cell r="G33">
            <v>204014.65</v>
          </cell>
          <cell r="H33">
            <v>902</v>
          </cell>
          <cell r="I33">
            <v>131129.24</v>
          </cell>
          <cell r="J33" t="str">
            <v>21st Century</v>
          </cell>
          <cell r="K33">
            <v>3.31</v>
          </cell>
          <cell r="L33" t="str">
            <v>USD</v>
          </cell>
          <cell r="N33">
            <v>9.9452021566314216E-3</v>
          </cell>
          <cell r="O33">
            <v>0.67208397190645786</v>
          </cell>
          <cell r="P33" t="str">
            <v>А</v>
          </cell>
        </row>
        <row r="34">
          <cell r="B34" t="str">
            <v>21ST-21245</v>
          </cell>
          <cell r="C34" t="str">
            <v>740985212455</v>
          </cell>
          <cell r="D34" t="str">
            <v>2023-10-7112</v>
          </cell>
          <cell r="E34" t="str">
            <v>21st Century E 180 mg (400IU) - 110 softgels</v>
          </cell>
          <cell r="F34">
            <v>956</v>
          </cell>
          <cell r="G34">
            <v>182070.33</v>
          </cell>
          <cell r="H34">
            <v>894</v>
          </cell>
          <cell r="I34">
            <v>169803.64</v>
          </cell>
          <cell r="J34" t="str">
            <v>21st Century</v>
          </cell>
          <cell r="K34">
            <v>4.5</v>
          </cell>
          <cell r="L34" t="str">
            <v>USD</v>
          </cell>
          <cell r="N34">
            <v>9.8569963725371294E-3</v>
          </cell>
          <cell r="O34">
            <v>0.68194096827899497</v>
          </cell>
          <cell r="P34" t="str">
            <v>А</v>
          </cell>
        </row>
        <row r="35">
          <cell r="B35" t="str">
            <v>21ST-28028</v>
          </cell>
          <cell r="C35" t="str">
            <v>740985280287</v>
          </cell>
          <cell r="D35" t="str">
            <v>2023-10-7138</v>
          </cell>
          <cell r="E35" t="str">
            <v>21st Century Melatonin 10 mg Prolonged Release - 120 tabs</v>
          </cell>
          <cell r="F35">
            <v>803</v>
          </cell>
          <cell r="G35">
            <v>192429.15</v>
          </cell>
          <cell r="H35">
            <v>803</v>
          </cell>
          <cell r="I35">
            <v>192429.15</v>
          </cell>
          <cell r="J35" t="str">
            <v>21st Century</v>
          </cell>
          <cell r="K35">
            <v>5.5</v>
          </cell>
          <cell r="L35" t="str">
            <v>USD</v>
          </cell>
          <cell r="N35">
            <v>8.8536555784645577E-3</v>
          </cell>
          <cell r="O35">
            <v>0.69079462385745949</v>
          </cell>
          <cell r="P35" t="str">
            <v>А</v>
          </cell>
        </row>
        <row r="36">
          <cell r="B36" t="str">
            <v>21ST-22251</v>
          </cell>
          <cell r="C36" t="str">
            <v>740985222515</v>
          </cell>
          <cell r="D36" t="str">
            <v>100-73-3329149-20</v>
          </cell>
          <cell r="E36" t="str">
            <v>21st Century B-50 Complex - 60 tabs</v>
          </cell>
          <cell r="F36">
            <v>869</v>
          </cell>
          <cell r="G36">
            <v>123902.46</v>
          </cell>
          <cell r="H36">
            <v>773</v>
          </cell>
          <cell r="I36">
            <v>110019.53</v>
          </cell>
          <cell r="J36" t="str">
            <v>21st Century</v>
          </cell>
          <cell r="K36">
            <v>3.31</v>
          </cell>
          <cell r="L36" t="str">
            <v>USD</v>
          </cell>
          <cell r="N36">
            <v>8.5228838881109634E-3</v>
          </cell>
          <cell r="O36">
            <v>0.69931750774557044</v>
          </cell>
          <cell r="P36" t="str">
            <v>А</v>
          </cell>
        </row>
        <row r="37">
          <cell r="B37" t="str">
            <v>21ST-27308</v>
          </cell>
          <cell r="C37" t="str">
            <v>740985273081</v>
          </cell>
          <cell r="D37" t="str">
            <v>100-70-6135025-20</v>
          </cell>
          <cell r="E37" t="str">
            <v>21st Century One Daily Women's - 100 tabs</v>
          </cell>
          <cell r="F37">
            <v>1080</v>
          </cell>
          <cell r="G37">
            <v>156484.25</v>
          </cell>
          <cell r="H37">
            <v>771</v>
          </cell>
          <cell r="I37">
            <v>111719.78</v>
          </cell>
          <cell r="J37" t="str">
            <v>21st Century</v>
          </cell>
          <cell r="K37">
            <v>3.31</v>
          </cell>
          <cell r="L37" t="str">
            <v>USD</v>
          </cell>
          <cell r="N37">
            <v>8.5008324420873891E-3</v>
          </cell>
          <cell r="O37">
            <v>0.70781834018765788</v>
          </cell>
          <cell r="P37" t="str">
            <v>А</v>
          </cell>
        </row>
        <row r="38">
          <cell r="B38" t="str">
            <v>21ST-27847</v>
          </cell>
          <cell r="C38" t="str">
            <v>740985278475</v>
          </cell>
          <cell r="D38" t="str">
            <v>100-92-4558604-20</v>
          </cell>
          <cell r="E38" t="str">
            <v>21st Century Hair, Skin &amp; Nails Extra Strength - 90 tabs</v>
          </cell>
          <cell r="F38">
            <v>941</v>
          </cell>
          <cell r="G38">
            <v>225484.14</v>
          </cell>
          <cell r="H38">
            <v>767</v>
          </cell>
          <cell r="I38">
            <v>183598.34</v>
          </cell>
          <cell r="J38" t="str">
            <v>21st Century</v>
          </cell>
          <cell r="K38">
            <v>5.5</v>
          </cell>
          <cell r="L38" t="str">
            <v>USD</v>
          </cell>
          <cell r="N38">
            <v>8.4567295500402439E-3</v>
          </cell>
          <cell r="O38">
            <v>0.71627506973769817</v>
          </cell>
          <cell r="P38" t="str">
            <v>А</v>
          </cell>
        </row>
        <row r="39">
          <cell r="B39" t="str">
            <v>21ST-27770</v>
          </cell>
          <cell r="C39" t="str">
            <v>740985277706</v>
          </cell>
          <cell r="D39" t="str">
            <v>2023-10-7060</v>
          </cell>
          <cell r="E39" t="str">
            <v>21st Century VitaJoy Melatonin 5 mg - 120 gummies</v>
          </cell>
          <cell r="F39">
            <v>744</v>
          </cell>
          <cell r="G39">
            <v>220743.38</v>
          </cell>
          <cell r="H39">
            <v>741</v>
          </cell>
          <cell r="I39">
            <v>219888.97</v>
          </cell>
          <cell r="J39" t="str">
            <v>21st Century</v>
          </cell>
          <cell r="K39">
            <v>6.6</v>
          </cell>
          <cell r="L39" t="str">
            <v>USD</v>
          </cell>
          <cell r="N39">
            <v>8.1700607517337948E-3</v>
          </cell>
          <cell r="O39">
            <v>0.72444513048943193</v>
          </cell>
          <cell r="P39" t="str">
            <v>А</v>
          </cell>
        </row>
        <row r="40">
          <cell r="B40" t="str">
            <v>21ST-28037</v>
          </cell>
          <cell r="C40" t="str">
            <v>740985280379</v>
          </cell>
          <cell r="D40" t="str">
            <v>2023-10-7061</v>
          </cell>
          <cell r="E40" t="str">
            <v>21st Century VitaJoy Melatonin 10 mg - 60 gummies</v>
          </cell>
          <cell r="F40">
            <v>744</v>
          </cell>
          <cell r="G40">
            <v>220743.37</v>
          </cell>
          <cell r="H40">
            <v>741</v>
          </cell>
          <cell r="I40">
            <v>219888.96</v>
          </cell>
          <cell r="J40" t="str">
            <v>21st Century</v>
          </cell>
          <cell r="K40">
            <v>6.6</v>
          </cell>
          <cell r="L40" t="str">
            <v>USD</v>
          </cell>
          <cell r="N40">
            <v>8.1700607517337948E-3</v>
          </cell>
          <cell r="O40">
            <v>0.7326151912411657</v>
          </cell>
          <cell r="P40" t="str">
            <v>А</v>
          </cell>
        </row>
        <row r="41">
          <cell r="B41" t="str">
            <v>21ST-22673</v>
          </cell>
          <cell r="C41" t="str">
            <v>740985226735</v>
          </cell>
          <cell r="D41" t="str">
            <v>2023-10-7135</v>
          </cell>
          <cell r="E41" t="str">
            <v>21st Century Sentry Men - 120 tabs</v>
          </cell>
          <cell r="F41">
            <v>776</v>
          </cell>
          <cell r="G41">
            <v>152582.23000000001</v>
          </cell>
          <cell r="H41">
            <v>732</v>
          </cell>
          <cell r="I41">
            <v>143054.42000000001</v>
          </cell>
          <cell r="J41" t="str">
            <v>21st Century</v>
          </cell>
          <cell r="K41">
            <v>4.95</v>
          </cell>
          <cell r="L41" t="str">
            <v>USD</v>
          </cell>
          <cell r="N41">
            <v>8.0708292446277172E-3</v>
          </cell>
          <cell r="O41">
            <v>0.74068602048579346</v>
          </cell>
          <cell r="P41" t="str">
            <v>А</v>
          </cell>
        </row>
        <row r="42">
          <cell r="B42" t="str">
            <v>21ST-27304</v>
          </cell>
          <cell r="C42" t="str">
            <v>740985273043</v>
          </cell>
          <cell r="D42" t="str">
            <v>100-44-8206275-20</v>
          </cell>
          <cell r="E42" t="str">
            <v>21st Century One Daily Maximum - 100 tabs</v>
          </cell>
          <cell r="F42">
            <v>782</v>
          </cell>
          <cell r="G42">
            <v>112549.46</v>
          </cell>
          <cell r="H42">
            <v>725</v>
          </cell>
          <cell r="I42">
            <v>104283.13</v>
          </cell>
          <cell r="J42" t="str">
            <v>21st Century</v>
          </cell>
          <cell r="K42">
            <v>3.31</v>
          </cell>
          <cell r="L42" t="str">
            <v>USD</v>
          </cell>
          <cell r="N42">
            <v>7.9936491835452105E-3</v>
          </cell>
          <cell r="O42">
            <v>0.74867966966933863</v>
          </cell>
          <cell r="P42" t="str">
            <v>А</v>
          </cell>
        </row>
        <row r="43">
          <cell r="B43" t="str">
            <v>21ST-22662</v>
          </cell>
          <cell r="C43" t="str">
            <v>740985226629</v>
          </cell>
          <cell r="D43" t="str">
            <v>100-22-5708099-20</v>
          </cell>
          <cell r="E43" t="str">
            <v>21st Century Papaya Enzyme - 100 tabs</v>
          </cell>
          <cell r="F43">
            <v>784</v>
          </cell>
          <cell r="G43">
            <v>76803.320000000007</v>
          </cell>
          <cell r="H43">
            <v>712</v>
          </cell>
          <cell r="I43">
            <v>69851.37</v>
          </cell>
          <cell r="J43" t="str">
            <v>21st Century</v>
          </cell>
          <cell r="K43">
            <v>2.21</v>
          </cell>
          <cell r="L43" t="str">
            <v>USD</v>
          </cell>
          <cell r="N43">
            <v>7.850314784391986E-3</v>
          </cell>
          <cell r="O43">
            <v>0.75652998445373065</v>
          </cell>
          <cell r="P43" t="str">
            <v>А</v>
          </cell>
        </row>
        <row r="44">
          <cell r="B44" t="str">
            <v>21ST-27309</v>
          </cell>
          <cell r="C44" t="str">
            <v>740985273098</v>
          </cell>
          <cell r="D44" t="str">
            <v>100-96-7404031-20</v>
          </cell>
          <cell r="E44" t="str">
            <v>21st Century One Daily Women's 50+ - 100 tabs</v>
          </cell>
          <cell r="F44">
            <v>829</v>
          </cell>
          <cell r="G44">
            <v>180252.17</v>
          </cell>
          <cell r="H44">
            <v>676</v>
          </cell>
          <cell r="I44">
            <v>147176.63</v>
          </cell>
          <cell r="J44" t="str">
            <v>21st Century</v>
          </cell>
          <cell r="K44">
            <v>4.95</v>
          </cell>
          <cell r="L44" t="str">
            <v>USD</v>
          </cell>
          <cell r="N44">
            <v>7.4533887559676722E-3</v>
          </cell>
          <cell r="O44">
            <v>0.76398337320969834</v>
          </cell>
          <cell r="P44" t="str">
            <v>А</v>
          </cell>
        </row>
        <row r="45">
          <cell r="B45" t="str">
            <v>21ST-27070</v>
          </cell>
          <cell r="C45" t="str">
            <v>740985270707</v>
          </cell>
          <cell r="D45" t="str">
            <v>100-23-4462428-20</v>
          </cell>
          <cell r="E45" t="str">
            <v>21st Century Calcium 1000 mg + D3 - 90 tabs</v>
          </cell>
          <cell r="F45">
            <v>750</v>
          </cell>
          <cell r="G45">
            <v>109120.95</v>
          </cell>
          <cell r="H45">
            <v>666</v>
          </cell>
          <cell r="I45">
            <v>96973.38</v>
          </cell>
          <cell r="J45" t="str">
            <v>21st Century</v>
          </cell>
          <cell r="K45">
            <v>3.31</v>
          </cell>
          <cell r="L45" t="str">
            <v>USD</v>
          </cell>
          <cell r="N45">
            <v>7.3431315258498074E-3</v>
          </cell>
          <cell r="O45">
            <v>0.77132650473554809</v>
          </cell>
          <cell r="P45" t="str">
            <v>А</v>
          </cell>
        </row>
        <row r="46">
          <cell r="B46" t="str">
            <v>21ST-22653</v>
          </cell>
          <cell r="C46" t="str">
            <v>740985226537</v>
          </cell>
          <cell r="E46" t="str">
            <v>21st Century Calcium 1200 mg +D Liquid Filled 90 sg</v>
          </cell>
          <cell r="F46">
            <v>665</v>
          </cell>
          <cell r="G46">
            <v>141540.69</v>
          </cell>
          <cell r="H46">
            <v>665</v>
          </cell>
          <cell r="I46">
            <v>141540.69</v>
          </cell>
          <cell r="J46" t="str">
            <v>21st Century</v>
          </cell>
          <cell r="K46">
            <v>4.95</v>
          </cell>
          <cell r="L46" t="str">
            <v>USD</v>
          </cell>
          <cell r="N46">
            <v>7.3321058028380211E-3</v>
          </cell>
          <cell r="O46">
            <v>0.77865861053838614</v>
          </cell>
          <cell r="P46" t="str">
            <v>А</v>
          </cell>
        </row>
        <row r="47">
          <cell r="B47" t="str">
            <v>21ST-27619</v>
          </cell>
          <cell r="C47" t="str">
            <v>740985276198</v>
          </cell>
          <cell r="D47" t="str">
            <v>100-80-1564523-20</v>
          </cell>
          <cell r="E47" t="str">
            <v>21st Century Zoo Friends Multi Gummies - 60 gummies</v>
          </cell>
          <cell r="F47">
            <v>749</v>
          </cell>
          <cell r="G47">
            <v>117026.86</v>
          </cell>
          <cell r="H47">
            <v>641</v>
          </cell>
          <cell r="I47">
            <v>99547.09</v>
          </cell>
          <cell r="J47" t="str">
            <v>21st Century</v>
          </cell>
          <cell r="K47">
            <v>3.6</v>
          </cell>
          <cell r="L47" t="str">
            <v>USD</v>
          </cell>
          <cell r="N47">
            <v>7.0674884505551455E-3</v>
          </cell>
          <cell r="O47">
            <v>0.7857260989889413</v>
          </cell>
          <cell r="P47" t="str">
            <v>А</v>
          </cell>
        </row>
        <row r="48">
          <cell r="B48" t="str">
            <v>21ST-27306</v>
          </cell>
          <cell r="C48" t="str">
            <v>740985273067</v>
          </cell>
          <cell r="D48" t="str">
            <v>100-68-7714122-20</v>
          </cell>
          <cell r="E48" t="str">
            <v>21st Century One Daily Men's 50+ - 100 tabs</v>
          </cell>
          <cell r="F48">
            <v>764</v>
          </cell>
          <cell r="G48">
            <v>165734.64000000001</v>
          </cell>
          <cell r="H48">
            <v>616</v>
          </cell>
          <cell r="I48">
            <v>133703.29999999999</v>
          </cell>
          <cell r="J48" t="str">
            <v>21st Century</v>
          </cell>
          <cell r="K48">
            <v>4.95</v>
          </cell>
          <cell r="L48" t="str">
            <v>USD</v>
          </cell>
          <cell r="N48">
            <v>6.7918453752604828E-3</v>
          </cell>
          <cell r="O48">
            <v>0.79251794436420175</v>
          </cell>
          <cell r="P48" t="str">
            <v>А</v>
          </cell>
        </row>
        <row r="49">
          <cell r="B49" t="str">
            <v>21ST-27503</v>
          </cell>
          <cell r="C49" t="str">
            <v>740985275030</v>
          </cell>
          <cell r="D49" t="str">
            <v>100-44-7039410-20</v>
          </cell>
          <cell r="E49" t="str">
            <v>21st Century Melatonin 10 mg Quick Dissolve - 120 tabs</v>
          </cell>
          <cell r="F49">
            <v>633</v>
          </cell>
          <cell r="G49">
            <v>154792</v>
          </cell>
          <cell r="H49">
            <v>605</v>
          </cell>
          <cell r="I49">
            <v>148075.57</v>
          </cell>
          <cell r="J49" t="str">
            <v>21st Century</v>
          </cell>
          <cell r="K49">
            <v>5.5</v>
          </cell>
          <cell r="L49" t="str">
            <v>USD</v>
          </cell>
          <cell r="N49">
            <v>6.6705624221308308E-3</v>
          </cell>
          <cell r="O49">
            <v>0.79918850678633258</v>
          </cell>
          <cell r="P49" t="str">
            <v>А</v>
          </cell>
        </row>
        <row r="50">
          <cell r="B50" t="str">
            <v>21ST-27310</v>
          </cell>
          <cell r="C50" t="str">
            <v>740985273104</v>
          </cell>
          <cell r="D50" t="str">
            <v>2023-10-7070</v>
          </cell>
          <cell r="E50" t="str">
            <v>21st Century PreNatal - 60 tabs</v>
          </cell>
          <cell r="F50">
            <v>612</v>
          </cell>
          <cell r="G50">
            <v>99368.69</v>
          </cell>
          <cell r="H50">
            <v>600</v>
          </cell>
          <cell r="I50">
            <v>97360.7</v>
          </cell>
          <cell r="J50" t="str">
            <v>21st Century</v>
          </cell>
          <cell r="K50">
            <v>3.83</v>
          </cell>
          <cell r="L50" t="str">
            <v>USD</v>
          </cell>
          <cell r="N50">
            <v>6.6154338070718985E-3</v>
          </cell>
          <cell r="O50">
            <v>0.80580394059340443</v>
          </cell>
          <cell r="P50" t="str">
            <v>В</v>
          </cell>
        </row>
        <row r="51">
          <cell r="B51" t="str">
            <v>21ST-22675</v>
          </cell>
          <cell r="C51" t="str">
            <v>740985226759</v>
          </cell>
          <cell r="D51" t="str">
            <v>2023-10-7042</v>
          </cell>
          <cell r="E51" t="str">
            <v>21st Century Sentry Women - 120 tabs</v>
          </cell>
          <cell r="F51">
            <v>642</v>
          </cell>
          <cell r="G51">
            <v>129120.12</v>
          </cell>
          <cell r="H51">
            <v>592</v>
          </cell>
          <cell r="I51">
            <v>118302.38</v>
          </cell>
          <cell r="J51" t="str">
            <v>21st Century</v>
          </cell>
          <cell r="K51">
            <v>4.95</v>
          </cell>
          <cell r="L51" t="str">
            <v>USD</v>
          </cell>
          <cell r="N51">
            <v>6.5272280229776072E-3</v>
          </cell>
          <cell r="O51">
            <v>0.81233116861638199</v>
          </cell>
          <cell r="P51" t="str">
            <v>В</v>
          </cell>
        </row>
        <row r="52">
          <cell r="B52" t="str">
            <v>21ST-28032</v>
          </cell>
          <cell r="C52" t="str">
            <v>740985280324</v>
          </cell>
          <cell r="D52" t="str">
            <v>2023-10-7069</v>
          </cell>
          <cell r="E52" t="str">
            <v>21st Century Zinc Citrate 50 mg - 360 tabs</v>
          </cell>
          <cell r="F52">
            <v>612</v>
          </cell>
          <cell r="G52">
            <v>116135.93</v>
          </cell>
          <cell r="H52">
            <v>584</v>
          </cell>
          <cell r="I52">
            <v>110831.69</v>
          </cell>
          <cell r="J52" t="str">
            <v>21st Century</v>
          </cell>
          <cell r="K52">
            <v>4.3899999999999997</v>
          </cell>
          <cell r="L52" t="str">
            <v>USD</v>
          </cell>
          <cell r="N52">
            <v>6.439022238883315E-3</v>
          </cell>
          <cell r="O52">
            <v>0.81877019085526526</v>
          </cell>
          <cell r="P52" t="str">
            <v>В</v>
          </cell>
        </row>
        <row r="53">
          <cell r="B53" t="str">
            <v>21ST-27026</v>
          </cell>
          <cell r="C53" t="str">
            <v>740985270264</v>
          </cell>
          <cell r="D53" t="str">
            <v>2023-10-7131</v>
          </cell>
          <cell r="E53" t="str">
            <v>21st Century Fish Oil 1200 mg - 90 softgels</v>
          </cell>
          <cell r="F53">
            <v>662</v>
          </cell>
          <cell r="G53">
            <v>129308.37</v>
          </cell>
          <cell r="H53">
            <v>565</v>
          </cell>
          <cell r="I53">
            <v>110235.66</v>
          </cell>
          <cell r="J53" t="str">
            <v>21st Century</v>
          </cell>
          <cell r="K53">
            <v>4.5</v>
          </cell>
          <cell r="L53" t="str">
            <v>USD</v>
          </cell>
          <cell r="N53">
            <v>6.2295335016593709E-3</v>
          </cell>
          <cell r="O53">
            <v>0.82499972435692459</v>
          </cell>
          <cell r="P53" t="str">
            <v>В</v>
          </cell>
        </row>
        <row r="54">
          <cell r="B54" t="str">
            <v>21ST-22282</v>
          </cell>
          <cell r="C54" t="str">
            <v>740985222829</v>
          </cell>
          <cell r="D54" t="str">
            <v>2023-10-7123</v>
          </cell>
          <cell r="E54" t="str">
            <v>21st Century B-100 Complex - 60 tabs</v>
          </cell>
          <cell r="F54">
            <v>552</v>
          </cell>
          <cell r="G54">
            <v>116990.69</v>
          </cell>
          <cell r="H54">
            <v>528</v>
          </cell>
          <cell r="I54">
            <v>111800.32000000001</v>
          </cell>
          <cell r="J54" t="str">
            <v>21st Century</v>
          </cell>
          <cell r="K54">
            <v>4.95</v>
          </cell>
          <cell r="L54" t="str">
            <v>USD</v>
          </cell>
          <cell r="N54">
            <v>5.8215817502232708E-3</v>
          </cell>
          <cell r="O54">
            <v>0.83082130610714788</v>
          </cell>
          <cell r="P54" t="str">
            <v>В</v>
          </cell>
        </row>
        <row r="55">
          <cell r="B55" t="str">
            <v>21ST-27542</v>
          </cell>
          <cell r="C55" t="str">
            <v>740985275429</v>
          </cell>
          <cell r="D55" t="str">
            <v>100-10-5368131-20</v>
          </cell>
          <cell r="E55" t="str">
            <v>21st Century Sentry Senior Women 50+ - 100 tabs</v>
          </cell>
          <cell r="F55">
            <v>571</v>
          </cell>
          <cell r="G55">
            <v>110786.73</v>
          </cell>
          <cell r="H55">
            <v>523</v>
          </cell>
          <cell r="I55">
            <v>101580.37</v>
          </cell>
          <cell r="J55" t="str">
            <v>21st Century</v>
          </cell>
          <cell r="K55">
            <v>4.3899999999999997</v>
          </cell>
          <cell r="L55" t="str">
            <v>USD</v>
          </cell>
          <cell r="N55">
            <v>5.7664531351643384E-3</v>
          </cell>
          <cell r="O55">
            <v>0.83658775924231221</v>
          </cell>
          <cell r="P55" t="str">
            <v>В</v>
          </cell>
        </row>
        <row r="56">
          <cell r="B56" t="str">
            <v>21ST-22690</v>
          </cell>
          <cell r="C56" t="str">
            <v>740985226902</v>
          </cell>
          <cell r="D56" t="str">
            <v>2023-10-7128</v>
          </cell>
          <cell r="E56" t="str">
            <v>21st Century Iron 27 mg Ferrous Gluconate - 110 tabs</v>
          </cell>
          <cell r="F56">
            <v>528</v>
          </cell>
          <cell r="G56">
            <v>49344.480000000003</v>
          </cell>
          <cell r="H56">
            <v>502</v>
          </cell>
          <cell r="I56">
            <v>46832.05</v>
          </cell>
          <cell r="J56" t="str">
            <v>21st Century</v>
          </cell>
          <cell r="K56">
            <v>2.21</v>
          </cell>
          <cell r="L56" t="str">
            <v>USD</v>
          </cell>
          <cell r="N56">
            <v>5.5349129519168217E-3</v>
          </cell>
          <cell r="O56">
            <v>0.84212267219422898</v>
          </cell>
          <cell r="P56" t="str">
            <v>В</v>
          </cell>
        </row>
        <row r="57">
          <cell r="B57" t="str">
            <v>21ST-22424</v>
          </cell>
          <cell r="C57" t="str">
            <v>740985224243</v>
          </cell>
          <cell r="D57" t="str">
            <v>2023-10-7114</v>
          </cell>
          <cell r="E57" t="str">
            <v>21st Century Super Collagen + C - 180 tabs</v>
          </cell>
          <cell r="F57">
            <v>545</v>
          </cell>
          <cell r="G57">
            <v>193448.68</v>
          </cell>
          <cell r="H57">
            <v>466</v>
          </cell>
          <cell r="I57">
            <v>164979.32999999999</v>
          </cell>
          <cell r="J57" t="str">
            <v>21st Century</v>
          </cell>
          <cell r="K57">
            <v>8.25</v>
          </cell>
          <cell r="L57" t="str">
            <v>USD</v>
          </cell>
          <cell r="N57">
            <v>5.1379869234925079E-3</v>
          </cell>
          <cell r="O57">
            <v>0.84726065911772153</v>
          </cell>
          <cell r="P57" t="str">
            <v>В</v>
          </cell>
        </row>
        <row r="58">
          <cell r="B58" t="str">
            <v>21ST-21368</v>
          </cell>
          <cell r="C58" t="str">
            <v>740985213681</v>
          </cell>
          <cell r="D58" t="str">
            <v>100-48-3606824-20</v>
          </cell>
          <cell r="E58" t="str">
            <v>21st Century Chromium Picolinate 200 mcg - 100 tabs</v>
          </cell>
          <cell r="F58">
            <v>498</v>
          </cell>
          <cell r="G58">
            <v>60073.71</v>
          </cell>
          <cell r="H58">
            <v>465</v>
          </cell>
          <cell r="I58">
            <v>56083.21</v>
          </cell>
          <cell r="J58" t="str">
            <v>21st Century</v>
          </cell>
          <cell r="K58">
            <v>2.76</v>
          </cell>
          <cell r="L58" t="str">
            <v>USD</v>
          </cell>
          <cell r="N58">
            <v>5.1269612004807216E-3</v>
          </cell>
          <cell r="O58">
            <v>0.85238762031820225</v>
          </cell>
          <cell r="P58" t="str">
            <v>В</v>
          </cell>
        </row>
        <row r="59">
          <cell r="B59" t="str">
            <v>21ST-27086</v>
          </cell>
          <cell r="C59" t="str">
            <v>740985270868</v>
          </cell>
          <cell r="D59" t="str">
            <v>2023-10-7068</v>
          </cell>
          <cell r="E59" t="str">
            <v>21st Century L-Arginine 1000 mg - 100 tabs</v>
          </cell>
          <cell r="F59">
            <v>492</v>
          </cell>
          <cell r="G59">
            <v>139909.01</v>
          </cell>
          <cell r="H59">
            <v>455</v>
          </cell>
          <cell r="I59">
            <v>129271.52</v>
          </cell>
          <cell r="J59" t="str">
            <v>21st Century</v>
          </cell>
          <cell r="K59">
            <v>6.6</v>
          </cell>
          <cell r="L59" t="str">
            <v>USD</v>
          </cell>
          <cell r="N59">
            <v>5.0167039703628569E-3</v>
          </cell>
          <cell r="O59">
            <v>0.85740432428856517</v>
          </cell>
          <cell r="P59" t="str">
            <v>В</v>
          </cell>
        </row>
        <row r="60">
          <cell r="B60" t="str">
            <v>21ST-27493</v>
          </cell>
          <cell r="C60" t="str">
            <v>740985274934</v>
          </cell>
          <cell r="D60" t="str">
            <v>2023-10-7119</v>
          </cell>
          <cell r="E60" t="str">
            <v>21st Century Calcium Citrate + D3 Max - 120 tabs</v>
          </cell>
          <cell r="F60">
            <v>673</v>
          </cell>
          <cell r="G60">
            <v>129015.24</v>
          </cell>
          <cell r="H60">
            <v>421</v>
          </cell>
          <cell r="I60">
            <v>80902.06</v>
          </cell>
          <cell r="J60" t="str">
            <v>21st Century</v>
          </cell>
          <cell r="K60">
            <v>4.37</v>
          </cell>
          <cell r="L60" t="str">
            <v>USD</v>
          </cell>
          <cell r="N60">
            <v>4.6418293879621157E-3</v>
          </cell>
          <cell r="O60">
            <v>0.86204615367652726</v>
          </cell>
          <cell r="P60" t="str">
            <v>В</v>
          </cell>
        </row>
        <row r="61">
          <cell r="B61" t="str">
            <v>21ST-22672</v>
          </cell>
          <cell r="C61" t="str">
            <v>740985226728</v>
          </cell>
          <cell r="D61" t="str">
            <v>2023-10-7132</v>
          </cell>
          <cell r="E61" t="str">
            <v>21st Century Zinc Plus Vitamins C &amp; B-6 - 90 tabs Cherry</v>
          </cell>
          <cell r="F61">
            <v>432</v>
          </cell>
          <cell r="G61">
            <v>50478.9</v>
          </cell>
          <cell r="H61">
            <v>408</v>
          </cell>
          <cell r="I61">
            <v>47584.87</v>
          </cell>
          <cell r="J61" t="str">
            <v>21st Century</v>
          </cell>
          <cell r="K61">
            <v>2.76</v>
          </cell>
          <cell r="L61" t="str">
            <v>USD</v>
          </cell>
          <cell r="N61">
            <v>4.4984949888088911E-3</v>
          </cell>
          <cell r="O61">
            <v>0.8665446486653362</v>
          </cell>
          <cell r="P61" t="str">
            <v>В</v>
          </cell>
        </row>
        <row r="62">
          <cell r="B62" t="str">
            <v>21ST-27285</v>
          </cell>
          <cell r="C62" t="str">
            <v>740985272855</v>
          </cell>
          <cell r="D62" t="str">
            <v>2023-10-7071</v>
          </cell>
          <cell r="E62" t="str">
            <v>21st Century Resveratrol Red Wine Extract - 90 caps</v>
          </cell>
          <cell r="F62">
            <v>443</v>
          </cell>
          <cell r="G62">
            <v>83203.570000000007</v>
          </cell>
          <cell r="H62">
            <v>395</v>
          </cell>
          <cell r="I62">
            <v>73902.100000000006</v>
          </cell>
          <cell r="J62" t="str">
            <v>21st Century</v>
          </cell>
          <cell r="K62">
            <v>4.3899999999999997</v>
          </cell>
          <cell r="L62" t="str">
            <v>USD</v>
          </cell>
          <cell r="N62">
            <v>4.3551605896556666E-3</v>
          </cell>
          <cell r="O62">
            <v>0.87089980925499189</v>
          </cell>
          <cell r="P62" t="str">
            <v>В</v>
          </cell>
        </row>
        <row r="63">
          <cell r="B63" t="str">
            <v>21ST-21154</v>
          </cell>
          <cell r="C63" t="str">
            <v>740985211540</v>
          </cell>
          <cell r="D63" t="str">
            <v>100-94-7113786-20</v>
          </cell>
          <cell r="E63" t="str">
            <v>21st Century Selenium 200 mcg - 60 caps</v>
          </cell>
          <cell r="F63">
            <v>413</v>
          </cell>
          <cell r="G63">
            <v>49099.97</v>
          </cell>
          <cell r="H63">
            <v>393</v>
          </cell>
          <cell r="I63">
            <v>46695.42</v>
          </cell>
          <cell r="J63" t="str">
            <v>21st Century</v>
          </cell>
          <cell r="K63">
            <v>2.76</v>
          </cell>
          <cell r="L63" t="str">
            <v>USD</v>
          </cell>
          <cell r="N63">
            <v>4.333109143632094E-3</v>
          </cell>
          <cell r="O63">
            <v>0.87523291839862394</v>
          </cell>
          <cell r="P63" t="str">
            <v>В</v>
          </cell>
        </row>
        <row r="64">
          <cell r="B64" t="str">
            <v>21ST-22721</v>
          </cell>
          <cell r="C64" t="str">
            <v>740985227213</v>
          </cell>
          <cell r="D64" t="str">
            <v>100-12-5018004-20</v>
          </cell>
          <cell r="E64" t="str">
            <v>21st Century Melatonin  3 mg 200 tb</v>
          </cell>
          <cell r="F64">
            <v>366</v>
          </cell>
          <cell r="G64">
            <v>70987.55</v>
          </cell>
          <cell r="H64">
            <v>366</v>
          </cell>
          <cell r="I64">
            <v>70987.55</v>
          </cell>
          <cell r="J64" t="str">
            <v>21st Century</v>
          </cell>
          <cell r="K64">
            <v>4.3899999999999997</v>
          </cell>
          <cell r="L64" t="str">
            <v>USD</v>
          </cell>
          <cell r="N64">
            <v>4.0354146223138586E-3</v>
          </cell>
          <cell r="O64">
            <v>0.87926833302093776</v>
          </cell>
          <cell r="P64" t="str">
            <v>В</v>
          </cell>
        </row>
        <row r="65">
          <cell r="B65" t="str">
            <v>21ST-21495</v>
          </cell>
          <cell r="C65" t="str">
            <v>740985214954</v>
          </cell>
          <cell r="D65" t="str">
            <v>2023-10-7136</v>
          </cell>
          <cell r="E65" t="str">
            <v>21st Century Fish Oil 1000 mg - 60 softgels</v>
          </cell>
          <cell r="F65">
            <v>505</v>
          </cell>
          <cell r="G65">
            <v>65199.79</v>
          </cell>
          <cell r="H65">
            <v>361</v>
          </cell>
          <cell r="I65">
            <v>46325.71</v>
          </cell>
          <cell r="J65" t="str">
            <v>21st Century</v>
          </cell>
          <cell r="K65">
            <v>3</v>
          </cell>
          <cell r="L65" t="str">
            <v>USD</v>
          </cell>
          <cell r="N65">
            <v>3.9802860072549254E-3</v>
          </cell>
          <cell r="O65">
            <v>0.88324861902819274</v>
          </cell>
          <cell r="P65" t="str">
            <v>В</v>
          </cell>
        </row>
        <row r="66">
          <cell r="B66" t="str">
            <v>21ST-27313</v>
          </cell>
          <cell r="C66" t="str">
            <v>740985273135</v>
          </cell>
          <cell r="D66" t="str">
            <v>100-85-3175286-20</v>
          </cell>
          <cell r="E66" t="str">
            <v>21st Century Zoo Friends Multi with Extra C - 60 chewable tabs</v>
          </cell>
          <cell r="F66">
            <v>405</v>
          </cell>
          <cell r="G66">
            <v>49330.67</v>
          </cell>
          <cell r="H66">
            <v>360</v>
          </cell>
          <cell r="I66">
            <v>43878.21</v>
          </cell>
          <cell r="J66" t="str">
            <v>21st Century</v>
          </cell>
          <cell r="K66">
            <v>2.76</v>
          </cell>
          <cell r="L66" t="str">
            <v>USD</v>
          </cell>
          <cell r="N66">
            <v>3.9692602842431391E-3</v>
          </cell>
          <cell r="O66">
            <v>0.8872178793124359</v>
          </cell>
          <cell r="P66" t="str">
            <v>В</v>
          </cell>
        </row>
        <row r="67">
          <cell r="B67" t="str">
            <v>21ST-21249</v>
          </cell>
          <cell r="C67" t="str">
            <v>740985212493</v>
          </cell>
          <cell r="D67" t="str">
            <v>100-70-0455094-20</v>
          </cell>
          <cell r="E67" t="str">
            <v>21st Century Ginkgo Biloba Extract - 60 vcaps</v>
          </cell>
          <cell r="F67">
            <v>392</v>
          </cell>
          <cell r="G67">
            <v>74706.64</v>
          </cell>
          <cell r="H67">
            <v>356</v>
          </cell>
          <cell r="I67">
            <v>67763.69</v>
          </cell>
          <cell r="J67" t="str">
            <v>21st Century</v>
          </cell>
          <cell r="K67">
            <v>4.3899999999999997</v>
          </cell>
          <cell r="L67" t="str">
            <v>USD</v>
          </cell>
          <cell r="N67">
            <v>3.925157392195993E-3</v>
          </cell>
          <cell r="O67">
            <v>0.89114303670463191</v>
          </cell>
          <cell r="P67" t="str">
            <v>В</v>
          </cell>
        </row>
        <row r="68">
          <cell r="B68" t="str">
            <v>21ST-21377</v>
          </cell>
          <cell r="C68" t="str">
            <v>740985213773</v>
          </cell>
          <cell r="D68" t="str">
            <v>100-33-7347772-20</v>
          </cell>
          <cell r="E68" t="str">
            <v>21st Century Folic Acid 400 mcg - 250 tabs</v>
          </cell>
          <cell r="F68">
            <v>396</v>
          </cell>
          <cell r="G68">
            <v>38463.629999999997</v>
          </cell>
          <cell r="H68">
            <v>348</v>
          </cell>
          <cell r="I68">
            <v>33828.99</v>
          </cell>
          <cell r="J68" t="str">
            <v>21st Century</v>
          </cell>
          <cell r="K68">
            <v>2.21</v>
          </cell>
          <cell r="L68" t="str">
            <v>USD</v>
          </cell>
          <cell r="N68">
            <v>3.8369516081017013E-3</v>
          </cell>
          <cell r="O68">
            <v>0.89497998831273362</v>
          </cell>
          <cell r="P68" t="str">
            <v>В</v>
          </cell>
        </row>
        <row r="69">
          <cell r="B69" t="str">
            <v>21ST-21464</v>
          </cell>
          <cell r="C69" t="str">
            <v>740985214640</v>
          </cell>
          <cell r="D69" t="str">
            <v>2023-10-7041</v>
          </cell>
          <cell r="E69" t="str">
            <v>21st Century A 3000 mcg (10,000 IU) - 110 softgels</v>
          </cell>
          <cell r="F69">
            <v>364</v>
          </cell>
          <cell r="G69">
            <v>44482.67</v>
          </cell>
          <cell r="H69">
            <v>339</v>
          </cell>
          <cell r="I69">
            <v>41172.07</v>
          </cell>
          <cell r="J69" t="str">
            <v>21st Century</v>
          </cell>
          <cell r="K69">
            <v>3</v>
          </cell>
          <cell r="L69" t="str">
            <v>USD</v>
          </cell>
          <cell r="N69">
            <v>3.7377201009956228E-3</v>
          </cell>
          <cell r="O69">
            <v>0.89871770841372922</v>
          </cell>
          <cell r="P69" t="str">
            <v>В</v>
          </cell>
        </row>
        <row r="70">
          <cell r="B70" t="str">
            <v>21ST-27540</v>
          </cell>
          <cell r="C70" t="str">
            <v>740985275405</v>
          </cell>
          <cell r="D70" t="str">
            <v>100-47-2717636-20</v>
          </cell>
          <cell r="E70" t="str">
            <v>21st Century Sentry Senior Men 50+ - 100 tabs</v>
          </cell>
          <cell r="F70">
            <v>362</v>
          </cell>
          <cell r="G70">
            <v>70212.12</v>
          </cell>
          <cell r="H70">
            <v>326</v>
          </cell>
          <cell r="I70">
            <v>63307.35</v>
          </cell>
          <cell r="J70" t="str">
            <v>21st Century</v>
          </cell>
          <cell r="K70">
            <v>4.3899999999999997</v>
          </cell>
          <cell r="L70" t="str">
            <v>USD</v>
          </cell>
          <cell r="N70">
            <v>3.5943857018423983E-3</v>
          </cell>
          <cell r="O70">
            <v>0.90231209411557167</v>
          </cell>
          <cell r="P70" t="str">
            <v>В</v>
          </cell>
        </row>
        <row r="71">
          <cell r="B71" t="str">
            <v>21ST-22383</v>
          </cell>
          <cell r="C71" t="str">
            <v>740985223833</v>
          </cell>
          <cell r="D71" t="str">
            <v>2023-10-7063</v>
          </cell>
          <cell r="E71" t="str">
            <v>21st Century C 1000 mg With Rose Hips - 110 tabs</v>
          </cell>
          <cell r="F71">
            <v>348</v>
          </cell>
          <cell r="G71">
            <v>75076.7</v>
          </cell>
          <cell r="H71">
            <v>286</v>
          </cell>
          <cell r="I71">
            <v>61707.95</v>
          </cell>
          <cell r="J71" t="str">
            <v>21st Century</v>
          </cell>
          <cell r="K71">
            <v>4.95</v>
          </cell>
          <cell r="L71" t="str">
            <v>USD</v>
          </cell>
          <cell r="N71">
            <v>3.1533567813709384E-3</v>
          </cell>
          <cell r="O71">
            <v>0.90546545089694264</v>
          </cell>
          <cell r="P71" t="str">
            <v>В</v>
          </cell>
        </row>
        <row r="72">
          <cell r="B72" t="str">
            <v>21ST-27848</v>
          </cell>
          <cell r="C72" t="str">
            <v>740985278482</v>
          </cell>
          <cell r="D72" t="str">
            <v>2023-10-7090</v>
          </cell>
          <cell r="E72" t="str">
            <v>21st Century Cranberry + Probiotic - 60 tabs</v>
          </cell>
          <cell r="F72">
            <v>396</v>
          </cell>
          <cell r="G72">
            <v>75102.2</v>
          </cell>
          <cell r="H72">
            <v>252</v>
          </cell>
          <cell r="I72">
            <v>47823.24</v>
          </cell>
          <cell r="J72" t="str">
            <v>21st Century</v>
          </cell>
          <cell r="K72">
            <v>4.3899999999999997</v>
          </cell>
          <cell r="L72" t="str">
            <v>USD</v>
          </cell>
          <cell r="N72">
            <v>2.7784821989701976E-3</v>
          </cell>
          <cell r="O72">
            <v>0.90824393309591278</v>
          </cell>
          <cell r="P72" t="str">
            <v>В</v>
          </cell>
        </row>
        <row r="73">
          <cell r="B73" t="str">
            <v>21ST-28064</v>
          </cell>
          <cell r="C73" t="str">
            <v>740985280645</v>
          </cell>
          <cell r="D73" t="str">
            <v>2023-10-7078</v>
          </cell>
          <cell r="E73" t="str">
            <v>21st Century Magnesium Glycinate - 90 caps</v>
          </cell>
          <cell r="F73">
            <v>504</v>
          </cell>
          <cell r="G73">
            <v>121355.82</v>
          </cell>
          <cell r="H73">
            <v>240</v>
          </cell>
          <cell r="I73">
            <v>57917.94</v>
          </cell>
          <cell r="J73" t="str">
            <v>21st Century</v>
          </cell>
          <cell r="K73">
            <v>5.5</v>
          </cell>
          <cell r="L73" t="str">
            <v>USD</v>
          </cell>
          <cell r="N73">
            <v>2.6461735228287594E-3</v>
          </cell>
          <cell r="O73">
            <v>0.91089010661874159</v>
          </cell>
          <cell r="P73" t="str">
            <v>В</v>
          </cell>
        </row>
        <row r="74">
          <cell r="B74" t="str">
            <v>21ST-28071</v>
          </cell>
          <cell r="C74" t="str">
            <v>740985280713</v>
          </cell>
          <cell r="E74" t="str">
            <v>21st Century Ashwagandha Extract 500 mg 60 v-cp</v>
          </cell>
          <cell r="F74">
            <v>234</v>
          </cell>
          <cell r="G74">
            <v>70940.78</v>
          </cell>
          <cell r="H74">
            <v>234</v>
          </cell>
          <cell r="I74">
            <v>70940.78</v>
          </cell>
          <cell r="J74" t="str">
            <v>21st Century</v>
          </cell>
          <cell r="K74">
            <v>7.01</v>
          </cell>
          <cell r="L74" t="str">
            <v>USD</v>
          </cell>
          <cell r="N74">
            <v>2.5800191847580407E-3</v>
          </cell>
          <cell r="O74">
            <v>0.91347012580349962</v>
          </cell>
          <cell r="P74" t="str">
            <v>В</v>
          </cell>
        </row>
        <row r="75">
          <cell r="B75" t="str">
            <v>21ST-21364</v>
          </cell>
          <cell r="C75" t="str">
            <v>740985213643</v>
          </cell>
          <cell r="D75" t="str">
            <v>2023-10-7120</v>
          </cell>
          <cell r="E75" t="str">
            <v>21st Century Niacin 100 mg - 110 tabs</v>
          </cell>
          <cell r="F75">
            <v>265</v>
          </cell>
          <cell r="G75">
            <v>23161.78</v>
          </cell>
          <cell r="H75">
            <v>234</v>
          </cell>
          <cell r="I75">
            <v>20921.830000000002</v>
          </cell>
          <cell r="J75" t="str">
            <v>21st Century</v>
          </cell>
          <cell r="K75">
            <v>1.65</v>
          </cell>
          <cell r="L75" t="str">
            <v>USD</v>
          </cell>
          <cell r="N75">
            <v>2.5800191847580407E-3</v>
          </cell>
          <cell r="O75">
            <v>0.91605014498825765</v>
          </cell>
          <cell r="P75" t="str">
            <v>В</v>
          </cell>
        </row>
        <row r="76">
          <cell r="B76" t="str">
            <v>21ST-21339</v>
          </cell>
          <cell r="C76" t="str">
            <v>740985213391</v>
          </cell>
          <cell r="D76" t="str">
            <v>2023-10-7043</v>
          </cell>
          <cell r="E76" t="str">
            <v>21st Century Acidophilus - 100 caps</v>
          </cell>
          <cell r="F76">
            <v>264</v>
          </cell>
          <cell r="G76">
            <v>50525.9</v>
          </cell>
          <cell r="H76">
            <v>216</v>
          </cell>
          <cell r="I76">
            <v>41319.54</v>
          </cell>
          <cell r="J76" t="str">
            <v>21st Century</v>
          </cell>
          <cell r="K76">
            <v>4.3899999999999997</v>
          </cell>
          <cell r="L76" t="str">
            <v>USD</v>
          </cell>
          <cell r="N76">
            <v>2.3815561705458834E-3</v>
          </cell>
          <cell r="O76">
            <v>0.91843170115880357</v>
          </cell>
          <cell r="P76" t="str">
            <v>В</v>
          </cell>
        </row>
        <row r="77">
          <cell r="B77" t="str">
            <v>21ST-27452</v>
          </cell>
          <cell r="C77" t="str">
            <v>740985274521</v>
          </cell>
          <cell r="D77" t="str">
            <v>2023-10-7067</v>
          </cell>
          <cell r="E77" t="str">
            <v>21st Century Healthy Eyes with Lutein - 60 tabs</v>
          </cell>
          <cell r="F77">
            <v>300</v>
          </cell>
          <cell r="G77">
            <v>36074.089999999997</v>
          </cell>
          <cell r="H77">
            <v>216</v>
          </cell>
          <cell r="I77">
            <v>25945</v>
          </cell>
          <cell r="J77" t="str">
            <v>21st Century</v>
          </cell>
          <cell r="K77">
            <v>2.76</v>
          </cell>
          <cell r="L77" t="str">
            <v>USD</v>
          </cell>
          <cell r="N77">
            <v>2.3815561705458834E-3</v>
          </cell>
          <cell r="O77">
            <v>0.92081325732934949</v>
          </cell>
          <cell r="P77" t="str">
            <v>В</v>
          </cell>
        </row>
        <row r="78">
          <cell r="B78" t="str">
            <v>21ST-21434</v>
          </cell>
          <cell r="C78" t="str">
            <v>740985214343</v>
          </cell>
          <cell r="D78" t="str">
            <v>100-96-9342579-20</v>
          </cell>
          <cell r="E78" t="str">
            <v>21st Century Hair, Skin &amp; Nails - 50 tabs</v>
          </cell>
          <cell r="F78">
            <v>250</v>
          </cell>
          <cell r="G78">
            <v>41375.49</v>
          </cell>
          <cell r="H78">
            <v>202</v>
          </cell>
          <cell r="I78">
            <v>33442.42</v>
          </cell>
          <cell r="J78" t="str">
            <v>21st Century</v>
          </cell>
          <cell r="K78">
            <v>3.83</v>
          </cell>
          <cell r="L78" t="str">
            <v>USD</v>
          </cell>
          <cell r="N78">
            <v>2.2271960483808725E-3</v>
          </cell>
          <cell r="O78">
            <v>0.92304045337773033</v>
          </cell>
          <cell r="P78" t="str">
            <v>В</v>
          </cell>
        </row>
        <row r="79">
          <cell r="B79" t="str">
            <v>21ST-22928</v>
          </cell>
          <cell r="C79" t="str">
            <v>740985229286</v>
          </cell>
          <cell r="D79" t="str">
            <v>2023-10-7084</v>
          </cell>
          <cell r="E79" t="str">
            <v>21st Century Acidophilus Probiotic Blend - 150 caps</v>
          </cell>
          <cell r="F79">
            <v>241</v>
          </cell>
          <cell r="G79">
            <v>57677.99</v>
          </cell>
          <cell r="H79">
            <v>193</v>
          </cell>
          <cell r="I79">
            <v>46143.83</v>
          </cell>
          <cell r="J79" t="str">
            <v>21st Century</v>
          </cell>
          <cell r="K79">
            <v>5.5</v>
          </cell>
          <cell r="L79" t="str">
            <v>USD</v>
          </cell>
          <cell r="N79">
            <v>2.1279645412747941E-3</v>
          </cell>
          <cell r="O79">
            <v>0.92516841791900517</v>
          </cell>
          <cell r="P79" t="str">
            <v>В</v>
          </cell>
        </row>
        <row r="80">
          <cell r="B80" t="str">
            <v>21ST-22309</v>
          </cell>
          <cell r="C80" t="str">
            <v>740985223093</v>
          </cell>
          <cell r="D80" t="str">
            <v>2023-10-7057</v>
          </cell>
          <cell r="E80" t="str">
            <v>21st Century B-12 500 mcg - 110 tabs</v>
          </cell>
          <cell r="F80">
            <v>217</v>
          </cell>
          <cell r="G80">
            <v>26100.43</v>
          </cell>
          <cell r="H80">
            <v>190</v>
          </cell>
          <cell r="I80">
            <v>22840.91</v>
          </cell>
          <cell r="J80" t="str">
            <v>21st Century</v>
          </cell>
          <cell r="K80">
            <v>2.76</v>
          </cell>
          <cell r="L80" t="str">
            <v>USD</v>
          </cell>
          <cell r="N80">
            <v>2.0948873722394347E-3</v>
          </cell>
          <cell r="O80">
            <v>0.92726330529124457</v>
          </cell>
          <cell r="P80" t="str">
            <v>В</v>
          </cell>
        </row>
        <row r="81">
          <cell r="B81" t="str">
            <v>21ST-21196</v>
          </cell>
          <cell r="C81" t="str">
            <v>740985211960</v>
          </cell>
          <cell r="D81" t="str">
            <v>2023-10-7058</v>
          </cell>
          <cell r="E81" t="str">
            <v>21st Century B-6 100 mg - 110 tabs</v>
          </cell>
          <cell r="F81">
            <v>217</v>
          </cell>
          <cell r="G81">
            <v>26115.16</v>
          </cell>
          <cell r="H81">
            <v>189</v>
          </cell>
          <cell r="I81">
            <v>22733.81</v>
          </cell>
          <cell r="J81" t="str">
            <v>21st Century</v>
          </cell>
          <cell r="K81">
            <v>2.76</v>
          </cell>
          <cell r="L81" t="str">
            <v>USD</v>
          </cell>
          <cell r="N81">
            <v>2.083861649227648E-3</v>
          </cell>
          <cell r="O81">
            <v>0.92934716694047226</v>
          </cell>
          <cell r="P81" t="str">
            <v>В</v>
          </cell>
        </row>
        <row r="82">
          <cell r="B82" t="str">
            <v>21ST-27288</v>
          </cell>
          <cell r="C82" t="str">
            <v>740985272886</v>
          </cell>
          <cell r="D82" t="str">
            <v>2023-10-7050</v>
          </cell>
          <cell r="E82" t="str">
            <v>21st Century D3 125 mcg (5000 IU) - 110 tabs</v>
          </cell>
          <cell r="F82">
            <v>196</v>
          </cell>
          <cell r="G82">
            <v>47255.05</v>
          </cell>
          <cell r="H82">
            <v>169</v>
          </cell>
          <cell r="I82">
            <v>40762.410000000003</v>
          </cell>
          <cell r="J82" t="str">
            <v>21st Century</v>
          </cell>
          <cell r="K82">
            <v>5.5</v>
          </cell>
          <cell r="L82" t="str">
            <v>USD</v>
          </cell>
          <cell r="N82">
            <v>1.863347188991918E-3</v>
          </cell>
          <cell r="O82">
            <v>0.93121051412946421</v>
          </cell>
          <cell r="P82" t="str">
            <v>В</v>
          </cell>
        </row>
        <row r="83">
          <cell r="B83" t="str">
            <v>21ST-27492</v>
          </cell>
          <cell r="C83" t="str">
            <v>740985274927</v>
          </cell>
          <cell r="D83" t="str">
            <v>2023-10-7072</v>
          </cell>
          <cell r="E83" t="str">
            <v>21st Century Calcium Citrate + D3 - 75 tabs</v>
          </cell>
          <cell r="F83">
            <v>240</v>
          </cell>
          <cell r="G83">
            <v>33678.03</v>
          </cell>
          <cell r="H83">
            <v>168</v>
          </cell>
          <cell r="I83">
            <v>23769.14</v>
          </cell>
          <cell r="J83" t="str">
            <v>21st Century</v>
          </cell>
          <cell r="K83">
            <v>3.15</v>
          </cell>
          <cell r="L83" t="str">
            <v>USD</v>
          </cell>
          <cell r="N83">
            <v>1.8523214659801317E-3</v>
          </cell>
          <cell r="O83">
            <v>0.93306283559544434</v>
          </cell>
          <cell r="P83" t="str">
            <v>В</v>
          </cell>
        </row>
        <row r="84">
          <cell r="B84" t="str">
            <v>21ST-21387</v>
          </cell>
          <cell r="C84" t="str">
            <v>740985213872</v>
          </cell>
          <cell r="D84" t="str">
            <v>2023-10-7101</v>
          </cell>
          <cell r="E84" t="str">
            <v>21st Century Potassium Gluconate 595 mg - 110 tabs</v>
          </cell>
          <cell r="F84">
            <v>192</v>
          </cell>
          <cell r="G84">
            <v>18479.009999999998</v>
          </cell>
          <cell r="H84">
            <v>167</v>
          </cell>
          <cell r="I84">
            <v>16077.25</v>
          </cell>
          <cell r="J84" t="str">
            <v>21st Century</v>
          </cell>
          <cell r="K84">
            <v>2.2000000000000002</v>
          </cell>
          <cell r="L84" t="str">
            <v>USD</v>
          </cell>
          <cell r="N84">
            <v>1.8412957429683452E-3</v>
          </cell>
          <cell r="O84">
            <v>0.93490413133841266</v>
          </cell>
          <cell r="P84" t="str">
            <v>В</v>
          </cell>
        </row>
        <row r="85">
          <cell r="B85" t="str">
            <v>21ST-27303</v>
          </cell>
          <cell r="C85" t="str">
            <v>740985273036</v>
          </cell>
          <cell r="D85" t="str">
            <v>100-85-0013243-20</v>
          </cell>
          <cell r="E85" t="str">
            <v>21st Century One Daily Essential - 100 Tabs</v>
          </cell>
          <cell r="F85">
            <v>158</v>
          </cell>
          <cell r="G85">
            <v>19709.009999999998</v>
          </cell>
          <cell r="H85">
            <v>158</v>
          </cell>
          <cell r="I85">
            <v>19709.009999999998</v>
          </cell>
          <cell r="J85" t="str">
            <v>21st Century</v>
          </cell>
          <cell r="K85">
            <v>2.76</v>
          </cell>
          <cell r="L85" t="str">
            <v>USD</v>
          </cell>
          <cell r="N85">
            <v>1.7420642358622668E-3</v>
          </cell>
          <cell r="O85">
            <v>0.93664619557427498</v>
          </cell>
          <cell r="P85" t="str">
            <v>В</v>
          </cell>
        </row>
        <row r="86">
          <cell r="B86" t="str">
            <v>21ST-27438</v>
          </cell>
          <cell r="C86" t="str">
            <v>740985274385</v>
          </cell>
          <cell r="D86" t="str">
            <v>2023-10-7066</v>
          </cell>
          <cell r="E86" t="str">
            <v>21st Century Glucosamine Chondroitin Complex Triple - 120 tabs</v>
          </cell>
          <cell r="F86">
            <v>252</v>
          </cell>
          <cell r="G86">
            <v>133091.51999999999</v>
          </cell>
          <cell r="H86">
            <v>156</v>
          </cell>
          <cell r="I86">
            <v>82299.27</v>
          </cell>
          <cell r="J86" t="str">
            <v>21st Century</v>
          </cell>
          <cell r="K86">
            <v>12.11</v>
          </cell>
          <cell r="L86" t="str">
            <v>USD</v>
          </cell>
          <cell r="N86">
            <v>1.7200127898386937E-3</v>
          </cell>
          <cell r="O86">
            <v>0.93836620836411366</v>
          </cell>
          <cell r="P86" t="str">
            <v>В</v>
          </cell>
        </row>
        <row r="87">
          <cell r="B87" t="str">
            <v>21ST-22390</v>
          </cell>
          <cell r="C87" t="str">
            <v>740985223901</v>
          </cell>
          <cell r="D87" t="str">
            <v>2023-10-7103</v>
          </cell>
          <cell r="E87" t="str">
            <v>21st Century Sentry Senior - 125 tabs</v>
          </cell>
          <cell r="F87">
            <v>240</v>
          </cell>
          <cell r="G87">
            <v>40088.410000000003</v>
          </cell>
          <cell r="H87">
            <v>154</v>
          </cell>
          <cell r="I87">
            <v>25648.46</v>
          </cell>
          <cell r="J87" t="str">
            <v>21st Century</v>
          </cell>
          <cell r="K87">
            <v>3.83</v>
          </cell>
          <cell r="L87" t="str">
            <v>USD</v>
          </cell>
          <cell r="N87">
            <v>1.6979613438151207E-3</v>
          </cell>
          <cell r="O87">
            <v>0.94006416970792883</v>
          </cell>
          <cell r="P87" t="str">
            <v>В</v>
          </cell>
        </row>
        <row r="88">
          <cell r="B88" t="str">
            <v>21ST-21177</v>
          </cell>
          <cell r="C88" t="str">
            <v>740985211779</v>
          </cell>
          <cell r="D88" t="str">
            <v>100-80-7723007-20</v>
          </cell>
          <cell r="E88" t="str">
            <v>21st Century DHEA 25 mg - 90 caps</v>
          </cell>
          <cell r="F88">
            <v>197</v>
          </cell>
          <cell r="G88">
            <v>32205.96</v>
          </cell>
          <cell r="H88">
            <v>149</v>
          </cell>
          <cell r="I88">
            <v>24173.99</v>
          </cell>
          <cell r="J88" t="str">
            <v>21st Century</v>
          </cell>
          <cell r="K88">
            <v>3.83</v>
          </cell>
          <cell r="L88" t="str">
            <v>USD</v>
          </cell>
          <cell r="N88">
            <v>1.6428327287561881E-3</v>
          </cell>
          <cell r="O88">
            <v>0.94170700243668504</v>
          </cell>
          <cell r="P88" t="str">
            <v>В</v>
          </cell>
        </row>
        <row r="89">
          <cell r="B89" t="str">
            <v>21ST-22872</v>
          </cell>
          <cell r="C89" t="str">
            <v>740985228722</v>
          </cell>
          <cell r="D89" t="str">
            <v>2023-10-7092</v>
          </cell>
          <cell r="E89" t="str">
            <v>21st Century Fish Oil 1000 mg - 120 softgels</v>
          </cell>
          <cell r="F89">
            <v>264</v>
          </cell>
          <cell r="G89">
            <v>56544.99</v>
          </cell>
          <cell r="H89">
            <v>144</v>
          </cell>
          <cell r="I89">
            <v>30855.27</v>
          </cell>
          <cell r="J89" t="str">
            <v>21st Century</v>
          </cell>
          <cell r="K89">
            <v>4.9000000000000004</v>
          </cell>
          <cell r="L89" t="str">
            <v>USD</v>
          </cell>
          <cell r="N89">
            <v>1.5877041136972557E-3</v>
          </cell>
          <cell r="O89">
            <v>0.94329470655038228</v>
          </cell>
          <cell r="P89" t="str">
            <v>В</v>
          </cell>
        </row>
        <row r="90">
          <cell r="B90" t="str">
            <v>21ST-22352</v>
          </cell>
          <cell r="C90" t="str">
            <v>740985223529</v>
          </cell>
          <cell r="D90" t="str">
            <v>2023-10-7106</v>
          </cell>
          <cell r="E90" t="str">
            <v>21st Century Slimming Tea - 24 bag Cranberry Raspberry</v>
          </cell>
          <cell r="F90">
            <v>144</v>
          </cell>
          <cell r="G90">
            <v>15523.72</v>
          </cell>
          <cell r="H90">
            <v>144</v>
          </cell>
          <cell r="I90">
            <v>15523.72</v>
          </cell>
          <cell r="J90" t="str">
            <v>21st Century</v>
          </cell>
          <cell r="K90">
            <v>2.4700000000000002</v>
          </cell>
          <cell r="L90" t="str">
            <v>USD</v>
          </cell>
          <cell r="N90">
            <v>1.5877041136972557E-3</v>
          </cell>
          <cell r="O90">
            <v>0.94488241066407952</v>
          </cell>
          <cell r="P90" t="str">
            <v>В</v>
          </cell>
        </row>
        <row r="91">
          <cell r="B91" t="str">
            <v>21ST-22849</v>
          </cell>
          <cell r="C91" t="str">
            <v>740985228494</v>
          </cell>
          <cell r="E91" t="str">
            <v>21st Century Niacin 250 MG 110 Tabs</v>
          </cell>
          <cell r="F91">
            <v>143</v>
          </cell>
          <cell r="G91">
            <v>17475.16</v>
          </cell>
          <cell r="H91">
            <v>143</v>
          </cell>
          <cell r="I91">
            <v>17475.16</v>
          </cell>
          <cell r="J91" t="str">
            <v>21st Century</v>
          </cell>
          <cell r="K91">
            <v>2.21</v>
          </cell>
          <cell r="L91" t="str">
            <v>USD</v>
          </cell>
          <cell r="N91">
            <v>1.5766783906854692E-3</v>
          </cell>
          <cell r="O91">
            <v>0.94645908905476495</v>
          </cell>
          <cell r="P91" t="str">
            <v>В</v>
          </cell>
        </row>
        <row r="92">
          <cell r="B92" t="str">
            <v>21ST-22361</v>
          </cell>
          <cell r="C92" t="str">
            <v>740985223611</v>
          </cell>
          <cell r="D92" t="str">
            <v>2023-10-7107</v>
          </cell>
          <cell r="E92" t="str">
            <v>21st Century Slimming Tea - 24 bag Honey Lemon</v>
          </cell>
          <cell r="F92">
            <v>144</v>
          </cell>
          <cell r="G92">
            <v>15537.1</v>
          </cell>
          <cell r="H92">
            <v>134</v>
          </cell>
          <cell r="I92">
            <v>14446.81</v>
          </cell>
          <cell r="J92" t="str">
            <v>21st Century</v>
          </cell>
          <cell r="K92">
            <v>2.4700000000000002</v>
          </cell>
          <cell r="L92" t="str">
            <v>USD</v>
          </cell>
          <cell r="N92">
            <v>1.4774468835793907E-3</v>
          </cell>
          <cell r="O92">
            <v>0.94793653593834437</v>
          </cell>
          <cell r="P92" t="str">
            <v>В</v>
          </cell>
        </row>
        <row r="93">
          <cell r="B93" t="str">
            <v>21ST-22338</v>
          </cell>
          <cell r="C93" t="str">
            <v>740985223383</v>
          </cell>
          <cell r="D93" t="str">
            <v>2023-10-7113</v>
          </cell>
          <cell r="E93" t="str">
            <v>21st Century C 500 mg - 250 tabs</v>
          </cell>
          <cell r="F93">
            <v>182</v>
          </cell>
          <cell r="G93">
            <v>33312.870000000003</v>
          </cell>
          <cell r="H93">
            <v>134</v>
          </cell>
          <cell r="I93">
            <v>24186.400000000001</v>
          </cell>
          <cell r="J93" t="str">
            <v>21st Century</v>
          </cell>
          <cell r="K93">
            <v>4.3899999999999997</v>
          </cell>
          <cell r="L93" t="str">
            <v>USD</v>
          </cell>
          <cell r="N93">
            <v>1.4774468835793907E-3</v>
          </cell>
          <cell r="O93">
            <v>0.9494139828219238</v>
          </cell>
          <cell r="P93" t="str">
            <v>В</v>
          </cell>
        </row>
        <row r="94">
          <cell r="B94" t="str">
            <v>21ST-22556</v>
          </cell>
          <cell r="C94" t="str">
            <v>740985225561</v>
          </cell>
          <cell r="D94" t="str">
            <v>2023-10-7133</v>
          </cell>
          <cell r="E94" t="str">
            <v>21st Century Digestive Enzymes - 60 caps</v>
          </cell>
          <cell r="F94">
            <v>169</v>
          </cell>
          <cell r="G94">
            <v>27728.02</v>
          </cell>
          <cell r="H94">
            <v>134</v>
          </cell>
          <cell r="I94">
            <v>21814.65</v>
          </cell>
          <cell r="J94" t="str">
            <v>21st Century</v>
          </cell>
          <cell r="K94">
            <v>3.83</v>
          </cell>
          <cell r="L94" t="str">
            <v>USD</v>
          </cell>
          <cell r="N94">
            <v>1.4774468835793907E-3</v>
          </cell>
          <cell r="O94">
            <v>0.95089142970550322</v>
          </cell>
          <cell r="P94" t="str">
            <v>С</v>
          </cell>
        </row>
        <row r="95">
          <cell r="B95" t="str">
            <v>21ST-22557</v>
          </cell>
          <cell r="C95" t="str">
            <v>740985225578</v>
          </cell>
          <cell r="D95" t="str">
            <v>100-88-0227193-20</v>
          </cell>
          <cell r="E95" t="str">
            <v>21st Century Daily Amino Acid - 120 tabs</v>
          </cell>
          <cell r="F95">
            <v>275</v>
          </cell>
          <cell r="G95">
            <v>59313.78</v>
          </cell>
          <cell r="H95">
            <v>130</v>
          </cell>
          <cell r="I95">
            <v>27944.69</v>
          </cell>
          <cell r="J95" t="str">
            <v>21st Century</v>
          </cell>
          <cell r="K95">
            <v>4.95</v>
          </cell>
          <cell r="L95" t="str">
            <v>USD</v>
          </cell>
          <cell r="N95">
            <v>1.4333439915322447E-3</v>
          </cell>
          <cell r="O95">
            <v>0.9523247736970355</v>
          </cell>
          <cell r="P95" t="str">
            <v>С</v>
          </cell>
        </row>
        <row r="96">
          <cell r="B96" t="str">
            <v>21ST-27418</v>
          </cell>
          <cell r="C96" t="str">
            <v>740985274187</v>
          </cell>
          <cell r="D96" t="str">
            <v>2023-10-7097</v>
          </cell>
          <cell r="E96" t="str">
            <v>21st Century Healthy Eyes Extra - 36 tabs</v>
          </cell>
          <cell r="F96">
            <v>228</v>
          </cell>
          <cell r="G96">
            <v>24673.83</v>
          </cell>
          <cell r="H96">
            <v>128</v>
          </cell>
          <cell r="I96">
            <v>13818.96</v>
          </cell>
          <cell r="J96" t="str">
            <v>21st Century</v>
          </cell>
          <cell r="K96">
            <v>2.48</v>
          </cell>
          <cell r="L96" t="str">
            <v>USD</v>
          </cell>
          <cell r="N96">
            <v>1.4112925455086716E-3</v>
          </cell>
          <cell r="O96">
            <v>0.95373606624254414</v>
          </cell>
          <cell r="P96" t="str">
            <v>С</v>
          </cell>
        </row>
        <row r="97">
          <cell r="B97" t="str">
            <v>21ST-27384</v>
          </cell>
          <cell r="C97" t="str">
            <v>740985273845</v>
          </cell>
          <cell r="D97" t="str">
            <v>2023-10-7102</v>
          </cell>
          <cell r="E97" t="str">
            <v>21st Century PreNatal DHA 30 sg</v>
          </cell>
          <cell r="F97">
            <v>144</v>
          </cell>
          <cell r="G97">
            <v>38023.67</v>
          </cell>
          <cell r="H97">
            <v>126</v>
          </cell>
          <cell r="I97">
            <v>33285.360000000001</v>
          </cell>
          <cell r="J97" t="str">
            <v>21st Century</v>
          </cell>
          <cell r="K97">
            <v>6.05</v>
          </cell>
          <cell r="L97" t="str">
            <v>USD</v>
          </cell>
          <cell r="N97">
            <v>1.3892410994850988E-3</v>
          </cell>
          <cell r="O97">
            <v>0.95512530734202927</v>
          </cell>
          <cell r="P97" t="str">
            <v>С</v>
          </cell>
        </row>
        <row r="98">
          <cell r="B98" t="str">
            <v>21ST-22623</v>
          </cell>
          <cell r="C98" t="str">
            <v>740985226230</v>
          </cell>
          <cell r="D98" t="str">
            <v>2023-10-7086</v>
          </cell>
          <cell r="E98" t="str">
            <v>21st Century ArthriFlex + D3 - 120 tabs</v>
          </cell>
          <cell r="F98">
            <v>182</v>
          </cell>
          <cell r="G98">
            <v>87299.53</v>
          </cell>
          <cell r="H98">
            <v>122</v>
          </cell>
          <cell r="I98">
            <v>58490.34</v>
          </cell>
          <cell r="J98" t="str">
            <v>21st Century</v>
          </cell>
          <cell r="K98">
            <v>10.99</v>
          </cell>
          <cell r="L98" t="str">
            <v>USD</v>
          </cell>
          <cell r="N98">
            <v>1.3451382074379527E-3</v>
          </cell>
          <cell r="O98">
            <v>0.95647044554946725</v>
          </cell>
          <cell r="P98" t="str">
            <v>С</v>
          </cell>
        </row>
        <row r="99">
          <cell r="B99" t="str">
            <v>21ST-21151</v>
          </cell>
          <cell r="C99" t="str">
            <v>740985211519</v>
          </cell>
          <cell r="D99" t="str">
            <v>2023-10-7053</v>
          </cell>
          <cell r="E99" t="str">
            <v>21st Century B-1 100mg - 110 tabs</v>
          </cell>
          <cell r="F99">
            <v>123</v>
          </cell>
          <cell r="G99">
            <v>11881.02</v>
          </cell>
          <cell r="H99">
            <v>122</v>
          </cell>
          <cell r="I99">
            <v>11784.75</v>
          </cell>
          <cell r="J99" t="str">
            <v>21st Century</v>
          </cell>
          <cell r="K99">
            <v>2.21</v>
          </cell>
          <cell r="L99" t="str">
            <v>USD</v>
          </cell>
          <cell r="N99">
            <v>1.3451382074379527E-3</v>
          </cell>
          <cell r="O99">
            <v>0.95781558375690523</v>
          </cell>
          <cell r="P99" t="str">
            <v>С</v>
          </cell>
        </row>
        <row r="100">
          <cell r="B100" t="str">
            <v>21ST-27111</v>
          </cell>
          <cell r="C100" t="str">
            <v>740985271117</v>
          </cell>
          <cell r="D100" t="str">
            <v>2023-10-7047</v>
          </cell>
          <cell r="E100" t="str">
            <v>21st Century D3 50 mcg (2000 IU) - 110 tabs</v>
          </cell>
          <cell r="F100">
            <v>169</v>
          </cell>
          <cell r="G100">
            <v>28147.26</v>
          </cell>
          <cell r="H100">
            <v>121</v>
          </cell>
          <cell r="I100">
            <v>20115.29</v>
          </cell>
          <cell r="J100" t="str">
            <v>21st Century</v>
          </cell>
          <cell r="K100">
            <v>3.83</v>
          </cell>
          <cell r="L100" t="str">
            <v>USD</v>
          </cell>
          <cell r="N100">
            <v>1.3341124844261662E-3</v>
          </cell>
          <cell r="O100">
            <v>0.9591496962413314</v>
          </cell>
          <cell r="P100" t="str">
            <v>С</v>
          </cell>
        </row>
        <row r="101">
          <cell r="B101" t="str">
            <v>21ST-27454</v>
          </cell>
          <cell r="C101" t="str">
            <v>740985274545</v>
          </cell>
          <cell r="D101" t="str">
            <v>2023-10-7125</v>
          </cell>
          <cell r="E101" t="str">
            <v>21st Century Healthy Eyes Lutein &amp; Zeaxanthin - 60 caps</v>
          </cell>
          <cell r="F101">
            <v>145</v>
          </cell>
          <cell r="G101">
            <v>34956.58</v>
          </cell>
          <cell r="H101">
            <v>121</v>
          </cell>
          <cell r="I101">
            <v>29189.5</v>
          </cell>
          <cell r="J101" t="str">
            <v>21st Century</v>
          </cell>
          <cell r="K101">
            <v>5.5</v>
          </cell>
          <cell r="L101" t="str">
            <v>USD</v>
          </cell>
          <cell r="N101">
            <v>1.3341124844261662E-3</v>
          </cell>
          <cell r="O101">
            <v>0.96048380872575756</v>
          </cell>
          <cell r="P101" t="str">
            <v>С</v>
          </cell>
        </row>
        <row r="102">
          <cell r="B102" t="str">
            <v>21ST-25684</v>
          </cell>
          <cell r="C102" t="str">
            <v>740985256848</v>
          </cell>
          <cell r="E102" t="str">
            <v>21st Century K&amp;S Collagen Peptides 5.8oz pwd</v>
          </cell>
          <cell r="F102">
            <v>120</v>
          </cell>
          <cell r="G102">
            <v>47185.2</v>
          </cell>
          <cell r="H102">
            <v>120</v>
          </cell>
          <cell r="I102">
            <v>47185.2</v>
          </cell>
          <cell r="J102" t="str">
            <v>21st Century</v>
          </cell>
          <cell r="K102">
            <v>9</v>
          </cell>
          <cell r="L102" t="str">
            <v>USD</v>
          </cell>
          <cell r="N102">
            <v>1.3230867614143797E-3</v>
          </cell>
          <cell r="O102">
            <v>0.96180689548717191</v>
          </cell>
          <cell r="P102" t="str">
            <v>С</v>
          </cell>
        </row>
        <row r="103">
          <cell r="B103" t="str">
            <v>21ST-22790</v>
          </cell>
          <cell r="C103" t="str">
            <v>740985227909</v>
          </cell>
          <cell r="E103" t="str">
            <v>21st Century Slimming Tea - Green Tea 24 bag</v>
          </cell>
          <cell r="F103">
            <v>120</v>
          </cell>
          <cell r="G103">
            <v>12949.72</v>
          </cell>
          <cell r="H103">
            <v>120</v>
          </cell>
          <cell r="I103">
            <v>12949.72</v>
          </cell>
          <cell r="J103" t="str">
            <v>21st Century</v>
          </cell>
          <cell r="K103">
            <v>2.4700000000000002</v>
          </cell>
          <cell r="L103" t="str">
            <v>USD</v>
          </cell>
          <cell r="N103">
            <v>1.3230867614143797E-3</v>
          </cell>
          <cell r="O103">
            <v>0.96312998224858626</v>
          </cell>
          <cell r="P103" t="str">
            <v>С</v>
          </cell>
        </row>
        <row r="104">
          <cell r="B104" t="str">
            <v>21ST-22399</v>
          </cell>
          <cell r="C104" t="str">
            <v>740985223994</v>
          </cell>
          <cell r="E104" t="str">
            <v>21st Century Slimming Tea - Natural 24 bag</v>
          </cell>
          <cell r="F104">
            <v>120</v>
          </cell>
          <cell r="G104">
            <v>12949.72</v>
          </cell>
          <cell r="H104">
            <v>120</v>
          </cell>
          <cell r="I104">
            <v>12949.72</v>
          </cell>
          <cell r="J104" t="str">
            <v>21st Century</v>
          </cell>
          <cell r="K104">
            <v>2.4700000000000002</v>
          </cell>
          <cell r="L104" t="str">
            <v>USD</v>
          </cell>
          <cell r="N104">
            <v>1.3230867614143797E-3</v>
          </cell>
          <cell r="O104">
            <v>0.96445306901000061</v>
          </cell>
          <cell r="P104" t="str">
            <v>С</v>
          </cell>
        </row>
        <row r="105">
          <cell r="B105" t="str">
            <v>21ST-22692</v>
          </cell>
          <cell r="C105" t="str">
            <v>740985226926</v>
          </cell>
          <cell r="E105" t="str">
            <v>21st Century Slimming Tea - Peach Apricot 24 bag</v>
          </cell>
          <cell r="F105">
            <v>120</v>
          </cell>
          <cell r="G105">
            <v>12949.72</v>
          </cell>
          <cell r="H105">
            <v>120</v>
          </cell>
          <cell r="I105">
            <v>12949.72</v>
          </cell>
          <cell r="J105" t="str">
            <v>21st Century</v>
          </cell>
          <cell r="K105">
            <v>2.4700000000000002</v>
          </cell>
          <cell r="L105" t="str">
            <v>USD</v>
          </cell>
          <cell r="N105">
            <v>1.3230867614143797E-3</v>
          </cell>
          <cell r="O105">
            <v>0.96577615577141496</v>
          </cell>
          <cell r="P105" t="str">
            <v>С</v>
          </cell>
        </row>
        <row r="106">
          <cell r="B106" t="str">
            <v>21ST-21472</v>
          </cell>
          <cell r="C106" t="str">
            <v>740985214725</v>
          </cell>
          <cell r="E106" t="str">
            <v>21st Century Glucosamine Chondroitin 250/200mg (Original) cp 60</v>
          </cell>
          <cell r="F106">
            <v>120</v>
          </cell>
          <cell r="G106">
            <v>23860.639999999999</v>
          </cell>
          <cell r="H106">
            <v>120</v>
          </cell>
          <cell r="I106">
            <v>23860.639999999999</v>
          </cell>
          <cell r="J106" t="str">
            <v>21st Century</v>
          </cell>
          <cell r="K106">
            <v>4.3899999999999997</v>
          </cell>
          <cell r="L106" t="str">
            <v>USD</v>
          </cell>
          <cell r="N106">
            <v>1.3230867614143797E-3</v>
          </cell>
          <cell r="O106">
            <v>0.96709924253282931</v>
          </cell>
          <cell r="P106" t="str">
            <v>С</v>
          </cell>
        </row>
        <row r="107">
          <cell r="B107" t="str">
            <v>21ST-21104</v>
          </cell>
          <cell r="C107" t="str">
            <v>740985211045</v>
          </cell>
          <cell r="D107" t="str">
            <v>2023-10-7055</v>
          </cell>
          <cell r="E107" t="str">
            <v>21st Century B-12 1000 mcg - 110 tabs</v>
          </cell>
          <cell r="F107">
            <v>144</v>
          </cell>
          <cell r="G107">
            <v>24169.119999999999</v>
          </cell>
          <cell r="H107">
            <v>118</v>
          </cell>
          <cell r="I107">
            <v>19815.02</v>
          </cell>
          <cell r="J107" t="str">
            <v>21st Century</v>
          </cell>
          <cell r="K107">
            <v>3.83</v>
          </cell>
          <cell r="L107" t="str">
            <v>USD</v>
          </cell>
          <cell r="N107">
            <v>1.3010353153908067E-3</v>
          </cell>
          <cell r="O107">
            <v>0.96840027784822014</v>
          </cell>
          <cell r="P107" t="str">
            <v>С</v>
          </cell>
        </row>
        <row r="108">
          <cell r="B108" t="str">
            <v>21ST-22702</v>
          </cell>
          <cell r="C108" t="str">
            <v>740985227022</v>
          </cell>
          <cell r="D108" t="str">
            <v>2023-10-7115</v>
          </cell>
          <cell r="E108" t="str">
            <v>21st Century Sentry - 300 tabs</v>
          </cell>
          <cell r="F108">
            <v>145</v>
          </cell>
          <cell r="G108">
            <v>50169.33</v>
          </cell>
          <cell r="H108">
            <v>112</v>
          </cell>
          <cell r="I108">
            <v>38674.959999999999</v>
          </cell>
          <cell r="J108" t="str">
            <v>21st Century</v>
          </cell>
          <cell r="K108">
            <v>7.95</v>
          </cell>
          <cell r="L108" t="str">
            <v>USD</v>
          </cell>
          <cell r="N108">
            <v>1.2348809773200878E-3</v>
          </cell>
          <cell r="O108">
            <v>0.96963515882554019</v>
          </cell>
          <cell r="P108" t="str">
            <v>С</v>
          </cell>
        </row>
        <row r="109">
          <cell r="B109" t="str">
            <v>21ST-27291</v>
          </cell>
          <cell r="C109" t="str">
            <v>740985272916</v>
          </cell>
          <cell r="D109" t="str">
            <v>2023-10-7064</v>
          </cell>
          <cell r="E109" t="str">
            <v>21st Century Glucosamine Chondroitin Advanced + MSM - 120 tabs</v>
          </cell>
          <cell r="F109">
            <v>145</v>
          </cell>
          <cell r="G109">
            <v>52274.44</v>
          </cell>
          <cell r="H109">
            <v>109</v>
          </cell>
          <cell r="I109">
            <v>39298.51</v>
          </cell>
          <cell r="J109" t="str">
            <v>21st Century</v>
          </cell>
          <cell r="K109">
            <v>8.25</v>
          </cell>
          <cell r="L109" t="str">
            <v>USD</v>
          </cell>
          <cell r="N109">
            <v>1.2018038082847282E-3</v>
          </cell>
          <cell r="O109">
            <v>0.97083696263382491</v>
          </cell>
          <cell r="P109" t="str">
            <v>С</v>
          </cell>
        </row>
        <row r="110">
          <cell r="B110" t="str">
            <v>21ST-22848</v>
          </cell>
          <cell r="C110" t="str">
            <v>740985228487</v>
          </cell>
          <cell r="D110" t="str">
            <v>2023-10-7130</v>
          </cell>
          <cell r="E110" t="str">
            <v>21st Century Apple Cider Vinegar 300mg - 250 tabs</v>
          </cell>
          <cell r="F110">
            <v>121</v>
          </cell>
          <cell r="G110">
            <v>21000.21</v>
          </cell>
          <cell r="H110">
            <v>109</v>
          </cell>
          <cell r="I110">
            <v>18992.22</v>
          </cell>
          <cell r="J110" t="str">
            <v>21st Century</v>
          </cell>
          <cell r="K110">
            <v>3.83</v>
          </cell>
          <cell r="L110" t="str">
            <v>USD</v>
          </cell>
          <cell r="N110">
            <v>1.2018038082847282E-3</v>
          </cell>
          <cell r="O110">
            <v>0.97203876644210963</v>
          </cell>
          <cell r="P110" t="str">
            <v>С</v>
          </cell>
        </row>
        <row r="111">
          <cell r="B111" t="str">
            <v>21ST-22380</v>
          </cell>
          <cell r="C111" t="str">
            <v>740985223802</v>
          </cell>
          <cell r="D111" t="str">
            <v>100-86-3064104-20</v>
          </cell>
          <cell r="E111" t="str">
            <v>21st Century Sentry - 130 tabs</v>
          </cell>
          <cell r="F111">
            <v>166</v>
          </cell>
          <cell r="G111">
            <v>27470.05</v>
          </cell>
          <cell r="H111">
            <v>105</v>
          </cell>
          <cell r="I111">
            <v>17261.03</v>
          </cell>
          <cell r="J111" t="str">
            <v>21st Century</v>
          </cell>
          <cell r="K111">
            <v>3.83</v>
          </cell>
          <cell r="L111" t="str">
            <v>USD</v>
          </cell>
          <cell r="N111">
            <v>1.1577009162375823E-3</v>
          </cell>
          <cell r="O111">
            <v>0.97319646735834719</v>
          </cell>
          <cell r="P111" t="str">
            <v>С</v>
          </cell>
        </row>
        <row r="112">
          <cell r="B112" t="str">
            <v>21ST-27416</v>
          </cell>
          <cell r="C112" t="str">
            <v>740985274163</v>
          </cell>
          <cell r="D112" t="str">
            <v>2023-10-7049</v>
          </cell>
          <cell r="E112" t="str">
            <v>21st Century D3 50 mcg (2000 IU) - 250 softgels</v>
          </cell>
          <cell r="F112">
            <v>168</v>
          </cell>
          <cell r="G112">
            <v>40346.68</v>
          </cell>
          <cell r="H112">
            <v>96</v>
          </cell>
          <cell r="I112">
            <v>23045.439999999999</v>
          </cell>
          <cell r="J112" t="str">
            <v>21st Century</v>
          </cell>
          <cell r="K112">
            <v>5.5</v>
          </cell>
          <cell r="L112" t="str">
            <v>USD</v>
          </cell>
          <cell r="N112">
            <v>1.0584694091315039E-3</v>
          </cell>
          <cell r="O112">
            <v>0.97425493676747865</v>
          </cell>
          <cell r="P112" t="str">
            <v>С</v>
          </cell>
        </row>
        <row r="113">
          <cell r="B113" t="str">
            <v>21ST-21828</v>
          </cell>
          <cell r="C113" t="str">
            <v>740985218280</v>
          </cell>
          <cell r="D113" t="str">
            <v>2023-10-7124</v>
          </cell>
          <cell r="E113" t="str">
            <v>21st Century Evening Primrose Oil - 60 softgels</v>
          </cell>
          <cell r="F113">
            <v>146</v>
          </cell>
          <cell r="G113">
            <v>28372.25</v>
          </cell>
          <cell r="H113">
            <v>94</v>
          </cell>
          <cell r="I113">
            <v>18313.04</v>
          </cell>
          <cell r="J113" t="str">
            <v>21st Century</v>
          </cell>
          <cell r="K113">
            <v>4.3899999999999997</v>
          </cell>
          <cell r="L113" t="str">
            <v>USD</v>
          </cell>
          <cell r="N113">
            <v>1.0364179631079308E-3</v>
          </cell>
          <cell r="O113">
            <v>0.97529135473058659</v>
          </cell>
          <cell r="P113" t="str">
            <v>С</v>
          </cell>
        </row>
        <row r="114">
          <cell r="B114" t="str">
            <v>21ST-27504</v>
          </cell>
          <cell r="C114" t="str">
            <v>740985275047</v>
          </cell>
          <cell r="D114" t="str">
            <v>2023-10-7052</v>
          </cell>
          <cell r="E114" t="str">
            <v>21st Century D3 250 mcg (10,000 IU) - 110 tabs</v>
          </cell>
          <cell r="F114">
            <v>120</v>
          </cell>
          <cell r="G114">
            <v>31762.12</v>
          </cell>
          <cell r="H114">
            <v>90</v>
          </cell>
          <cell r="I114">
            <v>23851.91</v>
          </cell>
          <cell r="J114" t="str">
            <v>21st Century</v>
          </cell>
          <cell r="K114">
            <v>6.05</v>
          </cell>
          <cell r="L114" t="str">
            <v>USD</v>
          </cell>
          <cell r="N114">
            <v>9.9231507106078477E-4</v>
          </cell>
          <cell r="O114">
            <v>0.97628366980164738</v>
          </cell>
          <cell r="P114" t="str">
            <v>С</v>
          </cell>
        </row>
        <row r="115">
          <cell r="B115" t="str">
            <v>21ST-27348</v>
          </cell>
          <cell r="C115" t="str">
            <v>740985273487</v>
          </cell>
          <cell r="D115" t="str">
            <v>2023-10-7093</v>
          </cell>
          <cell r="E115" t="str">
            <v>21st Century Fish Oil 1200 mg - 140 softgels</v>
          </cell>
          <cell r="F115">
            <v>109</v>
          </cell>
          <cell r="G115">
            <v>32004.49</v>
          </cell>
          <cell r="H115">
            <v>85</v>
          </cell>
          <cell r="I115">
            <v>24863.8</v>
          </cell>
          <cell r="J115" t="str">
            <v>21st Century</v>
          </cell>
          <cell r="K115">
            <v>6.81</v>
          </cell>
          <cell r="L115" t="str">
            <v>USD</v>
          </cell>
          <cell r="N115">
            <v>9.3718645600185228E-4</v>
          </cell>
          <cell r="O115">
            <v>0.97722085625764921</v>
          </cell>
          <cell r="P115" t="str">
            <v>С</v>
          </cell>
        </row>
        <row r="116">
          <cell r="B116" t="str">
            <v>21ST-27024</v>
          </cell>
          <cell r="C116" t="str">
            <v>740985270240</v>
          </cell>
          <cell r="D116" t="str">
            <v>2023-10-7083</v>
          </cell>
          <cell r="E116" t="str">
            <v>21st Century Psyllium - 160 caps</v>
          </cell>
          <cell r="F116">
            <v>132</v>
          </cell>
          <cell r="G116">
            <v>25283.95</v>
          </cell>
          <cell r="H116">
            <v>84</v>
          </cell>
          <cell r="I116">
            <v>16077.59</v>
          </cell>
          <cell r="J116" t="str">
            <v>21st Century</v>
          </cell>
          <cell r="K116">
            <v>4.3899999999999997</v>
          </cell>
          <cell r="L116" t="str">
            <v>USD</v>
          </cell>
          <cell r="N116">
            <v>9.2616073299006587E-4</v>
          </cell>
          <cell r="O116">
            <v>0.97814701699063922</v>
          </cell>
          <cell r="P116" t="str">
            <v>С</v>
          </cell>
        </row>
        <row r="117">
          <cell r="B117" t="str">
            <v>21ST-27290</v>
          </cell>
          <cell r="C117" t="str">
            <v>740985272909</v>
          </cell>
          <cell r="D117" t="str">
            <v>2023-10-7065</v>
          </cell>
          <cell r="E117" t="str">
            <v>21st Century Glucosamine Chondroitin Complex Triple - 80 tabs</v>
          </cell>
          <cell r="F117">
            <v>132</v>
          </cell>
          <cell r="G117">
            <v>47205.58</v>
          </cell>
          <cell r="H117">
            <v>84</v>
          </cell>
          <cell r="I117">
            <v>29904.34</v>
          </cell>
          <cell r="J117" t="str">
            <v>21st Century</v>
          </cell>
          <cell r="K117">
            <v>8.25</v>
          </cell>
          <cell r="L117" t="str">
            <v>USD</v>
          </cell>
          <cell r="N117">
            <v>9.2616073299006587E-4</v>
          </cell>
          <cell r="O117">
            <v>0.97907317772362923</v>
          </cell>
          <cell r="P117" t="str">
            <v>С</v>
          </cell>
        </row>
        <row r="118">
          <cell r="B118" t="str">
            <v>21ST-27343</v>
          </cell>
          <cell r="C118" t="str">
            <v>740985273432</v>
          </cell>
          <cell r="D118" t="str">
            <v>100-71-1150045-20</v>
          </cell>
          <cell r="E118" t="str">
            <v>21st Century Iron Slow Release - 60 tabs</v>
          </cell>
          <cell r="F118">
            <v>126</v>
          </cell>
          <cell r="G118">
            <v>12142.24</v>
          </cell>
          <cell r="H118">
            <v>77</v>
          </cell>
          <cell r="I118">
            <v>7366.02</v>
          </cell>
          <cell r="J118" t="str">
            <v>21st Century</v>
          </cell>
          <cell r="K118">
            <v>2.21</v>
          </cell>
          <cell r="L118" t="str">
            <v>USD</v>
          </cell>
          <cell r="N118">
            <v>8.4898067190756034E-4</v>
          </cell>
          <cell r="O118">
            <v>0.97992215839553676</v>
          </cell>
          <cell r="P118" t="str">
            <v>С</v>
          </cell>
        </row>
        <row r="119">
          <cell r="B119" t="str">
            <v>21ST-21024</v>
          </cell>
          <cell r="C119" t="str">
            <v>740985210246</v>
          </cell>
          <cell r="E119" t="str">
            <v>21st Century C  500 mg - Orange 110 chw</v>
          </cell>
          <cell r="F119">
            <v>72</v>
          </cell>
          <cell r="G119">
            <v>12047.95</v>
          </cell>
          <cell r="H119">
            <v>72</v>
          </cell>
          <cell r="I119">
            <v>12047.95</v>
          </cell>
          <cell r="J119" t="str">
            <v>21st Century</v>
          </cell>
          <cell r="K119">
            <v>3.83</v>
          </cell>
          <cell r="L119" t="str">
            <v>USD</v>
          </cell>
          <cell r="N119">
            <v>7.9385205684862786E-4</v>
          </cell>
          <cell r="O119">
            <v>0.98071601045238543</v>
          </cell>
          <cell r="P119" t="str">
            <v>С</v>
          </cell>
        </row>
        <row r="120">
          <cell r="B120" t="str">
            <v>21ST-21002</v>
          </cell>
          <cell r="C120" t="str">
            <v>740985210024</v>
          </cell>
          <cell r="E120" t="str">
            <v>21st Century C  500 mg w/Rose Hips 110 tb</v>
          </cell>
          <cell r="F120">
            <v>72</v>
          </cell>
          <cell r="G120">
            <v>10412.200000000001</v>
          </cell>
          <cell r="H120">
            <v>72</v>
          </cell>
          <cell r="I120">
            <v>10412.200000000001</v>
          </cell>
          <cell r="J120" t="str">
            <v>21st Century</v>
          </cell>
          <cell r="K120">
            <v>3.31</v>
          </cell>
          <cell r="L120" t="str">
            <v>USD</v>
          </cell>
          <cell r="N120">
            <v>7.9385205684862786E-4</v>
          </cell>
          <cell r="O120">
            <v>0.98150986250923411</v>
          </cell>
          <cell r="P120" t="str">
            <v>С</v>
          </cell>
        </row>
        <row r="121">
          <cell r="B121" t="str">
            <v>21ST-27516</v>
          </cell>
          <cell r="C121" t="str">
            <v>740985275160</v>
          </cell>
          <cell r="D121" t="str">
            <v>2023-10-7087</v>
          </cell>
          <cell r="E121" t="str">
            <v>21st Century Calcium 500 mg + D3 - 90 tabs</v>
          </cell>
          <cell r="F121">
            <v>132</v>
          </cell>
          <cell r="G121">
            <v>12764.59</v>
          </cell>
          <cell r="H121">
            <v>72</v>
          </cell>
          <cell r="I121">
            <v>6971.3</v>
          </cell>
          <cell r="J121" t="str">
            <v>21st Century</v>
          </cell>
          <cell r="K121">
            <v>2.21</v>
          </cell>
          <cell r="L121" t="str">
            <v>USD</v>
          </cell>
          <cell r="N121">
            <v>7.9385205684862786E-4</v>
          </cell>
          <cell r="O121">
            <v>0.98230371456608279</v>
          </cell>
          <cell r="P121" t="str">
            <v>С</v>
          </cell>
        </row>
        <row r="122">
          <cell r="B122" t="str">
            <v>21ST-22563</v>
          </cell>
          <cell r="C122" t="str">
            <v>740985225639</v>
          </cell>
          <cell r="D122" t="str">
            <v>2023-10-7094</v>
          </cell>
          <cell r="E122" t="str">
            <v>21st Century Folic Acid 800 mcg - 180 tabs</v>
          </cell>
          <cell r="F122">
            <v>96</v>
          </cell>
          <cell r="G122">
            <v>11422.7</v>
          </cell>
          <cell r="H122">
            <v>72</v>
          </cell>
          <cell r="I122">
            <v>8528.67</v>
          </cell>
          <cell r="J122" t="str">
            <v>21st Century</v>
          </cell>
          <cell r="K122">
            <v>2.76</v>
          </cell>
          <cell r="L122" t="str">
            <v>USD</v>
          </cell>
          <cell r="N122">
            <v>7.9385205684862786E-4</v>
          </cell>
          <cell r="O122">
            <v>0.98309756662293146</v>
          </cell>
          <cell r="P122" t="str">
            <v>С</v>
          </cell>
        </row>
        <row r="123">
          <cell r="B123" t="str">
            <v>21ST-27413</v>
          </cell>
          <cell r="C123" t="str">
            <v>740985274132</v>
          </cell>
          <cell r="E123" t="str">
            <v>21st Century Co Q-10 100 mg 90 sg</v>
          </cell>
          <cell r="F123">
            <v>72</v>
          </cell>
          <cell r="G123">
            <v>37337.49</v>
          </cell>
          <cell r="H123">
            <v>72</v>
          </cell>
          <cell r="I123">
            <v>37337.49</v>
          </cell>
          <cell r="J123" t="str">
            <v>21st Century</v>
          </cell>
          <cell r="K123">
            <v>11.79</v>
          </cell>
          <cell r="L123" t="str">
            <v>USD</v>
          </cell>
          <cell r="N123">
            <v>7.9385205684862786E-4</v>
          </cell>
          <cell r="O123">
            <v>0.98389141867978014</v>
          </cell>
          <cell r="P123" t="str">
            <v>С</v>
          </cell>
        </row>
        <row r="124">
          <cell r="B124" t="str">
            <v>21ST-28063</v>
          </cell>
          <cell r="C124" t="str">
            <v>740985280638</v>
          </cell>
          <cell r="D124" t="str">
            <v>2023-10-7127</v>
          </cell>
          <cell r="E124" t="str">
            <v>21st Century L-Lysine 1000 mg - 90 tabs</v>
          </cell>
          <cell r="F124">
            <v>96</v>
          </cell>
          <cell r="G124">
            <v>13762.51</v>
          </cell>
          <cell r="H124">
            <v>69</v>
          </cell>
          <cell r="I124">
            <v>9936.1200000000008</v>
          </cell>
          <cell r="J124" t="str">
            <v>21st Century</v>
          </cell>
          <cell r="K124">
            <v>3.24</v>
          </cell>
          <cell r="L124" t="str">
            <v>USD</v>
          </cell>
          <cell r="N124">
            <v>7.6077488781326841E-4</v>
          </cell>
          <cell r="O124">
            <v>0.98465219356759337</v>
          </cell>
          <cell r="P124" t="str">
            <v>С</v>
          </cell>
        </row>
        <row r="125">
          <cell r="B125" t="str">
            <v>21ST-27112</v>
          </cell>
          <cell r="C125" t="str">
            <v>740985271124</v>
          </cell>
          <cell r="D125" t="str">
            <v>2023-10-7056</v>
          </cell>
          <cell r="E125" t="str">
            <v>21st Century B-12 2500 mcg Sublingual - 110 tabs</v>
          </cell>
          <cell r="F125">
            <v>72</v>
          </cell>
          <cell r="G125">
            <v>13893.47</v>
          </cell>
          <cell r="H125">
            <v>61</v>
          </cell>
          <cell r="I125">
            <v>11766.23</v>
          </cell>
          <cell r="J125" t="str">
            <v>21st Century</v>
          </cell>
          <cell r="K125">
            <v>4.3899999999999997</v>
          </cell>
          <cell r="L125" t="str">
            <v>USD</v>
          </cell>
          <cell r="N125">
            <v>6.7256910371897636E-4</v>
          </cell>
          <cell r="O125">
            <v>0.9853247626713123</v>
          </cell>
          <cell r="P125" t="str">
            <v>С</v>
          </cell>
        </row>
        <row r="126">
          <cell r="B126" t="str">
            <v>21ST-28091</v>
          </cell>
          <cell r="C126" t="str">
            <v>740985280911</v>
          </cell>
          <cell r="D126" t="str">
            <v>2023-10-7110</v>
          </cell>
          <cell r="E126" t="str">
            <v>21st Century Zoo Friends Probiotic - 30 chewable tabs</v>
          </cell>
          <cell r="F126">
            <v>60</v>
          </cell>
          <cell r="G126">
            <v>17401.62</v>
          </cell>
          <cell r="H126">
            <v>60</v>
          </cell>
          <cell r="I126">
            <v>17401.62</v>
          </cell>
          <cell r="J126" t="str">
            <v>21st Century</v>
          </cell>
          <cell r="K126">
            <v>6.6</v>
          </cell>
          <cell r="L126" t="str">
            <v>USD</v>
          </cell>
          <cell r="N126">
            <v>6.6154338070718985E-4</v>
          </cell>
          <cell r="O126">
            <v>0.98598630605201953</v>
          </cell>
          <cell r="P126" t="str">
            <v>С</v>
          </cell>
        </row>
        <row r="127">
          <cell r="B127" t="str">
            <v>21ST-27844</v>
          </cell>
          <cell r="C127" t="str">
            <v>740985278444</v>
          </cell>
          <cell r="D127" t="str">
            <v>2023-10-7109</v>
          </cell>
          <cell r="E127" t="str">
            <v>21st Century Turmeric Complex - 60 vcaps</v>
          </cell>
          <cell r="F127">
            <v>72</v>
          </cell>
          <cell r="G127">
            <v>13847.96</v>
          </cell>
          <cell r="H127">
            <v>58</v>
          </cell>
          <cell r="I127">
            <v>11135.04</v>
          </cell>
          <cell r="J127" t="str">
            <v>21st Century</v>
          </cell>
          <cell r="K127">
            <v>4.3899999999999997</v>
          </cell>
          <cell r="L127" t="str">
            <v>USD</v>
          </cell>
          <cell r="N127">
            <v>6.3949193468361692E-4</v>
          </cell>
          <cell r="O127">
            <v>0.98662579798670313</v>
          </cell>
          <cell r="P127" t="str">
            <v>С</v>
          </cell>
        </row>
        <row r="128">
          <cell r="B128" t="str">
            <v>21ST-22663</v>
          </cell>
          <cell r="C128" t="str">
            <v>740985226636</v>
          </cell>
          <cell r="D128" t="str">
            <v>100-56-5692872-20</v>
          </cell>
          <cell r="E128" t="str">
            <v>21st Century Gelatin - 100 caps</v>
          </cell>
          <cell r="F128">
            <v>80</v>
          </cell>
          <cell r="G128">
            <v>9532.36</v>
          </cell>
          <cell r="H128">
            <v>56</v>
          </cell>
          <cell r="I128">
            <v>6638.33</v>
          </cell>
          <cell r="J128" t="str">
            <v>21st Century</v>
          </cell>
          <cell r="K128">
            <v>2.76</v>
          </cell>
          <cell r="L128" t="str">
            <v>USD</v>
          </cell>
          <cell r="N128">
            <v>6.1744048866004388E-4</v>
          </cell>
          <cell r="O128">
            <v>0.98724323847536322</v>
          </cell>
          <cell r="P128" t="str">
            <v>С</v>
          </cell>
        </row>
        <row r="129">
          <cell r="B129" t="str">
            <v>21ST-22331</v>
          </cell>
          <cell r="C129" t="str">
            <v>740985223314</v>
          </cell>
          <cell r="D129" t="str">
            <v>100-76-8152556-20</v>
          </cell>
          <cell r="E129" t="str">
            <v>21st Century Stress B + Zinc 66 tb</v>
          </cell>
          <cell r="F129">
            <v>53</v>
          </cell>
          <cell r="G129">
            <v>7487.31</v>
          </cell>
          <cell r="H129">
            <v>53</v>
          </cell>
          <cell r="I129">
            <v>7487.31</v>
          </cell>
          <cell r="J129" t="str">
            <v>21st Century</v>
          </cell>
          <cell r="K129">
            <v>3.31</v>
          </cell>
          <cell r="L129" t="str">
            <v>USD</v>
          </cell>
          <cell r="N129">
            <v>5.8436331962468443E-4</v>
          </cell>
          <cell r="O129">
            <v>0.98782760179498785</v>
          </cell>
          <cell r="P129" t="str">
            <v>С</v>
          </cell>
        </row>
        <row r="130">
          <cell r="B130" t="str">
            <v>21ST-27529</v>
          </cell>
          <cell r="C130" t="str">
            <v>740985275290</v>
          </cell>
          <cell r="D130" t="str">
            <v>100-45-8119445-20</v>
          </cell>
          <cell r="E130" t="str">
            <v>21st Century Calcium  600 mg +D 75 tb</v>
          </cell>
          <cell r="F130">
            <v>51</v>
          </cell>
          <cell r="G130">
            <v>4131.82</v>
          </cell>
          <cell r="H130">
            <v>51</v>
          </cell>
          <cell r="I130">
            <v>4131.82</v>
          </cell>
          <cell r="J130" t="str">
            <v>21st Century</v>
          </cell>
          <cell r="K130">
            <v>1.88</v>
          </cell>
          <cell r="L130" t="str">
            <v>USD</v>
          </cell>
          <cell r="N130">
            <v>5.6231187360111139E-4</v>
          </cell>
          <cell r="O130">
            <v>0.98838991366858897</v>
          </cell>
          <cell r="P130" t="str">
            <v>С</v>
          </cell>
        </row>
        <row r="131">
          <cell r="B131" t="str">
            <v>21ST-28092</v>
          </cell>
          <cell r="C131" t="str">
            <v>740985280928</v>
          </cell>
          <cell r="D131" t="str">
            <v>2023-10-7111</v>
          </cell>
          <cell r="E131" t="str">
            <v>21st Century Zoo Friends Sleep - 60 chewable tabs</v>
          </cell>
          <cell r="F131">
            <v>61</v>
          </cell>
          <cell r="G131">
            <v>8984.5499999999993</v>
          </cell>
          <cell r="H131">
            <v>49</v>
          </cell>
          <cell r="I131">
            <v>7249.18</v>
          </cell>
          <cell r="J131" t="str">
            <v>21st Century</v>
          </cell>
          <cell r="K131">
            <v>3.31</v>
          </cell>
          <cell r="L131" t="str">
            <v>USD</v>
          </cell>
          <cell r="N131">
            <v>5.4026042757753835E-4</v>
          </cell>
          <cell r="O131">
            <v>0.98893017409616646</v>
          </cell>
          <cell r="P131" t="str">
            <v>С</v>
          </cell>
        </row>
        <row r="132">
          <cell r="B132" t="str">
            <v>21ST-22400</v>
          </cell>
          <cell r="C132" t="str">
            <v>740985224007</v>
          </cell>
          <cell r="D132" t="str">
            <v>2023-10-7137</v>
          </cell>
          <cell r="E132" t="str">
            <v>21st Century Lycopene 25 mg - 60 tabs</v>
          </cell>
          <cell r="F132">
            <v>74</v>
          </cell>
          <cell r="G132">
            <v>19157.400000000001</v>
          </cell>
          <cell r="H132">
            <v>49</v>
          </cell>
          <cell r="I132">
            <v>12552.54</v>
          </cell>
          <cell r="J132" t="str">
            <v>21st Century</v>
          </cell>
          <cell r="K132">
            <v>6.05</v>
          </cell>
          <cell r="L132" t="str">
            <v>USD</v>
          </cell>
          <cell r="N132">
            <v>5.4026042757753835E-4</v>
          </cell>
          <cell r="O132">
            <v>0.98947043452374395</v>
          </cell>
          <cell r="P132" t="str">
            <v>С</v>
          </cell>
        </row>
        <row r="133">
          <cell r="B133" t="str">
            <v>21ST-27532</v>
          </cell>
          <cell r="C133" t="str">
            <v>740985275320</v>
          </cell>
          <cell r="E133" t="str">
            <v>21st Century Calcium  600 mg 75 tb</v>
          </cell>
          <cell r="F133">
            <v>48</v>
          </cell>
          <cell r="G133">
            <v>3460.25</v>
          </cell>
          <cell r="H133">
            <v>48</v>
          </cell>
          <cell r="I133">
            <v>3460.25</v>
          </cell>
          <cell r="J133" t="str">
            <v>21st Century</v>
          </cell>
          <cell r="K133">
            <v>1.65</v>
          </cell>
          <cell r="L133" t="str">
            <v>USD</v>
          </cell>
          <cell r="N133">
            <v>5.2923470456575194E-4</v>
          </cell>
          <cell r="O133">
            <v>0.98999966922830973</v>
          </cell>
          <cell r="P133" t="str">
            <v>С</v>
          </cell>
        </row>
        <row r="134">
          <cell r="B134" t="str">
            <v>21ST-27380</v>
          </cell>
          <cell r="C134" t="str">
            <v>740985273807</v>
          </cell>
          <cell r="E134" t="str">
            <v>21st Century D  10 mcg  (400 iu) Orange 110 chw</v>
          </cell>
          <cell r="F134">
            <v>48</v>
          </cell>
          <cell r="G134">
            <v>3667.23</v>
          </cell>
          <cell r="H134">
            <v>48</v>
          </cell>
          <cell r="I134">
            <v>3667.23</v>
          </cell>
          <cell r="J134" t="str">
            <v>21st Century</v>
          </cell>
          <cell r="K134">
            <v>1.65</v>
          </cell>
          <cell r="L134" t="str">
            <v>USD</v>
          </cell>
          <cell r="N134">
            <v>5.2923470456575194E-4</v>
          </cell>
          <cell r="O134">
            <v>0.99052890393287552</v>
          </cell>
          <cell r="P134" t="str">
            <v>С</v>
          </cell>
        </row>
        <row r="135">
          <cell r="B135" t="str">
            <v>21ST-22301</v>
          </cell>
          <cell r="C135" t="str">
            <v>740985223017</v>
          </cell>
          <cell r="E135" t="str">
            <v>21st Century Glucosamine Chondroitin 500/400mg (DS) 60 cp</v>
          </cell>
          <cell r="F135">
            <v>48</v>
          </cell>
          <cell r="G135">
            <v>17301.240000000002</v>
          </cell>
          <cell r="H135">
            <v>48</v>
          </cell>
          <cell r="I135">
            <v>17301.240000000002</v>
          </cell>
          <cell r="J135" t="str">
            <v>21st Century</v>
          </cell>
          <cell r="K135">
            <v>8.25</v>
          </cell>
          <cell r="L135" t="str">
            <v>USD</v>
          </cell>
          <cell r="N135">
            <v>5.2923470456575194E-4</v>
          </cell>
          <cell r="O135">
            <v>0.9910581386374413</v>
          </cell>
          <cell r="P135" t="str">
            <v>С</v>
          </cell>
        </row>
        <row r="136">
          <cell r="B136" t="str">
            <v>21ST-28059</v>
          </cell>
          <cell r="C136" t="str">
            <v>740985280591</v>
          </cell>
          <cell r="D136" t="str">
            <v>2023-10-7051</v>
          </cell>
          <cell r="E136" t="str">
            <v>21st Century D3 125 mcg (5000 IU) - 110 softgels</v>
          </cell>
          <cell r="F136">
            <v>72</v>
          </cell>
          <cell r="G136">
            <v>25270.84</v>
          </cell>
          <cell r="H136">
            <v>48</v>
          </cell>
          <cell r="I136">
            <v>16777.5</v>
          </cell>
          <cell r="J136" t="str">
            <v>21st Century</v>
          </cell>
          <cell r="K136">
            <v>8.1</v>
          </cell>
          <cell r="L136" t="str">
            <v>USD</v>
          </cell>
          <cell r="N136">
            <v>5.2923470456575194E-4</v>
          </cell>
          <cell r="O136">
            <v>0.99158737334200708</v>
          </cell>
          <cell r="P136" t="str">
            <v>С</v>
          </cell>
        </row>
        <row r="137">
          <cell r="B137" t="str">
            <v>21ST-27383</v>
          </cell>
          <cell r="C137" t="str">
            <v>740985273838</v>
          </cell>
          <cell r="D137" t="str">
            <v>2023-10-7088</v>
          </cell>
          <cell r="E137" t="str">
            <v>21st Century Cinnamon Plus Chromium - 120 vcaps</v>
          </cell>
          <cell r="F137">
            <v>73</v>
          </cell>
          <cell r="G137">
            <v>17562.36</v>
          </cell>
          <cell r="H137">
            <v>45</v>
          </cell>
          <cell r="I137">
            <v>10764.59</v>
          </cell>
          <cell r="J137" t="str">
            <v>21st Century</v>
          </cell>
          <cell r="K137">
            <v>5.5</v>
          </cell>
          <cell r="L137" t="str">
            <v>USD</v>
          </cell>
          <cell r="N137">
            <v>4.9615753553039238E-4</v>
          </cell>
          <cell r="O137">
            <v>0.99208353087753742</v>
          </cell>
          <cell r="P137" t="str">
            <v>С</v>
          </cell>
        </row>
        <row r="138">
          <cell r="B138" t="str">
            <v>21ST-27474</v>
          </cell>
          <cell r="C138" t="str">
            <v>740985274743</v>
          </cell>
          <cell r="D138" t="str">
            <v>2023-10-7099</v>
          </cell>
          <cell r="E138" t="str">
            <v>21st Century Niacin 500 mg - 100 tabs</v>
          </cell>
          <cell r="F138">
            <v>48</v>
          </cell>
          <cell r="G138">
            <v>8063.7</v>
          </cell>
          <cell r="H138">
            <v>44</v>
          </cell>
          <cell r="I138">
            <v>7402.61</v>
          </cell>
          <cell r="J138" t="str">
            <v>21st Century</v>
          </cell>
          <cell r="K138">
            <v>3.83</v>
          </cell>
          <cell r="L138" t="str">
            <v>USD</v>
          </cell>
          <cell r="N138">
            <v>4.8513181251860592E-4</v>
          </cell>
          <cell r="O138">
            <v>0.99256866269005606</v>
          </cell>
          <cell r="P138" t="str">
            <v>С</v>
          </cell>
        </row>
        <row r="139">
          <cell r="B139" t="str">
            <v>21ST-22730</v>
          </cell>
          <cell r="C139" t="str">
            <v>740985227305</v>
          </cell>
          <cell r="D139" t="str">
            <v>2023-10-7091</v>
          </cell>
          <cell r="E139" t="str">
            <v>21st Century E 180 mg  (400iu dl-alpha) 250 sg</v>
          </cell>
          <cell r="F139">
            <v>60</v>
          </cell>
          <cell r="G139">
            <v>23155.24</v>
          </cell>
          <cell r="H139">
            <v>42</v>
          </cell>
          <cell r="I139">
            <v>16302.31</v>
          </cell>
          <cell r="J139" t="str">
            <v>21st Century</v>
          </cell>
          <cell r="K139">
            <v>8.75</v>
          </cell>
          <cell r="L139" t="str">
            <v>USD</v>
          </cell>
          <cell r="N139">
            <v>4.6308036649503293E-4</v>
          </cell>
          <cell r="O139">
            <v>0.99303174305655106</v>
          </cell>
          <cell r="P139" t="str">
            <v>С</v>
          </cell>
        </row>
        <row r="140">
          <cell r="B140" t="str">
            <v>21ST-28060</v>
          </cell>
          <cell r="C140" t="str">
            <v>740985280607</v>
          </cell>
          <cell r="D140" t="str">
            <v>2023-10-7046</v>
          </cell>
          <cell r="E140" t="str">
            <v>21st Century D3 250 mcg (10,000 IU) - 110 softgels</v>
          </cell>
          <cell r="F140">
            <v>50</v>
          </cell>
          <cell r="G140">
            <v>20305.310000000001</v>
          </cell>
          <cell r="H140">
            <v>40</v>
          </cell>
          <cell r="I140">
            <v>16324.1</v>
          </cell>
          <cell r="J140" t="str">
            <v>21st Century</v>
          </cell>
          <cell r="K140">
            <v>9.18</v>
          </cell>
          <cell r="L140" t="str">
            <v>USD</v>
          </cell>
          <cell r="N140">
            <v>4.410289204714599E-4</v>
          </cell>
          <cell r="O140">
            <v>0.99347277197702255</v>
          </cell>
          <cell r="P140" t="str">
            <v>С</v>
          </cell>
        </row>
        <row r="141">
          <cell r="B141" t="str">
            <v>21ST-27403</v>
          </cell>
          <cell r="C141" t="str">
            <v>740985274033</v>
          </cell>
          <cell r="D141" t="str">
            <v>2023-10-7045</v>
          </cell>
          <cell r="E141" t="str">
            <v>21st Century D3 125 mcg (5000 IU) - 360 tabs</v>
          </cell>
          <cell r="F141">
            <v>60</v>
          </cell>
          <cell r="G141">
            <v>21681.86</v>
          </cell>
          <cell r="H141">
            <v>36</v>
          </cell>
          <cell r="I141">
            <v>13031.24</v>
          </cell>
          <cell r="J141" t="str">
            <v>21st Century</v>
          </cell>
          <cell r="K141">
            <v>8.25</v>
          </cell>
          <cell r="L141" t="str">
            <v>USD</v>
          </cell>
          <cell r="N141">
            <v>3.9692602842431393E-4</v>
          </cell>
          <cell r="O141">
            <v>0.99386969800544689</v>
          </cell>
          <cell r="P141" t="str">
            <v>С</v>
          </cell>
        </row>
        <row r="142">
          <cell r="B142" t="str">
            <v>21ST-22293</v>
          </cell>
          <cell r="C142" t="str">
            <v>740985222935</v>
          </cell>
          <cell r="E142" t="str">
            <v>21st Century FF365 L-Arginine 1000mg 90 tb</v>
          </cell>
          <cell r="F142">
            <v>36</v>
          </cell>
          <cell r="G142">
            <v>11251.41</v>
          </cell>
          <cell r="H142">
            <v>36</v>
          </cell>
          <cell r="I142">
            <v>11251.41</v>
          </cell>
          <cell r="J142" t="str">
            <v>21st Century</v>
          </cell>
          <cell r="K142">
            <v>7.2</v>
          </cell>
          <cell r="L142" t="str">
            <v>USD</v>
          </cell>
          <cell r="N142">
            <v>3.9692602842431393E-4</v>
          </cell>
          <cell r="O142">
            <v>0.99426662403387123</v>
          </cell>
          <cell r="P142" t="str">
            <v>С</v>
          </cell>
        </row>
        <row r="143">
          <cell r="B143" t="str">
            <v>21ST-28045</v>
          </cell>
          <cell r="C143" t="str">
            <v>740985280454</v>
          </cell>
          <cell r="D143" t="str">
            <v>2023-10-7075</v>
          </cell>
          <cell r="E143" t="str">
            <v>21st Century Biotin 10,000 mcg 360 tb</v>
          </cell>
          <cell r="F143">
            <v>72</v>
          </cell>
          <cell r="G143">
            <v>37781.46</v>
          </cell>
          <cell r="H143">
            <v>32</v>
          </cell>
          <cell r="I143">
            <v>16878.63</v>
          </cell>
          <cell r="J143" t="str">
            <v>21st Century</v>
          </cell>
          <cell r="K143">
            <v>12.11</v>
          </cell>
          <cell r="L143" t="str">
            <v>USD</v>
          </cell>
          <cell r="N143">
            <v>3.5282313637716791E-4</v>
          </cell>
          <cell r="O143">
            <v>0.99461944717024842</v>
          </cell>
          <cell r="P143" t="str">
            <v>С</v>
          </cell>
        </row>
        <row r="144">
          <cell r="B144" t="str">
            <v>21ST-28050</v>
          </cell>
          <cell r="C144" t="str">
            <v>740985280508</v>
          </cell>
          <cell r="D144" t="str">
            <v>2023-10-7077</v>
          </cell>
          <cell r="E144" t="str">
            <v>21st Century Magnesium 250 mg - 250 tabs</v>
          </cell>
          <cell r="F144">
            <v>61</v>
          </cell>
          <cell r="G144">
            <v>11712.04</v>
          </cell>
          <cell r="H144">
            <v>30</v>
          </cell>
          <cell r="I144">
            <v>5709.19</v>
          </cell>
          <cell r="J144" t="str">
            <v>21st Century</v>
          </cell>
          <cell r="K144">
            <v>4.3899999999999997</v>
          </cell>
          <cell r="L144" t="str">
            <v>USD</v>
          </cell>
          <cell r="N144">
            <v>3.3077169035359492E-4</v>
          </cell>
          <cell r="O144">
            <v>0.99495021886060198</v>
          </cell>
          <cell r="P144" t="str">
            <v>С</v>
          </cell>
        </row>
        <row r="145">
          <cell r="B145" t="str">
            <v>21ST-27414</v>
          </cell>
          <cell r="C145" t="str">
            <v>740985274149</v>
          </cell>
          <cell r="E145" t="str">
            <v>21st Century Co Q-10 200 mg 90 sg</v>
          </cell>
          <cell r="F145">
            <v>24</v>
          </cell>
          <cell r="G145">
            <v>20771.97</v>
          </cell>
          <cell r="H145">
            <v>24</v>
          </cell>
          <cell r="I145">
            <v>20771.97</v>
          </cell>
          <cell r="J145" t="str">
            <v>21st Century</v>
          </cell>
          <cell r="K145">
            <v>19.809999999999999</v>
          </cell>
          <cell r="L145" t="str">
            <v>USD</v>
          </cell>
          <cell r="N145">
            <v>2.6461735228287597E-4</v>
          </cell>
          <cell r="O145">
            <v>0.99521483621288487</v>
          </cell>
          <cell r="P145" t="str">
            <v>С</v>
          </cell>
        </row>
        <row r="146">
          <cell r="B146" t="str">
            <v>21ST-28067</v>
          </cell>
          <cell r="C146" t="str">
            <v>740985280676</v>
          </cell>
          <cell r="E146" t="str">
            <v>21st Century K2 (MK7) 100 mcg 110 vc</v>
          </cell>
          <cell r="F146">
            <v>24</v>
          </cell>
          <cell r="G146">
            <v>8493.34</v>
          </cell>
          <cell r="H146">
            <v>24</v>
          </cell>
          <cell r="I146">
            <v>8493.34</v>
          </cell>
          <cell r="J146" t="str">
            <v>21st Century</v>
          </cell>
          <cell r="K146">
            <v>8.1</v>
          </cell>
          <cell r="L146" t="str">
            <v>USD</v>
          </cell>
          <cell r="N146">
            <v>2.6461735228287597E-4</v>
          </cell>
          <cell r="O146">
            <v>0.99547945356516776</v>
          </cell>
          <cell r="P146" t="str">
            <v>С</v>
          </cell>
        </row>
        <row r="147">
          <cell r="B147" t="str">
            <v>21ST-28058</v>
          </cell>
          <cell r="C147" t="str">
            <v>740985280584</v>
          </cell>
          <cell r="E147" t="str">
            <v>21st Century Melatonin 10 mg Quick Dissolve 360 tb</v>
          </cell>
          <cell r="F147">
            <v>24</v>
          </cell>
          <cell r="G147">
            <v>14428.19</v>
          </cell>
          <cell r="H147">
            <v>24</v>
          </cell>
          <cell r="I147">
            <v>14428.19</v>
          </cell>
          <cell r="J147" t="str">
            <v>21st Century</v>
          </cell>
          <cell r="K147">
            <v>13.76</v>
          </cell>
          <cell r="L147" t="str">
            <v>USD</v>
          </cell>
          <cell r="N147">
            <v>2.6461735228287597E-4</v>
          </cell>
          <cell r="O147">
            <v>0.99574407091745065</v>
          </cell>
          <cell r="P147" t="str">
            <v>С</v>
          </cell>
        </row>
        <row r="148">
          <cell r="B148" t="str">
            <v>21ST-22272</v>
          </cell>
          <cell r="C148" t="str">
            <v>740985222720</v>
          </cell>
          <cell r="E148" t="str">
            <v>21st Century Berberine HCL 500mg (1000mg/dose) 60 v-cp</v>
          </cell>
          <cell r="F148">
            <v>24</v>
          </cell>
          <cell r="G148">
            <v>16316.88</v>
          </cell>
          <cell r="H148">
            <v>24</v>
          </cell>
          <cell r="I148">
            <v>16316.88</v>
          </cell>
          <cell r="J148" t="str">
            <v>21st Century</v>
          </cell>
          <cell r="K148">
            <v>15</v>
          </cell>
          <cell r="L148" t="str">
            <v>USD</v>
          </cell>
          <cell r="N148">
            <v>2.6461735228287597E-4</v>
          </cell>
          <cell r="O148">
            <v>0.99600868826973354</v>
          </cell>
          <cell r="P148" t="str">
            <v>С</v>
          </cell>
        </row>
        <row r="149">
          <cell r="B149" t="str">
            <v>21ST-22822</v>
          </cell>
          <cell r="C149" t="str">
            <v>740985228227</v>
          </cell>
          <cell r="E149" t="str">
            <v>21st Century Co Q-10 400 mg 30 cp</v>
          </cell>
          <cell r="F149">
            <v>24</v>
          </cell>
          <cell r="G149">
            <v>17959.45</v>
          </cell>
          <cell r="H149">
            <v>24</v>
          </cell>
          <cell r="I149">
            <v>17959.45</v>
          </cell>
          <cell r="J149" t="str">
            <v>21st Century</v>
          </cell>
          <cell r="K149">
            <v>16.510000000000002</v>
          </cell>
          <cell r="L149" t="str">
            <v>USD</v>
          </cell>
          <cell r="N149">
            <v>2.6461735228287597E-4</v>
          </cell>
          <cell r="O149">
            <v>0.99627330562201644</v>
          </cell>
          <cell r="P149" t="str">
            <v>С</v>
          </cell>
        </row>
        <row r="150">
          <cell r="B150" t="str">
            <v>21ST-21225</v>
          </cell>
          <cell r="C150" t="str">
            <v>740985212257</v>
          </cell>
          <cell r="D150" t="str">
            <v>2023-10-7062</v>
          </cell>
          <cell r="E150" t="str">
            <v>21st Century C 1000 mg Prolonged Release - 110 tabs</v>
          </cell>
          <cell r="F150">
            <v>48</v>
          </cell>
          <cell r="G150">
            <v>10316.83</v>
          </cell>
          <cell r="H150">
            <v>24</v>
          </cell>
          <cell r="I150">
            <v>5126.46</v>
          </cell>
          <cell r="J150" t="str">
            <v>21st Century</v>
          </cell>
          <cell r="K150">
            <v>4.95</v>
          </cell>
          <cell r="L150" t="str">
            <v>USD</v>
          </cell>
          <cell r="N150">
            <v>2.6461735228287597E-4</v>
          </cell>
          <cell r="O150">
            <v>0.99653792297429933</v>
          </cell>
          <cell r="P150" t="str">
            <v>С</v>
          </cell>
        </row>
        <row r="151">
          <cell r="B151" t="str">
            <v>21ST-27531</v>
          </cell>
          <cell r="C151" t="str">
            <v>740985275313</v>
          </cell>
          <cell r="E151" t="str">
            <v>21st Century Calcium  600 mg +D 400 tb</v>
          </cell>
          <cell r="F151">
            <v>24</v>
          </cell>
          <cell r="G151">
            <v>6707.38</v>
          </cell>
          <cell r="H151">
            <v>24</v>
          </cell>
          <cell r="I151">
            <v>6707.38</v>
          </cell>
          <cell r="J151" t="str">
            <v>21st Century</v>
          </cell>
          <cell r="K151">
            <v>6.27</v>
          </cell>
          <cell r="L151" t="str">
            <v>USD</v>
          </cell>
          <cell r="N151">
            <v>2.6461735228287597E-4</v>
          </cell>
          <cell r="O151">
            <v>0.99680254032658222</v>
          </cell>
          <cell r="P151" t="str">
            <v>С</v>
          </cell>
        </row>
        <row r="152">
          <cell r="B152" t="str">
            <v>21ST-21341</v>
          </cell>
          <cell r="C152" t="str">
            <v>740985213414</v>
          </cell>
          <cell r="E152" t="str">
            <v>21st Century Co Q-10  30 mg 45 cp</v>
          </cell>
          <cell r="F152">
            <v>24</v>
          </cell>
          <cell r="G152">
            <v>5883.67</v>
          </cell>
          <cell r="H152">
            <v>24</v>
          </cell>
          <cell r="I152">
            <v>5883.67</v>
          </cell>
          <cell r="J152" t="str">
            <v>21st Century</v>
          </cell>
          <cell r="K152">
            <v>5.5</v>
          </cell>
          <cell r="L152" t="str">
            <v>USD</v>
          </cell>
          <cell r="N152">
            <v>2.6461735228287597E-4</v>
          </cell>
          <cell r="O152">
            <v>0.99706715767886511</v>
          </cell>
          <cell r="P152" t="str">
            <v>С</v>
          </cell>
        </row>
        <row r="153">
          <cell r="B153" t="str">
            <v>21ST-27498</v>
          </cell>
          <cell r="C153" t="str">
            <v>740985274989</v>
          </cell>
          <cell r="E153" t="str">
            <v>21st Century Calcium  600 mg +D Plus Minerals 120 tb</v>
          </cell>
          <cell r="F153">
            <v>24</v>
          </cell>
          <cell r="G153">
            <v>2811.89</v>
          </cell>
          <cell r="H153">
            <v>24</v>
          </cell>
          <cell r="I153">
            <v>2811.89</v>
          </cell>
          <cell r="J153" t="str">
            <v>21st Century</v>
          </cell>
          <cell r="K153">
            <v>2.76</v>
          </cell>
          <cell r="L153" t="str">
            <v>USD</v>
          </cell>
          <cell r="N153">
            <v>2.6461735228287597E-4</v>
          </cell>
          <cell r="O153">
            <v>0.997331775031148</v>
          </cell>
          <cell r="P153" t="str">
            <v>С</v>
          </cell>
        </row>
        <row r="154">
          <cell r="B154" t="str">
            <v>21ST-21302</v>
          </cell>
          <cell r="C154" t="str">
            <v>740985213025</v>
          </cell>
          <cell r="E154" t="str">
            <v>21st Century E  90 mg  (200iu dl-alpha) 110 sg</v>
          </cell>
          <cell r="F154">
            <v>24</v>
          </cell>
          <cell r="G154">
            <v>3372.23</v>
          </cell>
          <cell r="H154">
            <v>24</v>
          </cell>
          <cell r="I154">
            <v>3372.23</v>
          </cell>
          <cell r="J154" t="str">
            <v>21st Century</v>
          </cell>
          <cell r="K154">
            <v>3.31</v>
          </cell>
          <cell r="L154" t="str">
            <v>USD</v>
          </cell>
          <cell r="N154">
            <v>2.6461735228287597E-4</v>
          </cell>
          <cell r="O154">
            <v>0.9975963923834309</v>
          </cell>
          <cell r="P154" t="str">
            <v>С</v>
          </cell>
        </row>
        <row r="155">
          <cell r="B155" t="str">
            <v>21ST-22703</v>
          </cell>
          <cell r="C155" t="str">
            <v>740985227039</v>
          </cell>
          <cell r="D155" t="str">
            <v>2023-10-7104</v>
          </cell>
          <cell r="E155" t="str">
            <v>21st Century Sentry Senior - 265 tabs</v>
          </cell>
          <cell r="F155">
            <v>36</v>
          </cell>
          <cell r="G155">
            <v>11559.06</v>
          </cell>
          <cell r="H155">
            <v>23</v>
          </cell>
          <cell r="I155">
            <v>7354.39</v>
          </cell>
          <cell r="J155" t="str">
            <v>21st Century</v>
          </cell>
          <cell r="K155">
            <v>7.41</v>
          </cell>
          <cell r="L155" t="str">
            <v>USD</v>
          </cell>
          <cell r="N155">
            <v>2.5359162927108945E-4</v>
          </cell>
          <cell r="O155">
            <v>0.99784998401270197</v>
          </cell>
          <cell r="P155" t="str">
            <v>С</v>
          </cell>
        </row>
        <row r="156">
          <cell r="B156" t="str">
            <v>21ST-27696</v>
          </cell>
          <cell r="C156" t="str">
            <v>740985276969</v>
          </cell>
          <cell r="D156" t="str">
            <v>2023-10-7126</v>
          </cell>
          <cell r="E156" t="str">
            <v>21st Century ImmuBlast - 32 chewables tabs</v>
          </cell>
          <cell r="F156">
            <v>51</v>
          </cell>
          <cell r="G156">
            <v>7632.7</v>
          </cell>
          <cell r="H156">
            <v>23</v>
          </cell>
          <cell r="I156">
            <v>3500.28</v>
          </cell>
          <cell r="J156" t="str">
            <v>21st Century</v>
          </cell>
          <cell r="K156">
            <v>3.31</v>
          </cell>
          <cell r="L156" t="str">
            <v>USD</v>
          </cell>
          <cell r="N156">
            <v>2.5359162927108945E-4</v>
          </cell>
          <cell r="O156">
            <v>0.99810357564197305</v>
          </cell>
          <cell r="P156" t="str">
            <v>С</v>
          </cell>
        </row>
        <row r="157">
          <cell r="B157" t="str">
            <v>21ST-27984</v>
          </cell>
          <cell r="C157" t="str">
            <v>740985279847</v>
          </cell>
          <cell r="D157" t="str">
            <v>2023-10-7048</v>
          </cell>
          <cell r="E157" t="str">
            <v>21st Century D  50 mcg  (2000 iu) 250 tb</v>
          </cell>
          <cell r="F157">
            <v>24</v>
          </cell>
          <cell r="G157">
            <v>7404.88</v>
          </cell>
          <cell r="H157">
            <v>21</v>
          </cell>
          <cell r="I157">
            <v>6479.27</v>
          </cell>
          <cell r="J157" t="str">
            <v>21st Century</v>
          </cell>
          <cell r="K157">
            <v>7.15</v>
          </cell>
          <cell r="L157" t="str">
            <v>USD</v>
          </cell>
          <cell r="N157">
            <v>2.3154018324751647E-4</v>
          </cell>
          <cell r="O157">
            <v>0.99833511582522061</v>
          </cell>
          <cell r="P157" t="str">
            <v>С</v>
          </cell>
        </row>
        <row r="158">
          <cell r="B158" t="str">
            <v>21ST-21720</v>
          </cell>
          <cell r="C158" t="str">
            <v>740985217207</v>
          </cell>
          <cell r="D158" t="str">
            <v>2023-10-7098</v>
          </cell>
          <cell r="E158" t="str">
            <v>21st Century MSM 1000 mg - 90 tabs</v>
          </cell>
          <cell r="F158">
            <v>24</v>
          </cell>
          <cell r="G158">
            <v>5696.06</v>
          </cell>
          <cell r="H158">
            <v>18</v>
          </cell>
          <cell r="I158">
            <v>4272.04</v>
          </cell>
          <cell r="J158" t="str">
            <v>21st Century</v>
          </cell>
          <cell r="K158">
            <v>5.5</v>
          </cell>
          <cell r="L158" t="str">
            <v>USD</v>
          </cell>
          <cell r="N158">
            <v>1.9846301421215696E-4</v>
          </cell>
          <cell r="O158">
            <v>0.99853357883943272</v>
          </cell>
          <cell r="P158" t="str">
            <v>С</v>
          </cell>
        </row>
        <row r="159">
          <cell r="B159" t="str">
            <v>21ST-22846</v>
          </cell>
          <cell r="C159" t="str">
            <v>740985228463</v>
          </cell>
          <cell r="D159" t="str">
            <v>2023-10-7089</v>
          </cell>
          <cell r="E159" t="str">
            <v>21st Century Colon Cleanse - 120 caps</v>
          </cell>
          <cell r="F159">
            <v>36</v>
          </cell>
          <cell r="G159">
            <v>7780.42</v>
          </cell>
          <cell r="H159">
            <v>16</v>
          </cell>
          <cell r="I159">
            <v>3437.23</v>
          </cell>
          <cell r="J159" t="str">
            <v>21st Century</v>
          </cell>
          <cell r="K159">
            <v>4.95</v>
          </cell>
          <cell r="L159" t="str">
            <v>USD</v>
          </cell>
          <cell r="N159">
            <v>1.7641156818858395E-4</v>
          </cell>
          <cell r="O159">
            <v>0.99870999040762132</v>
          </cell>
          <cell r="P159" t="str">
            <v>С</v>
          </cell>
        </row>
        <row r="160">
          <cell r="B160" t="str">
            <v>21ST-28011</v>
          </cell>
          <cell r="C160" t="str">
            <v>740985280119</v>
          </cell>
          <cell r="D160" t="str">
            <v>2023-10-7105</v>
          </cell>
          <cell r="E160" t="str">
            <v>21st Century Prostate Health - 60 softgels</v>
          </cell>
          <cell r="F160">
            <v>37</v>
          </cell>
          <cell r="G160">
            <v>17818.72</v>
          </cell>
          <cell r="H160">
            <v>15</v>
          </cell>
          <cell r="I160">
            <v>7146.23</v>
          </cell>
          <cell r="J160" t="str">
            <v>21st Century</v>
          </cell>
          <cell r="K160">
            <v>10.99</v>
          </cell>
          <cell r="L160" t="str">
            <v>USD</v>
          </cell>
          <cell r="N160">
            <v>1.6538584517679746E-4</v>
          </cell>
          <cell r="O160">
            <v>0.9988753762527981</v>
          </cell>
          <cell r="P160" t="str">
            <v>С</v>
          </cell>
        </row>
        <row r="161">
          <cell r="B161" t="str">
            <v>21ST-22408</v>
          </cell>
          <cell r="C161" t="str">
            <v>740985224083</v>
          </cell>
          <cell r="D161" t="str">
            <v>2023-10-7080</v>
          </cell>
          <cell r="E161" t="str">
            <v>21st Century Lutein 10 mg - 60 tabs</v>
          </cell>
          <cell r="F161">
            <v>24</v>
          </cell>
          <cell r="G161">
            <v>5696.06</v>
          </cell>
          <cell r="H161">
            <v>14</v>
          </cell>
          <cell r="I161">
            <v>3322.7</v>
          </cell>
          <cell r="J161" t="str">
            <v>21st Century</v>
          </cell>
          <cell r="K161">
            <v>5.5</v>
          </cell>
          <cell r="L161" t="str">
            <v>USD</v>
          </cell>
          <cell r="N161">
            <v>1.5436012216501097E-4</v>
          </cell>
          <cell r="O161">
            <v>0.99902973637496306</v>
          </cell>
          <cell r="P161" t="str">
            <v>С</v>
          </cell>
        </row>
        <row r="162">
          <cell r="B162" t="str">
            <v>21ST-21687</v>
          </cell>
          <cell r="C162" t="str">
            <v>740985216873</v>
          </cell>
          <cell r="D162" t="str">
            <v>2023-10-7095</v>
          </cell>
          <cell r="E162" t="str">
            <v>21st Century Ginkgo Biloba Extract - 200 caps</v>
          </cell>
          <cell r="F162">
            <v>25</v>
          </cell>
          <cell r="G162">
            <v>9547.42</v>
          </cell>
          <cell r="H162">
            <v>13</v>
          </cell>
          <cell r="I162">
            <v>4953</v>
          </cell>
          <cell r="J162" t="str">
            <v>21st Century</v>
          </cell>
          <cell r="K162">
            <v>8.81</v>
          </cell>
          <cell r="L162" t="str">
            <v>USD</v>
          </cell>
          <cell r="N162">
            <v>1.4333439915322448E-4</v>
          </cell>
          <cell r="O162">
            <v>0.99917307077411632</v>
          </cell>
          <cell r="P162" t="str">
            <v>С</v>
          </cell>
        </row>
        <row r="163">
          <cell r="B163" t="str">
            <v>21ST-27175</v>
          </cell>
          <cell r="C163" t="str">
            <v>740985271759</v>
          </cell>
          <cell r="E163" t="str">
            <v>21st Century PreNatal + DHA 60+60 tb+sg</v>
          </cell>
          <cell r="F163">
            <v>12</v>
          </cell>
          <cell r="G163">
            <v>7484.01</v>
          </cell>
          <cell r="H163">
            <v>12</v>
          </cell>
          <cell r="I163">
            <v>7484.01</v>
          </cell>
          <cell r="J163" t="str">
            <v>21st Century</v>
          </cell>
          <cell r="K163">
            <v>13.76</v>
          </cell>
          <cell r="L163" t="str">
            <v>USD</v>
          </cell>
          <cell r="N163">
            <v>1.3230867614143799E-4</v>
          </cell>
          <cell r="O163">
            <v>0.99930537945025777</v>
          </cell>
          <cell r="P163" t="str">
            <v>С</v>
          </cell>
        </row>
        <row r="164">
          <cell r="B164" t="str">
            <v>21ST-22874</v>
          </cell>
          <cell r="C164" t="str">
            <v>740985228746</v>
          </cell>
          <cell r="D164" t="str">
            <v>2023-10-7108</v>
          </cell>
          <cell r="E164" t="str">
            <v>21st Century Triple Omega Complex Enteric Coated - 90 softgels</v>
          </cell>
          <cell r="F164">
            <v>12</v>
          </cell>
          <cell r="G164">
            <v>3624.77</v>
          </cell>
          <cell r="H164">
            <v>12</v>
          </cell>
          <cell r="I164">
            <v>3624.77</v>
          </cell>
          <cell r="J164" t="str">
            <v>21st Century</v>
          </cell>
          <cell r="K164">
            <v>7</v>
          </cell>
          <cell r="L164" t="str">
            <v>USD</v>
          </cell>
          <cell r="N164">
            <v>1.3230867614143799E-4</v>
          </cell>
          <cell r="O164">
            <v>0.99943768812639922</v>
          </cell>
          <cell r="P164" t="str">
            <v>С</v>
          </cell>
        </row>
        <row r="165">
          <cell r="B165" t="str">
            <v>21ST-27709</v>
          </cell>
          <cell r="C165" t="str">
            <v>740985277096</v>
          </cell>
          <cell r="E165" t="str">
            <v>21st Century Calcium Citrate +D Petites tb 200</v>
          </cell>
          <cell r="F165">
            <v>12</v>
          </cell>
          <cell r="G165">
            <v>3205.48</v>
          </cell>
          <cell r="H165">
            <v>12</v>
          </cell>
          <cell r="I165">
            <v>3205.48</v>
          </cell>
          <cell r="J165" t="str">
            <v>21st Century</v>
          </cell>
          <cell r="K165">
            <v>5.5</v>
          </cell>
          <cell r="L165" t="str">
            <v>USD</v>
          </cell>
          <cell r="N165">
            <v>1.3230867614143799E-4</v>
          </cell>
          <cell r="O165">
            <v>0.99956999680254066</v>
          </cell>
          <cell r="P165" t="str">
            <v>С</v>
          </cell>
        </row>
        <row r="166">
          <cell r="B166" t="str">
            <v>21ST-22274</v>
          </cell>
          <cell r="C166" t="str">
            <v>740985222744</v>
          </cell>
          <cell r="E166" t="str">
            <v>21st Century FF365 Creatine gummy (1gm per) gmy 60</v>
          </cell>
          <cell r="F166">
            <v>12</v>
          </cell>
          <cell r="G166">
            <v>4196.26</v>
          </cell>
          <cell r="H166">
            <v>12</v>
          </cell>
          <cell r="I166">
            <v>4196.26</v>
          </cell>
          <cell r="J166" t="str">
            <v>21st Century</v>
          </cell>
          <cell r="K166">
            <v>7.2</v>
          </cell>
          <cell r="L166" t="str">
            <v>USD</v>
          </cell>
          <cell r="N166">
            <v>1.3230867614143799E-4</v>
          </cell>
          <cell r="O166">
            <v>0.99970230547868211</v>
          </cell>
          <cell r="P166" t="str">
            <v>С</v>
          </cell>
        </row>
        <row r="167">
          <cell r="B167" t="str">
            <v>21ST-27073</v>
          </cell>
          <cell r="C167" t="str">
            <v>740985270738</v>
          </cell>
          <cell r="D167" t="str">
            <v>2023-10-7081</v>
          </cell>
          <cell r="E167" t="str">
            <v>21st Century Lutein 20 mg 60 sg</v>
          </cell>
          <cell r="F167">
            <v>24</v>
          </cell>
          <cell r="G167">
            <v>8544.1</v>
          </cell>
          <cell r="H167">
            <v>10</v>
          </cell>
          <cell r="I167">
            <v>3560.04</v>
          </cell>
          <cell r="J167" t="str">
            <v>21st Century</v>
          </cell>
          <cell r="K167">
            <v>8.25</v>
          </cell>
          <cell r="L167" t="str">
            <v>USD</v>
          </cell>
          <cell r="N167">
            <v>1.1025723011786497E-4</v>
          </cell>
          <cell r="O167">
            <v>0.99981256270879992</v>
          </cell>
          <cell r="P167" t="str">
            <v>С</v>
          </cell>
        </row>
        <row r="168">
          <cell r="B168" t="str">
            <v>21ST-28072</v>
          </cell>
          <cell r="C168" t="str">
            <v>740985280720</v>
          </cell>
          <cell r="D168" t="str">
            <v>2023-10-7085</v>
          </cell>
          <cell r="E168" t="str">
            <v>21st Century Alpha Lipoic Acid 200 mg 60 vc</v>
          </cell>
          <cell r="F168">
            <v>24</v>
          </cell>
          <cell r="G168">
            <v>8388.75</v>
          </cell>
          <cell r="H168">
            <v>6</v>
          </cell>
          <cell r="I168">
            <v>2097.1799999999998</v>
          </cell>
          <cell r="J168" t="str">
            <v>21st Century</v>
          </cell>
          <cell r="K168">
            <v>8.1</v>
          </cell>
          <cell r="L168" t="str">
            <v>USD</v>
          </cell>
          <cell r="N168">
            <v>6.6154338070718993E-5</v>
          </cell>
          <cell r="O168">
            <v>0.99987871704687059</v>
          </cell>
          <cell r="P168" t="str">
            <v>С</v>
          </cell>
        </row>
        <row r="169">
          <cell r="B169" t="str">
            <v>21ST-22261</v>
          </cell>
          <cell r="C169" t="str">
            <v>740985222614</v>
          </cell>
          <cell r="E169" t="str">
            <v>21st Century Full Fuel 365™ Creatine 1 lb pwd</v>
          </cell>
          <cell r="F169">
            <v>6</v>
          </cell>
          <cell r="G169">
            <v>2292.3000000000002</v>
          </cell>
          <cell r="H169">
            <v>6</v>
          </cell>
          <cell r="I169">
            <v>2292.3000000000002</v>
          </cell>
          <cell r="J169" t="str">
            <v>21st Century</v>
          </cell>
          <cell r="K169">
            <v>9</v>
          </cell>
          <cell r="L169" t="str">
            <v>USD</v>
          </cell>
          <cell r="N169">
            <v>6.6154338070718993E-5</v>
          </cell>
          <cell r="O169">
            <v>0.99994487138494126</v>
          </cell>
          <cell r="P169" t="str">
            <v>С</v>
          </cell>
        </row>
        <row r="170">
          <cell r="B170" t="str">
            <v>21ST-27708</v>
          </cell>
          <cell r="C170" t="str">
            <v>740985277089</v>
          </cell>
          <cell r="D170" t="str">
            <v>2023-10-7096</v>
          </cell>
          <cell r="E170" t="str">
            <v>21st Century Glucosamine Daily Complex +D  60 tb</v>
          </cell>
          <cell r="F170">
            <v>24</v>
          </cell>
          <cell r="G170">
            <v>8544.1</v>
          </cell>
          <cell r="H170">
            <v>5</v>
          </cell>
          <cell r="I170">
            <v>1780.03</v>
          </cell>
          <cell r="J170" t="str">
            <v>21st Century</v>
          </cell>
          <cell r="K170">
            <v>8.25</v>
          </cell>
          <cell r="L170" t="str">
            <v>USD</v>
          </cell>
          <cell r="N170">
            <v>5.5128615058932487E-5</v>
          </cell>
          <cell r="O170">
            <v>1.0000000000000002</v>
          </cell>
          <cell r="P170" t="str">
            <v>С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8755-22A2-4EFB-92AD-8DEB3C09027B}">
  <sheetPr filterMode="1"/>
  <dimension ref="A1:S733"/>
  <sheetViews>
    <sheetView tabSelected="1" topLeftCell="B1" zoomScale="70" zoomScaleNormal="70" workbookViewId="0">
      <pane ySplit="2" topLeftCell="A3" activePane="bottomLeft" state="frozen"/>
      <selection pane="bottomLeft" activeCell="L14" sqref="L14"/>
    </sheetView>
  </sheetViews>
  <sheetFormatPr defaultRowHeight="15.6" x14ac:dyDescent="0.3"/>
  <cols>
    <col min="1" max="1" width="9.796875" style="31" customWidth="1"/>
    <col min="2" max="2" width="49.09765625" style="31" bestFit="1" customWidth="1"/>
    <col min="3" max="3" width="13.8984375" style="69" bestFit="1" customWidth="1"/>
    <col min="4" max="7" width="12.3984375" style="70" customWidth="1"/>
    <col min="8" max="9" width="12.3984375" style="71" customWidth="1"/>
    <col min="10" max="10" width="12.3984375" style="72" customWidth="1"/>
    <col min="11" max="11" width="12.3984375" style="71" customWidth="1"/>
    <col min="12" max="12" width="25" style="31" customWidth="1"/>
    <col min="13" max="13" width="11" style="31"/>
    <col min="14" max="17" width="12.5" style="31" customWidth="1"/>
    <col min="18" max="18" width="5" style="31" customWidth="1"/>
    <col min="19" max="19" width="12.5" style="31" customWidth="1"/>
    <col min="20" max="16384" width="8.796875" style="31"/>
  </cols>
  <sheetData>
    <row r="1" spans="1:19" ht="107.4" customHeight="1" thickBot="1" x14ac:dyDescent="0.35">
      <c r="A1" s="28" t="s">
        <v>198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>
        <v>46135</v>
      </c>
      <c r="N1" s="32" t="s">
        <v>222</v>
      </c>
      <c r="O1" s="33" t="s">
        <v>223</v>
      </c>
      <c r="P1" s="34" t="s">
        <v>224</v>
      </c>
      <c r="Q1" s="12" t="s">
        <v>225</v>
      </c>
      <c r="S1" s="35" t="str">
        <f>IFERROR(IF(SUM(S3:S282)=0, "-", L2+Q2), "-")</f>
        <v>-</v>
      </c>
    </row>
    <row r="2" spans="1:19" ht="60" thickBot="1" x14ac:dyDescent="0.35">
      <c r="A2" s="36" t="s">
        <v>0</v>
      </c>
      <c r="B2" s="36" t="s">
        <v>1</v>
      </c>
      <c r="C2" s="36" t="s">
        <v>2</v>
      </c>
      <c r="D2" s="36" t="s">
        <v>4</v>
      </c>
      <c r="E2" s="36" t="s">
        <v>5</v>
      </c>
      <c r="F2" s="36" t="s">
        <v>206</v>
      </c>
      <c r="G2" s="36" t="s">
        <v>197</v>
      </c>
      <c r="H2" s="36" t="s">
        <v>3</v>
      </c>
      <c r="I2" s="21" t="s">
        <v>227</v>
      </c>
      <c r="J2" s="36" t="s">
        <v>200</v>
      </c>
      <c r="K2" s="36" t="s">
        <v>199</v>
      </c>
      <c r="L2" s="37">
        <f>SUM(K3:K245)</f>
        <v>0</v>
      </c>
      <c r="M2" s="38"/>
      <c r="N2" s="24"/>
      <c r="O2" s="39"/>
      <c r="P2" s="40" t="str">
        <f>IF(SUM(P3:P282)=0, "-", SUM(P3:P282))</f>
        <v>-</v>
      </c>
      <c r="Q2" s="40" t="str">
        <f>IF(SUM(Q3:Q282)=0, "-", SUM(Q3:Q282))</f>
        <v>-</v>
      </c>
      <c r="R2" s="13"/>
      <c r="S2" s="41" t="s">
        <v>226</v>
      </c>
    </row>
    <row r="3" spans="1:19" ht="17.399999999999999" x14ac:dyDescent="0.4">
      <c r="A3" s="42">
        <v>22668</v>
      </c>
      <c r="B3" s="43" t="s">
        <v>25</v>
      </c>
      <c r="C3" s="44">
        <v>740985226681</v>
      </c>
      <c r="D3" s="45">
        <v>100</v>
      </c>
      <c r="E3" s="45" t="s">
        <v>190</v>
      </c>
      <c r="F3" s="46">
        <v>0.1628513168839304</v>
      </c>
      <c r="G3" s="45">
        <v>24</v>
      </c>
      <c r="H3" s="47">
        <v>5.7450000000000001</v>
      </c>
      <c r="I3" s="48" t="str">
        <f>IFERROR(VLOOKUP("21ST-"&amp;A3,[1]Лист1!$B$16:$P$170,15,FALSE),"С")</f>
        <v>А</v>
      </c>
      <c r="J3" s="25"/>
      <c r="K3" s="49">
        <f t="shared" ref="K3:K66" si="0">SUM(H3*J3)</f>
        <v>0</v>
      </c>
      <c r="L3" s="50"/>
      <c r="N3" s="51" t="str">
        <f>IFERROR(IF($N$2*F3=0, "-", $N$2*F3), "-")</f>
        <v>-</v>
      </c>
      <c r="O3" s="51" t="str">
        <f>IFERROR(IF(N3&gt;0,H3+N3,"-"),"-")</f>
        <v>-</v>
      </c>
      <c r="P3" s="52" t="str">
        <f>IF(J3&gt;0,J3*F3, "-")</f>
        <v>-</v>
      </c>
      <c r="Q3" s="53" t="str">
        <f>IFERROR(IF($N$2&gt;0, $N$2*P3, "-"), "-")</f>
        <v>-</v>
      </c>
      <c r="S3" s="53" t="str">
        <f>IFERROR(IF(Q3+K3=0, "-", IF(Q3&gt;0, Q3+K3, "-")), "-")</f>
        <v>-</v>
      </c>
    </row>
    <row r="4" spans="1:19" ht="17.399999999999999" x14ac:dyDescent="0.4">
      <c r="A4" s="54">
        <v>22251</v>
      </c>
      <c r="B4" s="55" t="s">
        <v>22</v>
      </c>
      <c r="C4" s="56">
        <v>740985222515</v>
      </c>
      <c r="D4" s="57">
        <v>60</v>
      </c>
      <c r="E4" s="57" t="s">
        <v>190</v>
      </c>
      <c r="F4" s="58">
        <v>9.3390485303374821E-2</v>
      </c>
      <c r="G4" s="57">
        <v>24</v>
      </c>
      <c r="H4" s="59">
        <v>4.9649999999999999</v>
      </c>
      <c r="I4" s="48" t="str">
        <f>IFERROR(VLOOKUP("21ST-"&amp;A4,[1]Лист1!$B$16:$P$170,15,FALSE),"С")</f>
        <v>А</v>
      </c>
      <c r="J4" s="26"/>
      <c r="K4" s="60">
        <f t="shared" si="0"/>
        <v>0</v>
      </c>
      <c r="N4" s="51" t="str">
        <f t="shared" ref="N4:N67" si="1">IFERROR(IF($N$2*F4=0, "-", $N$2*F4), "-")</f>
        <v>-</v>
      </c>
      <c r="O4" s="51" t="str">
        <f t="shared" ref="O4:O67" si="2">IFERROR(IF(N4&gt;0,H4+N4,"-"),"-")</f>
        <v>-</v>
      </c>
      <c r="P4" s="52" t="str">
        <f t="shared" ref="P4:P67" si="3">IF(J4&gt;0,J4*F4, "-")</f>
        <v>-</v>
      </c>
      <c r="Q4" s="53" t="str">
        <f t="shared" ref="Q4:Q67" si="4">IFERROR(IF($N$2&gt;0, $N$2*P4, "-"), "-")</f>
        <v>-</v>
      </c>
      <c r="S4" s="53" t="str">
        <f t="shared" ref="S4:S67" si="5">IFERROR(IF(Q4+K4=0, "-", IF(Q4&gt;0, Q4+K4, "-")), "-")</f>
        <v>-</v>
      </c>
    </row>
    <row r="5" spans="1:19" ht="17.399999999999999" x14ac:dyDescent="0.4">
      <c r="A5" s="54">
        <v>22881</v>
      </c>
      <c r="B5" s="55" t="s">
        <v>8</v>
      </c>
      <c r="C5" s="56">
        <v>740985228814</v>
      </c>
      <c r="D5" s="57">
        <v>110</v>
      </c>
      <c r="E5" s="57" t="s">
        <v>190</v>
      </c>
      <c r="F5" s="58">
        <v>8.0848946267996699E-2</v>
      </c>
      <c r="G5" s="57">
        <v>24</v>
      </c>
      <c r="H5" s="59">
        <v>2.4749999999999996</v>
      </c>
      <c r="I5" s="48" t="str">
        <f>IFERROR(VLOOKUP("21ST-"&amp;A5,[1]Лист1!$B$16:$P$170,15,FALSE),"С")</f>
        <v>А</v>
      </c>
      <c r="J5" s="26"/>
      <c r="K5" s="60">
        <f t="shared" si="0"/>
        <v>0</v>
      </c>
      <c r="N5" s="51" t="str">
        <f t="shared" si="1"/>
        <v>-</v>
      </c>
      <c r="O5" s="51" t="str">
        <f t="shared" si="2"/>
        <v>-</v>
      </c>
      <c r="P5" s="52" t="str">
        <f t="shared" si="3"/>
        <v>-</v>
      </c>
      <c r="Q5" s="53" t="str">
        <f t="shared" si="4"/>
        <v>-</v>
      </c>
      <c r="S5" s="53" t="str">
        <f t="shared" si="5"/>
        <v>-</v>
      </c>
    </row>
    <row r="6" spans="1:19" ht="17.399999999999999" x14ac:dyDescent="0.4">
      <c r="A6" s="54">
        <v>27116</v>
      </c>
      <c r="B6" s="55" t="s">
        <v>9</v>
      </c>
      <c r="C6" s="56">
        <v>740985271162</v>
      </c>
      <c r="D6" s="57">
        <v>110</v>
      </c>
      <c r="E6" s="57" t="s">
        <v>191</v>
      </c>
      <c r="F6" s="58">
        <v>0.14514561471633777</v>
      </c>
      <c r="G6" s="57">
        <v>24</v>
      </c>
      <c r="H6" s="59">
        <v>5.7450000000000001</v>
      </c>
      <c r="I6" s="48" t="str">
        <f>IFERROR(VLOOKUP("21ST-"&amp;A6,[1]Лист1!$B$16:$P$170,15,FALSE),"С")</f>
        <v>А</v>
      </c>
      <c r="J6" s="26"/>
      <c r="K6" s="60">
        <f t="shared" si="0"/>
        <v>0</v>
      </c>
      <c r="N6" s="51" t="str">
        <f t="shared" si="1"/>
        <v>-</v>
      </c>
      <c r="O6" s="51" t="str">
        <f t="shared" si="2"/>
        <v>-</v>
      </c>
      <c r="P6" s="52" t="str">
        <f t="shared" si="3"/>
        <v>-</v>
      </c>
      <c r="Q6" s="53" t="str">
        <f t="shared" si="4"/>
        <v>-</v>
      </c>
      <c r="S6" s="53" t="str">
        <f t="shared" si="5"/>
        <v>-</v>
      </c>
    </row>
    <row r="7" spans="1:19" ht="17.399999999999999" x14ac:dyDescent="0.4">
      <c r="A7" s="54">
        <v>27757</v>
      </c>
      <c r="B7" s="55" t="s">
        <v>10</v>
      </c>
      <c r="C7" s="56">
        <v>740985277577</v>
      </c>
      <c r="D7" s="57">
        <v>120</v>
      </c>
      <c r="E7" s="57" t="s">
        <v>190</v>
      </c>
      <c r="F7" s="58">
        <v>8.3856645674671104E-2</v>
      </c>
      <c r="G7" s="57">
        <v>24</v>
      </c>
      <c r="H7" s="59">
        <v>7.4250000000000007</v>
      </c>
      <c r="I7" s="48" t="str">
        <f>IFERROR(VLOOKUP("21ST-"&amp;A7,[1]Лист1!$B$16:$P$170,15,FALSE),"С")</f>
        <v>А</v>
      </c>
      <c r="J7" s="26"/>
      <c r="K7" s="60">
        <f t="shared" si="0"/>
        <v>0</v>
      </c>
      <c r="N7" s="51" t="str">
        <f t="shared" si="1"/>
        <v>-</v>
      </c>
      <c r="O7" s="51" t="str">
        <f t="shared" si="2"/>
        <v>-</v>
      </c>
      <c r="P7" s="52" t="str">
        <f t="shared" si="3"/>
        <v>-</v>
      </c>
      <c r="Q7" s="53" t="str">
        <f t="shared" si="4"/>
        <v>-</v>
      </c>
      <c r="S7" s="53" t="str">
        <f t="shared" si="5"/>
        <v>-</v>
      </c>
    </row>
    <row r="8" spans="1:19" ht="17.399999999999999" x14ac:dyDescent="0.4">
      <c r="A8" s="54">
        <v>22316</v>
      </c>
      <c r="B8" s="55" t="s">
        <v>26</v>
      </c>
      <c r="C8" s="56">
        <v>740985223161</v>
      </c>
      <c r="D8" s="57">
        <v>110</v>
      </c>
      <c r="E8" s="57" t="s">
        <v>190</v>
      </c>
      <c r="F8" s="58">
        <v>0.13390930372536555</v>
      </c>
      <c r="G8" s="57">
        <v>24</v>
      </c>
      <c r="H8" s="59">
        <v>3.7050000000000001</v>
      </c>
      <c r="I8" s="48" t="str">
        <f>IFERROR(VLOOKUP("21ST-"&amp;A8,[1]Лист1!$B$16:$P$170,15,FALSE),"С")</f>
        <v>А</v>
      </c>
      <c r="J8" s="26"/>
      <c r="K8" s="60">
        <f t="shared" si="0"/>
        <v>0</v>
      </c>
      <c r="N8" s="51" t="str">
        <f t="shared" si="1"/>
        <v>-</v>
      </c>
      <c r="O8" s="51" t="str">
        <f t="shared" si="2"/>
        <v>-</v>
      </c>
      <c r="P8" s="52" t="str">
        <f t="shared" si="3"/>
        <v>-</v>
      </c>
      <c r="Q8" s="53" t="str">
        <f t="shared" si="4"/>
        <v>-</v>
      </c>
      <c r="S8" s="53" t="str">
        <f t="shared" si="5"/>
        <v>-</v>
      </c>
    </row>
    <row r="9" spans="1:19" ht="17.399999999999999" x14ac:dyDescent="0.4">
      <c r="A9" s="54">
        <v>22263</v>
      </c>
      <c r="B9" s="55" t="s">
        <v>66</v>
      </c>
      <c r="C9" s="56">
        <v>740985222638</v>
      </c>
      <c r="D9" s="57">
        <v>90</v>
      </c>
      <c r="E9" s="57" t="s">
        <v>190</v>
      </c>
      <c r="F9" s="58">
        <v>0.1756198521009443</v>
      </c>
      <c r="G9" s="57">
        <v>24</v>
      </c>
      <c r="H9" s="59">
        <v>3.7649999999999997</v>
      </c>
      <c r="I9" s="48" t="str">
        <f>IFERROR(VLOOKUP("21ST-"&amp;A9,[1]Лист1!$B$16:$P$170,15,FALSE),"С")</f>
        <v>А</v>
      </c>
      <c r="J9" s="26"/>
      <c r="K9" s="60">
        <f t="shared" si="0"/>
        <v>0</v>
      </c>
      <c r="N9" s="51" t="str">
        <f t="shared" si="1"/>
        <v>-</v>
      </c>
      <c r="O9" s="51" t="str">
        <f t="shared" si="2"/>
        <v>-</v>
      </c>
      <c r="P9" s="52" t="str">
        <f t="shared" si="3"/>
        <v>-</v>
      </c>
      <c r="Q9" s="53" t="str">
        <f t="shared" si="4"/>
        <v>-</v>
      </c>
      <c r="S9" s="53" t="str">
        <f t="shared" si="5"/>
        <v>-</v>
      </c>
    </row>
    <row r="10" spans="1:19" ht="17.399999999999999" x14ac:dyDescent="0.4">
      <c r="A10" s="54">
        <v>28048</v>
      </c>
      <c r="B10" s="55" t="s">
        <v>66</v>
      </c>
      <c r="C10" s="56">
        <v>740985280485</v>
      </c>
      <c r="D10" s="57">
        <v>250</v>
      </c>
      <c r="E10" s="57" t="s">
        <v>190</v>
      </c>
      <c r="F10" s="58">
        <v>0.44265000000000004</v>
      </c>
      <c r="G10" s="57">
        <v>12</v>
      </c>
      <c r="H10" s="59">
        <v>9.0749999999999993</v>
      </c>
      <c r="I10" s="48" t="str">
        <f>IFERROR(VLOOKUP("21ST-"&amp;A10,[1]Лист1!$B$16:$P$170,15,FALSE),"С")</f>
        <v>А</v>
      </c>
      <c r="J10" s="26"/>
      <c r="K10" s="60">
        <f t="shared" si="0"/>
        <v>0</v>
      </c>
      <c r="N10" s="51" t="str">
        <f t="shared" si="1"/>
        <v>-</v>
      </c>
      <c r="O10" s="51" t="str">
        <f t="shared" si="2"/>
        <v>-</v>
      </c>
      <c r="P10" s="52" t="str">
        <f t="shared" si="3"/>
        <v>-</v>
      </c>
      <c r="Q10" s="53" t="str">
        <f t="shared" si="4"/>
        <v>-</v>
      </c>
      <c r="S10" s="53" t="str">
        <f t="shared" si="5"/>
        <v>-</v>
      </c>
    </row>
    <row r="11" spans="1:19" ht="17.399999999999999" x14ac:dyDescent="0.4">
      <c r="A11" s="54">
        <v>22670</v>
      </c>
      <c r="B11" s="55" t="s">
        <v>70</v>
      </c>
      <c r="C11" s="56">
        <v>740985226704</v>
      </c>
      <c r="D11" s="57">
        <v>120</v>
      </c>
      <c r="E11" s="57" t="s">
        <v>190</v>
      </c>
      <c r="F11" s="58">
        <v>0.13909238320604972</v>
      </c>
      <c r="G11" s="57">
        <v>24</v>
      </c>
      <c r="H11" s="59">
        <v>4.1399999999999997</v>
      </c>
      <c r="I11" s="48" t="str">
        <f>IFERROR(VLOOKUP("21ST-"&amp;A11,[1]Лист1!$B$16:$P$170,15,FALSE),"С")</f>
        <v>А</v>
      </c>
      <c r="J11" s="26"/>
      <c r="K11" s="60">
        <f t="shared" si="0"/>
        <v>0</v>
      </c>
      <c r="N11" s="51" t="str">
        <f t="shared" si="1"/>
        <v>-</v>
      </c>
      <c r="O11" s="51" t="str">
        <f t="shared" si="2"/>
        <v>-</v>
      </c>
      <c r="P11" s="52" t="str">
        <f t="shared" si="3"/>
        <v>-</v>
      </c>
      <c r="Q11" s="53" t="str">
        <f t="shared" si="4"/>
        <v>-</v>
      </c>
      <c r="S11" s="53" t="str">
        <f t="shared" si="5"/>
        <v>-</v>
      </c>
    </row>
    <row r="12" spans="1:19" ht="17.399999999999999" x14ac:dyDescent="0.4">
      <c r="A12" s="54">
        <v>22713</v>
      </c>
      <c r="B12" s="55" t="s">
        <v>71</v>
      </c>
      <c r="C12" s="56">
        <v>740985227138</v>
      </c>
      <c r="D12" s="57">
        <v>110</v>
      </c>
      <c r="E12" s="57" t="s">
        <v>190</v>
      </c>
      <c r="F12" s="58">
        <v>0.14755000000000001</v>
      </c>
      <c r="G12" s="57">
        <v>24</v>
      </c>
      <c r="H12" s="59">
        <v>2.4749999999999996</v>
      </c>
      <c r="I12" s="48" t="str">
        <f>IFERROR(VLOOKUP("21ST-"&amp;A12,[1]Лист1!$B$16:$P$170,15,FALSE),"С")</f>
        <v>А</v>
      </c>
      <c r="J12" s="26"/>
      <c r="K12" s="60">
        <f t="shared" si="0"/>
        <v>0</v>
      </c>
      <c r="N12" s="51" t="str">
        <f t="shared" si="1"/>
        <v>-</v>
      </c>
      <c r="O12" s="51" t="str">
        <f t="shared" si="2"/>
        <v>-</v>
      </c>
      <c r="P12" s="52" t="str">
        <f t="shared" si="3"/>
        <v>-</v>
      </c>
      <c r="Q12" s="53" t="str">
        <f t="shared" si="4"/>
        <v>-</v>
      </c>
      <c r="S12" s="53" t="str">
        <f t="shared" si="5"/>
        <v>-</v>
      </c>
    </row>
    <row r="13" spans="1:19" ht="17.399999999999999" x14ac:dyDescent="0.4">
      <c r="A13" s="54">
        <v>22658</v>
      </c>
      <c r="B13" s="55" t="s">
        <v>84</v>
      </c>
      <c r="C13" s="56">
        <v>740985226582</v>
      </c>
      <c r="D13" s="57">
        <v>90</v>
      </c>
      <c r="E13" s="57" t="s">
        <v>190</v>
      </c>
      <c r="F13" s="58">
        <v>0.22087106800132975</v>
      </c>
      <c r="G13" s="57">
        <v>12</v>
      </c>
      <c r="H13" s="59">
        <v>10.17</v>
      </c>
      <c r="I13" s="48" t="str">
        <f>IFERROR(VLOOKUP("21ST-"&amp;A13,[1]Лист1!$B$16:$P$170,15,FALSE),"С")</f>
        <v>А</v>
      </c>
      <c r="J13" s="26"/>
      <c r="K13" s="60">
        <f t="shared" si="0"/>
        <v>0</v>
      </c>
      <c r="N13" s="51" t="str">
        <f t="shared" si="1"/>
        <v>-</v>
      </c>
      <c r="O13" s="51" t="str">
        <f t="shared" si="2"/>
        <v>-</v>
      </c>
      <c r="P13" s="52" t="str">
        <f t="shared" si="3"/>
        <v>-</v>
      </c>
      <c r="Q13" s="53" t="str">
        <f t="shared" si="4"/>
        <v>-</v>
      </c>
      <c r="S13" s="53" t="str">
        <f t="shared" si="5"/>
        <v>-</v>
      </c>
    </row>
    <row r="14" spans="1:19" ht="17.399999999999999" x14ac:dyDescent="0.4">
      <c r="A14" s="54">
        <v>27087</v>
      </c>
      <c r="B14" s="55" t="s">
        <v>152</v>
      </c>
      <c r="C14" s="56">
        <v>740985270875</v>
      </c>
      <c r="D14" s="57">
        <v>120</v>
      </c>
      <c r="E14" s="57" t="s">
        <v>190</v>
      </c>
      <c r="F14" s="58">
        <v>8.3856645674671104E-2</v>
      </c>
      <c r="G14" s="57">
        <v>24</v>
      </c>
      <c r="H14" s="59">
        <v>6.5849999999999991</v>
      </c>
      <c r="I14" s="48" t="str">
        <f>IFERROR(VLOOKUP("21ST-"&amp;A14,[1]Лист1!$B$16:$P$170,15,FALSE),"С")</f>
        <v>А</v>
      </c>
      <c r="J14" s="26"/>
      <c r="K14" s="60">
        <f t="shared" si="0"/>
        <v>0</v>
      </c>
      <c r="N14" s="51" t="str">
        <f t="shared" si="1"/>
        <v>-</v>
      </c>
      <c r="O14" s="51" t="str">
        <f t="shared" si="2"/>
        <v>-</v>
      </c>
      <c r="P14" s="52" t="str">
        <f t="shared" si="3"/>
        <v>-</v>
      </c>
      <c r="Q14" s="53" t="str">
        <f t="shared" si="4"/>
        <v>-</v>
      </c>
      <c r="S14" s="53" t="str">
        <f t="shared" si="5"/>
        <v>-</v>
      </c>
    </row>
    <row r="15" spans="1:19" ht="17.399999999999999" x14ac:dyDescent="0.4">
      <c r="A15" s="54">
        <v>22550</v>
      </c>
      <c r="B15" s="55" t="s">
        <v>21</v>
      </c>
      <c r="C15" s="56">
        <v>740985225509</v>
      </c>
      <c r="D15" s="57">
        <v>110</v>
      </c>
      <c r="E15" s="57" t="s">
        <v>190</v>
      </c>
      <c r="F15" s="58">
        <v>0.18160000000000001</v>
      </c>
      <c r="G15" s="57">
        <v>24</v>
      </c>
      <c r="H15" s="59">
        <v>4.1399999999999997</v>
      </c>
      <c r="I15" s="48" t="str">
        <f>IFERROR(VLOOKUP("21ST-"&amp;A15,[1]Лист1!$B$16:$P$170,15,FALSE),"С")</f>
        <v>А</v>
      </c>
      <c r="J15" s="26"/>
      <c r="K15" s="60">
        <f t="shared" si="0"/>
        <v>0</v>
      </c>
      <c r="N15" s="51" t="str">
        <f t="shared" si="1"/>
        <v>-</v>
      </c>
      <c r="O15" s="51" t="str">
        <f t="shared" si="2"/>
        <v>-</v>
      </c>
      <c r="P15" s="52" t="str">
        <f t="shared" si="3"/>
        <v>-</v>
      </c>
      <c r="Q15" s="53" t="str">
        <f t="shared" si="4"/>
        <v>-</v>
      </c>
      <c r="S15" s="53" t="str">
        <f t="shared" si="5"/>
        <v>-</v>
      </c>
    </row>
    <row r="16" spans="1:19" ht="17.399999999999999" x14ac:dyDescent="0.4">
      <c r="A16" s="54">
        <v>27304</v>
      </c>
      <c r="B16" s="55" t="s">
        <v>87</v>
      </c>
      <c r="C16" s="56">
        <v>740985273043</v>
      </c>
      <c r="D16" s="57">
        <v>100</v>
      </c>
      <c r="E16" s="57" t="s">
        <v>190</v>
      </c>
      <c r="F16" s="58">
        <v>0.21366866832151041</v>
      </c>
      <c r="G16" s="57">
        <v>12</v>
      </c>
      <c r="H16" s="59">
        <v>4.9649999999999999</v>
      </c>
      <c r="I16" s="48" t="str">
        <f>IFERROR(VLOOKUP("21ST-"&amp;A16,[1]Лист1!$B$16:$P$170,15,FALSE),"С")</f>
        <v>А</v>
      </c>
      <c r="J16" s="26"/>
      <c r="K16" s="60">
        <f t="shared" si="0"/>
        <v>0</v>
      </c>
      <c r="N16" s="51" t="str">
        <f t="shared" si="1"/>
        <v>-</v>
      </c>
      <c r="O16" s="51" t="str">
        <f t="shared" si="2"/>
        <v>-</v>
      </c>
      <c r="P16" s="52" t="str">
        <f t="shared" si="3"/>
        <v>-</v>
      </c>
      <c r="Q16" s="53" t="str">
        <f t="shared" si="4"/>
        <v>-</v>
      </c>
      <c r="S16" s="53" t="str">
        <f t="shared" si="5"/>
        <v>-</v>
      </c>
    </row>
    <row r="17" spans="1:19" ht="17.399999999999999" x14ac:dyDescent="0.4">
      <c r="A17" s="54">
        <v>28024</v>
      </c>
      <c r="B17" s="55" t="s">
        <v>220</v>
      </c>
      <c r="C17" s="56">
        <v>740985280249</v>
      </c>
      <c r="D17" s="57">
        <v>60</v>
      </c>
      <c r="E17" s="57" t="s">
        <v>190</v>
      </c>
      <c r="F17" s="58">
        <v>8.0814423932039636E-2</v>
      </c>
      <c r="G17" s="57">
        <v>12</v>
      </c>
      <c r="H17" s="59">
        <v>2.25</v>
      </c>
      <c r="I17" s="48" t="str">
        <f>IFERROR(VLOOKUP("21ST-"&amp;A17,[1]Лист1!$B$16:$P$170,15,FALSE),"С")</f>
        <v>А</v>
      </c>
      <c r="J17" s="26"/>
      <c r="K17" s="60">
        <f t="shared" si="0"/>
        <v>0</v>
      </c>
      <c r="N17" s="51" t="str">
        <f t="shared" si="1"/>
        <v>-</v>
      </c>
      <c r="O17" s="51" t="str">
        <f t="shared" si="2"/>
        <v>-</v>
      </c>
      <c r="P17" s="52" t="str">
        <f t="shared" si="3"/>
        <v>-</v>
      </c>
      <c r="Q17" s="53" t="str">
        <f t="shared" si="4"/>
        <v>-</v>
      </c>
      <c r="S17" s="53" t="str">
        <f t="shared" si="5"/>
        <v>-</v>
      </c>
    </row>
    <row r="18" spans="1:19" ht="17.399999999999999" x14ac:dyDescent="0.4">
      <c r="A18" s="54">
        <v>28026</v>
      </c>
      <c r="B18" s="55" t="s">
        <v>76</v>
      </c>
      <c r="C18" s="56">
        <v>740985280263</v>
      </c>
      <c r="D18" s="57">
        <v>60</v>
      </c>
      <c r="E18" s="57" t="s">
        <v>190</v>
      </c>
      <c r="F18" s="58">
        <v>8.0827892372150004E-2</v>
      </c>
      <c r="G18" s="57">
        <v>12</v>
      </c>
      <c r="H18" s="59">
        <v>2.25</v>
      </c>
      <c r="I18" s="48" t="str">
        <f>IFERROR(VLOOKUP("21ST-"&amp;A18,[1]Лист1!$B$16:$P$170,15,FALSE),"С")</f>
        <v>А</v>
      </c>
      <c r="J18" s="26"/>
      <c r="K18" s="60">
        <f t="shared" si="0"/>
        <v>0</v>
      </c>
      <c r="N18" s="51" t="str">
        <f t="shared" si="1"/>
        <v>-</v>
      </c>
      <c r="O18" s="51" t="str">
        <f t="shared" si="2"/>
        <v>-</v>
      </c>
      <c r="P18" s="52" t="str">
        <f t="shared" si="3"/>
        <v>-</v>
      </c>
      <c r="Q18" s="53" t="str">
        <f t="shared" si="4"/>
        <v>-</v>
      </c>
      <c r="S18" s="53" t="str">
        <f t="shared" si="5"/>
        <v>-</v>
      </c>
    </row>
    <row r="19" spans="1:19" ht="17.399999999999999" x14ac:dyDescent="0.4">
      <c r="A19" s="54">
        <v>27685</v>
      </c>
      <c r="B19" s="55" t="s">
        <v>115</v>
      </c>
      <c r="C19" s="56">
        <v>740985276853</v>
      </c>
      <c r="D19" s="57">
        <v>60</v>
      </c>
      <c r="E19" s="57" t="s">
        <v>195</v>
      </c>
      <c r="F19" s="58">
        <v>0.24017141834491385</v>
      </c>
      <c r="G19" s="57">
        <v>12</v>
      </c>
      <c r="H19" s="59">
        <v>5.4</v>
      </c>
      <c r="I19" s="48" t="str">
        <f>IFERROR(VLOOKUP("21ST-"&amp;A19,[1]Лист1!$B$16:$P$170,15,FALSE),"С")</f>
        <v>А</v>
      </c>
      <c r="J19" s="26"/>
      <c r="K19" s="60">
        <f t="shared" si="0"/>
        <v>0</v>
      </c>
      <c r="N19" s="51" t="str">
        <f t="shared" si="1"/>
        <v>-</v>
      </c>
      <c r="O19" s="51" t="str">
        <f t="shared" si="2"/>
        <v>-</v>
      </c>
      <c r="P19" s="52" t="str">
        <f t="shared" si="3"/>
        <v>-</v>
      </c>
      <c r="Q19" s="53" t="str">
        <f t="shared" si="4"/>
        <v>-</v>
      </c>
      <c r="S19" s="53" t="str">
        <f t="shared" si="5"/>
        <v>-</v>
      </c>
    </row>
    <row r="20" spans="1:19" ht="17.399999999999999" x14ac:dyDescent="0.4">
      <c r="A20" s="54">
        <v>27070</v>
      </c>
      <c r="B20" s="55" t="s">
        <v>64</v>
      </c>
      <c r="C20" s="56">
        <v>740985270707</v>
      </c>
      <c r="D20" s="57">
        <v>90</v>
      </c>
      <c r="E20" s="57" t="s">
        <v>190</v>
      </c>
      <c r="F20" s="58">
        <v>0.3577497655277187</v>
      </c>
      <c r="G20" s="57">
        <v>12</v>
      </c>
      <c r="H20" s="59">
        <v>4.9649999999999999</v>
      </c>
      <c r="I20" s="48" t="str">
        <f>IFERROR(VLOOKUP("21ST-"&amp;A20,[1]Лист1!$B$16:$P$170,15,FALSE),"С")</f>
        <v>А</v>
      </c>
      <c r="J20" s="26"/>
      <c r="K20" s="60">
        <f t="shared" si="0"/>
        <v>0</v>
      </c>
      <c r="N20" s="51" t="str">
        <f t="shared" si="1"/>
        <v>-</v>
      </c>
      <c r="O20" s="51" t="str">
        <f t="shared" si="2"/>
        <v>-</v>
      </c>
      <c r="P20" s="52" t="str">
        <f t="shared" si="3"/>
        <v>-</v>
      </c>
      <c r="Q20" s="53" t="str">
        <f t="shared" si="4"/>
        <v>-</v>
      </c>
      <c r="S20" s="53" t="str">
        <f t="shared" si="5"/>
        <v>-</v>
      </c>
    </row>
    <row r="21" spans="1:19" ht="17.399999999999999" x14ac:dyDescent="0.4">
      <c r="A21" s="54">
        <v>22653</v>
      </c>
      <c r="B21" s="55" t="s">
        <v>63</v>
      </c>
      <c r="C21" s="56">
        <v>740985226537</v>
      </c>
      <c r="D21" s="57">
        <v>90</v>
      </c>
      <c r="E21" s="57" t="s">
        <v>189</v>
      </c>
      <c r="F21" s="58">
        <v>0.33068047086764912</v>
      </c>
      <c r="G21" s="57">
        <v>12</v>
      </c>
      <c r="H21" s="59">
        <v>7.4250000000000007</v>
      </c>
      <c r="I21" s="48" t="str">
        <f>IFERROR(VLOOKUP("21ST-"&amp;A21,[1]Лист1!$B$16:$P$170,15,FALSE),"С")</f>
        <v>А</v>
      </c>
      <c r="J21" s="26"/>
      <c r="K21" s="60">
        <f t="shared" si="0"/>
        <v>0</v>
      </c>
      <c r="N21" s="51" t="str">
        <f t="shared" si="1"/>
        <v>-</v>
      </c>
      <c r="O21" s="51" t="str">
        <f t="shared" si="2"/>
        <v>-</v>
      </c>
      <c r="P21" s="52" t="str">
        <f t="shared" si="3"/>
        <v>-</v>
      </c>
      <c r="Q21" s="53" t="str">
        <f t="shared" si="4"/>
        <v>-</v>
      </c>
      <c r="S21" s="53" t="str">
        <f t="shared" si="5"/>
        <v>-</v>
      </c>
    </row>
    <row r="22" spans="1:19" ht="17.399999999999999" x14ac:dyDescent="0.4">
      <c r="A22" s="54">
        <v>21245</v>
      </c>
      <c r="B22" s="55" t="s">
        <v>40</v>
      </c>
      <c r="C22" s="56">
        <v>740985212455</v>
      </c>
      <c r="D22" s="57">
        <v>110</v>
      </c>
      <c r="E22" s="57" t="s">
        <v>189</v>
      </c>
      <c r="F22" s="58">
        <v>0.12485</v>
      </c>
      <c r="G22" s="57">
        <v>24</v>
      </c>
      <c r="H22" s="59">
        <v>6.75</v>
      </c>
      <c r="I22" s="48" t="str">
        <f>IFERROR(VLOOKUP("21ST-"&amp;A22,[1]Лист1!$B$16:$P$170,15,FALSE),"С")</f>
        <v>А</v>
      </c>
      <c r="J22" s="26"/>
      <c r="K22" s="60">
        <f t="shared" si="0"/>
        <v>0</v>
      </c>
      <c r="N22" s="51" t="str">
        <f t="shared" si="1"/>
        <v>-</v>
      </c>
      <c r="O22" s="51" t="str">
        <f t="shared" si="2"/>
        <v>-</v>
      </c>
      <c r="P22" s="52" t="str">
        <f t="shared" si="3"/>
        <v>-</v>
      </c>
      <c r="Q22" s="53" t="str">
        <f t="shared" si="4"/>
        <v>-</v>
      </c>
      <c r="S22" s="53" t="str">
        <f t="shared" si="5"/>
        <v>-</v>
      </c>
    </row>
    <row r="23" spans="1:19" ht="17.399999999999999" x14ac:dyDescent="0.4">
      <c r="A23" s="54">
        <v>27847</v>
      </c>
      <c r="B23" s="55" t="s">
        <v>144</v>
      </c>
      <c r="C23" s="56">
        <v>740985278475</v>
      </c>
      <c r="D23" s="57">
        <v>90</v>
      </c>
      <c r="E23" s="57" t="s">
        <v>190</v>
      </c>
      <c r="F23" s="58">
        <v>0.15266855192097531</v>
      </c>
      <c r="G23" s="57">
        <v>12</v>
      </c>
      <c r="H23" s="59">
        <v>8.25</v>
      </c>
      <c r="I23" s="48" t="str">
        <f>IFERROR(VLOOKUP("21ST-"&amp;A23,[1]Лист1!$B$16:$P$170,15,FALSE),"С")</f>
        <v>А</v>
      </c>
      <c r="J23" s="26"/>
      <c r="K23" s="60">
        <f t="shared" si="0"/>
        <v>0</v>
      </c>
      <c r="N23" s="51" t="str">
        <f t="shared" si="1"/>
        <v>-</v>
      </c>
      <c r="O23" s="51" t="str">
        <f t="shared" si="2"/>
        <v>-</v>
      </c>
      <c r="P23" s="52" t="str">
        <f t="shared" si="3"/>
        <v>-</v>
      </c>
      <c r="Q23" s="53" t="str">
        <f t="shared" si="4"/>
        <v>-</v>
      </c>
      <c r="S23" s="53" t="str">
        <f t="shared" si="5"/>
        <v>-</v>
      </c>
    </row>
    <row r="24" spans="1:19" ht="17.399999999999999" x14ac:dyDescent="0.4">
      <c r="A24" s="54">
        <v>22659</v>
      </c>
      <c r="B24" s="55" t="s">
        <v>85</v>
      </c>
      <c r="C24" s="56">
        <v>740985226599</v>
      </c>
      <c r="D24" s="57">
        <v>90</v>
      </c>
      <c r="E24" s="57" t="s">
        <v>190</v>
      </c>
      <c r="F24" s="58">
        <v>0.24691887984403807</v>
      </c>
      <c r="G24" s="57">
        <v>12</v>
      </c>
      <c r="H24" s="59">
        <v>10.17</v>
      </c>
      <c r="I24" s="48" t="str">
        <f>IFERROR(VLOOKUP("21ST-"&amp;A24,[1]Лист1!$B$16:$P$170,15,FALSE),"С")</f>
        <v>А</v>
      </c>
      <c r="J24" s="26"/>
      <c r="K24" s="60">
        <f t="shared" si="0"/>
        <v>0</v>
      </c>
      <c r="N24" s="51" t="str">
        <f t="shared" si="1"/>
        <v>-</v>
      </c>
      <c r="O24" s="51" t="str">
        <f t="shared" si="2"/>
        <v>-</v>
      </c>
      <c r="P24" s="52" t="str">
        <f t="shared" si="3"/>
        <v>-</v>
      </c>
      <c r="Q24" s="53" t="str">
        <f t="shared" si="4"/>
        <v>-</v>
      </c>
      <c r="S24" s="53" t="str">
        <f t="shared" si="5"/>
        <v>-</v>
      </c>
    </row>
    <row r="25" spans="1:19" ht="17.399999999999999" x14ac:dyDescent="0.4">
      <c r="A25" s="54">
        <v>21240</v>
      </c>
      <c r="B25" s="55" t="s">
        <v>151</v>
      </c>
      <c r="C25" s="56">
        <v>740985212400</v>
      </c>
      <c r="D25" s="57">
        <v>90</v>
      </c>
      <c r="E25" s="57" t="s">
        <v>190</v>
      </c>
      <c r="F25" s="58">
        <v>7.2960828956152607E-2</v>
      </c>
      <c r="G25" s="57">
        <v>24</v>
      </c>
      <c r="H25" s="59">
        <v>4.1399999999999997</v>
      </c>
      <c r="I25" s="48" t="str">
        <f>IFERROR(VLOOKUP("21ST-"&amp;A25,[1]Лист1!$B$16:$P$170,15,FALSE),"С")</f>
        <v>А</v>
      </c>
      <c r="J25" s="26"/>
      <c r="K25" s="60">
        <f t="shared" si="0"/>
        <v>0</v>
      </c>
      <c r="N25" s="51" t="str">
        <f t="shared" si="1"/>
        <v>-</v>
      </c>
      <c r="O25" s="51" t="str">
        <f t="shared" si="2"/>
        <v>-</v>
      </c>
      <c r="P25" s="52" t="str">
        <f t="shared" si="3"/>
        <v>-</v>
      </c>
      <c r="Q25" s="53" t="str">
        <f t="shared" si="4"/>
        <v>-</v>
      </c>
      <c r="S25" s="53" t="str">
        <f t="shared" si="5"/>
        <v>-</v>
      </c>
    </row>
    <row r="26" spans="1:19" ht="17.399999999999999" x14ac:dyDescent="0.4">
      <c r="A26" s="54">
        <v>28028</v>
      </c>
      <c r="B26" s="55" t="s">
        <v>153</v>
      </c>
      <c r="C26" s="56">
        <v>740985280287</v>
      </c>
      <c r="D26" s="57">
        <v>120</v>
      </c>
      <c r="E26" s="57" t="s">
        <v>190</v>
      </c>
      <c r="F26" s="58">
        <v>7.9450000000000007E-2</v>
      </c>
      <c r="G26" s="57">
        <v>24</v>
      </c>
      <c r="H26" s="59">
        <v>8.25</v>
      </c>
      <c r="I26" s="48" t="str">
        <f>IFERROR(VLOOKUP("21ST-"&amp;A26,[1]Лист1!$B$16:$P$170,15,FALSE),"С")</f>
        <v>А</v>
      </c>
      <c r="J26" s="26"/>
      <c r="K26" s="60">
        <f t="shared" si="0"/>
        <v>0</v>
      </c>
      <c r="N26" s="51" t="str">
        <f t="shared" si="1"/>
        <v>-</v>
      </c>
      <c r="O26" s="51" t="str">
        <f t="shared" si="2"/>
        <v>-</v>
      </c>
      <c r="P26" s="52" t="str">
        <f t="shared" si="3"/>
        <v>-</v>
      </c>
      <c r="Q26" s="53" t="str">
        <f t="shared" si="4"/>
        <v>-</v>
      </c>
      <c r="S26" s="53" t="str">
        <f t="shared" si="5"/>
        <v>-</v>
      </c>
    </row>
    <row r="27" spans="1:19" ht="17.399999999999999" x14ac:dyDescent="0.4">
      <c r="A27" s="54">
        <v>27305</v>
      </c>
      <c r="B27" s="55" t="s">
        <v>88</v>
      </c>
      <c r="C27" s="56">
        <v>740985273050</v>
      </c>
      <c r="D27" s="57">
        <v>100</v>
      </c>
      <c r="E27" s="57" t="s">
        <v>190</v>
      </c>
      <c r="F27" s="58">
        <v>0.21139870650515238</v>
      </c>
      <c r="G27" s="57">
        <v>12</v>
      </c>
      <c r="H27" s="59">
        <v>4.9649999999999999</v>
      </c>
      <c r="I27" s="48" t="str">
        <f>IFERROR(VLOOKUP("21ST-"&amp;A27,[1]Лист1!$B$16:$P$170,15,FALSE),"С")</f>
        <v>А</v>
      </c>
      <c r="J27" s="26"/>
      <c r="K27" s="60">
        <f t="shared" si="0"/>
        <v>0</v>
      </c>
      <c r="N27" s="51" t="str">
        <f t="shared" si="1"/>
        <v>-</v>
      </c>
      <c r="O27" s="51" t="str">
        <f t="shared" si="2"/>
        <v>-</v>
      </c>
      <c r="P27" s="52" t="str">
        <f t="shared" si="3"/>
        <v>-</v>
      </c>
      <c r="Q27" s="53" t="str">
        <f t="shared" si="4"/>
        <v>-</v>
      </c>
      <c r="S27" s="53" t="str">
        <f t="shared" si="5"/>
        <v>-</v>
      </c>
    </row>
    <row r="28" spans="1:19" ht="17.399999999999999" x14ac:dyDescent="0.4">
      <c r="A28" s="54">
        <v>27308</v>
      </c>
      <c r="B28" s="55" t="s">
        <v>90</v>
      </c>
      <c r="C28" s="56">
        <v>740985273081</v>
      </c>
      <c r="D28" s="57">
        <v>100</v>
      </c>
      <c r="E28" s="57" t="s">
        <v>190</v>
      </c>
      <c r="F28" s="58">
        <v>0.15423728469956338</v>
      </c>
      <c r="G28" s="57">
        <v>12</v>
      </c>
      <c r="H28" s="59">
        <v>4.9649999999999999</v>
      </c>
      <c r="I28" s="48" t="str">
        <f>IFERROR(VLOOKUP("21ST-"&amp;A28,[1]Лист1!$B$16:$P$170,15,FALSE),"С")</f>
        <v>А</v>
      </c>
      <c r="J28" s="26"/>
      <c r="K28" s="60">
        <f t="shared" si="0"/>
        <v>0</v>
      </c>
      <c r="N28" s="51" t="str">
        <f t="shared" si="1"/>
        <v>-</v>
      </c>
      <c r="O28" s="51" t="str">
        <f t="shared" si="2"/>
        <v>-</v>
      </c>
      <c r="P28" s="52" t="str">
        <f t="shared" si="3"/>
        <v>-</v>
      </c>
      <c r="Q28" s="53" t="str">
        <f t="shared" si="4"/>
        <v>-</v>
      </c>
      <c r="S28" s="53" t="str">
        <f t="shared" si="5"/>
        <v>-</v>
      </c>
    </row>
    <row r="29" spans="1:19" ht="17.399999999999999" x14ac:dyDescent="0.4">
      <c r="A29" s="54">
        <v>27309</v>
      </c>
      <c r="B29" s="55" t="s">
        <v>91</v>
      </c>
      <c r="C29" s="56">
        <v>740985273098</v>
      </c>
      <c r="D29" s="57">
        <v>100</v>
      </c>
      <c r="E29" s="57" t="s">
        <v>190</v>
      </c>
      <c r="F29" s="58">
        <v>0.27851769414516525</v>
      </c>
      <c r="G29" s="57">
        <v>12</v>
      </c>
      <c r="H29" s="59">
        <v>7.4250000000000007</v>
      </c>
      <c r="I29" s="48" t="str">
        <f>IFERROR(VLOOKUP("21ST-"&amp;A29,[1]Лист1!$B$16:$P$170,15,FALSE),"С")</f>
        <v>А</v>
      </c>
      <c r="J29" s="26"/>
      <c r="K29" s="60">
        <f t="shared" si="0"/>
        <v>0</v>
      </c>
      <c r="N29" s="51" t="str">
        <f t="shared" si="1"/>
        <v>-</v>
      </c>
      <c r="O29" s="51" t="str">
        <f t="shared" si="2"/>
        <v>-</v>
      </c>
      <c r="P29" s="52" t="str">
        <f t="shared" si="3"/>
        <v>-</v>
      </c>
      <c r="Q29" s="53" t="str">
        <f t="shared" si="4"/>
        <v>-</v>
      </c>
      <c r="S29" s="53" t="str">
        <f t="shared" si="5"/>
        <v>-</v>
      </c>
    </row>
    <row r="30" spans="1:19" ht="17.399999999999999" x14ac:dyDescent="0.4">
      <c r="A30" s="54">
        <v>22662</v>
      </c>
      <c r="B30" s="55" t="s">
        <v>156</v>
      </c>
      <c r="C30" s="56">
        <v>740985226629</v>
      </c>
      <c r="D30" s="57">
        <v>100</v>
      </c>
      <c r="E30" s="57" t="s">
        <v>192</v>
      </c>
      <c r="F30" s="58">
        <v>0.1140471378322328</v>
      </c>
      <c r="G30" s="57">
        <v>24</v>
      </c>
      <c r="H30" s="59">
        <v>3.3149999999999999</v>
      </c>
      <c r="I30" s="48" t="str">
        <f>IFERROR(VLOOKUP("21ST-"&amp;A30,[1]Лист1!$B$16:$P$170,15,FALSE),"С")</f>
        <v>А</v>
      </c>
      <c r="J30" s="26"/>
      <c r="K30" s="60">
        <f t="shared" si="0"/>
        <v>0</v>
      </c>
      <c r="N30" s="51" t="str">
        <f t="shared" si="1"/>
        <v>-</v>
      </c>
      <c r="O30" s="51" t="str">
        <f t="shared" si="2"/>
        <v>-</v>
      </c>
      <c r="P30" s="52" t="str">
        <f t="shared" si="3"/>
        <v>-</v>
      </c>
      <c r="Q30" s="53" t="str">
        <f t="shared" si="4"/>
        <v>-</v>
      </c>
      <c r="S30" s="53" t="str">
        <f t="shared" si="5"/>
        <v>-</v>
      </c>
    </row>
    <row r="31" spans="1:19" ht="17.399999999999999" x14ac:dyDescent="0.4">
      <c r="A31" s="54">
        <v>22673</v>
      </c>
      <c r="B31" s="55" t="s">
        <v>96</v>
      </c>
      <c r="C31" s="56">
        <v>740985226735</v>
      </c>
      <c r="D31" s="57">
        <v>120</v>
      </c>
      <c r="E31" s="57" t="s">
        <v>190</v>
      </c>
      <c r="F31" s="58">
        <v>0.25755365095367538</v>
      </c>
      <c r="G31" s="57">
        <v>12</v>
      </c>
      <c r="H31" s="59">
        <v>7.4250000000000007</v>
      </c>
      <c r="I31" s="48" t="str">
        <f>IFERROR(VLOOKUP("21ST-"&amp;A31,[1]Лист1!$B$16:$P$170,15,FALSE),"С")</f>
        <v>А</v>
      </c>
      <c r="J31" s="26"/>
      <c r="K31" s="60">
        <f t="shared" si="0"/>
        <v>0</v>
      </c>
      <c r="N31" s="51" t="str">
        <f t="shared" si="1"/>
        <v>-</v>
      </c>
      <c r="O31" s="51" t="str">
        <f t="shared" si="2"/>
        <v>-</v>
      </c>
      <c r="P31" s="52" t="str">
        <f t="shared" si="3"/>
        <v>-</v>
      </c>
      <c r="Q31" s="53" t="str">
        <f t="shared" si="4"/>
        <v>-</v>
      </c>
      <c r="S31" s="53" t="str">
        <f t="shared" si="5"/>
        <v>-</v>
      </c>
    </row>
    <row r="32" spans="1:19" ht="17.399999999999999" x14ac:dyDescent="0.4">
      <c r="A32" s="54">
        <v>27619</v>
      </c>
      <c r="B32" s="55" t="s">
        <v>114</v>
      </c>
      <c r="C32" s="56">
        <v>740985276198</v>
      </c>
      <c r="D32" s="57">
        <v>60</v>
      </c>
      <c r="E32" s="57" t="s">
        <v>195</v>
      </c>
      <c r="F32" s="58">
        <v>0.24017141834491385</v>
      </c>
      <c r="G32" s="57">
        <v>12</v>
      </c>
      <c r="H32" s="59">
        <v>5.4</v>
      </c>
      <c r="I32" s="48" t="str">
        <f>IFERROR(VLOOKUP("21ST-"&amp;A32,[1]Лист1!$B$16:$P$170,15,FALSE),"С")</f>
        <v>А</v>
      </c>
      <c r="J32" s="26"/>
      <c r="K32" s="60">
        <f t="shared" si="0"/>
        <v>0</v>
      </c>
      <c r="N32" s="51" t="str">
        <f t="shared" si="1"/>
        <v>-</v>
      </c>
      <c r="O32" s="51" t="str">
        <f t="shared" si="2"/>
        <v>-</v>
      </c>
      <c r="P32" s="52" t="str">
        <f t="shared" si="3"/>
        <v>-</v>
      </c>
      <c r="Q32" s="53" t="str">
        <f t="shared" si="4"/>
        <v>-</v>
      </c>
      <c r="S32" s="53" t="str">
        <f t="shared" si="5"/>
        <v>-</v>
      </c>
    </row>
    <row r="33" spans="1:19" ht="17.399999999999999" x14ac:dyDescent="0.4">
      <c r="A33" s="54">
        <v>27503</v>
      </c>
      <c r="B33" s="55" t="s">
        <v>154</v>
      </c>
      <c r="C33" s="56">
        <v>740985275030</v>
      </c>
      <c r="D33" s="57">
        <v>120</v>
      </c>
      <c r="E33" s="57" t="s">
        <v>190</v>
      </c>
      <c r="F33" s="58">
        <v>7.7046760225597019E-2</v>
      </c>
      <c r="G33" s="57">
        <v>24</v>
      </c>
      <c r="H33" s="59">
        <v>8.25</v>
      </c>
      <c r="I33" s="48" t="str">
        <f>IFERROR(VLOOKUP("21ST-"&amp;A33,[1]Лист1!$B$16:$P$170,15,FALSE),"С")</f>
        <v>А</v>
      </c>
      <c r="J33" s="26"/>
      <c r="K33" s="60">
        <f t="shared" si="0"/>
        <v>0</v>
      </c>
      <c r="N33" s="51" t="str">
        <f t="shared" si="1"/>
        <v>-</v>
      </c>
      <c r="O33" s="51" t="str">
        <f t="shared" si="2"/>
        <v>-</v>
      </c>
      <c r="P33" s="52" t="str">
        <f t="shared" si="3"/>
        <v>-</v>
      </c>
      <c r="Q33" s="53" t="str">
        <f t="shared" si="4"/>
        <v>-</v>
      </c>
      <c r="S33" s="53" t="str">
        <f t="shared" si="5"/>
        <v>-</v>
      </c>
    </row>
    <row r="34" spans="1:19" ht="17.399999999999999" x14ac:dyDescent="0.4">
      <c r="A34" s="54">
        <v>27306</v>
      </c>
      <c r="B34" s="55" t="s">
        <v>89</v>
      </c>
      <c r="C34" s="56">
        <v>740985273067</v>
      </c>
      <c r="D34" s="57">
        <v>100</v>
      </c>
      <c r="E34" s="57" t="s">
        <v>190</v>
      </c>
      <c r="F34" s="58">
        <v>0.18972057115893332</v>
      </c>
      <c r="G34" s="57">
        <v>12</v>
      </c>
      <c r="H34" s="59">
        <v>7.4250000000000007</v>
      </c>
      <c r="I34" s="48" t="str">
        <f>IFERROR(VLOOKUP("21ST-"&amp;A34,[1]Лист1!$B$16:$P$170,15,FALSE),"С")</f>
        <v>А</v>
      </c>
      <c r="J34" s="26"/>
      <c r="K34" s="60">
        <f t="shared" si="0"/>
        <v>0</v>
      </c>
      <c r="N34" s="51" t="str">
        <f t="shared" si="1"/>
        <v>-</v>
      </c>
      <c r="O34" s="51" t="str">
        <f t="shared" si="2"/>
        <v>-</v>
      </c>
      <c r="P34" s="52" t="str">
        <f t="shared" si="3"/>
        <v>-</v>
      </c>
      <c r="Q34" s="53" t="str">
        <f t="shared" si="4"/>
        <v>-</v>
      </c>
      <c r="S34" s="53" t="str">
        <f t="shared" si="5"/>
        <v>-</v>
      </c>
    </row>
    <row r="35" spans="1:19" ht="17.399999999999999" x14ac:dyDescent="0.4">
      <c r="A35" s="54">
        <v>27770</v>
      </c>
      <c r="B35" s="55" t="s">
        <v>111</v>
      </c>
      <c r="C35" s="56">
        <v>740985277706</v>
      </c>
      <c r="D35" s="57">
        <v>120</v>
      </c>
      <c r="E35" s="57" t="s">
        <v>195</v>
      </c>
      <c r="F35" s="58">
        <v>0.43704331504279836</v>
      </c>
      <c r="G35" s="57">
        <v>12</v>
      </c>
      <c r="H35" s="59">
        <v>9.9</v>
      </c>
      <c r="I35" s="48" t="str">
        <f>IFERROR(VLOOKUP("21ST-"&amp;A35,[1]Лист1!$B$16:$P$170,15,FALSE),"С")</f>
        <v>А</v>
      </c>
      <c r="J35" s="26"/>
      <c r="K35" s="60">
        <f t="shared" si="0"/>
        <v>0</v>
      </c>
      <c r="N35" s="51" t="str">
        <f t="shared" si="1"/>
        <v>-</v>
      </c>
      <c r="O35" s="51" t="str">
        <f t="shared" si="2"/>
        <v>-</v>
      </c>
      <c r="P35" s="52" t="str">
        <f t="shared" si="3"/>
        <v>-</v>
      </c>
      <c r="Q35" s="53" t="str">
        <f t="shared" si="4"/>
        <v>-</v>
      </c>
      <c r="S35" s="53" t="str">
        <f t="shared" si="5"/>
        <v>-</v>
      </c>
    </row>
    <row r="36" spans="1:19" ht="17.399999999999999" x14ac:dyDescent="0.4">
      <c r="A36" s="54">
        <v>28037</v>
      </c>
      <c r="B36" s="55" t="s">
        <v>112</v>
      </c>
      <c r="C36" s="56">
        <v>740985280379</v>
      </c>
      <c r="D36" s="57">
        <v>60</v>
      </c>
      <c r="E36" s="57" t="s">
        <v>195</v>
      </c>
      <c r="F36" s="58">
        <v>0.24584632288580888</v>
      </c>
      <c r="G36" s="57">
        <v>12</v>
      </c>
      <c r="H36" s="59">
        <v>9.9</v>
      </c>
      <c r="I36" s="48" t="str">
        <f>IFERROR(VLOOKUP("21ST-"&amp;A36,[1]Лист1!$B$16:$P$170,15,FALSE),"С")</f>
        <v>А</v>
      </c>
      <c r="J36" s="26"/>
      <c r="K36" s="60">
        <f t="shared" si="0"/>
        <v>0</v>
      </c>
      <c r="N36" s="51" t="str">
        <f t="shared" si="1"/>
        <v>-</v>
      </c>
      <c r="O36" s="51" t="str">
        <f t="shared" si="2"/>
        <v>-</v>
      </c>
      <c r="P36" s="52" t="str">
        <f t="shared" si="3"/>
        <v>-</v>
      </c>
      <c r="Q36" s="53" t="str">
        <f t="shared" si="4"/>
        <v>-</v>
      </c>
      <c r="S36" s="53" t="str">
        <f t="shared" si="5"/>
        <v>-</v>
      </c>
    </row>
    <row r="37" spans="1:19" ht="17.399999999999999" x14ac:dyDescent="0.4">
      <c r="A37" s="54">
        <v>22282</v>
      </c>
      <c r="B37" s="55" t="s">
        <v>23</v>
      </c>
      <c r="C37" s="56">
        <v>740985222829</v>
      </c>
      <c r="D37" s="57">
        <v>60</v>
      </c>
      <c r="E37" s="57" t="s">
        <v>190</v>
      </c>
      <c r="F37" s="58">
        <v>0.12709941827629145</v>
      </c>
      <c r="G37" s="57">
        <v>24</v>
      </c>
      <c r="H37" s="59">
        <v>7.4250000000000007</v>
      </c>
      <c r="I37" s="48" t="str">
        <f>IFERROR(VLOOKUP("21ST-"&amp;A37,[1]Лист1!$B$16:$P$170,15,FALSE),"С")</f>
        <v>В</v>
      </c>
      <c r="J37" s="26"/>
      <c r="K37" s="60">
        <f t="shared" si="0"/>
        <v>0</v>
      </c>
      <c r="N37" s="51" t="str">
        <f t="shared" si="1"/>
        <v>-</v>
      </c>
      <c r="O37" s="51" t="str">
        <f t="shared" si="2"/>
        <v>-</v>
      </c>
      <c r="P37" s="52" t="str">
        <f t="shared" si="3"/>
        <v>-</v>
      </c>
      <c r="Q37" s="53" t="str">
        <f t="shared" si="4"/>
        <v>-</v>
      </c>
      <c r="S37" s="53" t="str">
        <f t="shared" si="5"/>
        <v>-</v>
      </c>
    </row>
    <row r="38" spans="1:19" ht="17.399999999999999" x14ac:dyDescent="0.4">
      <c r="A38" s="54">
        <v>21464</v>
      </c>
      <c r="B38" s="55" t="s">
        <v>207</v>
      </c>
      <c r="C38" s="56">
        <v>740985214640</v>
      </c>
      <c r="D38" s="57">
        <v>110</v>
      </c>
      <c r="E38" s="57" t="s">
        <v>189</v>
      </c>
      <c r="F38" s="58">
        <v>7.8940192125666678E-2</v>
      </c>
      <c r="G38" s="57">
        <v>24</v>
      </c>
      <c r="H38" s="59">
        <v>4.5</v>
      </c>
      <c r="I38" s="48" t="str">
        <f>IFERROR(VLOOKUP("21ST-"&amp;A38,[1]Лист1!$B$16:$P$170,15,FALSE),"С")</f>
        <v>В</v>
      </c>
      <c r="J38" s="26"/>
      <c r="K38" s="60">
        <f t="shared" si="0"/>
        <v>0</v>
      </c>
      <c r="N38" s="51" t="str">
        <f t="shared" si="1"/>
        <v>-</v>
      </c>
      <c r="O38" s="51" t="str">
        <f t="shared" si="2"/>
        <v>-</v>
      </c>
      <c r="P38" s="52" t="str">
        <f t="shared" si="3"/>
        <v>-</v>
      </c>
      <c r="Q38" s="53" t="str">
        <f t="shared" si="4"/>
        <v>-</v>
      </c>
      <c r="S38" s="53" t="str">
        <f t="shared" si="5"/>
        <v>-</v>
      </c>
    </row>
    <row r="39" spans="1:19" ht="17.399999999999999" x14ac:dyDescent="0.4">
      <c r="A39" s="54">
        <v>21339</v>
      </c>
      <c r="B39" s="55" t="s">
        <v>119</v>
      </c>
      <c r="C39" s="56">
        <v>740985213391</v>
      </c>
      <c r="D39" s="57">
        <v>100</v>
      </c>
      <c r="E39" s="57" t="s">
        <v>191</v>
      </c>
      <c r="F39" s="58">
        <v>0.11688459010268035</v>
      </c>
      <c r="G39" s="57">
        <v>24</v>
      </c>
      <c r="H39" s="59">
        <v>6.5849999999999991</v>
      </c>
      <c r="I39" s="48" t="str">
        <f>IFERROR(VLOOKUP("21ST-"&amp;A39,[1]Лист1!$B$16:$P$170,15,FALSE),"С")</f>
        <v>В</v>
      </c>
      <c r="J39" s="26"/>
      <c r="K39" s="60">
        <f t="shared" si="0"/>
        <v>0</v>
      </c>
      <c r="N39" s="51" t="str">
        <f t="shared" si="1"/>
        <v>-</v>
      </c>
      <c r="O39" s="51" t="str">
        <f t="shared" si="2"/>
        <v>-</v>
      </c>
      <c r="P39" s="52" t="str">
        <f t="shared" si="3"/>
        <v>-</v>
      </c>
      <c r="Q39" s="53" t="str">
        <f t="shared" si="4"/>
        <v>-</v>
      </c>
      <c r="S39" s="53" t="str">
        <f t="shared" si="5"/>
        <v>-</v>
      </c>
    </row>
    <row r="40" spans="1:19" ht="17.399999999999999" x14ac:dyDescent="0.4">
      <c r="A40" s="54">
        <v>28071</v>
      </c>
      <c r="B40" s="55" t="s">
        <v>163</v>
      </c>
      <c r="C40" s="56">
        <v>740985280713</v>
      </c>
      <c r="D40" s="57">
        <v>60</v>
      </c>
      <c r="E40" s="57" t="s">
        <v>221</v>
      </c>
      <c r="F40" s="58">
        <v>8.2630866293837785E-2</v>
      </c>
      <c r="G40" s="57">
        <v>24</v>
      </c>
      <c r="H40" s="59">
        <v>10.515000000000001</v>
      </c>
      <c r="I40" s="48" t="str">
        <f>IFERROR(VLOOKUP("21ST-"&amp;A40,[1]Лист1!$B$16:$P$170,15,FALSE),"С")</f>
        <v>В</v>
      </c>
      <c r="J40" s="26"/>
      <c r="K40" s="60">
        <f t="shared" si="0"/>
        <v>0</v>
      </c>
      <c r="N40" s="51" t="str">
        <f t="shared" si="1"/>
        <v>-</v>
      </c>
      <c r="O40" s="51" t="str">
        <f t="shared" si="2"/>
        <v>-</v>
      </c>
      <c r="P40" s="52" t="str">
        <f t="shared" si="3"/>
        <v>-</v>
      </c>
      <c r="Q40" s="53" t="str">
        <f t="shared" si="4"/>
        <v>-</v>
      </c>
      <c r="S40" s="53" t="str">
        <f t="shared" si="5"/>
        <v>-</v>
      </c>
    </row>
    <row r="41" spans="1:19" ht="17.399999999999999" x14ac:dyDescent="0.4">
      <c r="A41" s="54">
        <v>22309</v>
      </c>
      <c r="B41" s="55" t="s">
        <v>12</v>
      </c>
      <c r="C41" s="56">
        <v>740985223093</v>
      </c>
      <c r="D41" s="57">
        <v>110</v>
      </c>
      <c r="E41" s="57" t="s">
        <v>190</v>
      </c>
      <c r="F41" s="58">
        <v>8.0848946267996699E-2</v>
      </c>
      <c r="G41" s="57">
        <v>24</v>
      </c>
      <c r="H41" s="59">
        <v>4.1399999999999997</v>
      </c>
      <c r="I41" s="48" t="str">
        <f>IFERROR(VLOOKUP("21ST-"&amp;A41,[1]Лист1!$B$16:$P$170,15,FALSE),"С")</f>
        <v>В</v>
      </c>
      <c r="J41" s="26"/>
      <c r="K41" s="60">
        <f t="shared" si="0"/>
        <v>0</v>
      </c>
      <c r="N41" s="51" t="str">
        <f t="shared" si="1"/>
        <v>-</v>
      </c>
      <c r="O41" s="51" t="str">
        <f t="shared" si="2"/>
        <v>-</v>
      </c>
      <c r="P41" s="52" t="str">
        <f t="shared" si="3"/>
        <v>-</v>
      </c>
      <c r="Q41" s="53" t="str">
        <f t="shared" si="4"/>
        <v>-</v>
      </c>
      <c r="S41" s="53" t="str">
        <f t="shared" si="5"/>
        <v>-</v>
      </c>
    </row>
    <row r="42" spans="1:19" ht="17.399999999999999" x14ac:dyDescent="0.4">
      <c r="A42" s="54">
        <v>21196</v>
      </c>
      <c r="B42" s="55" t="s">
        <v>11</v>
      </c>
      <c r="C42" s="56">
        <v>740985211960</v>
      </c>
      <c r="D42" s="57">
        <v>110</v>
      </c>
      <c r="E42" s="57" t="s">
        <v>190</v>
      </c>
      <c r="F42" s="58">
        <v>0.12953962722887635</v>
      </c>
      <c r="G42" s="57">
        <v>24</v>
      </c>
      <c r="H42" s="59">
        <v>4.1399999999999997</v>
      </c>
      <c r="I42" s="48" t="str">
        <f>IFERROR(VLOOKUP("21ST-"&amp;A42,[1]Лист1!$B$16:$P$170,15,FALSE),"С")</f>
        <v>В</v>
      </c>
      <c r="J42" s="26"/>
      <c r="K42" s="60">
        <f t="shared" si="0"/>
        <v>0</v>
      </c>
      <c r="N42" s="51" t="str">
        <f t="shared" si="1"/>
        <v>-</v>
      </c>
      <c r="O42" s="51" t="str">
        <f t="shared" si="2"/>
        <v>-</v>
      </c>
      <c r="P42" s="52" t="str">
        <f t="shared" si="3"/>
        <v>-</v>
      </c>
      <c r="Q42" s="53" t="str">
        <f t="shared" si="4"/>
        <v>-</v>
      </c>
      <c r="S42" s="53" t="str">
        <f t="shared" si="5"/>
        <v>-</v>
      </c>
    </row>
    <row r="43" spans="1:19" ht="17.399999999999999" x14ac:dyDescent="0.4">
      <c r="A43" s="54">
        <v>22338</v>
      </c>
      <c r="B43" s="55" t="s">
        <v>26</v>
      </c>
      <c r="C43" s="56">
        <v>740985223383</v>
      </c>
      <c r="D43" s="57">
        <v>250</v>
      </c>
      <c r="E43" s="57" t="s">
        <v>190</v>
      </c>
      <c r="F43" s="58">
        <v>0.27177496173315846</v>
      </c>
      <c r="G43" s="57">
        <v>12</v>
      </c>
      <c r="H43" s="59">
        <v>6.5849999999999991</v>
      </c>
      <c r="I43" s="48" t="str">
        <f>IFERROR(VLOOKUP("21ST-"&amp;A43,[1]Лист1!$B$16:$P$170,15,FALSE),"С")</f>
        <v>В</v>
      </c>
      <c r="J43" s="26"/>
      <c r="K43" s="60">
        <f t="shared" si="0"/>
        <v>0</v>
      </c>
      <c r="N43" s="51" t="str">
        <f t="shared" si="1"/>
        <v>-</v>
      </c>
      <c r="O43" s="51" t="str">
        <f t="shared" si="2"/>
        <v>-</v>
      </c>
      <c r="P43" s="52" t="str">
        <f t="shared" si="3"/>
        <v>-</v>
      </c>
      <c r="Q43" s="53" t="str">
        <f t="shared" si="4"/>
        <v>-</v>
      </c>
      <c r="S43" s="53" t="str">
        <f t="shared" si="5"/>
        <v>-</v>
      </c>
    </row>
    <row r="44" spans="1:19" ht="17.399999999999999" x14ac:dyDescent="0.4">
      <c r="A44" s="54">
        <v>27492</v>
      </c>
      <c r="B44" s="55" t="s">
        <v>56</v>
      </c>
      <c r="C44" s="56">
        <v>740985274927</v>
      </c>
      <c r="D44" s="57">
        <v>75</v>
      </c>
      <c r="E44" s="57" t="s">
        <v>190</v>
      </c>
      <c r="F44" s="58">
        <v>0.18160000000000001</v>
      </c>
      <c r="G44" s="57">
        <v>12</v>
      </c>
      <c r="H44" s="59">
        <v>4.7249999999999996</v>
      </c>
      <c r="I44" s="48" t="str">
        <f>IFERROR(VLOOKUP("21ST-"&amp;A44,[1]Лист1!$B$16:$P$170,15,FALSE),"С")</f>
        <v>В</v>
      </c>
      <c r="J44" s="26"/>
      <c r="K44" s="60">
        <f t="shared" si="0"/>
        <v>0</v>
      </c>
      <c r="N44" s="51" t="str">
        <f t="shared" si="1"/>
        <v>-</v>
      </c>
      <c r="O44" s="51" t="str">
        <f t="shared" si="2"/>
        <v>-</v>
      </c>
      <c r="P44" s="52" t="str">
        <f t="shared" si="3"/>
        <v>-</v>
      </c>
      <c r="Q44" s="53" t="str">
        <f t="shared" si="4"/>
        <v>-</v>
      </c>
      <c r="S44" s="53" t="str">
        <f t="shared" si="5"/>
        <v>-</v>
      </c>
    </row>
    <row r="45" spans="1:19" ht="17.399999999999999" x14ac:dyDescent="0.4">
      <c r="A45" s="54">
        <v>27493</v>
      </c>
      <c r="B45" s="55" t="s">
        <v>56</v>
      </c>
      <c r="C45" s="56">
        <v>740985274934</v>
      </c>
      <c r="D45" s="57">
        <v>120</v>
      </c>
      <c r="E45" s="57" t="s">
        <v>190</v>
      </c>
      <c r="F45" s="58">
        <v>0.30645</v>
      </c>
      <c r="G45" s="57">
        <v>12</v>
      </c>
      <c r="H45" s="59">
        <v>6.5549999999999997</v>
      </c>
      <c r="I45" s="48" t="str">
        <f>IFERROR(VLOOKUP("21ST-"&amp;A45,[1]Лист1!$B$16:$P$170,15,FALSE),"С")</f>
        <v>В</v>
      </c>
      <c r="J45" s="26"/>
      <c r="K45" s="60">
        <f t="shared" si="0"/>
        <v>0</v>
      </c>
      <c r="N45" s="51" t="str">
        <f t="shared" si="1"/>
        <v>-</v>
      </c>
      <c r="O45" s="51" t="str">
        <f t="shared" si="2"/>
        <v>-</v>
      </c>
      <c r="P45" s="52" t="str">
        <f t="shared" si="3"/>
        <v>-</v>
      </c>
      <c r="Q45" s="53" t="str">
        <f t="shared" si="4"/>
        <v>-</v>
      </c>
      <c r="S45" s="53" t="str">
        <f t="shared" si="5"/>
        <v>-</v>
      </c>
    </row>
    <row r="46" spans="1:19" ht="17.399999999999999" x14ac:dyDescent="0.4">
      <c r="A46" s="54">
        <v>21368</v>
      </c>
      <c r="B46" s="55" t="s">
        <v>67</v>
      </c>
      <c r="C46" s="56">
        <v>740985213681</v>
      </c>
      <c r="D46" s="57">
        <v>100</v>
      </c>
      <c r="E46" s="57" t="s">
        <v>190</v>
      </c>
      <c r="F46" s="58">
        <v>7.9450000000000007E-2</v>
      </c>
      <c r="G46" s="57">
        <v>24</v>
      </c>
      <c r="H46" s="59">
        <v>4.1399999999999997</v>
      </c>
      <c r="I46" s="48" t="str">
        <f>IFERROR(VLOOKUP("21ST-"&amp;A46,[1]Лист1!$B$16:$P$170,15,FALSE),"С")</f>
        <v>В</v>
      </c>
      <c r="J46" s="26"/>
      <c r="K46" s="60">
        <f t="shared" si="0"/>
        <v>0</v>
      </c>
      <c r="N46" s="51" t="str">
        <f t="shared" si="1"/>
        <v>-</v>
      </c>
      <c r="O46" s="51" t="str">
        <f t="shared" si="2"/>
        <v>-</v>
      </c>
      <c r="P46" s="52" t="str">
        <f t="shared" si="3"/>
        <v>-</v>
      </c>
      <c r="Q46" s="53" t="str">
        <f t="shared" si="4"/>
        <v>-</v>
      </c>
      <c r="S46" s="53" t="str">
        <f t="shared" si="5"/>
        <v>-</v>
      </c>
    </row>
    <row r="47" spans="1:19" ht="17.399999999999999" x14ac:dyDescent="0.4">
      <c r="A47" s="54">
        <v>27848</v>
      </c>
      <c r="B47" s="55" t="s">
        <v>134</v>
      </c>
      <c r="C47" s="56">
        <v>740985278482</v>
      </c>
      <c r="D47" s="57">
        <v>60</v>
      </c>
      <c r="E47" s="57" t="s">
        <v>190</v>
      </c>
      <c r="F47" s="58">
        <v>9.0800000000000006E-2</v>
      </c>
      <c r="G47" s="57">
        <v>12</v>
      </c>
      <c r="H47" s="59">
        <v>6.5849999999999991</v>
      </c>
      <c r="I47" s="48" t="str">
        <f>IFERROR(VLOOKUP("21ST-"&amp;A47,[1]Лист1!$B$16:$P$170,15,FALSE),"С")</f>
        <v>В</v>
      </c>
      <c r="J47" s="26"/>
      <c r="K47" s="60">
        <f t="shared" si="0"/>
        <v>0</v>
      </c>
      <c r="N47" s="51" t="str">
        <f t="shared" si="1"/>
        <v>-</v>
      </c>
      <c r="O47" s="51" t="str">
        <f t="shared" si="2"/>
        <v>-</v>
      </c>
      <c r="P47" s="52" t="str">
        <f t="shared" si="3"/>
        <v>-</v>
      </c>
      <c r="Q47" s="53" t="str">
        <f t="shared" si="4"/>
        <v>-</v>
      </c>
      <c r="S47" s="53" t="str">
        <f t="shared" si="5"/>
        <v>-</v>
      </c>
    </row>
    <row r="48" spans="1:19" ht="17.399999999999999" x14ac:dyDescent="0.4">
      <c r="A48" s="54">
        <v>21495</v>
      </c>
      <c r="B48" s="55" t="s">
        <v>138</v>
      </c>
      <c r="C48" s="56">
        <v>740985214954</v>
      </c>
      <c r="D48" s="57">
        <v>60</v>
      </c>
      <c r="E48" s="57" t="s">
        <v>189</v>
      </c>
      <c r="F48" s="58">
        <v>0.14242166053670813</v>
      </c>
      <c r="G48" s="57">
        <v>24</v>
      </c>
      <c r="H48" s="59">
        <v>4.5</v>
      </c>
      <c r="I48" s="48" t="str">
        <f>IFERROR(VLOOKUP("21ST-"&amp;A48,[1]Лист1!$B$16:$P$170,15,FALSE),"С")</f>
        <v>В</v>
      </c>
      <c r="J48" s="26"/>
      <c r="K48" s="60">
        <f t="shared" si="0"/>
        <v>0</v>
      </c>
      <c r="N48" s="51" t="str">
        <f t="shared" si="1"/>
        <v>-</v>
      </c>
      <c r="O48" s="51" t="str">
        <f t="shared" si="2"/>
        <v>-</v>
      </c>
      <c r="P48" s="52" t="str">
        <f t="shared" si="3"/>
        <v>-</v>
      </c>
      <c r="Q48" s="53" t="str">
        <f t="shared" si="4"/>
        <v>-</v>
      </c>
      <c r="S48" s="53" t="str">
        <f t="shared" si="5"/>
        <v>-</v>
      </c>
    </row>
    <row r="49" spans="1:19" ht="17.399999999999999" x14ac:dyDescent="0.4">
      <c r="A49" s="54">
        <v>27026</v>
      </c>
      <c r="B49" s="55" t="s">
        <v>139</v>
      </c>
      <c r="C49" s="56">
        <v>740985270264</v>
      </c>
      <c r="D49" s="57">
        <v>90</v>
      </c>
      <c r="E49" s="57" t="s">
        <v>189</v>
      </c>
      <c r="F49" s="58">
        <v>0.23159663758362142</v>
      </c>
      <c r="G49" s="57">
        <v>12</v>
      </c>
      <c r="H49" s="59">
        <v>6.75</v>
      </c>
      <c r="I49" s="48" t="str">
        <f>IFERROR(VLOOKUP("21ST-"&amp;A49,[1]Лист1!$B$16:$P$170,15,FALSE),"С")</f>
        <v>В</v>
      </c>
      <c r="J49" s="26"/>
      <c r="K49" s="60">
        <f t="shared" si="0"/>
        <v>0</v>
      </c>
      <c r="N49" s="51" t="str">
        <f t="shared" si="1"/>
        <v>-</v>
      </c>
      <c r="O49" s="51" t="str">
        <f t="shared" si="2"/>
        <v>-</v>
      </c>
      <c r="P49" s="52" t="str">
        <f t="shared" si="3"/>
        <v>-</v>
      </c>
      <c r="Q49" s="53" t="str">
        <f t="shared" si="4"/>
        <v>-</v>
      </c>
      <c r="S49" s="53" t="str">
        <f t="shared" si="5"/>
        <v>-</v>
      </c>
    </row>
    <row r="50" spans="1:19" ht="17.399999999999999" x14ac:dyDescent="0.4">
      <c r="A50" s="54">
        <v>21377</v>
      </c>
      <c r="B50" s="55" t="s">
        <v>16</v>
      </c>
      <c r="C50" s="56">
        <v>740985213773</v>
      </c>
      <c r="D50" s="57">
        <v>250</v>
      </c>
      <c r="E50" s="57" t="s">
        <v>190</v>
      </c>
      <c r="F50" s="58">
        <v>0.13249057759014177</v>
      </c>
      <c r="G50" s="57">
        <v>24</v>
      </c>
      <c r="H50" s="59">
        <v>3.3149999999999999</v>
      </c>
      <c r="I50" s="48" t="str">
        <f>IFERROR(VLOOKUP("21ST-"&amp;A50,[1]Лист1!$B$16:$P$170,15,FALSE),"С")</f>
        <v>В</v>
      </c>
      <c r="J50" s="26"/>
      <c r="K50" s="60">
        <f t="shared" si="0"/>
        <v>0</v>
      </c>
      <c r="N50" s="51" t="str">
        <f t="shared" si="1"/>
        <v>-</v>
      </c>
      <c r="O50" s="51" t="str">
        <f t="shared" si="2"/>
        <v>-</v>
      </c>
      <c r="P50" s="52" t="str">
        <f t="shared" si="3"/>
        <v>-</v>
      </c>
      <c r="Q50" s="53" t="str">
        <f t="shared" si="4"/>
        <v>-</v>
      </c>
      <c r="S50" s="53" t="str">
        <f t="shared" si="5"/>
        <v>-</v>
      </c>
    </row>
    <row r="51" spans="1:19" ht="17.399999999999999" x14ac:dyDescent="0.4">
      <c r="A51" s="54">
        <v>21249</v>
      </c>
      <c r="B51" s="55" t="s">
        <v>169</v>
      </c>
      <c r="C51" s="56">
        <v>740985212493</v>
      </c>
      <c r="D51" s="57">
        <v>60</v>
      </c>
      <c r="E51" s="57" t="s">
        <v>221</v>
      </c>
      <c r="F51" s="58">
        <v>7.9450000000000007E-2</v>
      </c>
      <c r="G51" s="57">
        <v>24</v>
      </c>
      <c r="H51" s="59">
        <v>6.5849999999999991</v>
      </c>
      <c r="I51" s="48" t="str">
        <f>IFERROR(VLOOKUP("21ST-"&amp;A51,[1]Лист1!$B$16:$P$170,15,FALSE),"С")</f>
        <v>В</v>
      </c>
      <c r="J51" s="26"/>
      <c r="K51" s="60">
        <f t="shared" si="0"/>
        <v>0</v>
      </c>
      <c r="N51" s="51" t="str">
        <f t="shared" si="1"/>
        <v>-</v>
      </c>
      <c r="O51" s="51" t="str">
        <f t="shared" si="2"/>
        <v>-</v>
      </c>
      <c r="P51" s="52" t="str">
        <f t="shared" si="3"/>
        <v>-</v>
      </c>
      <c r="Q51" s="53" t="str">
        <f t="shared" si="4"/>
        <v>-</v>
      </c>
      <c r="S51" s="53" t="str">
        <f t="shared" si="5"/>
        <v>-</v>
      </c>
    </row>
    <row r="52" spans="1:19" ht="17.399999999999999" x14ac:dyDescent="0.4">
      <c r="A52" s="54">
        <v>22690</v>
      </c>
      <c r="B52" s="55" t="s">
        <v>68</v>
      </c>
      <c r="C52" s="56">
        <v>740985226902</v>
      </c>
      <c r="D52" s="57">
        <v>110</v>
      </c>
      <c r="E52" s="57" t="s">
        <v>190</v>
      </c>
      <c r="F52" s="58">
        <v>0.12252166194663613</v>
      </c>
      <c r="G52" s="57">
        <v>24</v>
      </c>
      <c r="H52" s="59">
        <v>3.3149999999999999</v>
      </c>
      <c r="I52" s="48" t="str">
        <f>IFERROR(VLOOKUP("21ST-"&amp;A52,[1]Лист1!$B$16:$P$170,15,FALSE),"С")</f>
        <v>В</v>
      </c>
      <c r="J52" s="26"/>
      <c r="K52" s="60">
        <f t="shared" si="0"/>
        <v>0</v>
      </c>
      <c r="N52" s="51" t="str">
        <f t="shared" si="1"/>
        <v>-</v>
      </c>
      <c r="O52" s="51" t="str">
        <f t="shared" si="2"/>
        <v>-</v>
      </c>
      <c r="P52" s="52" t="str">
        <f t="shared" si="3"/>
        <v>-</v>
      </c>
      <c r="Q52" s="53" t="str">
        <f t="shared" si="4"/>
        <v>-</v>
      </c>
      <c r="S52" s="53" t="str">
        <f t="shared" si="5"/>
        <v>-</v>
      </c>
    </row>
    <row r="53" spans="1:19" ht="17.399999999999999" x14ac:dyDescent="0.4">
      <c r="A53" s="54">
        <v>27086</v>
      </c>
      <c r="B53" s="55" t="s">
        <v>146</v>
      </c>
      <c r="C53" s="56">
        <v>740985270868</v>
      </c>
      <c r="D53" s="57">
        <v>100</v>
      </c>
      <c r="E53" s="57" t="s">
        <v>190</v>
      </c>
      <c r="F53" s="58">
        <v>0.23034815858462449</v>
      </c>
      <c r="G53" s="57">
        <v>12</v>
      </c>
      <c r="H53" s="59">
        <v>9.8999999999999986</v>
      </c>
      <c r="I53" s="48" t="str">
        <f>IFERROR(VLOOKUP("21ST-"&amp;A53,[1]Лист1!$B$16:$P$170,15,FALSE),"С")</f>
        <v>В</v>
      </c>
      <c r="J53" s="26"/>
      <c r="K53" s="60">
        <f t="shared" si="0"/>
        <v>0</v>
      </c>
      <c r="N53" s="51" t="str">
        <f t="shared" si="1"/>
        <v>-</v>
      </c>
      <c r="O53" s="51" t="str">
        <f t="shared" si="2"/>
        <v>-</v>
      </c>
      <c r="P53" s="52" t="str">
        <f t="shared" si="3"/>
        <v>-</v>
      </c>
      <c r="Q53" s="53" t="str">
        <f t="shared" si="4"/>
        <v>-</v>
      </c>
      <c r="S53" s="53" t="str">
        <f t="shared" si="5"/>
        <v>-</v>
      </c>
    </row>
    <row r="54" spans="1:19" ht="17.399999999999999" x14ac:dyDescent="0.4">
      <c r="A54" s="54">
        <v>28064</v>
      </c>
      <c r="B54" s="55" t="s">
        <v>73</v>
      </c>
      <c r="C54" s="56">
        <v>740985280645</v>
      </c>
      <c r="D54" s="57">
        <v>90</v>
      </c>
      <c r="E54" s="57" t="s">
        <v>191</v>
      </c>
      <c r="F54" s="58">
        <v>0.13220337067132712</v>
      </c>
      <c r="G54" s="57">
        <v>24</v>
      </c>
      <c r="H54" s="59">
        <v>8.25</v>
      </c>
      <c r="I54" s="48" t="str">
        <f>IFERROR(VLOOKUP("21ST-"&amp;A54,[1]Лист1!$B$16:$P$170,15,FALSE),"С")</f>
        <v>В</v>
      </c>
      <c r="J54" s="26"/>
      <c r="K54" s="60">
        <f t="shared" si="0"/>
        <v>0</v>
      </c>
      <c r="N54" s="51" t="str">
        <f t="shared" si="1"/>
        <v>-</v>
      </c>
      <c r="O54" s="51" t="str">
        <f t="shared" si="2"/>
        <v>-</v>
      </c>
      <c r="P54" s="52" t="str">
        <f t="shared" si="3"/>
        <v>-</v>
      </c>
      <c r="Q54" s="53" t="str">
        <f t="shared" si="4"/>
        <v>-</v>
      </c>
      <c r="S54" s="53" t="str">
        <f t="shared" si="5"/>
        <v>-</v>
      </c>
    </row>
    <row r="55" spans="1:19" ht="17.399999999999999" x14ac:dyDescent="0.4">
      <c r="A55" s="54">
        <v>22721</v>
      </c>
      <c r="B55" s="55" t="s">
        <v>151</v>
      </c>
      <c r="C55" s="56">
        <v>740985227213</v>
      </c>
      <c r="D55" s="57">
        <v>200</v>
      </c>
      <c r="E55" s="57" t="s">
        <v>190</v>
      </c>
      <c r="F55" s="58">
        <v>0.11291215692405383</v>
      </c>
      <c r="G55" s="57">
        <v>24</v>
      </c>
      <c r="H55" s="59">
        <v>6.5849999999999991</v>
      </c>
      <c r="I55" s="48" t="str">
        <f>IFERROR(VLOOKUP("21ST-"&amp;A55,[1]Лист1!$B$16:$P$170,15,FALSE),"С")</f>
        <v>В</v>
      </c>
      <c r="J55" s="26"/>
      <c r="K55" s="60">
        <f t="shared" si="0"/>
        <v>0</v>
      </c>
      <c r="N55" s="51" t="str">
        <f t="shared" si="1"/>
        <v>-</v>
      </c>
      <c r="O55" s="51" t="str">
        <f t="shared" si="2"/>
        <v>-</v>
      </c>
      <c r="P55" s="52" t="str">
        <f t="shared" si="3"/>
        <v>-</v>
      </c>
      <c r="Q55" s="53" t="str">
        <f t="shared" si="4"/>
        <v>-</v>
      </c>
      <c r="S55" s="53" t="str">
        <f t="shared" si="5"/>
        <v>-</v>
      </c>
    </row>
    <row r="56" spans="1:19" ht="17.399999999999999" x14ac:dyDescent="0.4">
      <c r="A56" s="54">
        <v>21364</v>
      </c>
      <c r="B56" s="55" t="s">
        <v>18</v>
      </c>
      <c r="C56" s="56">
        <v>740985213643</v>
      </c>
      <c r="D56" s="57">
        <v>110</v>
      </c>
      <c r="E56" s="57" t="s">
        <v>190</v>
      </c>
      <c r="F56" s="58">
        <v>0.13016386672837479</v>
      </c>
      <c r="G56" s="57">
        <v>24</v>
      </c>
      <c r="H56" s="59">
        <v>2.4749999999999996</v>
      </c>
      <c r="I56" s="48" t="str">
        <f>IFERROR(VLOOKUP("21ST-"&amp;A56,[1]Лист1!$B$16:$P$170,15,FALSE),"С")</f>
        <v>В</v>
      </c>
      <c r="J56" s="26"/>
      <c r="K56" s="60">
        <f t="shared" si="0"/>
        <v>0</v>
      </c>
      <c r="N56" s="51" t="str">
        <f t="shared" si="1"/>
        <v>-</v>
      </c>
      <c r="O56" s="51" t="str">
        <f t="shared" si="2"/>
        <v>-</v>
      </c>
      <c r="P56" s="52" t="str">
        <f t="shared" si="3"/>
        <v>-</v>
      </c>
      <c r="Q56" s="53" t="str">
        <f t="shared" si="4"/>
        <v>-</v>
      </c>
      <c r="S56" s="53" t="str">
        <f t="shared" si="5"/>
        <v>-</v>
      </c>
    </row>
    <row r="57" spans="1:19" ht="17.399999999999999" x14ac:dyDescent="0.4">
      <c r="A57" s="54">
        <v>22849</v>
      </c>
      <c r="B57" s="55" t="s">
        <v>19</v>
      </c>
      <c r="C57" s="56">
        <v>740985228494</v>
      </c>
      <c r="D57" s="57">
        <v>110</v>
      </c>
      <c r="E57" s="57" t="s">
        <v>190</v>
      </c>
      <c r="F57" s="58">
        <v>0.13515778272436244</v>
      </c>
      <c r="G57" s="57">
        <v>24</v>
      </c>
      <c r="H57" s="59">
        <v>3.3149999999999999</v>
      </c>
      <c r="I57" s="48" t="str">
        <f>IFERROR(VLOOKUP("21ST-"&amp;A57,[1]Лист1!$B$16:$P$170,15,FALSE),"С")</f>
        <v>В</v>
      </c>
      <c r="J57" s="26"/>
      <c r="K57" s="60">
        <f t="shared" si="0"/>
        <v>0</v>
      </c>
      <c r="N57" s="51" t="str">
        <f t="shared" si="1"/>
        <v>-</v>
      </c>
      <c r="O57" s="51" t="str">
        <f t="shared" si="2"/>
        <v>-</v>
      </c>
      <c r="P57" s="52" t="str">
        <f t="shared" si="3"/>
        <v>-</v>
      </c>
      <c r="Q57" s="53" t="str">
        <f t="shared" si="4"/>
        <v>-</v>
      </c>
      <c r="S57" s="53" t="str">
        <f t="shared" si="5"/>
        <v>-</v>
      </c>
    </row>
    <row r="58" spans="1:19" ht="17.399999999999999" x14ac:dyDescent="0.4">
      <c r="A58" s="54">
        <v>27310</v>
      </c>
      <c r="B58" s="55" t="s">
        <v>92</v>
      </c>
      <c r="C58" s="56">
        <v>740985273104</v>
      </c>
      <c r="D58" s="57">
        <v>60</v>
      </c>
      <c r="E58" s="57" t="s">
        <v>190</v>
      </c>
      <c r="F58" s="58">
        <v>0.12485</v>
      </c>
      <c r="G58" s="57">
        <v>12</v>
      </c>
      <c r="H58" s="59">
        <v>5.7450000000000001</v>
      </c>
      <c r="I58" s="48" t="str">
        <f>IFERROR(VLOOKUP("21ST-"&amp;A58,[1]Лист1!$B$16:$P$170,15,FALSE),"С")</f>
        <v>В</v>
      </c>
      <c r="J58" s="26"/>
      <c r="K58" s="60">
        <f t="shared" si="0"/>
        <v>0</v>
      </c>
      <c r="N58" s="51" t="str">
        <f t="shared" si="1"/>
        <v>-</v>
      </c>
      <c r="O58" s="51" t="str">
        <f t="shared" si="2"/>
        <v>-</v>
      </c>
      <c r="P58" s="52" t="str">
        <f t="shared" si="3"/>
        <v>-</v>
      </c>
      <c r="Q58" s="53" t="str">
        <f t="shared" si="4"/>
        <v>-</v>
      </c>
      <c r="S58" s="53" t="str">
        <f t="shared" si="5"/>
        <v>-</v>
      </c>
    </row>
    <row r="59" spans="1:19" ht="17.399999999999999" x14ac:dyDescent="0.4">
      <c r="A59" s="54">
        <v>27285</v>
      </c>
      <c r="B59" s="55" t="s">
        <v>160</v>
      </c>
      <c r="C59" s="56">
        <v>740985272855</v>
      </c>
      <c r="D59" s="57">
        <v>90</v>
      </c>
      <c r="E59" s="57" t="s">
        <v>191</v>
      </c>
      <c r="F59" s="58">
        <v>0.10214999999999999</v>
      </c>
      <c r="G59" s="57">
        <v>24</v>
      </c>
      <c r="H59" s="59">
        <v>6.5849999999999991</v>
      </c>
      <c r="I59" s="48" t="str">
        <f>IFERROR(VLOOKUP("21ST-"&amp;A59,[1]Лист1!$B$16:$P$170,15,FALSE),"С")</f>
        <v>В</v>
      </c>
      <c r="J59" s="26"/>
      <c r="K59" s="60">
        <f t="shared" si="0"/>
        <v>0</v>
      </c>
      <c r="N59" s="51" t="str">
        <f t="shared" si="1"/>
        <v>-</v>
      </c>
      <c r="O59" s="51" t="str">
        <f t="shared" si="2"/>
        <v>-</v>
      </c>
      <c r="P59" s="52" t="str">
        <f t="shared" si="3"/>
        <v>-</v>
      </c>
      <c r="Q59" s="53" t="str">
        <f t="shared" si="4"/>
        <v>-</v>
      </c>
      <c r="S59" s="53" t="str">
        <f t="shared" si="5"/>
        <v>-</v>
      </c>
    </row>
    <row r="60" spans="1:19" ht="17.399999999999999" x14ac:dyDescent="0.4">
      <c r="A60" s="54">
        <v>21154</v>
      </c>
      <c r="B60" s="55" t="s">
        <v>75</v>
      </c>
      <c r="C60" s="56">
        <v>740985211540</v>
      </c>
      <c r="D60" s="57">
        <v>60</v>
      </c>
      <c r="E60" s="57" t="s">
        <v>191</v>
      </c>
      <c r="F60" s="58">
        <v>8.1132691495041473E-2</v>
      </c>
      <c r="G60" s="57">
        <v>24</v>
      </c>
      <c r="H60" s="59">
        <v>4.1399999999999997</v>
      </c>
      <c r="I60" s="48" t="str">
        <f>IFERROR(VLOOKUP("21ST-"&amp;A60,[1]Лист1!$B$16:$P$170,15,FALSE),"С")</f>
        <v>В</v>
      </c>
      <c r="J60" s="26"/>
      <c r="K60" s="60">
        <f t="shared" si="0"/>
        <v>0</v>
      </c>
      <c r="N60" s="51" t="str">
        <f t="shared" si="1"/>
        <v>-</v>
      </c>
      <c r="O60" s="51" t="str">
        <f t="shared" si="2"/>
        <v>-</v>
      </c>
      <c r="P60" s="52" t="str">
        <f t="shared" si="3"/>
        <v>-</v>
      </c>
      <c r="Q60" s="53" t="str">
        <f t="shared" si="4"/>
        <v>-</v>
      </c>
      <c r="S60" s="53" t="str">
        <f t="shared" si="5"/>
        <v>-</v>
      </c>
    </row>
    <row r="61" spans="1:19" ht="17.399999999999999" x14ac:dyDescent="0.4">
      <c r="A61" s="54">
        <v>22675</v>
      </c>
      <c r="B61" s="55" t="s">
        <v>97</v>
      </c>
      <c r="C61" s="56">
        <v>740985226759</v>
      </c>
      <c r="D61" s="57">
        <v>120</v>
      </c>
      <c r="E61" s="57" t="s">
        <v>190</v>
      </c>
      <c r="F61" s="58">
        <v>0.25210574259441615</v>
      </c>
      <c r="G61" s="57">
        <v>12</v>
      </c>
      <c r="H61" s="59">
        <v>7.4250000000000007</v>
      </c>
      <c r="I61" s="48" t="str">
        <f>IFERROR(VLOOKUP("21ST-"&amp;A61,[1]Лист1!$B$16:$P$170,15,FALSE),"С")</f>
        <v>В</v>
      </c>
      <c r="J61" s="26"/>
      <c r="K61" s="60">
        <f t="shared" si="0"/>
        <v>0</v>
      </c>
      <c r="N61" s="51" t="str">
        <f t="shared" si="1"/>
        <v>-</v>
      </c>
      <c r="O61" s="51" t="str">
        <f t="shared" si="2"/>
        <v>-</v>
      </c>
      <c r="P61" s="52" t="str">
        <f t="shared" si="3"/>
        <v>-</v>
      </c>
      <c r="Q61" s="53" t="str">
        <f t="shared" si="4"/>
        <v>-</v>
      </c>
      <c r="S61" s="53" t="str">
        <f t="shared" si="5"/>
        <v>-</v>
      </c>
    </row>
    <row r="62" spans="1:19" ht="17.399999999999999" x14ac:dyDescent="0.4">
      <c r="A62" s="54">
        <v>28032</v>
      </c>
      <c r="B62" s="55" t="s">
        <v>76</v>
      </c>
      <c r="C62" s="56">
        <v>740985280324</v>
      </c>
      <c r="D62" s="57">
        <v>360</v>
      </c>
      <c r="E62" s="57" t="s">
        <v>190</v>
      </c>
      <c r="F62" s="58">
        <v>0.38155788171162036</v>
      </c>
      <c r="G62" s="57">
        <v>12</v>
      </c>
      <c r="H62" s="59">
        <v>6.5849999999999991</v>
      </c>
      <c r="I62" s="48" t="str">
        <f>IFERROR(VLOOKUP("21ST-"&amp;A62,[1]Лист1!$B$16:$P$170,15,FALSE),"С")</f>
        <v>В</v>
      </c>
      <c r="J62" s="26"/>
      <c r="K62" s="60">
        <f t="shared" si="0"/>
        <v>0</v>
      </c>
      <c r="N62" s="51" t="str">
        <f t="shared" si="1"/>
        <v>-</v>
      </c>
      <c r="O62" s="51" t="str">
        <f t="shared" si="2"/>
        <v>-</v>
      </c>
      <c r="P62" s="52" t="str">
        <f t="shared" si="3"/>
        <v>-</v>
      </c>
      <c r="Q62" s="53" t="str">
        <f t="shared" si="4"/>
        <v>-</v>
      </c>
      <c r="S62" s="53" t="str">
        <f t="shared" si="5"/>
        <v>-</v>
      </c>
    </row>
    <row r="63" spans="1:19" ht="17.399999999999999" x14ac:dyDescent="0.4">
      <c r="A63" s="54">
        <v>22672</v>
      </c>
      <c r="B63" s="55" t="s">
        <v>77</v>
      </c>
      <c r="C63" s="56">
        <v>740985226728</v>
      </c>
      <c r="D63" s="57">
        <v>90</v>
      </c>
      <c r="E63" s="57" t="s">
        <v>192</v>
      </c>
      <c r="F63" s="58">
        <v>0.18160000000000001</v>
      </c>
      <c r="G63" s="57">
        <v>24</v>
      </c>
      <c r="H63" s="59">
        <v>4.1399999999999997</v>
      </c>
      <c r="I63" s="48" t="str">
        <f>IFERROR(VLOOKUP("21ST-"&amp;A63,[1]Лист1!$B$16:$P$170,15,FALSE),"С")</f>
        <v>В</v>
      </c>
      <c r="J63" s="26"/>
      <c r="K63" s="60">
        <f t="shared" si="0"/>
        <v>0</v>
      </c>
      <c r="N63" s="51" t="str">
        <f t="shared" si="1"/>
        <v>-</v>
      </c>
      <c r="O63" s="51" t="str">
        <f t="shared" si="2"/>
        <v>-</v>
      </c>
      <c r="P63" s="52" t="str">
        <f t="shared" si="3"/>
        <v>-</v>
      </c>
      <c r="Q63" s="53" t="str">
        <f t="shared" si="4"/>
        <v>-</v>
      </c>
      <c r="S63" s="53" t="str">
        <f t="shared" si="5"/>
        <v>-</v>
      </c>
    </row>
    <row r="64" spans="1:19" ht="17.399999999999999" x14ac:dyDescent="0.4">
      <c r="A64" s="54">
        <v>22928</v>
      </c>
      <c r="B64" s="55" t="s">
        <v>120</v>
      </c>
      <c r="C64" s="56">
        <v>740985229286</v>
      </c>
      <c r="D64" s="57">
        <v>150</v>
      </c>
      <c r="E64" s="57" t="s">
        <v>191</v>
      </c>
      <c r="F64" s="58">
        <v>0.17388285840271867</v>
      </c>
      <c r="G64" s="57">
        <v>12</v>
      </c>
      <c r="H64" s="59">
        <v>8.25</v>
      </c>
      <c r="I64" s="48" t="str">
        <f>IFERROR(VLOOKUP("21ST-"&amp;A64,[1]Лист1!$B$16:$P$170,15,FALSE),"С")</f>
        <v>В</v>
      </c>
      <c r="J64" s="26"/>
      <c r="K64" s="60">
        <f t="shared" si="0"/>
        <v>0</v>
      </c>
      <c r="N64" s="51" t="str">
        <f t="shared" si="1"/>
        <v>-</v>
      </c>
      <c r="O64" s="51" t="str">
        <f t="shared" si="2"/>
        <v>-</v>
      </c>
      <c r="P64" s="52" t="str">
        <f t="shared" si="3"/>
        <v>-</v>
      </c>
      <c r="Q64" s="53" t="str">
        <f t="shared" si="4"/>
        <v>-</v>
      </c>
      <c r="S64" s="53" t="str">
        <f t="shared" si="5"/>
        <v>-</v>
      </c>
    </row>
    <row r="65" spans="1:19" ht="17.399999999999999" x14ac:dyDescent="0.4">
      <c r="A65" s="54">
        <v>22383</v>
      </c>
      <c r="B65" s="55" t="s">
        <v>31</v>
      </c>
      <c r="C65" s="56">
        <v>740985223833</v>
      </c>
      <c r="D65" s="57">
        <v>110</v>
      </c>
      <c r="E65" s="57" t="s">
        <v>190</v>
      </c>
      <c r="F65" s="58">
        <v>0.23625005930715537</v>
      </c>
      <c r="G65" s="57">
        <v>12</v>
      </c>
      <c r="H65" s="59">
        <v>7.4250000000000007</v>
      </c>
      <c r="I65" s="48" t="str">
        <f>IFERROR(VLOOKUP("21ST-"&amp;A65,[1]Лист1!$B$16:$P$170,15,FALSE),"С")</f>
        <v>В</v>
      </c>
      <c r="J65" s="26"/>
      <c r="K65" s="60">
        <f t="shared" si="0"/>
        <v>0</v>
      </c>
      <c r="N65" s="51" t="str">
        <f t="shared" si="1"/>
        <v>-</v>
      </c>
      <c r="O65" s="51" t="str">
        <f t="shared" si="2"/>
        <v>-</v>
      </c>
      <c r="P65" s="52" t="str">
        <f t="shared" si="3"/>
        <v>-</v>
      </c>
      <c r="Q65" s="53" t="str">
        <f t="shared" si="4"/>
        <v>-</v>
      </c>
      <c r="S65" s="53" t="str">
        <f t="shared" si="5"/>
        <v>-</v>
      </c>
    </row>
    <row r="66" spans="1:19" ht="17.399999999999999" x14ac:dyDescent="0.4">
      <c r="A66" s="54">
        <v>27288</v>
      </c>
      <c r="B66" s="55" t="s">
        <v>37</v>
      </c>
      <c r="C66" s="56">
        <v>740985272886</v>
      </c>
      <c r="D66" s="57">
        <v>110</v>
      </c>
      <c r="E66" s="57" t="s">
        <v>190</v>
      </c>
      <c r="F66" s="58">
        <v>8.0848946267996699E-2</v>
      </c>
      <c r="G66" s="57">
        <v>24</v>
      </c>
      <c r="H66" s="59">
        <v>8.25</v>
      </c>
      <c r="I66" s="48" t="str">
        <f>IFERROR(VLOOKUP("21ST-"&amp;A66,[1]Лист1!$B$16:$P$170,15,FALSE),"С")</f>
        <v>В</v>
      </c>
      <c r="J66" s="26"/>
      <c r="K66" s="60">
        <f t="shared" si="0"/>
        <v>0</v>
      </c>
      <c r="N66" s="51" t="str">
        <f t="shared" si="1"/>
        <v>-</v>
      </c>
      <c r="O66" s="51" t="str">
        <f t="shared" si="2"/>
        <v>-</v>
      </c>
      <c r="P66" s="52" t="str">
        <f t="shared" si="3"/>
        <v>-</v>
      </c>
      <c r="Q66" s="53" t="str">
        <f t="shared" si="4"/>
        <v>-</v>
      </c>
      <c r="S66" s="53" t="str">
        <f t="shared" si="5"/>
        <v>-</v>
      </c>
    </row>
    <row r="67" spans="1:19" ht="17.399999999999999" x14ac:dyDescent="0.4">
      <c r="A67" s="54">
        <v>21177</v>
      </c>
      <c r="B67" s="55" t="s">
        <v>136</v>
      </c>
      <c r="C67" s="56">
        <v>740985211779</v>
      </c>
      <c r="D67" s="57">
        <v>90</v>
      </c>
      <c r="E67" s="57" t="s">
        <v>191</v>
      </c>
      <c r="F67" s="58">
        <v>9.9519382207541487E-2</v>
      </c>
      <c r="G67" s="57">
        <v>24</v>
      </c>
      <c r="H67" s="59">
        <v>5.7450000000000001</v>
      </c>
      <c r="I67" s="48" t="str">
        <f>IFERROR(VLOOKUP("21ST-"&amp;A67,[1]Лист1!$B$16:$P$170,15,FALSE),"С")</f>
        <v>В</v>
      </c>
      <c r="J67" s="26"/>
      <c r="K67" s="60">
        <f t="shared" ref="K67:K130" si="6">SUM(H67*J67)</f>
        <v>0</v>
      </c>
      <c r="N67" s="51" t="str">
        <f t="shared" si="1"/>
        <v>-</v>
      </c>
      <c r="O67" s="51" t="str">
        <f t="shared" si="2"/>
        <v>-</v>
      </c>
      <c r="P67" s="52" t="str">
        <f t="shared" si="3"/>
        <v>-</v>
      </c>
      <c r="Q67" s="53" t="str">
        <f t="shared" si="4"/>
        <v>-</v>
      </c>
      <c r="S67" s="53" t="str">
        <f t="shared" si="5"/>
        <v>-</v>
      </c>
    </row>
    <row r="68" spans="1:19" ht="17.399999999999999" x14ac:dyDescent="0.4">
      <c r="A68" s="54">
        <v>22872</v>
      </c>
      <c r="B68" s="55" t="s">
        <v>138</v>
      </c>
      <c r="C68" s="56">
        <v>740985228722</v>
      </c>
      <c r="D68" s="57">
        <v>120</v>
      </c>
      <c r="E68" s="57" t="s">
        <v>189</v>
      </c>
      <c r="F68" s="58">
        <v>0.2617360556003151</v>
      </c>
      <c r="G68" s="57">
        <v>12</v>
      </c>
      <c r="H68" s="59">
        <v>7.3500000000000005</v>
      </c>
      <c r="I68" s="48" t="str">
        <f>IFERROR(VLOOKUP("21ST-"&amp;A68,[1]Лист1!$B$16:$P$170,15,FALSE),"С")</f>
        <v>В</v>
      </c>
      <c r="J68" s="26"/>
      <c r="K68" s="60">
        <f t="shared" si="6"/>
        <v>0</v>
      </c>
      <c r="N68" s="51" t="str">
        <f t="shared" ref="N68:N131" si="7">IFERROR(IF($N$2*F68=0, "-", $N$2*F68), "-")</f>
        <v>-</v>
      </c>
      <c r="O68" s="51" t="str">
        <f t="shared" ref="O68:O131" si="8">IFERROR(IF(N68&gt;0,H68+N68,"-"),"-")</f>
        <v>-</v>
      </c>
      <c r="P68" s="52" t="str">
        <f t="shared" ref="P68:P131" si="9">IF(J68&gt;0,J68*F68, "-")</f>
        <v>-</v>
      </c>
      <c r="Q68" s="53" t="str">
        <f t="shared" ref="Q68:Q131" si="10">IFERROR(IF($N$2&gt;0, $N$2*P68, "-"), "-")</f>
        <v>-</v>
      </c>
      <c r="S68" s="53" t="str">
        <f t="shared" ref="S68:S131" si="11">IFERROR(IF(Q68+K68=0, "-", IF(Q68&gt;0, Q68+K68, "-")), "-")</f>
        <v>-</v>
      </c>
    </row>
    <row r="69" spans="1:19" ht="17.399999999999999" x14ac:dyDescent="0.4">
      <c r="A69" s="54">
        <v>27438</v>
      </c>
      <c r="B69" s="55" t="s">
        <v>53</v>
      </c>
      <c r="C69" s="56">
        <v>740985274385</v>
      </c>
      <c r="D69" s="57">
        <v>120</v>
      </c>
      <c r="E69" s="57" t="s">
        <v>190</v>
      </c>
      <c r="F69" s="58">
        <v>0.3094052537438336</v>
      </c>
      <c r="G69" s="57">
        <v>12</v>
      </c>
      <c r="H69" s="59">
        <v>18.164999999999999</v>
      </c>
      <c r="I69" s="48" t="str">
        <f>IFERROR(VLOOKUP("21ST-"&amp;A69,[1]Лист1!$B$16:$P$170,15,FALSE),"С")</f>
        <v>В</v>
      </c>
      <c r="J69" s="26"/>
      <c r="K69" s="60">
        <f t="shared" si="6"/>
        <v>0</v>
      </c>
      <c r="N69" s="51" t="str">
        <f t="shared" si="7"/>
        <v>-</v>
      </c>
      <c r="O69" s="51" t="str">
        <f t="shared" si="8"/>
        <v>-</v>
      </c>
      <c r="P69" s="52" t="str">
        <f t="shared" si="9"/>
        <v>-</v>
      </c>
      <c r="Q69" s="53" t="str">
        <f t="shared" si="10"/>
        <v>-</v>
      </c>
      <c r="S69" s="53" t="str">
        <f t="shared" si="11"/>
        <v>-</v>
      </c>
    </row>
    <row r="70" spans="1:19" ht="17.399999999999999" x14ac:dyDescent="0.4">
      <c r="A70" s="54">
        <v>21434</v>
      </c>
      <c r="B70" s="55" t="s">
        <v>143</v>
      </c>
      <c r="C70" s="56">
        <v>740985214343</v>
      </c>
      <c r="D70" s="57">
        <v>50</v>
      </c>
      <c r="E70" s="57" t="s">
        <v>190</v>
      </c>
      <c r="F70" s="58">
        <v>0.11745208055676987</v>
      </c>
      <c r="G70" s="57">
        <v>24</v>
      </c>
      <c r="H70" s="59">
        <v>5.7450000000000001</v>
      </c>
      <c r="I70" s="48" t="str">
        <f>IFERROR(VLOOKUP("21ST-"&amp;A70,[1]Лист1!$B$16:$P$170,15,FALSE),"С")</f>
        <v>В</v>
      </c>
      <c r="J70" s="26"/>
      <c r="K70" s="60">
        <f t="shared" si="6"/>
        <v>0</v>
      </c>
      <c r="N70" s="51" t="str">
        <f t="shared" si="7"/>
        <v>-</v>
      </c>
      <c r="O70" s="51" t="str">
        <f t="shared" si="8"/>
        <v>-</v>
      </c>
      <c r="P70" s="52" t="str">
        <f t="shared" si="9"/>
        <v>-</v>
      </c>
      <c r="Q70" s="53" t="str">
        <f t="shared" si="10"/>
        <v>-</v>
      </c>
      <c r="S70" s="53" t="str">
        <f t="shared" si="11"/>
        <v>-</v>
      </c>
    </row>
    <row r="71" spans="1:19" ht="17.399999999999999" x14ac:dyDescent="0.4">
      <c r="A71" s="54">
        <v>27452</v>
      </c>
      <c r="B71" s="55" t="s">
        <v>80</v>
      </c>
      <c r="C71" s="56">
        <v>740985274521</v>
      </c>
      <c r="D71" s="57">
        <v>60</v>
      </c>
      <c r="E71" s="57" t="s">
        <v>190</v>
      </c>
      <c r="F71" s="58">
        <v>0.11113354725919496</v>
      </c>
      <c r="G71" s="57">
        <v>12</v>
      </c>
      <c r="H71" s="59">
        <v>4.1399999999999997</v>
      </c>
      <c r="I71" s="48" t="str">
        <f>IFERROR(VLOOKUP("21ST-"&amp;A71,[1]Лист1!$B$16:$P$170,15,FALSE),"С")</f>
        <v>В</v>
      </c>
      <c r="J71" s="26"/>
      <c r="K71" s="60">
        <f t="shared" si="6"/>
        <v>0</v>
      </c>
      <c r="N71" s="51" t="str">
        <f t="shared" si="7"/>
        <v>-</v>
      </c>
      <c r="O71" s="51" t="str">
        <f t="shared" si="8"/>
        <v>-</v>
      </c>
      <c r="P71" s="52" t="str">
        <f t="shared" si="9"/>
        <v>-</v>
      </c>
      <c r="Q71" s="53" t="str">
        <f t="shared" si="10"/>
        <v>-</v>
      </c>
      <c r="S71" s="53" t="str">
        <f t="shared" si="11"/>
        <v>-</v>
      </c>
    </row>
    <row r="72" spans="1:19" ht="17.399999999999999" x14ac:dyDescent="0.4">
      <c r="A72" s="54">
        <v>21387</v>
      </c>
      <c r="B72" s="55" t="s">
        <v>74</v>
      </c>
      <c r="C72" s="56">
        <v>740985213872</v>
      </c>
      <c r="D72" s="57">
        <v>110</v>
      </c>
      <c r="E72" s="57" t="s">
        <v>190</v>
      </c>
      <c r="F72" s="58">
        <v>0.12953962722887635</v>
      </c>
      <c r="G72" s="57">
        <v>24</v>
      </c>
      <c r="H72" s="59">
        <v>3.3000000000000003</v>
      </c>
      <c r="I72" s="48" t="str">
        <f>IFERROR(VLOOKUP("21ST-"&amp;A72,[1]Лист1!$B$16:$P$170,15,FALSE),"С")</f>
        <v>В</v>
      </c>
      <c r="J72" s="26"/>
      <c r="K72" s="60">
        <f t="shared" si="6"/>
        <v>0</v>
      </c>
      <c r="N72" s="51" t="str">
        <f t="shared" si="7"/>
        <v>-</v>
      </c>
      <c r="O72" s="51" t="str">
        <f t="shared" si="8"/>
        <v>-</v>
      </c>
      <c r="P72" s="52" t="str">
        <f t="shared" si="9"/>
        <v>-</v>
      </c>
      <c r="Q72" s="53" t="str">
        <f t="shared" si="10"/>
        <v>-</v>
      </c>
      <c r="S72" s="53" t="str">
        <f t="shared" si="11"/>
        <v>-</v>
      </c>
    </row>
    <row r="73" spans="1:19" ht="17.399999999999999" x14ac:dyDescent="0.4">
      <c r="A73" s="54">
        <v>22390</v>
      </c>
      <c r="B73" s="55" t="s">
        <v>98</v>
      </c>
      <c r="C73" s="56">
        <v>740985223901</v>
      </c>
      <c r="D73" s="57">
        <v>125</v>
      </c>
      <c r="E73" s="57" t="s">
        <v>190</v>
      </c>
      <c r="F73" s="58">
        <v>0.26105</v>
      </c>
      <c r="G73" s="57">
        <v>12</v>
      </c>
      <c r="H73" s="59">
        <v>5.7450000000000001</v>
      </c>
      <c r="I73" s="48" t="str">
        <f>IFERROR(VLOOKUP("21ST-"&amp;A73,[1]Лист1!$B$16:$P$170,15,FALSE),"С")</f>
        <v>В</v>
      </c>
      <c r="J73" s="26"/>
      <c r="K73" s="60">
        <f t="shared" si="6"/>
        <v>0</v>
      </c>
      <c r="N73" s="51" t="str">
        <f t="shared" si="7"/>
        <v>-</v>
      </c>
      <c r="O73" s="51" t="str">
        <f t="shared" si="8"/>
        <v>-</v>
      </c>
      <c r="P73" s="52" t="str">
        <f t="shared" si="9"/>
        <v>-</v>
      </c>
      <c r="Q73" s="53" t="str">
        <f t="shared" si="10"/>
        <v>-</v>
      </c>
      <c r="S73" s="53" t="str">
        <f t="shared" si="11"/>
        <v>-</v>
      </c>
    </row>
    <row r="74" spans="1:19" ht="17.399999999999999" x14ac:dyDescent="0.4">
      <c r="A74" s="54">
        <v>27540</v>
      </c>
      <c r="B74" s="55" t="s">
        <v>99</v>
      </c>
      <c r="C74" s="56">
        <v>740985275405</v>
      </c>
      <c r="D74" s="57">
        <v>100</v>
      </c>
      <c r="E74" s="57" t="s">
        <v>190</v>
      </c>
      <c r="F74" s="58">
        <v>0.24393388005552724</v>
      </c>
      <c r="G74" s="57">
        <v>12</v>
      </c>
      <c r="H74" s="59">
        <v>6.5849999999999991</v>
      </c>
      <c r="I74" s="48" t="str">
        <f>IFERROR(VLOOKUP("21ST-"&amp;A74,[1]Лист1!$B$16:$P$170,15,FALSE),"С")</f>
        <v>В</v>
      </c>
      <c r="J74" s="26"/>
      <c r="K74" s="60">
        <f t="shared" si="6"/>
        <v>0</v>
      </c>
      <c r="N74" s="51" t="str">
        <f t="shared" si="7"/>
        <v>-</v>
      </c>
      <c r="O74" s="51" t="str">
        <f t="shared" si="8"/>
        <v>-</v>
      </c>
      <c r="P74" s="52" t="str">
        <f t="shared" si="9"/>
        <v>-</v>
      </c>
      <c r="Q74" s="53" t="str">
        <f t="shared" si="10"/>
        <v>-</v>
      </c>
      <c r="S74" s="53" t="str">
        <f t="shared" si="11"/>
        <v>-</v>
      </c>
    </row>
    <row r="75" spans="1:19" ht="17.399999999999999" x14ac:dyDescent="0.4">
      <c r="A75" s="54">
        <v>27542</v>
      </c>
      <c r="B75" s="55" t="s">
        <v>100</v>
      </c>
      <c r="C75" s="56">
        <v>740985275429</v>
      </c>
      <c r="D75" s="57">
        <v>100</v>
      </c>
      <c r="E75" s="57" t="s">
        <v>190</v>
      </c>
      <c r="F75" s="58">
        <v>0.32767844636551563</v>
      </c>
      <c r="G75" s="57">
        <v>12</v>
      </c>
      <c r="H75" s="59">
        <v>6.5849999999999991</v>
      </c>
      <c r="I75" s="48" t="str">
        <f>IFERROR(VLOOKUP("21ST-"&amp;A75,[1]Лист1!$B$16:$P$170,15,FALSE),"С")</f>
        <v>В</v>
      </c>
      <c r="J75" s="26"/>
      <c r="K75" s="60">
        <f t="shared" si="6"/>
        <v>0</v>
      </c>
      <c r="N75" s="51" t="str">
        <f t="shared" si="7"/>
        <v>-</v>
      </c>
      <c r="O75" s="51" t="str">
        <f t="shared" si="8"/>
        <v>-</v>
      </c>
      <c r="P75" s="52" t="str">
        <f t="shared" si="9"/>
        <v>-</v>
      </c>
      <c r="Q75" s="53" t="str">
        <f t="shared" si="10"/>
        <v>-</v>
      </c>
      <c r="S75" s="53" t="str">
        <f t="shared" si="11"/>
        <v>-</v>
      </c>
    </row>
    <row r="76" spans="1:19" ht="17.399999999999999" x14ac:dyDescent="0.4">
      <c r="A76" s="54">
        <v>22352</v>
      </c>
      <c r="B76" s="55" t="s">
        <v>179</v>
      </c>
      <c r="C76" s="56">
        <v>740985223529</v>
      </c>
      <c r="D76" s="57">
        <v>24</v>
      </c>
      <c r="E76" s="57" t="s">
        <v>196</v>
      </c>
      <c r="F76" s="58">
        <v>0.10214999999999999</v>
      </c>
      <c r="G76" s="57">
        <v>12</v>
      </c>
      <c r="H76" s="59">
        <v>3.7050000000000001</v>
      </c>
      <c r="I76" s="48" t="str">
        <f>IFERROR(VLOOKUP("21ST-"&amp;A76,[1]Лист1!$B$16:$P$170,15,FALSE),"С")</f>
        <v>В</v>
      </c>
      <c r="J76" s="26"/>
      <c r="K76" s="60">
        <f t="shared" si="6"/>
        <v>0</v>
      </c>
      <c r="N76" s="51" t="str">
        <f t="shared" si="7"/>
        <v>-</v>
      </c>
      <c r="O76" s="51" t="str">
        <f t="shared" si="8"/>
        <v>-</v>
      </c>
      <c r="P76" s="52" t="str">
        <f t="shared" si="9"/>
        <v>-</v>
      </c>
      <c r="Q76" s="53" t="str">
        <f t="shared" si="10"/>
        <v>-</v>
      </c>
      <c r="S76" s="53" t="str">
        <f t="shared" si="11"/>
        <v>-</v>
      </c>
    </row>
    <row r="77" spans="1:19" ht="17.399999999999999" x14ac:dyDescent="0.4">
      <c r="A77" s="54">
        <v>22361</v>
      </c>
      <c r="B77" s="55" t="s">
        <v>181</v>
      </c>
      <c r="C77" s="56">
        <v>740985223611</v>
      </c>
      <c r="D77" s="57">
        <v>24</v>
      </c>
      <c r="E77" s="57" t="s">
        <v>196</v>
      </c>
      <c r="F77" s="58">
        <v>0.10214999999999999</v>
      </c>
      <c r="G77" s="57">
        <v>12</v>
      </c>
      <c r="H77" s="59">
        <v>3.7050000000000001</v>
      </c>
      <c r="I77" s="48" t="str">
        <f>IFERROR(VLOOKUP("21ST-"&amp;A77,[1]Лист1!$B$16:$P$170,15,FALSE),"С")</f>
        <v>В</v>
      </c>
      <c r="J77" s="26"/>
      <c r="K77" s="60">
        <f t="shared" si="6"/>
        <v>0</v>
      </c>
      <c r="N77" s="51" t="str">
        <f t="shared" si="7"/>
        <v>-</v>
      </c>
      <c r="O77" s="51" t="str">
        <f t="shared" si="8"/>
        <v>-</v>
      </c>
      <c r="P77" s="52" t="str">
        <f t="shared" si="9"/>
        <v>-</v>
      </c>
      <c r="Q77" s="53" t="str">
        <f t="shared" si="10"/>
        <v>-</v>
      </c>
      <c r="S77" s="53" t="str">
        <f t="shared" si="11"/>
        <v>-</v>
      </c>
    </row>
    <row r="78" spans="1:19" ht="17.399999999999999" x14ac:dyDescent="0.4">
      <c r="A78" s="54">
        <v>22424</v>
      </c>
      <c r="B78" s="55" t="s">
        <v>161</v>
      </c>
      <c r="C78" s="56">
        <v>740985224243</v>
      </c>
      <c r="D78" s="57">
        <v>180</v>
      </c>
      <c r="E78" s="57" t="s">
        <v>190</v>
      </c>
      <c r="F78" s="58">
        <v>0.32740415931270572</v>
      </c>
      <c r="G78" s="57">
        <v>12</v>
      </c>
      <c r="H78" s="59">
        <v>12.375</v>
      </c>
      <c r="I78" s="48" t="str">
        <f>IFERROR(VLOOKUP("21ST-"&amp;A78,[1]Лист1!$B$16:$P$170,15,FALSE),"С")</f>
        <v>В</v>
      </c>
      <c r="J78" s="26"/>
      <c r="K78" s="60">
        <f t="shared" si="6"/>
        <v>0</v>
      </c>
      <c r="N78" s="51" t="str">
        <f t="shared" si="7"/>
        <v>-</v>
      </c>
      <c r="O78" s="51" t="str">
        <f t="shared" si="8"/>
        <v>-</v>
      </c>
      <c r="P78" s="52" t="str">
        <f t="shared" si="9"/>
        <v>-</v>
      </c>
      <c r="Q78" s="53" t="str">
        <f t="shared" si="10"/>
        <v>-</v>
      </c>
      <c r="S78" s="53" t="str">
        <f t="shared" si="11"/>
        <v>-</v>
      </c>
    </row>
    <row r="79" spans="1:19" ht="17.399999999999999" x14ac:dyDescent="0.4">
      <c r="A79" s="54">
        <v>27313</v>
      </c>
      <c r="B79" s="55" t="s">
        <v>116</v>
      </c>
      <c r="C79" s="56">
        <v>740985273135</v>
      </c>
      <c r="D79" s="57">
        <v>60</v>
      </c>
      <c r="E79" s="57" t="s">
        <v>192</v>
      </c>
      <c r="F79" s="58">
        <v>0.10845593813331596</v>
      </c>
      <c r="G79" s="57">
        <v>12</v>
      </c>
      <c r="H79" s="59">
        <v>4.1399999999999997</v>
      </c>
      <c r="I79" s="48" t="str">
        <f>IFERROR(VLOOKUP("21ST-"&amp;A79,[1]Лист1!$B$16:$P$170,15,FALSE),"С")</f>
        <v>В</v>
      </c>
      <c r="J79" s="26"/>
      <c r="K79" s="60">
        <f t="shared" si="6"/>
        <v>0</v>
      </c>
      <c r="N79" s="51" t="str">
        <f t="shared" si="7"/>
        <v>-</v>
      </c>
      <c r="O79" s="51" t="str">
        <f t="shared" si="8"/>
        <v>-</v>
      </c>
      <c r="P79" s="52" t="str">
        <f t="shared" si="9"/>
        <v>-</v>
      </c>
      <c r="Q79" s="53" t="str">
        <f t="shared" si="10"/>
        <v>-</v>
      </c>
      <c r="S79" s="53" t="str">
        <f t="shared" si="11"/>
        <v>-</v>
      </c>
    </row>
    <row r="80" spans="1:19" ht="17.399999999999999" x14ac:dyDescent="0.4">
      <c r="A80" s="54">
        <v>27303</v>
      </c>
      <c r="B80" s="55" t="s">
        <v>86</v>
      </c>
      <c r="C80" s="56">
        <v>740985273036</v>
      </c>
      <c r="D80" s="57">
        <v>100</v>
      </c>
      <c r="E80" s="57" t="s">
        <v>190</v>
      </c>
      <c r="F80" s="58">
        <v>0.12558280003773728</v>
      </c>
      <c r="G80" s="57">
        <v>12</v>
      </c>
      <c r="H80" s="59">
        <v>4.1399999999999997</v>
      </c>
      <c r="I80" s="48" t="str">
        <f>IFERROR(VLOOKUP("21ST-"&amp;A80,[1]Лист1!$B$16:$P$170,15,FALSE),"С")</f>
        <v>В</v>
      </c>
      <c r="J80" s="26"/>
      <c r="K80" s="60">
        <f t="shared" si="6"/>
        <v>0</v>
      </c>
      <c r="N80" s="51" t="str">
        <f t="shared" si="7"/>
        <v>-</v>
      </c>
      <c r="O80" s="51" t="str">
        <f t="shared" si="8"/>
        <v>-</v>
      </c>
      <c r="P80" s="52" t="str">
        <f t="shared" si="9"/>
        <v>-</v>
      </c>
      <c r="Q80" s="53" t="str">
        <f t="shared" si="10"/>
        <v>-</v>
      </c>
      <c r="S80" s="53" t="str">
        <f t="shared" si="11"/>
        <v>-</v>
      </c>
    </row>
    <row r="81" spans="1:19" ht="17.399999999999999" x14ac:dyDescent="0.4">
      <c r="A81" s="54">
        <v>21472</v>
      </c>
      <c r="B81" s="55" t="s">
        <v>49</v>
      </c>
      <c r="C81" s="56">
        <v>740985214725</v>
      </c>
      <c r="D81" s="57">
        <v>60</v>
      </c>
      <c r="E81" s="57" t="s">
        <v>191</v>
      </c>
      <c r="F81" s="58">
        <v>9.2369002486013707E-2</v>
      </c>
      <c r="G81" s="57">
        <v>24</v>
      </c>
      <c r="H81" s="59">
        <v>6.5849999999999991</v>
      </c>
      <c r="I81" s="48" t="str">
        <f>IFERROR(VLOOKUP("21ST-"&amp;A81,[1]Лист1!$B$16:$P$170,15,FALSE),"С")</f>
        <v>С</v>
      </c>
      <c r="J81" s="26"/>
      <c r="K81" s="60">
        <f t="shared" si="6"/>
        <v>0</v>
      </c>
      <c r="N81" s="51" t="str">
        <f t="shared" si="7"/>
        <v>-</v>
      </c>
      <c r="O81" s="51" t="str">
        <f t="shared" si="8"/>
        <v>-</v>
      </c>
      <c r="P81" s="52" t="str">
        <f t="shared" si="9"/>
        <v>-</v>
      </c>
      <c r="Q81" s="53" t="str">
        <f t="shared" si="10"/>
        <v>-</v>
      </c>
      <c r="S81" s="53" t="str">
        <f t="shared" si="11"/>
        <v>-</v>
      </c>
    </row>
    <row r="82" spans="1:19" ht="17.399999999999999" x14ac:dyDescent="0.4">
      <c r="A82" s="54">
        <v>28072</v>
      </c>
      <c r="B82" s="55" t="s">
        <v>123</v>
      </c>
      <c r="C82" s="56">
        <v>740985280720</v>
      </c>
      <c r="D82" s="57">
        <v>60</v>
      </c>
      <c r="E82" s="57" t="s">
        <v>221</v>
      </c>
      <c r="F82" s="58">
        <v>7.8408737315411856E-2</v>
      </c>
      <c r="G82" s="57">
        <v>24</v>
      </c>
      <c r="H82" s="59">
        <v>12.149999999999999</v>
      </c>
      <c r="I82" s="48" t="str">
        <f>IFERROR(VLOOKUP("21ST-"&amp;A82,[1]Лист1!$B$16:$P$170,15,FALSE),"С")</f>
        <v>С</v>
      </c>
      <c r="J82" s="26"/>
      <c r="K82" s="60">
        <f t="shared" si="6"/>
        <v>0</v>
      </c>
      <c r="N82" s="51" t="str">
        <f t="shared" si="7"/>
        <v>-</v>
      </c>
      <c r="O82" s="51" t="str">
        <f t="shared" si="8"/>
        <v>-</v>
      </c>
      <c r="P82" s="52" t="str">
        <f t="shared" si="9"/>
        <v>-</v>
      </c>
      <c r="Q82" s="53" t="str">
        <f t="shared" si="10"/>
        <v>-</v>
      </c>
      <c r="S82" s="53" t="str">
        <f t="shared" si="11"/>
        <v>-</v>
      </c>
    </row>
    <row r="83" spans="1:19" ht="17.399999999999999" x14ac:dyDescent="0.4">
      <c r="A83" s="54">
        <v>22848</v>
      </c>
      <c r="B83" s="55" t="s">
        <v>124</v>
      </c>
      <c r="C83" s="56">
        <v>740985228487</v>
      </c>
      <c r="D83" s="57">
        <v>250</v>
      </c>
      <c r="E83" s="57" t="s">
        <v>190</v>
      </c>
      <c r="F83" s="58">
        <v>0.27177496173315846</v>
      </c>
      <c r="G83" s="57">
        <v>12</v>
      </c>
      <c r="H83" s="59">
        <v>5.7450000000000001</v>
      </c>
      <c r="I83" s="48" t="str">
        <f>IFERROR(VLOOKUP("21ST-"&amp;A83,[1]Лист1!$B$16:$P$170,15,FALSE),"С")</f>
        <v>С</v>
      </c>
      <c r="J83" s="26"/>
      <c r="K83" s="60">
        <f t="shared" si="6"/>
        <v>0</v>
      </c>
      <c r="N83" s="51" t="str">
        <f t="shared" si="7"/>
        <v>-</v>
      </c>
      <c r="O83" s="51" t="str">
        <f t="shared" si="8"/>
        <v>-</v>
      </c>
      <c r="P83" s="52" t="str">
        <f t="shared" si="9"/>
        <v>-</v>
      </c>
      <c r="Q83" s="53" t="str">
        <f t="shared" si="10"/>
        <v>-</v>
      </c>
      <c r="S83" s="53" t="str">
        <f t="shared" si="11"/>
        <v>-</v>
      </c>
    </row>
    <row r="84" spans="1:19" ht="17.399999999999999" x14ac:dyDescent="0.4">
      <c r="A84" s="54">
        <v>22623</v>
      </c>
      <c r="B84" s="55" t="s">
        <v>44</v>
      </c>
      <c r="C84" s="56">
        <v>740985226230</v>
      </c>
      <c r="D84" s="57">
        <v>120</v>
      </c>
      <c r="E84" s="57" t="s">
        <v>190</v>
      </c>
      <c r="F84" s="58">
        <v>0.3031761001927778</v>
      </c>
      <c r="G84" s="57">
        <v>12</v>
      </c>
      <c r="H84" s="59">
        <v>16.484999999999999</v>
      </c>
      <c r="I84" s="48" t="str">
        <f>IFERROR(VLOOKUP("21ST-"&amp;A84,[1]Лист1!$B$16:$P$170,15,FALSE),"С")</f>
        <v>С</v>
      </c>
      <c r="J84" s="26"/>
      <c r="K84" s="60">
        <f t="shared" si="6"/>
        <v>0</v>
      </c>
      <c r="N84" s="51" t="str">
        <f t="shared" si="7"/>
        <v>-</v>
      </c>
      <c r="O84" s="51" t="str">
        <f t="shared" si="8"/>
        <v>-</v>
      </c>
      <c r="P84" s="52" t="str">
        <f t="shared" si="9"/>
        <v>-</v>
      </c>
      <c r="Q84" s="53" t="str">
        <f t="shared" si="10"/>
        <v>-</v>
      </c>
      <c r="S84" s="53" t="str">
        <f t="shared" si="11"/>
        <v>-</v>
      </c>
    </row>
    <row r="85" spans="1:19" ht="17.399999999999999" x14ac:dyDescent="0.4">
      <c r="A85" s="54">
        <v>21151</v>
      </c>
      <c r="B85" s="55" t="s">
        <v>7</v>
      </c>
      <c r="C85" s="56">
        <v>740985211519</v>
      </c>
      <c r="D85" s="57">
        <v>110</v>
      </c>
      <c r="E85" s="57" t="s">
        <v>190</v>
      </c>
      <c r="F85" s="58">
        <v>0.1270426692308825</v>
      </c>
      <c r="G85" s="57">
        <v>24</v>
      </c>
      <c r="H85" s="59">
        <v>3.3149999999999999</v>
      </c>
      <c r="I85" s="48" t="str">
        <f>IFERROR(VLOOKUP("21ST-"&amp;A85,[1]Лист1!$B$16:$P$170,15,FALSE),"С")</f>
        <v>С</v>
      </c>
      <c r="J85" s="26"/>
      <c r="K85" s="60">
        <f t="shared" si="6"/>
        <v>0</v>
      </c>
      <c r="N85" s="51" t="str">
        <f t="shared" si="7"/>
        <v>-</v>
      </c>
      <c r="O85" s="51" t="str">
        <f t="shared" si="8"/>
        <v>-</v>
      </c>
      <c r="P85" s="52" t="str">
        <f t="shared" si="9"/>
        <v>-</v>
      </c>
      <c r="Q85" s="53" t="str">
        <f t="shared" si="10"/>
        <v>-</v>
      </c>
      <c r="S85" s="53" t="str">
        <f t="shared" si="11"/>
        <v>-</v>
      </c>
    </row>
    <row r="86" spans="1:19" ht="17.399999999999999" x14ac:dyDescent="0.4">
      <c r="A86" s="54">
        <v>21104</v>
      </c>
      <c r="B86" s="55" t="s">
        <v>13</v>
      </c>
      <c r="C86" s="56">
        <v>740985211045</v>
      </c>
      <c r="D86" s="57">
        <v>110</v>
      </c>
      <c r="E86" s="57" t="s">
        <v>190</v>
      </c>
      <c r="F86" s="58">
        <v>8.0848946267996699E-2</v>
      </c>
      <c r="G86" s="57">
        <v>24</v>
      </c>
      <c r="H86" s="59">
        <v>5.7450000000000001</v>
      </c>
      <c r="I86" s="48" t="str">
        <f>IFERROR(VLOOKUP("21ST-"&amp;A86,[1]Лист1!$B$16:$P$170,15,FALSE),"С")</f>
        <v>С</v>
      </c>
      <c r="J86" s="26"/>
      <c r="K86" s="60">
        <f t="shared" si="6"/>
        <v>0</v>
      </c>
      <c r="N86" s="51" t="str">
        <f t="shared" si="7"/>
        <v>-</v>
      </c>
      <c r="O86" s="51" t="str">
        <f t="shared" si="8"/>
        <v>-</v>
      </c>
      <c r="P86" s="52" t="str">
        <f t="shared" si="9"/>
        <v>-</v>
      </c>
      <c r="Q86" s="53" t="str">
        <f t="shared" si="10"/>
        <v>-</v>
      </c>
      <c r="S86" s="53" t="str">
        <f t="shared" si="11"/>
        <v>-</v>
      </c>
    </row>
    <row r="87" spans="1:19" ht="17.399999999999999" x14ac:dyDescent="0.4">
      <c r="A87" s="54">
        <v>27112</v>
      </c>
      <c r="B87" s="55" t="s">
        <v>14</v>
      </c>
      <c r="C87" s="56">
        <v>740985271124</v>
      </c>
      <c r="D87" s="57">
        <v>110</v>
      </c>
      <c r="E87" s="57" t="s">
        <v>190</v>
      </c>
      <c r="F87" s="58">
        <v>8.5842862263984368E-2</v>
      </c>
      <c r="G87" s="57">
        <v>24</v>
      </c>
      <c r="H87" s="59">
        <v>6.5849999999999991</v>
      </c>
      <c r="I87" s="48" t="str">
        <f>IFERROR(VLOOKUP("21ST-"&amp;A87,[1]Лист1!$B$16:$P$170,15,FALSE),"С")</f>
        <v>С</v>
      </c>
      <c r="J87" s="26"/>
      <c r="K87" s="60">
        <f t="shared" si="6"/>
        <v>0</v>
      </c>
      <c r="N87" s="51" t="str">
        <f t="shared" si="7"/>
        <v>-</v>
      </c>
      <c r="O87" s="51" t="str">
        <f t="shared" si="8"/>
        <v>-</v>
      </c>
      <c r="P87" s="52" t="str">
        <f t="shared" si="9"/>
        <v>-</v>
      </c>
      <c r="Q87" s="53" t="str">
        <f t="shared" si="10"/>
        <v>-</v>
      </c>
      <c r="S87" s="53" t="str">
        <f t="shared" si="11"/>
        <v>-</v>
      </c>
    </row>
    <row r="88" spans="1:19" ht="17.399999999999999" x14ac:dyDescent="0.4">
      <c r="A88" s="54">
        <v>22272</v>
      </c>
      <c r="B88" s="55" t="s">
        <v>209</v>
      </c>
      <c r="C88" s="56">
        <v>740985222720</v>
      </c>
      <c r="D88" s="57">
        <v>60</v>
      </c>
      <c r="E88" s="57" t="s">
        <v>193</v>
      </c>
      <c r="F88" s="58">
        <v>9.781691084527297E-2</v>
      </c>
      <c r="G88" s="57">
        <v>24</v>
      </c>
      <c r="H88" s="59">
        <v>22.5</v>
      </c>
      <c r="I88" s="48" t="str">
        <f>IFERROR(VLOOKUP("21ST-"&amp;A88,[1]Лист1!$B$16:$P$170,15,FALSE),"С")</f>
        <v>С</v>
      </c>
      <c r="J88" s="26"/>
      <c r="K88" s="60">
        <f t="shared" si="6"/>
        <v>0</v>
      </c>
      <c r="N88" s="51" t="str">
        <f t="shared" si="7"/>
        <v>-</v>
      </c>
      <c r="O88" s="51" t="str">
        <f t="shared" si="8"/>
        <v>-</v>
      </c>
      <c r="P88" s="52" t="str">
        <f t="shared" si="9"/>
        <v>-</v>
      </c>
      <c r="Q88" s="53" t="str">
        <f t="shared" si="10"/>
        <v>-</v>
      </c>
      <c r="S88" s="53" t="str">
        <f t="shared" si="11"/>
        <v>-</v>
      </c>
    </row>
    <row r="89" spans="1:19" ht="17.399999999999999" x14ac:dyDescent="0.4">
      <c r="A89" s="54">
        <v>28045</v>
      </c>
      <c r="B89" s="55" t="s">
        <v>10</v>
      </c>
      <c r="C89" s="56">
        <v>740985280454</v>
      </c>
      <c r="D89" s="57">
        <v>360</v>
      </c>
      <c r="E89" s="57" t="s">
        <v>190</v>
      </c>
      <c r="F89" s="58">
        <v>0.18160000000000001</v>
      </c>
      <c r="G89" s="57">
        <v>24</v>
      </c>
      <c r="H89" s="59">
        <v>18.164999999999999</v>
      </c>
      <c r="I89" s="48" t="str">
        <f>IFERROR(VLOOKUP("21ST-"&amp;A89,[1]Лист1!$B$16:$P$170,15,FALSE),"С")</f>
        <v>С</v>
      </c>
      <c r="J89" s="26"/>
      <c r="K89" s="60">
        <f t="shared" si="6"/>
        <v>0</v>
      </c>
      <c r="N89" s="51" t="str">
        <f t="shared" si="7"/>
        <v>-</v>
      </c>
      <c r="O89" s="51" t="str">
        <f t="shared" si="8"/>
        <v>-</v>
      </c>
      <c r="P89" s="52" t="str">
        <f t="shared" si="9"/>
        <v>-</v>
      </c>
      <c r="Q89" s="53" t="str">
        <f t="shared" si="10"/>
        <v>-</v>
      </c>
      <c r="S89" s="53" t="str">
        <f t="shared" si="11"/>
        <v>-</v>
      </c>
    </row>
    <row r="90" spans="1:19" ht="17.399999999999999" x14ac:dyDescent="0.4">
      <c r="A90" s="54">
        <v>21190</v>
      </c>
      <c r="B90" s="55" t="s">
        <v>28</v>
      </c>
      <c r="C90" s="56">
        <v>740985211908</v>
      </c>
      <c r="D90" s="57">
        <v>110</v>
      </c>
      <c r="E90" s="57" t="s">
        <v>190</v>
      </c>
      <c r="F90" s="58">
        <v>0.14327289621784242</v>
      </c>
      <c r="G90" s="57">
        <v>24</v>
      </c>
      <c r="H90" s="59">
        <v>5.7450000000000001</v>
      </c>
      <c r="I90" s="48" t="str">
        <f>IFERROR(VLOOKUP("21ST-"&amp;A90,[1]Лист1!$B$16:$P$170,15,FALSE),"С")</f>
        <v>С</v>
      </c>
      <c r="J90" s="26"/>
      <c r="K90" s="60">
        <f t="shared" si="6"/>
        <v>0</v>
      </c>
      <c r="N90" s="51" t="str">
        <f t="shared" si="7"/>
        <v>-</v>
      </c>
      <c r="O90" s="51" t="str">
        <f t="shared" si="8"/>
        <v>-</v>
      </c>
      <c r="P90" s="52" t="str">
        <f t="shared" si="9"/>
        <v>-</v>
      </c>
      <c r="Q90" s="53" t="str">
        <f t="shared" si="10"/>
        <v>-</v>
      </c>
      <c r="S90" s="53" t="str">
        <f t="shared" si="11"/>
        <v>-</v>
      </c>
    </row>
    <row r="91" spans="1:19" ht="17.399999999999999" x14ac:dyDescent="0.4">
      <c r="A91" s="54">
        <v>21225</v>
      </c>
      <c r="B91" s="55" t="s">
        <v>30</v>
      </c>
      <c r="C91" s="56">
        <v>740985212257</v>
      </c>
      <c r="D91" s="57">
        <v>110</v>
      </c>
      <c r="E91" s="57" t="s">
        <v>190</v>
      </c>
      <c r="F91" s="58">
        <v>0.23749853830615222</v>
      </c>
      <c r="G91" s="57">
        <v>12</v>
      </c>
      <c r="H91" s="59">
        <v>7.4250000000000007</v>
      </c>
      <c r="I91" s="48" t="str">
        <f>IFERROR(VLOOKUP("21ST-"&amp;A91,[1]Лист1!$B$16:$P$170,15,FALSE),"С")</f>
        <v>С</v>
      </c>
      <c r="J91" s="26"/>
      <c r="K91" s="60">
        <f t="shared" si="6"/>
        <v>0</v>
      </c>
      <c r="N91" s="51" t="str">
        <f t="shared" si="7"/>
        <v>-</v>
      </c>
      <c r="O91" s="51" t="str">
        <f t="shared" si="8"/>
        <v>-</v>
      </c>
      <c r="P91" s="52" t="str">
        <f t="shared" si="9"/>
        <v>-</v>
      </c>
      <c r="Q91" s="53" t="str">
        <f t="shared" si="10"/>
        <v>-</v>
      </c>
      <c r="S91" s="53" t="str">
        <f t="shared" si="11"/>
        <v>-</v>
      </c>
    </row>
    <row r="92" spans="1:19" ht="17.399999999999999" x14ac:dyDescent="0.4">
      <c r="A92" s="54">
        <v>27516</v>
      </c>
      <c r="B92" s="55" t="s">
        <v>58</v>
      </c>
      <c r="C92" s="56">
        <v>740985275160</v>
      </c>
      <c r="D92" s="57">
        <v>90</v>
      </c>
      <c r="E92" s="57" t="s">
        <v>190</v>
      </c>
      <c r="F92" s="58">
        <v>0.1961909081529771</v>
      </c>
      <c r="G92" s="57">
        <v>12</v>
      </c>
      <c r="H92" s="59">
        <v>3.3149999999999999</v>
      </c>
      <c r="I92" s="48" t="str">
        <f>IFERROR(VLOOKUP("21ST-"&amp;A92,[1]Лист1!$B$16:$P$170,15,FALSE),"С")</f>
        <v>С</v>
      </c>
      <c r="J92" s="26"/>
      <c r="K92" s="60">
        <f t="shared" si="6"/>
        <v>0</v>
      </c>
      <c r="N92" s="51" t="str">
        <f t="shared" si="7"/>
        <v>-</v>
      </c>
      <c r="O92" s="51" t="str">
        <f t="shared" si="8"/>
        <v>-</v>
      </c>
      <c r="P92" s="52" t="str">
        <f t="shared" si="9"/>
        <v>-</v>
      </c>
      <c r="Q92" s="53" t="str">
        <f t="shared" si="10"/>
        <v>-</v>
      </c>
      <c r="S92" s="53" t="str">
        <f t="shared" si="11"/>
        <v>-</v>
      </c>
    </row>
    <row r="93" spans="1:19" ht="17.399999999999999" x14ac:dyDescent="0.4">
      <c r="A93" s="54">
        <v>27531</v>
      </c>
      <c r="B93" s="55" t="s">
        <v>61</v>
      </c>
      <c r="C93" s="56">
        <v>740985275313</v>
      </c>
      <c r="D93" s="57">
        <v>400</v>
      </c>
      <c r="E93" s="57" t="s">
        <v>190</v>
      </c>
      <c r="F93" s="58">
        <v>0.90125050648801464</v>
      </c>
      <c r="G93" s="57">
        <v>12</v>
      </c>
      <c r="H93" s="59">
        <v>9.4049999999999994</v>
      </c>
      <c r="I93" s="48" t="str">
        <f>IFERROR(VLOOKUP("21ST-"&amp;A93,[1]Лист1!$B$16:$P$170,15,FALSE),"С")</f>
        <v>С</v>
      </c>
      <c r="J93" s="26"/>
      <c r="K93" s="60">
        <f t="shared" si="6"/>
        <v>0</v>
      </c>
      <c r="N93" s="51" t="str">
        <f t="shared" si="7"/>
        <v>-</v>
      </c>
      <c r="O93" s="51" t="str">
        <f t="shared" si="8"/>
        <v>-</v>
      </c>
      <c r="P93" s="52" t="str">
        <f t="shared" si="9"/>
        <v>-</v>
      </c>
      <c r="Q93" s="53" t="str">
        <f t="shared" si="10"/>
        <v>-</v>
      </c>
      <c r="S93" s="53" t="str">
        <f t="shared" si="11"/>
        <v>-</v>
      </c>
    </row>
    <row r="94" spans="1:19" ht="17.399999999999999" x14ac:dyDescent="0.4">
      <c r="A94" s="54">
        <v>27709</v>
      </c>
      <c r="B94" s="55" t="s">
        <v>57</v>
      </c>
      <c r="C94" s="56">
        <v>740985277096</v>
      </c>
      <c r="D94" s="57">
        <v>200</v>
      </c>
      <c r="E94" s="57" t="s">
        <v>190</v>
      </c>
      <c r="F94" s="58">
        <v>0.30713529192747557</v>
      </c>
      <c r="G94" s="57">
        <v>12</v>
      </c>
      <c r="H94" s="59">
        <v>8.25</v>
      </c>
      <c r="I94" s="48" t="str">
        <f>IFERROR(VLOOKUP("21ST-"&amp;A94,[1]Лист1!$B$16:$P$170,15,FALSE),"С")</f>
        <v>С</v>
      </c>
      <c r="J94" s="26"/>
      <c r="K94" s="60">
        <f t="shared" si="6"/>
        <v>0</v>
      </c>
      <c r="N94" s="51" t="str">
        <f t="shared" si="7"/>
        <v>-</v>
      </c>
      <c r="O94" s="51" t="str">
        <f t="shared" si="8"/>
        <v>-</v>
      </c>
      <c r="P94" s="52" t="str">
        <f t="shared" si="9"/>
        <v>-</v>
      </c>
      <c r="Q94" s="53" t="str">
        <f t="shared" si="10"/>
        <v>-</v>
      </c>
      <c r="S94" s="53" t="str">
        <f t="shared" si="11"/>
        <v>-</v>
      </c>
    </row>
    <row r="95" spans="1:19" ht="17.399999999999999" x14ac:dyDescent="0.4">
      <c r="A95" s="54">
        <v>27383</v>
      </c>
      <c r="B95" s="55" t="s">
        <v>128</v>
      </c>
      <c r="C95" s="56">
        <v>740985273838</v>
      </c>
      <c r="D95" s="57">
        <v>120</v>
      </c>
      <c r="E95" s="57" t="s">
        <v>221</v>
      </c>
      <c r="F95" s="58">
        <v>0.16520025445514919</v>
      </c>
      <c r="G95" s="57">
        <v>12</v>
      </c>
      <c r="H95" s="59">
        <v>8.25</v>
      </c>
      <c r="I95" s="48" t="str">
        <f>IFERROR(VLOOKUP("21ST-"&amp;A95,[1]Лист1!$B$16:$P$170,15,FALSE),"С")</f>
        <v>С</v>
      </c>
      <c r="J95" s="26"/>
      <c r="K95" s="60">
        <f t="shared" si="6"/>
        <v>0</v>
      </c>
      <c r="N95" s="51" t="str">
        <f t="shared" si="7"/>
        <v>-</v>
      </c>
      <c r="O95" s="51" t="str">
        <f t="shared" si="8"/>
        <v>-</v>
      </c>
      <c r="P95" s="52" t="str">
        <f t="shared" si="9"/>
        <v>-</v>
      </c>
      <c r="Q95" s="53" t="str">
        <f t="shared" si="10"/>
        <v>-</v>
      </c>
      <c r="S95" s="53" t="str">
        <f t="shared" si="11"/>
        <v>-</v>
      </c>
    </row>
    <row r="96" spans="1:19" ht="17.399999999999999" x14ac:dyDescent="0.4">
      <c r="A96" s="54">
        <v>21341</v>
      </c>
      <c r="B96" s="55" t="s">
        <v>129</v>
      </c>
      <c r="C96" s="56">
        <v>740985213414</v>
      </c>
      <c r="D96" s="57">
        <v>45</v>
      </c>
      <c r="E96" s="57" t="s">
        <v>191</v>
      </c>
      <c r="F96" s="58">
        <v>6.9385639095388696E-2</v>
      </c>
      <c r="G96" s="57">
        <v>24</v>
      </c>
      <c r="H96" s="59">
        <v>8.25</v>
      </c>
      <c r="I96" s="48" t="str">
        <f>IFERROR(VLOOKUP("21ST-"&amp;A96,[1]Лист1!$B$16:$P$170,15,FALSE),"С")</f>
        <v>С</v>
      </c>
      <c r="J96" s="26"/>
      <c r="K96" s="60">
        <f t="shared" si="6"/>
        <v>0</v>
      </c>
      <c r="N96" s="51" t="str">
        <f t="shared" si="7"/>
        <v>-</v>
      </c>
      <c r="O96" s="51" t="str">
        <f t="shared" si="8"/>
        <v>-</v>
      </c>
      <c r="P96" s="52" t="str">
        <f t="shared" si="9"/>
        <v>-</v>
      </c>
      <c r="Q96" s="53" t="str">
        <f t="shared" si="10"/>
        <v>-</v>
      </c>
      <c r="S96" s="53" t="str">
        <f t="shared" si="11"/>
        <v>-</v>
      </c>
    </row>
    <row r="97" spans="1:19" ht="17.399999999999999" x14ac:dyDescent="0.4">
      <c r="A97" s="54">
        <v>27413</v>
      </c>
      <c r="B97" s="55" t="s">
        <v>130</v>
      </c>
      <c r="C97" s="56">
        <v>740985274132</v>
      </c>
      <c r="D97" s="57">
        <v>90</v>
      </c>
      <c r="E97" s="57" t="s">
        <v>189</v>
      </c>
      <c r="F97" s="58">
        <v>0.10214999999999999</v>
      </c>
      <c r="G97" s="57">
        <v>24</v>
      </c>
      <c r="H97" s="59">
        <v>17.684999999999999</v>
      </c>
      <c r="I97" s="48" t="str">
        <f>IFERROR(VLOOKUP("21ST-"&amp;A97,[1]Лист1!$B$16:$P$170,15,FALSE),"С")</f>
        <v>С</v>
      </c>
      <c r="J97" s="26"/>
      <c r="K97" s="60">
        <f t="shared" si="6"/>
        <v>0</v>
      </c>
      <c r="N97" s="51" t="str">
        <f t="shared" si="7"/>
        <v>-</v>
      </c>
      <c r="O97" s="51" t="str">
        <f t="shared" si="8"/>
        <v>-</v>
      </c>
      <c r="P97" s="52" t="str">
        <f t="shared" si="9"/>
        <v>-</v>
      </c>
      <c r="Q97" s="53" t="str">
        <f t="shared" si="10"/>
        <v>-</v>
      </c>
      <c r="S97" s="53" t="str">
        <f t="shared" si="11"/>
        <v>-</v>
      </c>
    </row>
    <row r="98" spans="1:19" ht="17.399999999999999" x14ac:dyDescent="0.4">
      <c r="A98" s="54">
        <v>22822</v>
      </c>
      <c r="B98" s="55" t="s">
        <v>132</v>
      </c>
      <c r="C98" s="56">
        <v>740985228227</v>
      </c>
      <c r="D98" s="57">
        <v>30</v>
      </c>
      <c r="E98" s="57" t="s">
        <v>191</v>
      </c>
      <c r="F98" s="58">
        <v>6.2746000782541472E-2</v>
      </c>
      <c r="G98" s="57">
        <v>24</v>
      </c>
      <c r="H98" s="59">
        <v>24.765000000000001</v>
      </c>
      <c r="I98" s="48" t="str">
        <f>IFERROR(VLOOKUP("21ST-"&amp;A98,[1]Лист1!$B$16:$P$170,15,FALSE),"С")</f>
        <v>С</v>
      </c>
      <c r="J98" s="26"/>
      <c r="K98" s="60">
        <f t="shared" si="6"/>
        <v>0</v>
      </c>
      <c r="N98" s="51" t="str">
        <f t="shared" si="7"/>
        <v>-</v>
      </c>
      <c r="O98" s="51" t="str">
        <f t="shared" si="8"/>
        <v>-</v>
      </c>
      <c r="P98" s="52" t="str">
        <f t="shared" si="9"/>
        <v>-</v>
      </c>
      <c r="Q98" s="53" t="str">
        <f t="shared" si="10"/>
        <v>-</v>
      </c>
      <c r="S98" s="53" t="str">
        <f t="shared" si="11"/>
        <v>-</v>
      </c>
    </row>
    <row r="99" spans="1:19" ht="17.399999999999999" x14ac:dyDescent="0.4">
      <c r="A99" s="54">
        <v>22846</v>
      </c>
      <c r="B99" s="55" t="s">
        <v>133</v>
      </c>
      <c r="C99" s="56">
        <v>740985228463</v>
      </c>
      <c r="D99" s="57">
        <v>120</v>
      </c>
      <c r="E99" s="57" t="s">
        <v>221</v>
      </c>
      <c r="F99" s="58">
        <v>0.14613257519774178</v>
      </c>
      <c r="G99" s="57">
        <v>12</v>
      </c>
      <c r="H99" s="59">
        <v>7.4250000000000007</v>
      </c>
      <c r="I99" s="48" t="str">
        <f>IFERROR(VLOOKUP("21ST-"&amp;A99,[1]Лист1!$B$16:$P$170,15,FALSE),"С")</f>
        <v>С</v>
      </c>
      <c r="J99" s="26"/>
      <c r="K99" s="60">
        <f t="shared" si="6"/>
        <v>0</v>
      </c>
      <c r="N99" s="51" t="str">
        <f t="shared" si="7"/>
        <v>-</v>
      </c>
      <c r="O99" s="51" t="str">
        <f t="shared" si="8"/>
        <v>-</v>
      </c>
      <c r="P99" s="52" t="str">
        <f t="shared" si="9"/>
        <v>-</v>
      </c>
      <c r="Q99" s="53" t="str">
        <f t="shared" si="10"/>
        <v>-</v>
      </c>
      <c r="S99" s="53" t="str">
        <f t="shared" si="11"/>
        <v>-</v>
      </c>
    </row>
    <row r="100" spans="1:19" ht="17.399999999999999" x14ac:dyDescent="0.4">
      <c r="A100" s="54">
        <v>27111</v>
      </c>
      <c r="B100" s="55" t="s">
        <v>36</v>
      </c>
      <c r="C100" s="56">
        <v>740985271117</v>
      </c>
      <c r="D100" s="57">
        <v>110</v>
      </c>
      <c r="E100" s="57" t="s">
        <v>190</v>
      </c>
      <c r="F100" s="58">
        <v>8.0848946267996699E-2</v>
      </c>
      <c r="G100" s="57">
        <v>24</v>
      </c>
      <c r="H100" s="59">
        <v>5.7450000000000001</v>
      </c>
      <c r="I100" s="48" t="str">
        <f>IFERROR(VLOOKUP("21ST-"&amp;A100,[1]Лист1!$B$16:$P$170,15,FALSE),"С")</f>
        <v>С</v>
      </c>
      <c r="J100" s="26"/>
      <c r="K100" s="60">
        <f t="shared" si="6"/>
        <v>0</v>
      </c>
      <c r="N100" s="51" t="str">
        <f t="shared" si="7"/>
        <v>-</v>
      </c>
      <c r="O100" s="51" t="str">
        <f t="shared" si="8"/>
        <v>-</v>
      </c>
      <c r="P100" s="52" t="str">
        <f t="shared" si="9"/>
        <v>-</v>
      </c>
      <c r="Q100" s="53" t="str">
        <f t="shared" si="10"/>
        <v>-</v>
      </c>
      <c r="S100" s="53" t="str">
        <f t="shared" si="11"/>
        <v>-</v>
      </c>
    </row>
    <row r="101" spans="1:19" ht="17.399999999999999" x14ac:dyDescent="0.4">
      <c r="A101" s="54">
        <v>27984</v>
      </c>
      <c r="B101" s="55" t="s">
        <v>36</v>
      </c>
      <c r="C101" s="56">
        <v>740985279847</v>
      </c>
      <c r="D101" s="57">
        <v>250</v>
      </c>
      <c r="E101" s="57" t="s">
        <v>190</v>
      </c>
      <c r="F101" s="58">
        <v>0.1324822354804667</v>
      </c>
      <c r="G101" s="57">
        <v>24</v>
      </c>
      <c r="H101" s="59">
        <v>10.725000000000001</v>
      </c>
      <c r="I101" s="48" t="str">
        <f>IFERROR(VLOOKUP("21ST-"&amp;A101,[1]Лист1!$B$16:$P$170,15,FALSE),"С")</f>
        <v>С</v>
      </c>
      <c r="J101" s="26"/>
      <c r="K101" s="60">
        <f t="shared" si="6"/>
        <v>0</v>
      </c>
      <c r="N101" s="51" t="str">
        <f t="shared" si="7"/>
        <v>-</v>
      </c>
      <c r="O101" s="51" t="str">
        <f t="shared" si="8"/>
        <v>-</v>
      </c>
      <c r="P101" s="52" t="str">
        <f t="shared" si="9"/>
        <v>-</v>
      </c>
      <c r="Q101" s="53" t="str">
        <f t="shared" si="10"/>
        <v>-</v>
      </c>
      <c r="S101" s="53" t="str">
        <f t="shared" si="11"/>
        <v>-</v>
      </c>
    </row>
    <row r="102" spans="1:19" ht="17.399999999999999" x14ac:dyDescent="0.4">
      <c r="A102" s="54">
        <v>27416</v>
      </c>
      <c r="B102" s="55" t="s">
        <v>36</v>
      </c>
      <c r="C102" s="56">
        <v>740985274163</v>
      </c>
      <c r="D102" s="57">
        <v>250</v>
      </c>
      <c r="E102" s="57" t="s">
        <v>189</v>
      </c>
      <c r="F102" s="58">
        <v>0.12485</v>
      </c>
      <c r="G102" s="57">
        <v>24</v>
      </c>
      <c r="H102" s="59">
        <v>8.25</v>
      </c>
      <c r="I102" s="48" t="str">
        <f>IFERROR(VLOOKUP("21ST-"&amp;A102,[1]Лист1!$B$16:$P$170,15,FALSE),"С")</f>
        <v>С</v>
      </c>
      <c r="J102" s="26"/>
      <c r="K102" s="60">
        <f t="shared" si="6"/>
        <v>0</v>
      </c>
      <c r="N102" s="51" t="str">
        <f t="shared" si="7"/>
        <v>-</v>
      </c>
      <c r="O102" s="51" t="str">
        <f t="shared" si="8"/>
        <v>-</v>
      </c>
      <c r="P102" s="52" t="str">
        <f t="shared" si="9"/>
        <v>-</v>
      </c>
      <c r="Q102" s="53" t="str">
        <f t="shared" si="10"/>
        <v>-</v>
      </c>
      <c r="S102" s="53" t="str">
        <f t="shared" si="11"/>
        <v>-</v>
      </c>
    </row>
    <row r="103" spans="1:19" ht="17.399999999999999" x14ac:dyDescent="0.4">
      <c r="A103" s="54">
        <v>27403</v>
      </c>
      <c r="B103" s="55" t="s">
        <v>37</v>
      </c>
      <c r="C103" s="56">
        <v>740985274033</v>
      </c>
      <c r="D103" s="57">
        <v>360</v>
      </c>
      <c r="E103" s="57" t="s">
        <v>190</v>
      </c>
      <c r="F103" s="58">
        <v>0.19175880770653805</v>
      </c>
      <c r="G103" s="57">
        <v>12</v>
      </c>
      <c r="H103" s="59">
        <v>12.375</v>
      </c>
      <c r="I103" s="48" t="str">
        <f>IFERROR(VLOOKUP("21ST-"&amp;A103,[1]Лист1!$B$16:$P$170,15,FALSE),"С")</f>
        <v>С</v>
      </c>
      <c r="J103" s="26"/>
      <c r="K103" s="60">
        <f t="shared" si="6"/>
        <v>0</v>
      </c>
      <c r="N103" s="51" t="str">
        <f t="shared" si="7"/>
        <v>-</v>
      </c>
      <c r="O103" s="51" t="str">
        <f t="shared" si="8"/>
        <v>-</v>
      </c>
      <c r="P103" s="52" t="str">
        <f t="shared" si="9"/>
        <v>-</v>
      </c>
      <c r="Q103" s="53" t="str">
        <f t="shared" si="10"/>
        <v>-</v>
      </c>
      <c r="S103" s="53" t="str">
        <f t="shared" si="11"/>
        <v>-</v>
      </c>
    </row>
    <row r="104" spans="1:19" ht="17.399999999999999" x14ac:dyDescent="0.4">
      <c r="A104" s="54">
        <v>28059</v>
      </c>
      <c r="B104" s="55" t="s">
        <v>37</v>
      </c>
      <c r="C104" s="56">
        <v>740985280591</v>
      </c>
      <c r="D104" s="57">
        <v>110</v>
      </c>
      <c r="E104" s="57" t="s">
        <v>189</v>
      </c>
      <c r="F104" s="58">
        <v>0.12485</v>
      </c>
      <c r="G104" s="57">
        <v>24</v>
      </c>
      <c r="H104" s="59">
        <v>12.149999999999999</v>
      </c>
      <c r="I104" s="48" t="str">
        <f>IFERROR(VLOOKUP("21ST-"&amp;A104,[1]Лист1!$B$16:$P$170,15,FALSE),"С")</f>
        <v>С</v>
      </c>
      <c r="J104" s="26"/>
      <c r="K104" s="60">
        <f t="shared" si="6"/>
        <v>0</v>
      </c>
      <c r="N104" s="51" t="str">
        <f t="shared" si="7"/>
        <v>-</v>
      </c>
      <c r="O104" s="51" t="str">
        <f t="shared" si="8"/>
        <v>-</v>
      </c>
      <c r="P104" s="52" t="str">
        <f t="shared" si="9"/>
        <v>-</v>
      </c>
      <c r="Q104" s="53" t="str">
        <f t="shared" si="10"/>
        <v>-</v>
      </c>
      <c r="S104" s="53" t="str">
        <f t="shared" si="11"/>
        <v>-</v>
      </c>
    </row>
    <row r="105" spans="1:19" ht="17.399999999999999" x14ac:dyDescent="0.4">
      <c r="A105" s="54">
        <v>27504</v>
      </c>
      <c r="B105" s="55" t="s">
        <v>38</v>
      </c>
      <c r="C105" s="56">
        <v>740985275047</v>
      </c>
      <c r="D105" s="57">
        <v>110</v>
      </c>
      <c r="E105" s="57" t="s">
        <v>190</v>
      </c>
      <c r="F105" s="58">
        <v>8.3970143765488989E-2</v>
      </c>
      <c r="G105" s="57">
        <v>24</v>
      </c>
      <c r="H105" s="59">
        <v>9.0749999999999993</v>
      </c>
      <c r="I105" s="48" t="str">
        <f>IFERROR(VLOOKUP("21ST-"&amp;A105,[1]Лист1!$B$16:$P$170,15,FALSE),"С")</f>
        <v>С</v>
      </c>
      <c r="J105" s="26"/>
      <c r="K105" s="60">
        <f t="shared" si="6"/>
        <v>0</v>
      </c>
      <c r="N105" s="51" t="str">
        <f t="shared" si="7"/>
        <v>-</v>
      </c>
      <c r="O105" s="51" t="str">
        <f t="shared" si="8"/>
        <v>-</v>
      </c>
      <c r="P105" s="52" t="str">
        <f t="shared" si="9"/>
        <v>-</v>
      </c>
      <c r="Q105" s="53" t="str">
        <f t="shared" si="10"/>
        <v>-</v>
      </c>
      <c r="S105" s="53" t="str">
        <f t="shared" si="11"/>
        <v>-</v>
      </c>
    </row>
    <row r="106" spans="1:19" ht="17.399999999999999" x14ac:dyDescent="0.4">
      <c r="A106" s="54">
        <v>28060</v>
      </c>
      <c r="B106" s="55" t="s">
        <v>38</v>
      </c>
      <c r="C106" s="56">
        <v>740985280607</v>
      </c>
      <c r="D106" s="57">
        <v>110</v>
      </c>
      <c r="E106" s="57" t="s">
        <v>189</v>
      </c>
      <c r="F106" s="58">
        <v>0.12485</v>
      </c>
      <c r="G106" s="57">
        <v>24</v>
      </c>
      <c r="H106" s="59">
        <v>13.77</v>
      </c>
      <c r="I106" s="48" t="str">
        <f>IFERROR(VLOOKUP("21ST-"&amp;A106,[1]Лист1!$B$16:$P$170,15,FALSE),"С")</f>
        <v>С</v>
      </c>
      <c r="J106" s="26"/>
      <c r="K106" s="60">
        <f t="shared" si="6"/>
        <v>0</v>
      </c>
      <c r="N106" s="51" t="str">
        <f t="shared" si="7"/>
        <v>-</v>
      </c>
      <c r="O106" s="51" t="str">
        <f t="shared" si="8"/>
        <v>-</v>
      </c>
      <c r="P106" s="52" t="str">
        <f t="shared" si="9"/>
        <v>-</v>
      </c>
      <c r="Q106" s="53" t="str">
        <f t="shared" si="10"/>
        <v>-</v>
      </c>
      <c r="S106" s="53" t="str">
        <f t="shared" si="11"/>
        <v>-</v>
      </c>
    </row>
    <row r="107" spans="1:19" ht="17.399999999999999" x14ac:dyDescent="0.4">
      <c r="A107" s="54">
        <v>22557</v>
      </c>
      <c r="B107" s="55" t="s">
        <v>135</v>
      </c>
      <c r="C107" s="56">
        <v>740985225578</v>
      </c>
      <c r="D107" s="57">
        <v>120</v>
      </c>
      <c r="E107" s="57" t="s">
        <v>190</v>
      </c>
      <c r="F107" s="58">
        <v>0.28375</v>
      </c>
      <c r="G107" s="57">
        <v>12</v>
      </c>
      <c r="H107" s="59">
        <v>7.4250000000000007</v>
      </c>
      <c r="I107" s="48" t="str">
        <f>IFERROR(VLOOKUP("21ST-"&amp;A107,[1]Лист1!$B$16:$P$170,15,FALSE),"С")</f>
        <v>С</v>
      </c>
      <c r="J107" s="26"/>
      <c r="K107" s="60">
        <f t="shared" si="6"/>
        <v>0</v>
      </c>
      <c r="N107" s="51" t="str">
        <f t="shared" si="7"/>
        <v>-</v>
      </c>
      <c r="O107" s="51" t="str">
        <f t="shared" si="8"/>
        <v>-</v>
      </c>
      <c r="P107" s="52" t="str">
        <f t="shared" si="9"/>
        <v>-</v>
      </c>
      <c r="Q107" s="53" t="str">
        <f t="shared" si="10"/>
        <v>-</v>
      </c>
      <c r="S107" s="53" t="str">
        <f t="shared" si="11"/>
        <v>-</v>
      </c>
    </row>
    <row r="108" spans="1:19" ht="17.399999999999999" x14ac:dyDescent="0.4">
      <c r="A108" s="54">
        <v>22556</v>
      </c>
      <c r="B108" s="55" t="s">
        <v>137</v>
      </c>
      <c r="C108" s="56">
        <v>740985225561</v>
      </c>
      <c r="D108" s="57">
        <v>60</v>
      </c>
      <c r="E108" s="57" t="s">
        <v>191</v>
      </c>
      <c r="F108" s="58">
        <v>7.7046760225597019E-2</v>
      </c>
      <c r="G108" s="57">
        <v>24</v>
      </c>
      <c r="H108" s="59">
        <v>5.7450000000000001</v>
      </c>
      <c r="I108" s="48" t="str">
        <f>IFERROR(VLOOKUP("21ST-"&amp;A108,[1]Лист1!$B$16:$P$170,15,FALSE),"С")</f>
        <v>С</v>
      </c>
      <c r="J108" s="26"/>
      <c r="K108" s="60">
        <f t="shared" si="6"/>
        <v>0</v>
      </c>
      <c r="N108" s="51" t="str">
        <f t="shared" si="7"/>
        <v>-</v>
      </c>
      <c r="O108" s="51" t="str">
        <f t="shared" si="8"/>
        <v>-</v>
      </c>
      <c r="P108" s="52" t="str">
        <f t="shared" si="9"/>
        <v>-</v>
      </c>
      <c r="Q108" s="53" t="str">
        <f t="shared" si="10"/>
        <v>-</v>
      </c>
      <c r="S108" s="53" t="str">
        <f t="shared" si="11"/>
        <v>-</v>
      </c>
    </row>
    <row r="109" spans="1:19" ht="17.399999999999999" x14ac:dyDescent="0.4">
      <c r="A109" s="54">
        <v>22730</v>
      </c>
      <c r="B109" s="55" t="s">
        <v>40</v>
      </c>
      <c r="C109" s="56">
        <v>740985227305</v>
      </c>
      <c r="D109" s="57">
        <v>250</v>
      </c>
      <c r="E109" s="57" t="s">
        <v>189</v>
      </c>
      <c r="F109" s="58">
        <v>0.23835000000000001</v>
      </c>
      <c r="G109" s="57">
        <v>12</v>
      </c>
      <c r="H109" s="59">
        <v>13.125</v>
      </c>
      <c r="I109" s="48" t="str">
        <f>IFERROR(VLOOKUP("21ST-"&amp;A109,[1]Лист1!$B$16:$P$170,15,FALSE),"С")</f>
        <v>С</v>
      </c>
      <c r="J109" s="26"/>
      <c r="K109" s="60">
        <f t="shared" si="6"/>
        <v>0</v>
      </c>
      <c r="N109" s="51" t="str">
        <f t="shared" si="7"/>
        <v>-</v>
      </c>
      <c r="O109" s="51" t="str">
        <f t="shared" si="8"/>
        <v>-</v>
      </c>
      <c r="P109" s="52" t="str">
        <f t="shared" si="9"/>
        <v>-</v>
      </c>
      <c r="Q109" s="53" t="str">
        <f t="shared" si="10"/>
        <v>-</v>
      </c>
      <c r="S109" s="53" t="str">
        <f t="shared" si="11"/>
        <v>-</v>
      </c>
    </row>
    <row r="110" spans="1:19" ht="17.399999999999999" x14ac:dyDescent="0.4">
      <c r="A110" s="54">
        <v>22343</v>
      </c>
      <c r="B110" s="55" t="s">
        <v>41</v>
      </c>
      <c r="C110" s="56">
        <v>740985223437</v>
      </c>
      <c r="D110" s="57">
        <v>110</v>
      </c>
      <c r="E110" s="57" t="s">
        <v>189</v>
      </c>
      <c r="F110" s="58">
        <v>0.11268516074241801</v>
      </c>
      <c r="G110" s="57">
        <v>24</v>
      </c>
      <c r="H110" s="59">
        <v>12.375</v>
      </c>
      <c r="I110" s="48" t="str">
        <f>IFERROR(VLOOKUP("21ST-"&amp;A110,[1]Лист1!$B$16:$P$170,15,FALSE),"С")</f>
        <v>С</v>
      </c>
      <c r="J110" s="26"/>
      <c r="K110" s="60">
        <f t="shared" si="6"/>
        <v>0</v>
      </c>
      <c r="N110" s="51" t="str">
        <f t="shared" si="7"/>
        <v>-</v>
      </c>
      <c r="O110" s="51" t="str">
        <f t="shared" si="8"/>
        <v>-</v>
      </c>
      <c r="P110" s="52" t="str">
        <f t="shared" si="9"/>
        <v>-</v>
      </c>
      <c r="Q110" s="53" t="str">
        <f t="shared" si="10"/>
        <v>-</v>
      </c>
      <c r="S110" s="53" t="str">
        <f t="shared" si="11"/>
        <v>-</v>
      </c>
    </row>
    <row r="111" spans="1:19" ht="17.399999999999999" x14ac:dyDescent="0.4">
      <c r="A111" s="54">
        <v>21287</v>
      </c>
      <c r="B111" s="55" t="s">
        <v>210</v>
      </c>
      <c r="C111" s="56">
        <v>740985212875</v>
      </c>
      <c r="D111" s="57">
        <v>60</v>
      </c>
      <c r="E111" s="57" t="s">
        <v>221</v>
      </c>
      <c r="F111" s="58">
        <v>7.8408737315411856E-2</v>
      </c>
      <c r="G111" s="57">
        <v>24</v>
      </c>
      <c r="H111" s="59">
        <v>6.5849999999999991</v>
      </c>
      <c r="I111" s="48" t="str">
        <f>IFERROR(VLOOKUP("21ST-"&amp;A111,[1]Лист1!$B$16:$P$170,15,FALSE),"С")</f>
        <v>С</v>
      </c>
      <c r="J111" s="26"/>
      <c r="K111" s="60">
        <f t="shared" si="6"/>
        <v>0</v>
      </c>
      <c r="N111" s="51" t="str">
        <f t="shared" si="7"/>
        <v>-</v>
      </c>
      <c r="O111" s="51" t="str">
        <f t="shared" si="8"/>
        <v>-</v>
      </c>
      <c r="P111" s="52" t="str">
        <f t="shared" si="9"/>
        <v>-</v>
      </c>
      <c r="Q111" s="53" t="str">
        <f t="shared" si="10"/>
        <v>-</v>
      </c>
      <c r="S111" s="53" t="str">
        <f t="shared" si="11"/>
        <v>-</v>
      </c>
    </row>
    <row r="112" spans="1:19" ht="17.399999999999999" x14ac:dyDescent="0.4">
      <c r="A112" s="54">
        <v>21828</v>
      </c>
      <c r="B112" s="55" t="s">
        <v>166</v>
      </c>
      <c r="C112" s="56">
        <v>740985218280</v>
      </c>
      <c r="D112" s="57">
        <v>60</v>
      </c>
      <c r="E112" s="57" t="s">
        <v>189</v>
      </c>
      <c r="F112" s="58">
        <v>9.2369002486013707E-2</v>
      </c>
      <c r="G112" s="57">
        <v>24</v>
      </c>
      <c r="H112" s="59">
        <v>6.5849999999999991</v>
      </c>
      <c r="I112" s="48" t="str">
        <f>IFERROR(VLOOKUP("21ST-"&amp;A112,[1]Лист1!$B$16:$P$170,15,FALSE),"С")</f>
        <v>С</v>
      </c>
      <c r="J112" s="26"/>
      <c r="K112" s="60">
        <f t="shared" si="6"/>
        <v>0</v>
      </c>
      <c r="N112" s="51" t="str">
        <f t="shared" si="7"/>
        <v>-</v>
      </c>
      <c r="O112" s="51" t="str">
        <f t="shared" si="8"/>
        <v>-</v>
      </c>
      <c r="P112" s="52" t="str">
        <f t="shared" si="9"/>
        <v>-</v>
      </c>
      <c r="Q112" s="53" t="str">
        <f t="shared" si="10"/>
        <v>-</v>
      </c>
      <c r="S112" s="53" t="str">
        <f t="shared" si="11"/>
        <v>-</v>
      </c>
    </row>
    <row r="113" spans="1:19" ht="17.399999999999999" x14ac:dyDescent="0.4">
      <c r="A113" s="54">
        <v>27348</v>
      </c>
      <c r="B113" s="55" t="s">
        <v>139</v>
      </c>
      <c r="C113" s="56">
        <v>740985273487</v>
      </c>
      <c r="D113" s="57">
        <v>140</v>
      </c>
      <c r="E113" s="57" t="s">
        <v>189</v>
      </c>
      <c r="F113" s="58">
        <v>0.34465586911702678</v>
      </c>
      <c r="G113" s="57">
        <v>12</v>
      </c>
      <c r="H113" s="59">
        <v>10.215</v>
      </c>
      <c r="I113" s="48" t="str">
        <f>IFERROR(VLOOKUP("21ST-"&amp;A113,[1]Лист1!$B$16:$P$170,15,FALSE),"С")</f>
        <v>С</v>
      </c>
      <c r="J113" s="26"/>
      <c r="K113" s="60">
        <f t="shared" si="6"/>
        <v>0</v>
      </c>
      <c r="N113" s="51" t="str">
        <f t="shared" si="7"/>
        <v>-</v>
      </c>
      <c r="O113" s="51" t="str">
        <f t="shared" si="8"/>
        <v>-</v>
      </c>
      <c r="P113" s="52" t="str">
        <f t="shared" si="9"/>
        <v>-</v>
      </c>
      <c r="Q113" s="53" t="str">
        <f t="shared" si="10"/>
        <v>-</v>
      </c>
      <c r="S113" s="53" t="str">
        <f t="shared" si="11"/>
        <v>-</v>
      </c>
    </row>
    <row r="114" spans="1:19" ht="17.399999999999999" x14ac:dyDescent="0.4">
      <c r="A114" s="54">
        <v>22563</v>
      </c>
      <c r="B114" s="55" t="s">
        <v>17</v>
      </c>
      <c r="C114" s="56">
        <v>740985225639</v>
      </c>
      <c r="D114" s="57">
        <v>180</v>
      </c>
      <c r="E114" s="57" t="s">
        <v>190</v>
      </c>
      <c r="F114" s="58">
        <v>0.10666976192906925</v>
      </c>
      <c r="G114" s="57">
        <v>24</v>
      </c>
      <c r="H114" s="59">
        <v>4.1399999999999997</v>
      </c>
      <c r="I114" s="48" t="str">
        <f>IFERROR(VLOOKUP("21ST-"&amp;A114,[1]Лист1!$B$16:$P$170,15,FALSE),"С")</f>
        <v>С</v>
      </c>
      <c r="J114" s="26"/>
      <c r="K114" s="60">
        <f t="shared" si="6"/>
        <v>0</v>
      </c>
      <c r="N114" s="51" t="str">
        <f t="shared" si="7"/>
        <v>-</v>
      </c>
      <c r="O114" s="51" t="str">
        <f t="shared" si="8"/>
        <v>-</v>
      </c>
      <c r="P114" s="52" t="str">
        <f t="shared" si="9"/>
        <v>-</v>
      </c>
      <c r="Q114" s="53" t="str">
        <f t="shared" si="10"/>
        <v>-</v>
      </c>
      <c r="S114" s="53" t="str">
        <f t="shared" si="11"/>
        <v>-</v>
      </c>
    </row>
    <row r="115" spans="1:19" ht="17.399999999999999" x14ac:dyDescent="0.4">
      <c r="A115" s="54">
        <v>22274</v>
      </c>
      <c r="B115" s="55" t="s">
        <v>211</v>
      </c>
      <c r="C115" s="56">
        <v>740985222744</v>
      </c>
      <c r="D115" s="57">
        <v>75</v>
      </c>
      <c r="E115" s="57" t="s">
        <v>195</v>
      </c>
      <c r="F115" s="58">
        <v>0.39448644923668752</v>
      </c>
      <c r="G115" s="57">
        <v>12</v>
      </c>
      <c r="H115" s="59">
        <v>10.8</v>
      </c>
      <c r="I115" s="48" t="str">
        <f>IFERROR(VLOOKUP("21ST-"&amp;A115,[1]Лист1!$B$16:$P$170,15,FALSE),"С")</f>
        <v>С</v>
      </c>
      <c r="J115" s="26"/>
      <c r="K115" s="60">
        <f t="shared" si="6"/>
        <v>0</v>
      </c>
      <c r="N115" s="51" t="str">
        <f t="shared" si="7"/>
        <v>-</v>
      </c>
      <c r="O115" s="51" t="str">
        <f t="shared" si="8"/>
        <v>-</v>
      </c>
      <c r="P115" s="52" t="str">
        <f t="shared" si="9"/>
        <v>-</v>
      </c>
      <c r="Q115" s="53" t="str">
        <f t="shared" si="10"/>
        <v>-</v>
      </c>
      <c r="S115" s="53" t="str">
        <f t="shared" si="11"/>
        <v>-</v>
      </c>
    </row>
    <row r="116" spans="1:19" ht="17.399999999999999" x14ac:dyDescent="0.4">
      <c r="A116" s="54">
        <v>22293</v>
      </c>
      <c r="B116" s="55" t="s">
        <v>214</v>
      </c>
      <c r="C116" s="56">
        <v>740985222935</v>
      </c>
      <c r="D116" s="57">
        <v>90</v>
      </c>
      <c r="E116" s="57" t="s">
        <v>190</v>
      </c>
      <c r="F116" s="58">
        <v>0.2069605906599</v>
      </c>
      <c r="G116" s="57">
        <v>12</v>
      </c>
      <c r="H116" s="59">
        <v>10.8</v>
      </c>
      <c r="I116" s="48" t="str">
        <f>IFERROR(VLOOKUP("21ST-"&amp;A116,[1]Лист1!$B$16:$P$170,15,FALSE),"С")</f>
        <v>С</v>
      </c>
      <c r="J116" s="26"/>
      <c r="K116" s="60">
        <f t="shared" si="6"/>
        <v>0</v>
      </c>
      <c r="N116" s="51" t="str">
        <f t="shared" si="7"/>
        <v>-</v>
      </c>
      <c r="O116" s="51" t="str">
        <f t="shared" si="8"/>
        <v>-</v>
      </c>
      <c r="P116" s="52" t="str">
        <f t="shared" si="9"/>
        <v>-</v>
      </c>
      <c r="Q116" s="53" t="str">
        <f t="shared" si="10"/>
        <v>-</v>
      </c>
      <c r="S116" s="53" t="str">
        <f t="shared" si="11"/>
        <v>-</v>
      </c>
    </row>
    <row r="117" spans="1:19" ht="17.399999999999999" x14ac:dyDescent="0.4">
      <c r="A117" s="54">
        <v>22663</v>
      </c>
      <c r="B117" s="55" t="s">
        <v>142</v>
      </c>
      <c r="C117" s="56">
        <v>740985226636</v>
      </c>
      <c r="D117" s="57">
        <v>100</v>
      </c>
      <c r="E117" s="57" t="s">
        <v>191</v>
      </c>
      <c r="F117" s="58">
        <v>0.10950721419951678</v>
      </c>
      <c r="G117" s="57">
        <v>24</v>
      </c>
      <c r="H117" s="59">
        <v>4.1399999999999997</v>
      </c>
      <c r="I117" s="48" t="str">
        <f>IFERROR(VLOOKUP("21ST-"&amp;A117,[1]Лист1!$B$16:$P$170,15,FALSE),"С")</f>
        <v>С</v>
      </c>
      <c r="J117" s="26"/>
      <c r="K117" s="60">
        <f t="shared" si="6"/>
        <v>0</v>
      </c>
      <c r="N117" s="51" t="str">
        <f t="shared" si="7"/>
        <v>-</v>
      </c>
      <c r="O117" s="51" t="str">
        <f t="shared" si="8"/>
        <v>-</v>
      </c>
      <c r="P117" s="52" t="str">
        <f t="shared" si="9"/>
        <v>-</v>
      </c>
      <c r="Q117" s="53" t="str">
        <f t="shared" si="10"/>
        <v>-</v>
      </c>
      <c r="S117" s="53" t="str">
        <f t="shared" si="11"/>
        <v>-</v>
      </c>
    </row>
    <row r="118" spans="1:19" ht="17.399999999999999" x14ac:dyDescent="0.4">
      <c r="A118" s="54">
        <v>21687</v>
      </c>
      <c r="B118" s="55" t="s">
        <v>169</v>
      </c>
      <c r="C118" s="56">
        <v>740985216873</v>
      </c>
      <c r="D118" s="57">
        <v>200</v>
      </c>
      <c r="E118" s="57" t="s">
        <v>221</v>
      </c>
      <c r="F118" s="58">
        <v>0.18608390316564299</v>
      </c>
      <c r="G118" s="57">
        <v>12</v>
      </c>
      <c r="H118" s="59">
        <v>13.215</v>
      </c>
      <c r="I118" s="48" t="str">
        <f>IFERROR(VLOOKUP("21ST-"&amp;A118,[1]Лист1!$B$16:$P$170,15,FALSE),"С")</f>
        <v>С</v>
      </c>
      <c r="J118" s="26"/>
      <c r="K118" s="60">
        <f t="shared" si="6"/>
        <v>0</v>
      </c>
      <c r="N118" s="51" t="str">
        <f t="shared" si="7"/>
        <v>-</v>
      </c>
      <c r="O118" s="51" t="str">
        <f t="shared" si="8"/>
        <v>-</v>
      </c>
      <c r="P118" s="52" t="str">
        <f t="shared" si="9"/>
        <v>-</v>
      </c>
      <c r="Q118" s="53" t="str">
        <f t="shared" si="10"/>
        <v>-</v>
      </c>
      <c r="S118" s="53" t="str">
        <f t="shared" si="11"/>
        <v>-</v>
      </c>
    </row>
    <row r="119" spans="1:19" ht="17.399999999999999" x14ac:dyDescent="0.4">
      <c r="A119" s="54">
        <v>27291</v>
      </c>
      <c r="B119" s="55" t="s">
        <v>52</v>
      </c>
      <c r="C119" s="56">
        <v>740985272916</v>
      </c>
      <c r="D119" s="57">
        <v>120</v>
      </c>
      <c r="E119" s="57" t="s">
        <v>190</v>
      </c>
      <c r="F119" s="58">
        <v>0.25084023888179657</v>
      </c>
      <c r="G119" s="57">
        <v>12</v>
      </c>
      <c r="H119" s="59">
        <v>12.375</v>
      </c>
      <c r="I119" s="48" t="str">
        <f>IFERROR(VLOOKUP("21ST-"&amp;A119,[1]Лист1!$B$16:$P$170,15,FALSE),"С")</f>
        <v>С</v>
      </c>
      <c r="J119" s="26"/>
      <c r="K119" s="60">
        <f t="shared" si="6"/>
        <v>0</v>
      </c>
      <c r="N119" s="51" t="str">
        <f t="shared" si="7"/>
        <v>-</v>
      </c>
      <c r="O119" s="51" t="str">
        <f t="shared" si="8"/>
        <v>-</v>
      </c>
      <c r="P119" s="52" t="str">
        <f t="shared" si="9"/>
        <v>-</v>
      </c>
      <c r="Q119" s="53" t="str">
        <f t="shared" si="10"/>
        <v>-</v>
      </c>
      <c r="S119" s="53" t="str">
        <f t="shared" si="11"/>
        <v>-</v>
      </c>
    </row>
    <row r="120" spans="1:19" ht="17.399999999999999" x14ac:dyDescent="0.4">
      <c r="A120" s="54">
        <v>27290</v>
      </c>
      <c r="B120" s="55" t="s">
        <v>53</v>
      </c>
      <c r="C120" s="56">
        <v>740985272909</v>
      </c>
      <c r="D120" s="57">
        <v>80</v>
      </c>
      <c r="E120" s="57" t="s">
        <v>190</v>
      </c>
      <c r="F120" s="58">
        <v>0.21306239935305812</v>
      </c>
      <c r="G120" s="57">
        <v>12</v>
      </c>
      <c r="H120" s="59">
        <v>12.375</v>
      </c>
      <c r="I120" s="48" t="str">
        <f>IFERROR(VLOOKUP("21ST-"&amp;A120,[1]Лист1!$B$16:$P$170,15,FALSE),"С")</f>
        <v>С</v>
      </c>
      <c r="J120" s="26"/>
      <c r="K120" s="60">
        <f t="shared" si="6"/>
        <v>0</v>
      </c>
      <c r="N120" s="51" t="str">
        <f t="shared" si="7"/>
        <v>-</v>
      </c>
      <c r="O120" s="51" t="str">
        <f t="shared" si="8"/>
        <v>-</v>
      </c>
      <c r="P120" s="52" t="str">
        <f t="shared" si="9"/>
        <v>-</v>
      </c>
      <c r="Q120" s="53" t="str">
        <f t="shared" si="10"/>
        <v>-</v>
      </c>
      <c r="S120" s="53" t="str">
        <f t="shared" si="11"/>
        <v>-</v>
      </c>
    </row>
    <row r="121" spans="1:19" ht="17.399999999999999" x14ac:dyDescent="0.4">
      <c r="A121" s="54">
        <v>27708</v>
      </c>
      <c r="B121" s="55" t="s">
        <v>48</v>
      </c>
      <c r="C121" s="56">
        <v>740985277089</v>
      </c>
      <c r="D121" s="57">
        <v>60</v>
      </c>
      <c r="E121" s="57" t="s">
        <v>190</v>
      </c>
      <c r="F121" s="58">
        <v>0.18366639383122174</v>
      </c>
      <c r="G121" s="57">
        <v>12</v>
      </c>
      <c r="H121" s="59">
        <v>12.375</v>
      </c>
      <c r="I121" s="48" t="str">
        <f>IFERROR(VLOOKUP("21ST-"&amp;A121,[1]Лист1!$B$16:$P$170,15,FALSE),"С")</f>
        <v>С</v>
      </c>
      <c r="J121" s="26"/>
      <c r="K121" s="60">
        <f t="shared" si="6"/>
        <v>0</v>
      </c>
      <c r="N121" s="51" t="str">
        <f t="shared" si="7"/>
        <v>-</v>
      </c>
      <c r="O121" s="51" t="str">
        <f t="shared" si="8"/>
        <v>-</v>
      </c>
      <c r="P121" s="52" t="str">
        <f t="shared" si="9"/>
        <v>-</v>
      </c>
      <c r="Q121" s="53" t="str">
        <f t="shared" si="10"/>
        <v>-</v>
      </c>
      <c r="S121" s="53" t="str">
        <f t="shared" si="11"/>
        <v>-</v>
      </c>
    </row>
    <row r="122" spans="1:19" ht="17.399999999999999" x14ac:dyDescent="0.4">
      <c r="A122" s="54">
        <v>27418</v>
      </c>
      <c r="B122" s="55" t="s">
        <v>81</v>
      </c>
      <c r="C122" s="56">
        <v>740985274187</v>
      </c>
      <c r="D122" s="57">
        <v>36</v>
      </c>
      <c r="E122" s="57" t="s">
        <v>190</v>
      </c>
      <c r="F122" s="58">
        <v>8.7253548951108553E-2</v>
      </c>
      <c r="G122" s="57">
        <v>12</v>
      </c>
      <c r="H122" s="59">
        <v>3.7199999999999998</v>
      </c>
      <c r="I122" s="48" t="str">
        <f>IFERROR(VLOOKUP("21ST-"&amp;A122,[1]Лист1!$B$16:$P$170,15,FALSE),"С")</f>
        <v>С</v>
      </c>
      <c r="J122" s="26"/>
      <c r="K122" s="60">
        <f t="shared" si="6"/>
        <v>0</v>
      </c>
      <c r="N122" s="51" t="str">
        <f t="shared" si="7"/>
        <v>-</v>
      </c>
      <c r="O122" s="51" t="str">
        <f t="shared" si="8"/>
        <v>-</v>
      </c>
      <c r="P122" s="52" t="str">
        <f t="shared" si="9"/>
        <v>-</v>
      </c>
      <c r="Q122" s="53" t="str">
        <f t="shared" si="10"/>
        <v>-</v>
      </c>
      <c r="S122" s="53" t="str">
        <f t="shared" si="11"/>
        <v>-</v>
      </c>
    </row>
    <row r="123" spans="1:19" ht="17.399999999999999" x14ac:dyDescent="0.4">
      <c r="A123" s="54">
        <v>27454</v>
      </c>
      <c r="B123" s="55" t="s">
        <v>82</v>
      </c>
      <c r="C123" s="56">
        <v>740985274545</v>
      </c>
      <c r="D123" s="57">
        <v>60</v>
      </c>
      <c r="E123" s="57" t="s">
        <v>191</v>
      </c>
      <c r="F123" s="58">
        <v>7.5722142924009764E-2</v>
      </c>
      <c r="G123" s="57">
        <v>12</v>
      </c>
      <c r="H123" s="59">
        <v>8.25</v>
      </c>
      <c r="I123" s="48" t="str">
        <f>IFERROR(VLOOKUP("21ST-"&amp;A123,[1]Лист1!$B$16:$P$170,15,FALSE),"С")</f>
        <v>С</v>
      </c>
      <c r="J123" s="26"/>
      <c r="K123" s="60">
        <f t="shared" si="6"/>
        <v>0</v>
      </c>
      <c r="N123" s="51" t="str">
        <f t="shared" si="7"/>
        <v>-</v>
      </c>
      <c r="O123" s="51" t="str">
        <f t="shared" si="8"/>
        <v>-</v>
      </c>
      <c r="P123" s="52" t="str">
        <f t="shared" si="9"/>
        <v>-</v>
      </c>
      <c r="Q123" s="53" t="str">
        <f t="shared" si="10"/>
        <v>-</v>
      </c>
      <c r="S123" s="53" t="str">
        <f t="shared" si="11"/>
        <v>-</v>
      </c>
    </row>
    <row r="124" spans="1:19" ht="17.399999999999999" x14ac:dyDescent="0.4">
      <c r="A124" s="54">
        <v>27696</v>
      </c>
      <c r="B124" s="55" t="s">
        <v>32</v>
      </c>
      <c r="C124" s="56">
        <v>740985276969</v>
      </c>
      <c r="D124" s="57">
        <v>32</v>
      </c>
      <c r="E124" s="57" t="s">
        <v>192</v>
      </c>
      <c r="F124" s="58">
        <v>0.11090655107755916</v>
      </c>
      <c r="G124" s="57">
        <v>12</v>
      </c>
      <c r="H124" s="59">
        <v>4.9649999999999999</v>
      </c>
      <c r="I124" s="48" t="str">
        <f>IFERROR(VLOOKUP("21ST-"&amp;A124,[1]Лист1!$B$16:$P$170,15,FALSE),"С")</f>
        <v>С</v>
      </c>
      <c r="J124" s="26"/>
      <c r="K124" s="60">
        <f t="shared" si="6"/>
        <v>0</v>
      </c>
      <c r="N124" s="51" t="str">
        <f t="shared" si="7"/>
        <v>-</v>
      </c>
      <c r="O124" s="51" t="str">
        <f t="shared" si="8"/>
        <v>-</v>
      </c>
      <c r="P124" s="52" t="str">
        <f t="shared" si="9"/>
        <v>-</v>
      </c>
      <c r="Q124" s="53" t="str">
        <f t="shared" si="10"/>
        <v>-</v>
      </c>
      <c r="S124" s="53" t="str">
        <f t="shared" si="11"/>
        <v>-</v>
      </c>
    </row>
    <row r="125" spans="1:19" ht="17.399999999999999" x14ac:dyDescent="0.4">
      <c r="A125" s="54">
        <v>27343</v>
      </c>
      <c r="B125" s="55" t="s">
        <v>69</v>
      </c>
      <c r="C125" s="56">
        <v>740985273432</v>
      </c>
      <c r="D125" s="57">
        <v>60</v>
      </c>
      <c r="E125" s="57" t="s">
        <v>190</v>
      </c>
      <c r="F125" s="58">
        <v>7.2355505805123788E-2</v>
      </c>
      <c r="G125" s="57">
        <v>24</v>
      </c>
      <c r="H125" s="59">
        <v>3.3149999999999999</v>
      </c>
      <c r="I125" s="48" t="str">
        <f>IFERROR(VLOOKUP("21ST-"&amp;A125,[1]Лист1!$B$16:$P$170,15,FALSE),"С")</f>
        <v>С</v>
      </c>
      <c r="J125" s="26"/>
      <c r="K125" s="60">
        <f t="shared" si="6"/>
        <v>0</v>
      </c>
      <c r="N125" s="51" t="str">
        <f t="shared" si="7"/>
        <v>-</v>
      </c>
      <c r="O125" s="51" t="str">
        <f t="shared" si="8"/>
        <v>-</v>
      </c>
      <c r="P125" s="52" t="str">
        <f t="shared" si="9"/>
        <v>-</v>
      </c>
      <c r="Q125" s="53" t="str">
        <f t="shared" si="10"/>
        <v>-</v>
      </c>
      <c r="S125" s="53" t="str">
        <f t="shared" si="11"/>
        <v>-</v>
      </c>
    </row>
    <row r="126" spans="1:19" ht="17.399999999999999" x14ac:dyDescent="0.4">
      <c r="A126" s="54">
        <v>28063</v>
      </c>
      <c r="B126" s="55" t="s">
        <v>147</v>
      </c>
      <c r="C126" s="56">
        <v>740985280638</v>
      </c>
      <c r="D126" s="57">
        <v>90</v>
      </c>
      <c r="E126" s="57" t="s">
        <v>190</v>
      </c>
      <c r="F126" s="58">
        <v>0.21474217109716306</v>
      </c>
      <c r="G126" s="57">
        <v>12</v>
      </c>
      <c r="H126" s="59">
        <v>4.8600000000000003</v>
      </c>
      <c r="I126" s="48" t="str">
        <f>IFERROR(VLOOKUP("21ST-"&amp;A126,[1]Лист1!$B$16:$P$170,15,FALSE),"С")</f>
        <v>С</v>
      </c>
      <c r="J126" s="26"/>
      <c r="K126" s="60">
        <f t="shared" si="6"/>
        <v>0</v>
      </c>
      <c r="N126" s="51" t="str">
        <f t="shared" si="7"/>
        <v>-</v>
      </c>
      <c r="O126" s="51" t="str">
        <f t="shared" si="8"/>
        <v>-</v>
      </c>
      <c r="P126" s="52" t="str">
        <f t="shared" si="9"/>
        <v>-</v>
      </c>
      <c r="Q126" s="53" t="str">
        <f t="shared" si="10"/>
        <v>-</v>
      </c>
      <c r="S126" s="53" t="str">
        <f t="shared" si="11"/>
        <v>-</v>
      </c>
    </row>
    <row r="127" spans="1:19" ht="17.399999999999999" x14ac:dyDescent="0.4">
      <c r="A127" s="54">
        <v>22408</v>
      </c>
      <c r="B127" s="55" t="s">
        <v>148</v>
      </c>
      <c r="C127" s="56">
        <v>740985224083</v>
      </c>
      <c r="D127" s="57">
        <v>60</v>
      </c>
      <c r="E127" s="57" t="s">
        <v>190</v>
      </c>
      <c r="F127" s="58">
        <v>9.3049991030921084E-2</v>
      </c>
      <c r="G127" s="57">
        <v>24</v>
      </c>
      <c r="H127" s="59">
        <v>8.25</v>
      </c>
      <c r="I127" s="48" t="str">
        <f>IFERROR(VLOOKUP("21ST-"&amp;A127,[1]Лист1!$B$16:$P$170,15,FALSE),"С")</f>
        <v>С</v>
      </c>
      <c r="J127" s="26"/>
      <c r="K127" s="60">
        <f t="shared" si="6"/>
        <v>0</v>
      </c>
      <c r="N127" s="51" t="str">
        <f t="shared" si="7"/>
        <v>-</v>
      </c>
      <c r="O127" s="51" t="str">
        <f t="shared" si="8"/>
        <v>-</v>
      </c>
      <c r="P127" s="52" t="str">
        <f t="shared" si="9"/>
        <v>-</v>
      </c>
      <c r="Q127" s="53" t="str">
        <f t="shared" si="10"/>
        <v>-</v>
      </c>
      <c r="S127" s="53" t="str">
        <f t="shared" si="11"/>
        <v>-</v>
      </c>
    </row>
    <row r="128" spans="1:19" ht="17.399999999999999" x14ac:dyDescent="0.4">
      <c r="A128" s="54">
        <v>27073</v>
      </c>
      <c r="B128" s="55" t="s">
        <v>149</v>
      </c>
      <c r="C128" s="56">
        <v>740985270738</v>
      </c>
      <c r="D128" s="57">
        <v>60</v>
      </c>
      <c r="E128" s="57" t="s">
        <v>189</v>
      </c>
      <c r="F128" s="58">
        <v>7.9450000000000007E-2</v>
      </c>
      <c r="G128" s="57">
        <v>24</v>
      </c>
      <c r="H128" s="59">
        <v>12.375</v>
      </c>
      <c r="I128" s="48" t="str">
        <f>IFERROR(VLOOKUP("21ST-"&amp;A128,[1]Лист1!$B$16:$P$170,15,FALSE),"С")</f>
        <v>С</v>
      </c>
      <c r="J128" s="26"/>
      <c r="K128" s="60">
        <f t="shared" si="6"/>
        <v>0</v>
      </c>
      <c r="N128" s="51" t="str">
        <f t="shared" si="7"/>
        <v>-</v>
      </c>
      <c r="O128" s="51" t="str">
        <f t="shared" si="8"/>
        <v>-</v>
      </c>
      <c r="P128" s="52" t="str">
        <f t="shared" si="9"/>
        <v>-</v>
      </c>
      <c r="Q128" s="53" t="str">
        <f t="shared" si="10"/>
        <v>-</v>
      </c>
      <c r="S128" s="53" t="str">
        <f t="shared" si="11"/>
        <v>-</v>
      </c>
    </row>
    <row r="129" spans="1:19" ht="17.399999999999999" x14ac:dyDescent="0.4">
      <c r="A129" s="54">
        <v>22400</v>
      </c>
      <c r="B129" s="55" t="s">
        <v>150</v>
      </c>
      <c r="C129" s="56">
        <v>740985224007</v>
      </c>
      <c r="D129" s="57">
        <v>60</v>
      </c>
      <c r="E129" s="57" t="s">
        <v>190</v>
      </c>
      <c r="F129" s="58">
        <v>0.10564827911170813</v>
      </c>
      <c r="G129" s="57">
        <v>24</v>
      </c>
      <c r="H129" s="59">
        <v>9.0749999999999993</v>
      </c>
      <c r="I129" s="48" t="str">
        <f>IFERROR(VLOOKUP("21ST-"&amp;A129,[1]Лист1!$B$16:$P$170,15,FALSE),"С")</f>
        <v>С</v>
      </c>
      <c r="J129" s="26"/>
      <c r="K129" s="60">
        <f t="shared" si="6"/>
        <v>0</v>
      </c>
      <c r="N129" s="51" t="str">
        <f t="shared" si="7"/>
        <v>-</v>
      </c>
      <c r="O129" s="51" t="str">
        <f t="shared" si="8"/>
        <v>-</v>
      </c>
      <c r="P129" s="52" t="str">
        <f t="shared" si="9"/>
        <v>-</v>
      </c>
      <c r="Q129" s="53" t="str">
        <f t="shared" si="10"/>
        <v>-</v>
      </c>
      <c r="S129" s="53" t="str">
        <f t="shared" si="11"/>
        <v>-</v>
      </c>
    </row>
    <row r="130" spans="1:19" ht="17.399999999999999" x14ac:dyDescent="0.4">
      <c r="A130" s="54">
        <v>28050</v>
      </c>
      <c r="B130" s="55" t="s">
        <v>71</v>
      </c>
      <c r="C130" s="56">
        <v>740985280508</v>
      </c>
      <c r="D130" s="57">
        <v>250</v>
      </c>
      <c r="E130" s="57" t="s">
        <v>190</v>
      </c>
      <c r="F130" s="58">
        <v>0.28375</v>
      </c>
      <c r="G130" s="57">
        <v>12</v>
      </c>
      <c r="H130" s="59">
        <v>6.5849999999999991</v>
      </c>
      <c r="I130" s="48" t="str">
        <f>IFERROR(VLOOKUP("21ST-"&amp;A130,[1]Лист1!$B$16:$P$170,15,FALSE),"С")</f>
        <v>С</v>
      </c>
      <c r="J130" s="26"/>
      <c r="K130" s="60">
        <f t="shared" si="6"/>
        <v>0</v>
      </c>
      <c r="N130" s="51" t="str">
        <f t="shared" si="7"/>
        <v>-</v>
      </c>
      <c r="O130" s="51" t="str">
        <f t="shared" si="8"/>
        <v>-</v>
      </c>
      <c r="P130" s="52" t="str">
        <f t="shared" si="9"/>
        <v>-</v>
      </c>
      <c r="Q130" s="53" t="str">
        <f t="shared" si="10"/>
        <v>-</v>
      </c>
      <c r="S130" s="53" t="str">
        <f t="shared" si="11"/>
        <v>-</v>
      </c>
    </row>
    <row r="131" spans="1:19" ht="17.399999999999999" x14ac:dyDescent="0.4">
      <c r="A131" s="54">
        <v>21720</v>
      </c>
      <c r="B131" s="55" t="s">
        <v>55</v>
      </c>
      <c r="C131" s="56">
        <v>740985217207</v>
      </c>
      <c r="D131" s="57">
        <v>90</v>
      </c>
      <c r="E131" s="57" t="s">
        <v>190</v>
      </c>
      <c r="F131" s="58">
        <v>0.16846947237941645</v>
      </c>
      <c r="G131" s="57">
        <v>24</v>
      </c>
      <c r="H131" s="59">
        <v>8.25</v>
      </c>
      <c r="I131" s="48" t="str">
        <f>IFERROR(VLOOKUP("21ST-"&amp;A131,[1]Лист1!$B$16:$P$170,15,FALSE),"С")</f>
        <v>С</v>
      </c>
      <c r="J131" s="26"/>
      <c r="K131" s="60">
        <f t="shared" ref="K131:K194" si="12">SUM(H131*J131)</f>
        <v>0</v>
      </c>
      <c r="N131" s="51" t="str">
        <f t="shared" si="7"/>
        <v>-</v>
      </c>
      <c r="O131" s="51" t="str">
        <f t="shared" si="8"/>
        <v>-</v>
      </c>
      <c r="P131" s="52" t="str">
        <f t="shared" si="9"/>
        <v>-</v>
      </c>
      <c r="Q131" s="53" t="str">
        <f t="shared" si="10"/>
        <v>-</v>
      </c>
      <c r="S131" s="53" t="str">
        <f t="shared" si="11"/>
        <v>-</v>
      </c>
    </row>
    <row r="132" spans="1:19" ht="17.399999999999999" x14ac:dyDescent="0.4">
      <c r="A132" s="54">
        <v>27474</v>
      </c>
      <c r="B132" s="55" t="s">
        <v>20</v>
      </c>
      <c r="C132" s="56">
        <v>740985274743</v>
      </c>
      <c r="D132" s="57">
        <v>100</v>
      </c>
      <c r="E132" s="57" t="s">
        <v>190</v>
      </c>
      <c r="F132" s="58">
        <v>0.12485</v>
      </c>
      <c r="G132" s="57">
        <v>24</v>
      </c>
      <c r="H132" s="59">
        <v>5.7450000000000001</v>
      </c>
      <c r="I132" s="48" t="str">
        <f>IFERROR(VLOOKUP("21ST-"&amp;A132,[1]Лист1!$B$16:$P$170,15,FALSE),"С")</f>
        <v>С</v>
      </c>
      <c r="J132" s="26"/>
      <c r="K132" s="60">
        <f t="shared" si="12"/>
        <v>0</v>
      </c>
      <c r="N132" s="51" t="str">
        <f t="shared" ref="N132:N195" si="13">IFERROR(IF($N$2*F132=0, "-", $N$2*F132), "-")</f>
        <v>-</v>
      </c>
      <c r="O132" s="51" t="str">
        <f t="shared" ref="O132:O195" si="14">IFERROR(IF(N132&gt;0,H132+N132,"-"),"-")</f>
        <v>-</v>
      </c>
      <c r="P132" s="52" t="str">
        <f t="shared" ref="P132:P195" si="15">IF(J132&gt;0,J132*F132, "-")</f>
        <v>-</v>
      </c>
      <c r="Q132" s="53" t="str">
        <f t="shared" ref="Q132:Q195" si="16">IFERROR(IF($N$2&gt;0, $N$2*P132, "-"), "-")</f>
        <v>-</v>
      </c>
      <c r="S132" s="53" t="str">
        <f t="shared" ref="S132:S195" si="17">IFERROR(IF(Q132+K132=0, "-", IF(Q132&gt;0, Q132+K132, "-")), "-")</f>
        <v>-</v>
      </c>
    </row>
    <row r="133" spans="1:19" ht="17.399999999999999" x14ac:dyDescent="0.4">
      <c r="A133" s="54">
        <v>27175</v>
      </c>
      <c r="B133" s="55" t="s">
        <v>93</v>
      </c>
      <c r="C133" s="56">
        <v>740985271759</v>
      </c>
      <c r="D133" s="57" t="s">
        <v>188</v>
      </c>
      <c r="E133" s="57" t="s">
        <v>194</v>
      </c>
      <c r="F133" s="58">
        <v>0.26384901172437508</v>
      </c>
      <c r="G133" s="57">
        <v>12</v>
      </c>
      <c r="H133" s="59">
        <v>20.64</v>
      </c>
      <c r="I133" s="48" t="str">
        <f>IFERROR(VLOOKUP("21ST-"&amp;A133,[1]Лист1!$B$16:$P$170,15,FALSE),"С")</f>
        <v>С</v>
      </c>
      <c r="J133" s="26"/>
      <c r="K133" s="60">
        <f t="shared" si="12"/>
        <v>0</v>
      </c>
      <c r="N133" s="51" t="str">
        <f t="shared" si="13"/>
        <v>-</v>
      </c>
      <c r="O133" s="51" t="str">
        <f t="shared" si="14"/>
        <v>-</v>
      </c>
      <c r="P133" s="52" t="str">
        <f t="shared" si="15"/>
        <v>-</v>
      </c>
      <c r="Q133" s="53" t="str">
        <f t="shared" si="16"/>
        <v>-</v>
      </c>
      <c r="S133" s="53" t="str">
        <f t="shared" si="17"/>
        <v>-</v>
      </c>
    </row>
    <row r="134" spans="1:19" ht="17.399999999999999" x14ac:dyDescent="0.4">
      <c r="A134" s="54">
        <v>27384</v>
      </c>
      <c r="B134" s="55" t="s">
        <v>94</v>
      </c>
      <c r="C134" s="56">
        <v>740985273845</v>
      </c>
      <c r="D134" s="57">
        <v>30</v>
      </c>
      <c r="E134" s="57" t="s">
        <v>189</v>
      </c>
      <c r="F134" s="58">
        <v>6.0626896845228907E-2</v>
      </c>
      <c r="G134" s="57">
        <v>12</v>
      </c>
      <c r="H134" s="59">
        <v>9.0749999999999993</v>
      </c>
      <c r="I134" s="48" t="str">
        <f>IFERROR(VLOOKUP("21ST-"&amp;A134,[1]Лист1!$B$16:$P$170,15,FALSE),"С")</f>
        <v>С</v>
      </c>
      <c r="J134" s="26"/>
      <c r="K134" s="60">
        <f t="shared" si="12"/>
        <v>0</v>
      </c>
      <c r="N134" s="51" t="str">
        <f t="shared" si="13"/>
        <v>-</v>
      </c>
      <c r="O134" s="51" t="str">
        <f t="shared" si="14"/>
        <v>-</v>
      </c>
      <c r="P134" s="52" t="str">
        <f t="shared" si="15"/>
        <v>-</v>
      </c>
      <c r="Q134" s="53" t="str">
        <f t="shared" si="16"/>
        <v>-</v>
      </c>
      <c r="S134" s="53" t="str">
        <f t="shared" si="17"/>
        <v>-</v>
      </c>
    </row>
    <row r="135" spans="1:19" ht="17.399999999999999" x14ac:dyDescent="0.4">
      <c r="A135" s="54">
        <v>28011</v>
      </c>
      <c r="B135" s="55" t="s">
        <v>157</v>
      </c>
      <c r="C135" s="56">
        <v>740985280119</v>
      </c>
      <c r="D135" s="57">
        <v>60</v>
      </c>
      <c r="E135" s="57" t="s">
        <v>189</v>
      </c>
      <c r="F135" s="58">
        <v>0.11118499972703241</v>
      </c>
      <c r="G135" s="57">
        <v>12</v>
      </c>
      <c r="H135" s="59">
        <v>16.484999999999999</v>
      </c>
      <c r="I135" s="48" t="str">
        <f>IFERROR(VLOOKUP("21ST-"&amp;A135,[1]Лист1!$B$16:$P$170,15,FALSE),"С")</f>
        <v>С</v>
      </c>
      <c r="J135" s="26"/>
      <c r="K135" s="60">
        <f t="shared" si="12"/>
        <v>0</v>
      </c>
      <c r="N135" s="51" t="str">
        <f t="shared" si="13"/>
        <v>-</v>
      </c>
      <c r="O135" s="51" t="str">
        <f t="shared" si="14"/>
        <v>-</v>
      </c>
      <c r="P135" s="52" t="str">
        <f t="shared" si="15"/>
        <v>-</v>
      </c>
      <c r="Q135" s="53" t="str">
        <f t="shared" si="16"/>
        <v>-</v>
      </c>
      <c r="S135" s="53" t="str">
        <f t="shared" si="17"/>
        <v>-</v>
      </c>
    </row>
    <row r="136" spans="1:19" ht="17.399999999999999" x14ac:dyDescent="0.4">
      <c r="A136" s="54">
        <v>27024</v>
      </c>
      <c r="B136" s="55" t="s">
        <v>158</v>
      </c>
      <c r="C136" s="56">
        <v>740985270240</v>
      </c>
      <c r="D136" s="57">
        <v>160</v>
      </c>
      <c r="E136" s="57" t="s">
        <v>191</v>
      </c>
      <c r="F136" s="58">
        <v>0.17002959821945088</v>
      </c>
      <c r="G136" s="57">
        <v>12</v>
      </c>
      <c r="H136" s="59">
        <v>6.5849999999999991</v>
      </c>
      <c r="I136" s="48" t="str">
        <f>IFERROR(VLOOKUP("21ST-"&amp;A136,[1]Лист1!$B$16:$P$170,15,FALSE),"С")</f>
        <v>С</v>
      </c>
      <c r="J136" s="26"/>
      <c r="K136" s="60">
        <f t="shared" si="12"/>
        <v>0</v>
      </c>
      <c r="N136" s="51" t="str">
        <f t="shared" si="13"/>
        <v>-</v>
      </c>
      <c r="O136" s="51" t="str">
        <f t="shared" si="14"/>
        <v>-</v>
      </c>
      <c r="P136" s="52" t="str">
        <f t="shared" si="15"/>
        <v>-</v>
      </c>
      <c r="Q136" s="53" t="str">
        <f t="shared" si="16"/>
        <v>-</v>
      </c>
      <c r="S136" s="53" t="str">
        <f t="shared" si="17"/>
        <v>-</v>
      </c>
    </row>
    <row r="137" spans="1:19" ht="17.399999999999999" x14ac:dyDescent="0.4">
      <c r="A137" s="54">
        <v>22380</v>
      </c>
      <c r="B137" s="55" t="s">
        <v>95</v>
      </c>
      <c r="C137" s="56">
        <v>740985223802</v>
      </c>
      <c r="D137" s="57">
        <v>130</v>
      </c>
      <c r="E137" s="57" t="s">
        <v>190</v>
      </c>
      <c r="F137" s="58">
        <v>0.26640650203747168</v>
      </c>
      <c r="G137" s="57">
        <v>12</v>
      </c>
      <c r="H137" s="59">
        <v>5.7450000000000001</v>
      </c>
      <c r="I137" s="48" t="str">
        <f>IFERROR(VLOOKUP("21ST-"&amp;A137,[1]Лист1!$B$16:$P$170,15,FALSE),"С")</f>
        <v>С</v>
      </c>
      <c r="J137" s="26"/>
      <c r="K137" s="60">
        <f t="shared" si="12"/>
        <v>0</v>
      </c>
      <c r="N137" s="51" t="str">
        <f t="shared" si="13"/>
        <v>-</v>
      </c>
      <c r="O137" s="51" t="str">
        <f t="shared" si="14"/>
        <v>-</v>
      </c>
      <c r="P137" s="52" t="str">
        <f t="shared" si="15"/>
        <v>-</v>
      </c>
      <c r="Q137" s="53" t="str">
        <f t="shared" si="16"/>
        <v>-</v>
      </c>
      <c r="S137" s="53" t="str">
        <f t="shared" si="17"/>
        <v>-</v>
      </c>
    </row>
    <row r="138" spans="1:19" ht="17.399999999999999" x14ac:dyDescent="0.4">
      <c r="A138" s="54">
        <v>22702</v>
      </c>
      <c r="B138" s="55" t="s">
        <v>95</v>
      </c>
      <c r="C138" s="56">
        <v>740985227022</v>
      </c>
      <c r="D138" s="57">
        <v>300</v>
      </c>
      <c r="E138" s="57" t="s">
        <v>190</v>
      </c>
      <c r="F138" s="58">
        <v>0.58686079492242804</v>
      </c>
      <c r="G138" s="57">
        <v>12</v>
      </c>
      <c r="H138" s="59">
        <v>11.925000000000001</v>
      </c>
      <c r="I138" s="48" t="str">
        <f>IFERROR(VLOOKUP("21ST-"&amp;A138,[1]Лист1!$B$16:$P$170,15,FALSE),"С")</f>
        <v>С</v>
      </c>
      <c r="J138" s="26"/>
      <c r="K138" s="60">
        <f t="shared" si="12"/>
        <v>0</v>
      </c>
      <c r="N138" s="51" t="str">
        <f t="shared" si="13"/>
        <v>-</v>
      </c>
      <c r="O138" s="51" t="str">
        <f t="shared" si="14"/>
        <v>-</v>
      </c>
      <c r="P138" s="52" t="str">
        <f t="shared" si="15"/>
        <v>-</v>
      </c>
      <c r="Q138" s="53" t="str">
        <f t="shared" si="16"/>
        <v>-</v>
      </c>
      <c r="S138" s="53" t="str">
        <f t="shared" si="17"/>
        <v>-</v>
      </c>
    </row>
    <row r="139" spans="1:19" ht="17.399999999999999" x14ac:dyDescent="0.4">
      <c r="A139" s="54">
        <v>22703</v>
      </c>
      <c r="B139" s="55" t="s">
        <v>98</v>
      </c>
      <c r="C139" s="56">
        <v>740985227039</v>
      </c>
      <c r="D139" s="57">
        <v>265</v>
      </c>
      <c r="E139" s="57" t="s">
        <v>190</v>
      </c>
      <c r="F139" s="58">
        <v>0.50879491642302843</v>
      </c>
      <c r="G139" s="57">
        <v>12</v>
      </c>
      <c r="H139" s="59">
        <v>11.115</v>
      </c>
      <c r="I139" s="48" t="str">
        <f>IFERROR(VLOOKUP("21ST-"&amp;A139,[1]Лист1!$B$16:$P$170,15,FALSE),"С")</f>
        <v>С</v>
      </c>
      <c r="J139" s="26"/>
      <c r="K139" s="60">
        <f t="shared" si="12"/>
        <v>0</v>
      </c>
      <c r="N139" s="51" t="str">
        <f t="shared" si="13"/>
        <v>-</v>
      </c>
      <c r="O139" s="51" t="str">
        <f t="shared" si="14"/>
        <v>-</v>
      </c>
      <c r="P139" s="52" t="str">
        <f t="shared" si="15"/>
        <v>-</v>
      </c>
      <c r="Q139" s="53" t="str">
        <f t="shared" si="16"/>
        <v>-</v>
      </c>
      <c r="S139" s="53" t="str">
        <f t="shared" si="17"/>
        <v>-</v>
      </c>
    </row>
    <row r="140" spans="1:19" ht="17.399999999999999" x14ac:dyDescent="0.4">
      <c r="A140" s="54">
        <v>22331</v>
      </c>
      <c r="B140" s="55" t="s">
        <v>24</v>
      </c>
      <c r="C140" s="56">
        <v>740985223314</v>
      </c>
      <c r="D140" s="57">
        <v>66</v>
      </c>
      <c r="E140" s="57" t="s">
        <v>190</v>
      </c>
      <c r="F140" s="58">
        <v>0.12604388603168498</v>
      </c>
      <c r="G140" s="57">
        <v>24</v>
      </c>
      <c r="H140" s="59">
        <v>4.9649999999999999</v>
      </c>
      <c r="I140" s="48" t="str">
        <f>IFERROR(VLOOKUP("21ST-"&amp;A140,[1]Лист1!$B$16:$P$170,15,FALSE),"С")</f>
        <v>С</v>
      </c>
      <c r="J140" s="26"/>
      <c r="K140" s="60">
        <f t="shared" si="12"/>
        <v>0</v>
      </c>
      <c r="N140" s="51" t="str">
        <f t="shared" si="13"/>
        <v>-</v>
      </c>
      <c r="O140" s="51" t="str">
        <f t="shared" si="14"/>
        <v>-</v>
      </c>
      <c r="P140" s="52" t="str">
        <f t="shared" si="15"/>
        <v>-</v>
      </c>
      <c r="Q140" s="53" t="str">
        <f t="shared" si="16"/>
        <v>-</v>
      </c>
      <c r="S140" s="53" t="str">
        <f t="shared" si="17"/>
        <v>-</v>
      </c>
    </row>
    <row r="141" spans="1:19" ht="17.399999999999999" x14ac:dyDescent="0.4">
      <c r="A141" s="54">
        <v>22874</v>
      </c>
      <c r="B141" s="55" t="s">
        <v>162</v>
      </c>
      <c r="C141" s="56">
        <v>740985228746</v>
      </c>
      <c r="D141" s="57">
        <v>90</v>
      </c>
      <c r="E141" s="57" t="s">
        <v>189</v>
      </c>
      <c r="F141" s="58">
        <v>0.2423222071659131</v>
      </c>
      <c r="G141" s="57">
        <v>12</v>
      </c>
      <c r="H141" s="59">
        <v>10.5</v>
      </c>
      <c r="I141" s="48" t="str">
        <f>IFERROR(VLOOKUP("21ST-"&amp;A141,[1]Лист1!$B$16:$P$170,15,FALSE),"С")</f>
        <v>С</v>
      </c>
      <c r="J141" s="26"/>
      <c r="K141" s="60">
        <f t="shared" si="12"/>
        <v>0</v>
      </c>
      <c r="N141" s="51" t="str">
        <f t="shared" si="13"/>
        <v>-</v>
      </c>
      <c r="O141" s="51" t="str">
        <f t="shared" si="14"/>
        <v>-</v>
      </c>
      <c r="P141" s="52" t="str">
        <f t="shared" si="15"/>
        <v>-</v>
      </c>
      <c r="Q141" s="53" t="str">
        <f t="shared" si="16"/>
        <v>-</v>
      </c>
      <c r="S141" s="53" t="str">
        <f t="shared" si="17"/>
        <v>-</v>
      </c>
    </row>
    <row r="142" spans="1:19" ht="17.399999999999999" x14ac:dyDescent="0.4">
      <c r="A142" s="54">
        <v>27844</v>
      </c>
      <c r="B142" s="55" t="s">
        <v>177</v>
      </c>
      <c r="C142" s="56">
        <v>740985278444</v>
      </c>
      <c r="D142" s="57">
        <v>60</v>
      </c>
      <c r="E142" s="57" t="s">
        <v>221</v>
      </c>
      <c r="F142" s="58">
        <v>8.8964059761476658E-2</v>
      </c>
      <c r="G142" s="57">
        <v>24</v>
      </c>
      <c r="H142" s="59">
        <v>6.5849999999999991</v>
      </c>
      <c r="I142" s="48" t="str">
        <f>IFERROR(VLOOKUP("21ST-"&amp;A142,[1]Лист1!$B$16:$P$170,15,FALSE),"С")</f>
        <v>С</v>
      </c>
      <c r="J142" s="26"/>
      <c r="K142" s="60">
        <f t="shared" si="12"/>
        <v>0</v>
      </c>
      <c r="N142" s="51" t="str">
        <f t="shared" si="13"/>
        <v>-</v>
      </c>
      <c r="O142" s="51" t="str">
        <f t="shared" si="14"/>
        <v>-</v>
      </c>
      <c r="P142" s="52" t="str">
        <f t="shared" si="15"/>
        <v>-</v>
      </c>
      <c r="Q142" s="53" t="str">
        <f t="shared" si="16"/>
        <v>-</v>
      </c>
      <c r="S142" s="53" t="str">
        <f t="shared" si="17"/>
        <v>-</v>
      </c>
    </row>
    <row r="143" spans="1:19" ht="17.399999999999999" x14ac:dyDescent="0.4">
      <c r="A143" s="54">
        <v>28091</v>
      </c>
      <c r="B143" s="55" t="s">
        <v>117</v>
      </c>
      <c r="C143" s="56">
        <v>740985280911</v>
      </c>
      <c r="D143" s="57">
        <v>30</v>
      </c>
      <c r="E143" s="57" t="s">
        <v>192</v>
      </c>
      <c r="F143" s="58">
        <v>5.7221954120691879E-2</v>
      </c>
      <c r="G143" s="57">
        <v>12</v>
      </c>
      <c r="H143" s="59">
        <v>9.8999999999999986</v>
      </c>
      <c r="I143" s="48" t="str">
        <f>IFERROR(VLOOKUP("21ST-"&amp;A143,[1]Лист1!$B$16:$P$170,15,FALSE),"С")</f>
        <v>С</v>
      </c>
      <c r="J143" s="26"/>
      <c r="K143" s="60">
        <f t="shared" si="12"/>
        <v>0</v>
      </c>
      <c r="N143" s="51" t="str">
        <f t="shared" si="13"/>
        <v>-</v>
      </c>
      <c r="O143" s="51" t="str">
        <f t="shared" si="14"/>
        <v>-</v>
      </c>
      <c r="P143" s="52" t="str">
        <f t="shared" si="15"/>
        <v>-</v>
      </c>
      <c r="Q143" s="53" t="str">
        <f t="shared" si="16"/>
        <v>-</v>
      </c>
      <c r="S143" s="53" t="str">
        <f t="shared" si="17"/>
        <v>-</v>
      </c>
    </row>
    <row r="144" spans="1:19" ht="17.399999999999999" x14ac:dyDescent="0.4">
      <c r="A144" s="54">
        <v>28092</v>
      </c>
      <c r="B144" s="55" t="s">
        <v>118</v>
      </c>
      <c r="C144" s="56">
        <v>740985280928</v>
      </c>
      <c r="D144" s="57">
        <v>60</v>
      </c>
      <c r="E144" s="57" t="s">
        <v>192</v>
      </c>
      <c r="F144" s="58">
        <v>5.6750000000000002E-2</v>
      </c>
      <c r="G144" s="57">
        <v>12</v>
      </c>
      <c r="H144" s="59">
        <v>4.9649999999999999</v>
      </c>
      <c r="I144" s="48" t="str">
        <f>IFERROR(VLOOKUP("21ST-"&amp;A144,[1]Лист1!$B$16:$P$170,15,FALSE),"С")</f>
        <v>С</v>
      </c>
      <c r="J144" s="26"/>
      <c r="K144" s="60">
        <f t="shared" si="12"/>
        <v>0</v>
      </c>
      <c r="N144" s="51" t="str">
        <f t="shared" si="13"/>
        <v>-</v>
      </c>
      <c r="O144" s="51" t="str">
        <f t="shared" si="14"/>
        <v>-</v>
      </c>
      <c r="P144" s="52" t="str">
        <f t="shared" si="15"/>
        <v>-</v>
      </c>
      <c r="Q144" s="53" t="str">
        <f t="shared" si="16"/>
        <v>-</v>
      </c>
      <c r="S144" s="53" t="str">
        <f t="shared" si="17"/>
        <v>-</v>
      </c>
    </row>
    <row r="145" spans="1:19" ht="17.399999999999999" x14ac:dyDescent="0.4">
      <c r="A145" s="54">
        <v>28056</v>
      </c>
      <c r="B145" s="55" t="s">
        <v>120</v>
      </c>
      <c r="C145" s="56">
        <v>740985280560</v>
      </c>
      <c r="D145" s="57">
        <v>300</v>
      </c>
      <c r="E145" s="57" t="s">
        <v>191</v>
      </c>
      <c r="F145" s="58">
        <v>0.30593614676528758</v>
      </c>
      <c r="G145" s="57">
        <v>12</v>
      </c>
      <c r="H145" s="59">
        <v>18.899999999999999</v>
      </c>
      <c r="I145" s="48" t="str">
        <f>IFERROR(VLOOKUP("21ST-"&amp;A145,[1]Лист1!$B$16:$P$170,15,FALSE),"С")</f>
        <v>С</v>
      </c>
      <c r="J145" s="26"/>
      <c r="K145" s="60">
        <f t="shared" si="12"/>
        <v>0</v>
      </c>
      <c r="N145" s="51" t="str">
        <f t="shared" si="13"/>
        <v>-</v>
      </c>
      <c r="O145" s="51" t="str">
        <f t="shared" si="14"/>
        <v>-</v>
      </c>
      <c r="P145" s="52" t="str">
        <f t="shared" si="15"/>
        <v>-</v>
      </c>
      <c r="Q145" s="53" t="str">
        <f t="shared" si="16"/>
        <v>-</v>
      </c>
      <c r="S145" s="53" t="str">
        <f t="shared" si="17"/>
        <v>-</v>
      </c>
    </row>
    <row r="146" spans="1:19" ht="17.399999999999999" x14ac:dyDescent="0.4">
      <c r="A146" s="54">
        <v>27505</v>
      </c>
      <c r="B146" s="55" t="s">
        <v>121</v>
      </c>
      <c r="C146" s="56">
        <v>740985275054</v>
      </c>
      <c r="D146" s="57">
        <v>60</v>
      </c>
      <c r="E146" s="57" t="s">
        <v>191</v>
      </c>
      <c r="F146" s="58">
        <v>0.10675857418513428</v>
      </c>
      <c r="G146" s="57">
        <v>12</v>
      </c>
      <c r="H146" s="59">
        <v>14.04</v>
      </c>
      <c r="I146" s="48" t="str">
        <f>IFERROR(VLOOKUP("21ST-"&amp;A146,[1]Лист1!$B$16:$P$170,15,FALSE),"С")</f>
        <v>С</v>
      </c>
      <c r="J146" s="26"/>
      <c r="K146" s="60">
        <f t="shared" si="12"/>
        <v>0</v>
      </c>
      <c r="N146" s="51" t="str">
        <f t="shared" si="13"/>
        <v>-</v>
      </c>
      <c r="O146" s="51" t="str">
        <f t="shared" si="14"/>
        <v>-</v>
      </c>
      <c r="P146" s="52" t="str">
        <f t="shared" si="15"/>
        <v>-</v>
      </c>
      <c r="Q146" s="53" t="str">
        <f t="shared" si="16"/>
        <v>-</v>
      </c>
      <c r="S146" s="53" t="str">
        <f t="shared" si="17"/>
        <v>-</v>
      </c>
    </row>
    <row r="147" spans="1:19" ht="17.399999999999999" x14ac:dyDescent="0.4">
      <c r="A147" s="54">
        <v>27129</v>
      </c>
      <c r="B147" s="55" t="s">
        <v>122</v>
      </c>
      <c r="C147" s="56">
        <v>740985271292</v>
      </c>
      <c r="D147" s="57">
        <v>90</v>
      </c>
      <c r="E147" s="57" t="s">
        <v>189</v>
      </c>
      <c r="F147" s="58">
        <v>0.20477257446511252</v>
      </c>
      <c r="G147" s="57">
        <v>12</v>
      </c>
      <c r="H147" s="59">
        <v>12.794999999999998</v>
      </c>
      <c r="I147" s="48" t="str">
        <f>IFERROR(VLOOKUP("21ST-"&amp;A147,[1]Лист1!$B$16:$P$170,15,FALSE),"С")</f>
        <v>С</v>
      </c>
      <c r="J147" s="26"/>
      <c r="K147" s="60">
        <f t="shared" si="12"/>
        <v>0</v>
      </c>
      <c r="N147" s="51" t="str">
        <f t="shared" si="13"/>
        <v>-</v>
      </c>
      <c r="O147" s="51" t="str">
        <f t="shared" si="14"/>
        <v>-</v>
      </c>
      <c r="P147" s="52" t="str">
        <f t="shared" si="15"/>
        <v>-</v>
      </c>
      <c r="Q147" s="53" t="str">
        <f t="shared" si="16"/>
        <v>-</v>
      </c>
      <c r="S147" s="53" t="str">
        <f t="shared" si="17"/>
        <v>-</v>
      </c>
    </row>
    <row r="148" spans="1:19" ht="17.399999999999999" x14ac:dyDescent="0.4">
      <c r="A148" s="54">
        <v>22667</v>
      </c>
      <c r="B148" s="55" t="s">
        <v>78</v>
      </c>
      <c r="C148" s="56">
        <v>740985226674</v>
      </c>
      <c r="D148" s="57">
        <v>75</v>
      </c>
      <c r="E148" s="57" t="s">
        <v>190</v>
      </c>
      <c r="F148" s="58">
        <v>0.15987199199996041</v>
      </c>
      <c r="G148" s="57">
        <v>24</v>
      </c>
      <c r="H148" s="59">
        <v>5.7450000000000001</v>
      </c>
      <c r="I148" s="48" t="str">
        <f>IFERROR(VLOOKUP("21ST-"&amp;A148,[1]Лист1!$B$16:$P$170,15,FALSE),"С")</f>
        <v>С</v>
      </c>
      <c r="J148" s="26"/>
      <c r="K148" s="60">
        <f t="shared" si="12"/>
        <v>0</v>
      </c>
      <c r="N148" s="51" t="str">
        <f t="shared" si="13"/>
        <v>-</v>
      </c>
      <c r="O148" s="51" t="str">
        <f t="shared" si="14"/>
        <v>-</v>
      </c>
      <c r="P148" s="52" t="str">
        <f t="shared" si="15"/>
        <v>-</v>
      </c>
      <c r="Q148" s="53" t="str">
        <f t="shared" si="16"/>
        <v>-</v>
      </c>
      <c r="S148" s="53" t="str">
        <f t="shared" si="17"/>
        <v>-</v>
      </c>
    </row>
    <row r="149" spans="1:19" ht="17.399999999999999" x14ac:dyDescent="0.4">
      <c r="A149" s="54">
        <v>28015</v>
      </c>
      <c r="B149" s="55" t="s">
        <v>125</v>
      </c>
      <c r="C149" s="56">
        <v>740985280157</v>
      </c>
      <c r="D149" s="57">
        <v>90</v>
      </c>
      <c r="E149" s="57" t="s">
        <v>221</v>
      </c>
      <c r="F149" s="58">
        <v>0.12025501049126032</v>
      </c>
      <c r="G149" s="57">
        <v>12</v>
      </c>
      <c r="H149" s="59">
        <v>12.149999999999999</v>
      </c>
      <c r="I149" s="48" t="str">
        <f>IFERROR(VLOOKUP("21ST-"&amp;A149,[1]Лист1!$B$16:$P$170,15,FALSE),"С")</f>
        <v>С</v>
      </c>
      <c r="J149" s="26"/>
      <c r="K149" s="60">
        <f t="shared" si="12"/>
        <v>0</v>
      </c>
      <c r="N149" s="51" t="str">
        <f t="shared" si="13"/>
        <v>-</v>
      </c>
      <c r="O149" s="51" t="str">
        <f t="shared" si="14"/>
        <v>-</v>
      </c>
      <c r="P149" s="52" t="str">
        <f t="shared" si="15"/>
        <v>-</v>
      </c>
      <c r="Q149" s="53" t="str">
        <f t="shared" si="16"/>
        <v>-</v>
      </c>
      <c r="S149" s="53" t="str">
        <f t="shared" si="17"/>
        <v>-</v>
      </c>
    </row>
    <row r="150" spans="1:19" ht="17.399999999999999" x14ac:dyDescent="0.4">
      <c r="A150" s="54">
        <v>27924</v>
      </c>
      <c r="B150" s="55" t="s">
        <v>45</v>
      </c>
      <c r="C150" s="56">
        <v>740985279243</v>
      </c>
      <c r="D150" s="57">
        <v>90</v>
      </c>
      <c r="E150" s="57" t="s">
        <v>221</v>
      </c>
      <c r="F150" s="58">
        <v>0.16646764980261572</v>
      </c>
      <c r="G150" s="57">
        <v>12</v>
      </c>
      <c r="H150" s="59">
        <v>16.484999999999999</v>
      </c>
      <c r="I150" s="48" t="str">
        <f>IFERROR(VLOOKUP("21ST-"&amp;A150,[1]Лист1!$B$16:$P$170,15,FALSE),"С")</f>
        <v>С</v>
      </c>
      <c r="J150" s="26"/>
      <c r="K150" s="60">
        <f t="shared" si="12"/>
        <v>0</v>
      </c>
      <c r="N150" s="51" t="str">
        <f t="shared" si="13"/>
        <v>-</v>
      </c>
      <c r="O150" s="51" t="str">
        <f t="shared" si="14"/>
        <v>-</v>
      </c>
      <c r="P150" s="52" t="str">
        <f t="shared" si="15"/>
        <v>-</v>
      </c>
      <c r="Q150" s="53" t="str">
        <f t="shared" si="16"/>
        <v>-</v>
      </c>
      <c r="S150" s="53" t="str">
        <f t="shared" si="17"/>
        <v>-</v>
      </c>
    </row>
    <row r="151" spans="1:19" ht="17.399999999999999" x14ac:dyDescent="0.4">
      <c r="A151" s="54">
        <v>27113</v>
      </c>
      <c r="B151" s="55" t="s">
        <v>15</v>
      </c>
      <c r="C151" s="56">
        <v>740985271131</v>
      </c>
      <c r="D151" s="57">
        <v>110</v>
      </c>
      <c r="E151" s="57" t="s">
        <v>190</v>
      </c>
      <c r="F151" s="58">
        <v>8.6467101763482837E-2</v>
      </c>
      <c r="G151" s="57">
        <v>24</v>
      </c>
      <c r="H151" s="59">
        <v>9.8999999999999986</v>
      </c>
      <c r="I151" s="48" t="str">
        <f>IFERROR(VLOOKUP("21ST-"&amp;A151,[1]Лист1!$B$16:$P$170,15,FALSE),"С")</f>
        <v>С</v>
      </c>
      <c r="J151" s="26"/>
      <c r="K151" s="60">
        <f t="shared" si="12"/>
        <v>0</v>
      </c>
      <c r="N151" s="51" t="str">
        <f t="shared" si="13"/>
        <v>-</v>
      </c>
      <c r="O151" s="51" t="str">
        <f t="shared" si="14"/>
        <v>-</v>
      </c>
      <c r="P151" s="52" t="str">
        <f t="shared" si="15"/>
        <v>-</v>
      </c>
      <c r="Q151" s="53" t="str">
        <f t="shared" si="16"/>
        <v>-</v>
      </c>
      <c r="S151" s="53" t="str">
        <f t="shared" si="17"/>
        <v>-</v>
      </c>
    </row>
    <row r="152" spans="1:19" ht="17.399999999999999" x14ac:dyDescent="0.4">
      <c r="A152" s="54">
        <v>22270</v>
      </c>
      <c r="B152" s="55" t="s">
        <v>208</v>
      </c>
      <c r="C152" s="56">
        <v>740985222706</v>
      </c>
      <c r="D152" s="57">
        <v>90</v>
      </c>
      <c r="E152" s="57" t="s">
        <v>193</v>
      </c>
      <c r="F152" s="58">
        <v>0.12454571123288868</v>
      </c>
      <c r="G152" s="57">
        <v>24</v>
      </c>
      <c r="H152" s="59">
        <v>9</v>
      </c>
      <c r="I152" s="48" t="str">
        <f>IFERROR(VLOOKUP("21ST-"&amp;A152,[1]Лист1!$B$16:$P$170,15,FALSE),"С")</f>
        <v>С</v>
      </c>
      <c r="J152" s="26"/>
      <c r="K152" s="60">
        <f t="shared" si="12"/>
        <v>0</v>
      </c>
      <c r="N152" s="51" t="str">
        <f t="shared" si="13"/>
        <v>-</v>
      </c>
      <c r="O152" s="51" t="str">
        <f t="shared" si="14"/>
        <v>-</v>
      </c>
      <c r="P152" s="52" t="str">
        <f t="shared" si="15"/>
        <v>-</v>
      </c>
      <c r="Q152" s="53" t="str">
        <f t="shared" si="16"/>
        <v>-</v>
      </c>
      <c r="S152" s="53" t="str">
        <f t="shared" si="17"/>
        <v>-</v>
      </c>
    </row>
    <row r="153" spans="1:19" ht="17.399999999999999" x14ac:dyDescent="0.4">
      <c r="A153" s="54">
        <v>28053</v>
      </c>
      <c r="B153" s="55" t="s">
        <v>126</v>
      </c>
      <c r="C153" s="56">
        <v>740985280539</v>
      </c>
      <c r="D153" s="57">
        <v>30</v>
      </c>
      <c r="E153" s="57" t="s">
        <v>221</v>
      </c>
      <c r="F153" s="58">
        <v>6.0916695303783949E-2</v>
      </c>
      <c r="G153" s="57">
        <v>12</v>
      </c>
      <c r="H153" s="59">
        <v>20.64</v>
      </c>
      <c r="I153" s="48" t="str">
        <f>IFERROR(VLOOKUP("21ST-"&amp;A153,[1]Лист1!$B$16:$P$170,15,FALSE),"С")</f>
        <v>С</v>
      </c>
      <c r="J153" s="26"/>
      <c r="K153" s="60">
        <f t="shared" si="12"/>
        <v>0</v>
      </c>
      <c r="N153" s="51" t="str">
        <f t="shared" si="13"/>
        <v>-</v>
      </c>
      <c r="O153" s="51" t="str">
        <f t="shared" si="14"/>
        <v>-</v>
      </c>
      <c r="P153" s="52" t="str">
        <f t="shared" si="15"/>
        <v>-</v>
      </c>
      <c r="Q153" s="53" t="str">
        <f t="shared" si="16"/>
        <v>-</v>
      </c>
      <c r="S153" s="53" t="str">
        <f t="shared" si="17"/>
        <v>-</v>
      </c>
    </row>
    <row r="154" spans="1:19" ht="17.399999999999999" x14ac:dyDescent="0.4">
      <c r="A154" s="54">
        <v>21024</v>
      </c>
      <c r="B154" s="55" t="s">
        <v>27</v>
      </c>
      <c r="C154" s="56">
        <v>740985210246</v>
      </c>
      <c r="D154" s="57">
        <v>110</v>
      </c>
      <c r="E154" s="57" t="s">
        <v>192</v>
      </c>
      <c r="F154" s="58">
        <v>0.18160000000000001</v>
      </c>
      <c r="G154" s="57">
        <v>24</v>
      </c>
      <c r="H154" s="59">
        <v>5.7450000000000001</v>
      </c>
      <c r="I154" s="48" t="str">
        <f>IFERROR(VLOOKUP("21ST-"&amp;A154,[1]Лист1!$B$16:$P$170,15,FALSE),"С")</f>
        <v>С</v>
      </c>
      <c r="J154" s="26"/>
      <c r="K154" s="60">
        <f t="shared" si="12"/>
        <v>0</v>
      </c>
      <c r="N154" s="51" t="str">
        <f t="shared" si="13"/>
        <v>-</v>
      </c>
      <c r="O154" s="51" t="str">
        <f t="shared" si="14"/>
        <v>-</v>
      </c>
      <c r="P154" s="52" t="str">
        <f t="shared" si="15"/>
        <v>-</v>
      </c>
      <c r="Q154" s="53" t="str">
        <f t="shared" si="16"/>
        <v>-</v>
      </c>
      <c r="S154" s="53" t="str">
        <f t="shared" si="17"/>
        <v>-</v>
      </c>
    </row>
    <row r="155" spans="1:19" ht="17.399999999999999" x14ac:dyDescent="0.4">
      <c r="A155" s="54">
        <v>21002</v>
      </c>
      <c r="B155" s="55" t="s">
        <v>29</v>
      </c>
      <c r="C155" s="56">
        <v>740985210024</v>
      </c>
      <c r="D155" s="57">
        <v>110</v>
      </c>
      <c r="E155" s="57" t="s">
        <v>190</v>
      </c>
      <c r="F155" s="58">
        <v>0.13515778272436244</v>
      </c>
      <c r="G155" s="57">
        <v>24</v>
      </c>
      <c r="H155" s="59">
        <v>4.9649999999999999</v>
      </c>
      <c r="I155" s="48" t="str">
        <f>IFERROR(VLOOKUP("21ST-"&amp;A155,[1]Лист1!$B$16:$P$170,15,FALSE),"С")</f>
        <v>С</v>
      </c>
      <c r="J155" s="26"/>
      <c r="K155" s="60">
        <f t="shared" si="12"/>
        <v>0</v>
      </c>
      <c r="N155" s="51" t="str">
        <f t="shared" si="13"/>
        <v>-</v>
      </c>
      <c r="O155" s="51" t="str">
        <f t="shared" si="14"/>
        <v>-</v>
      </c>
      <c r="P155" s="52" t="str">
        <f t="shared" si="15"/>
        <v>-</v>
      </c>
      <c r="Q155" s="53" t="str">
        <f t="shared" si="16"/>
        <v>-</v>
      </c>
      <c r="S155" s="53" t="str">
        <f t="shared" si="17"/>
        <v>-</v>
      </c>
    </row>
    <row r="156" spans="1:19" ht="17.399999999999999" x14ac:dyDescent="0.4">
      <c r="A156" s="54">
        <v>27519</v>
      </c>
      <c r="B156" s="55" t="s">
        <v>59</v>
      </c>
      <c r="C156" s="56">
        <v>740985275191</v>
      </c>
      <c r="D156" s="57">
        <v>90</v>
      </c>
      <c r="E156" s="57" t="s">
        <v>190</v>
      </c>
      <c r="F156" s="58">
        <v>0.19394364595478264</v>
      </c>
      <c r="G156" s="57">
        <v>12</v>
      </c>
      <c r="H156" s="59">
        <v>3.3149999999999999</v>
      </c>
      <c r="I156" s="48" t="str">
        <f>IFERROR(VLOOKUP("21ST-"&amp;A156,[1]Лист1!$B$16:$P$170,15,FALSE),"С")</f>
        <v>С</v>
      </c>
      <c r="J156" s="26"/>
      <c r="K156" s="60">
        <f t="shared" si="12"/>
        <v>0</v>
      </c>
      <c r="N156" s="51" t="str">
        <f t="shared" si="13"/>
        <v>-</v>
      </c>
      <c r="O156" s="51" t="str">
        <f t="shared" si="14"/>
        <v>-</v>
      </c>
      <c r="P156" s="52" t="str">
        <f t="shared" si="15"/>
        <v>-</v>
      </c>
      <c r="Q156" s="53" t="str">
        <f t="shared" si="16"/>
        <v>-</v>
      </c>
      <c r="S156" s="53" t="str">
        <f t="shared" si="17"/>
        <v>-</v>
      </c>
    </row>
    <row r="157" spans="1:19" ht="17.399999999999999" x14ac:dyDescent="0.4">
      <c r="A157" s="54">
        <v>27522</v>
      </c>
      <c r="B157" s="55" t="s">
        <v>59</v>
      </c>
      <c r="C157" s="56">
        <v>740985275221</v>
      </c>
      <c r="D157" s="57">
        <v>400</v>
      </c>
      <c r="E157" s="57" t="s">
        <v>190</v>
      </c>
      <c r="F157" s="58">
        <v>0.78412047676394037</v>
      </c>
      <c r="G157" s="57">
        <v>12</v>
      </c>
      <c r="H157" s="59">
        <v>8.25</v>
      </c>
      <c r="I157" s="48" t="str">
        <f>IFERROR(VLOOKUP("21ST-"&amp;A157,[1]Лист1!$B$16:$P$170,15,FALSE),"С")</f>
        <v>С</v>
      </c>
      <c r="J157" s="26"/>
      <c r="K157" s="60">
        <f t="shared" si="12"/>
        <v>0</v>
      </c>
      <c r="N157" s="51" t="str">
        <f t="shared" si="13"/>
        <v>-</v>
      </c>
      <c r="O157" s="51" t="str">
        <f t="shared" si="14"/>
        <v>-</v>
      </c>
      <c r="P157" s="52" t="str">
        <f t="shared" si="15"/>
        <v>-</v>
      </c>
      <c r="Q157" s="53" t="str">
        <f t="shared" si="16"/>
        <v>-</v>
      </c>
      <c r="S157" s="53" t="str">
        <f t="shared" si="17"/>
        <v>-</v>
      </c>
    </row>
    <row r="158" spans="1:19" ht="17.399999999999999" x14ac:dyDescent="0.4">
      <c r="A158" s="54">
        <v>27523</v>
      </c>
      <c r="B158" s="55" t="s">
        <v>58</v>
      </c>
      <c r="C158" s="56">
        <v>740985275238</v>
      </c>
      <c r="D158" s="57">
        <v>400</v>
      </c>
      <c r="E158" s="57" t="s">
        <v>190</v>
      </c>
      <c r="F158" s="58">
        <v>0.79410830875591576</v>
      </c>
      <c r="G158" s="57">
        <v>12</v>
      </c>
      <c r="H158" s="59">
        <v>8.25</v>
      </c>
      <c r="I158" s="48" t="str">
        <f>IFERROR(VLOOKUP("21ST-"&amp;A158,[1]Лист1!$B$16:$P$170,15,FALSE),"С")</f>
        <v>С</v>
      </c>
      <c r="J158" s="26"/>
      <c r="K158" s="60">
        <f t="shared" si="12"/>
        <v>0</v>
      </c>
      <c r="N158" s="51" t="str">
        <f t="shared" si="13"/>
        <v>-</v>
      </c>
      <c r="O158" s="51" t="str">
        <f t="shared" si="14"/>
        <v>-</v>
      </c>
      <c r="P158" s="52" t="str">
        <f t="shared" si="15"/>
        <v>-</v>
      </c>
      <c r="Q158" s="53" t="str">
        <f t="shared" si="16"/>
        <v>-</v>
      </c>
      <c r="S158" s="53" t="str">
        <f t="shared" si="17"/>
        <v>-</v>
      </c>
    </row>
    <row r="159" spans="1:19" ht="17.399999999999999" x14ac:dyDescent="0.4">
      <c r="A159" s="54">
        <v>27532</v>
      </c>
      <c r="B159" s="55" t="s">
        <v>60</v>
      </c>
      <c r="C159" s="56">
        <v>740985275320</v>
      </c>
      <c r="D159" s="57">
        <v>75</v>
      </c>
      <c r="E159" s="57" t="s">
        <v>190</v>
      </c>
      <c r="F159" s="58">
        <v>0.18548236328430812</v>
      </c>
      <c r="G159" s="57">
        <v>12</v>
      </c>
      <c r="H159" s="59">
        <v>2.4749999999999996</v>
      </c>
      <c r="I159" s="48" t="str">
        <f>IFERROR(VLOOKUP("21ST-"&amp;A159,[1]Лист1!$B$16:$P$170,15,FALSE),"С")</f>
        <v>С</v>
      </c>
      <c r="J159" s="26"/>
      <c r="K159" s="60">
        <f t="shared" si="12"/>
        <v>0</v>
      </c>
      <c r="N159" s="51" t="str">
        <f t="shared" si="13"/>
        <v>-</v>
      </c>
      <c r="O159" s="51" t="str">
        <f t="shared" si="14"/>
        <v>-</v>
      </c>
      <c r="P159" s="52" t="str">
        <f t="shared" si="15"/>
        <v>-</v>
      </c>
      <c r="Q159" s="53" t="str">
        <f t="shared" si="16"/>
        <v>-</v>
      </c>
      <c r="S159" s="53" t="str">
        <f t="shared" si="17"/>
        <v>-</v>
      </c>
    </row>
    <row r="160" spans="1:19" ht="17.399999999999999" x14ac:dyDescent="0.4">
      <c r="A160" s="54">
        <v>27534</v>
      </c>
      <c r="B160" s="55" t="s">
        <v>60</v>
      </c>
      <c r="C160" s="56">
        <v>740985275344</v>
      </c>
      <c r="D160" s="57">
        <v>400</v>
      </c>
      <c r="E160" s="57" t="s">
        <v>190</v>
      </c>
      <c r="F160" s="58">
        <v>0.8785508883244344</v>
      </c>
      <c r="G160" s="57">
        <v>12</v>
      </c>
      <c r="H160" s="59">
        <v>8.25</v>
      </c>
      <c r="I160" s="48" t="str">
        <f>IFERROR(VLOOKUP("21ST-"&amp;A160,[1]Лист1!$B$16:$P$170,15,FALSE),"С")</f>
        <v>С</v>
      </c>
      <c r="J160" s="26"/>
      <c r="K160" s="60">
        <f t="shared" si="12"/>
        <v>0</v>
      </c>
      <c r="N160" s="51" t="str">
        <f t="shared" si="13"/>
        <v>-</v>
      </c>
      <c r="O160" s="51" t="str">
        <f t="shared" si="14"/>
        <v>-</v>
      </c>
      <c r="P160" s="52" t="str">
        <f t="shared" si="15"/>
        <v>-</v>
      </c>
      <c r="Q160" s="53" t="str">
        <f t="shared" si="16"/>
        <v>-</v>
      </c>
      <c r="S160" s="53" t="str">
        <f t="shared" si="17"/>
        <v>-</v>
      </c>
    </row>
    <row r="161" spans="1:19" ht="17.399999999999999" x14ac:dyDescent="0.4">
      <c r="A161" s="54">
        <v>27529</v>
      </c>
      <c r="B161" s="55" t="s">
        <v>61</v>
      </c>
      <c r="C161" s="56">
        <v>740985275290</v>
      </c>
      <c r="D161" s="57">
        <v>75</v>
      </c>
      <c r="E161" s="57" t="s">
        <v>190</v>
      </c>
      <c r="F161" s="58">
        <v>0.18973854168997945</v>
      </c>
      <c r="G161" s="57">
        <v>12</v>
      </c>
      <c r="H161" s="59">
        <v>2.82</v>
      </c>
      <c r="I161" s="48" t="str">
        <f>IFERROR(VLOOKUP("21ST-"&amp;A161,[1]Лист1!$B$16:$P$170,15,FALSE),"С")</f>
        <v>С</v>
      </c>
      <c r="J161" s="26"/>
      <c r="K161" s="60">
        <f t="shared" si="12"/>
        <v>0</v>
      </c>
      <c r="N161" s="51" t="str">
        <f t="shared" si="13"/>
        <v>-</v>
      </c>
      <c r="O161" s="51" t="str">
        <f t="shared" si="14"/>
        <v>-</v>
      </c>
      <c r="P161" s="52" t="str">
        <f t="shared" si="15"/>
        <v>-</v>
      </c>
      <c r="Q161" s="53" t="str">
        <f t="shared" si="16"/>
        <v>-</v>
      </c>
      <c r="S161" s="53" t="str">
        <f t="shared" si="17"/>
        <v>-</v>
      </c>
    </row>
    <row r="162" spans="1:19" ht="17.399999999999999" x14ac:dyDescent="0.4">
      <c r="A162" s="54">
        <v>27498</v>
      </c>
      <c r="B162" s="55" t="s">
        <v>62</v>
      </c>
      <c r="C162" s="56">
        <v>740985274989</v>
      </c>
      <c r="D162" s="57">
        <v>120</v>
      </c>
      <c r="E162" s="57" t="s">
        <v>190</v>
      </c>
      <c r="F162" s="58">
        <v>0.30426946513432357</v>
      </c>
      <c r="G162" s="57">
        <v>12</v>
      </c>
      <c r="H162" s="59">
        <v>4.1399999999999997</v>
      </c>
      <c r="I162" s="48" t="str">
        <f>IFERROR(VLOOKUP("21ST-"&amp;A162,[1]Лист1!$B$16:$P$170,15,FALSE),"С")</f>
        <v>С</v>
      </c>
      <c r="J162" s="26"/>
      <c r="K162" s="60">
        <f t="shared" si="12"/>
        <v>0</v>
      </c>
      <c r="N162" s="51" t="str">
        <f t="shared" si="13"/>
        <v>-</v>
      </c>
      <c r="O162" s="51" t="str">
        <f t="shared" si="14"/>
        <v>-</v>
      </c>
      <c r="P162" s="52" t="str">
        <f t="shared" si="15"/>
        <v>-</v>
      </c>
      <c r="Q162" s="53" t="str">
        <f t="shared" si="16"/>
        <v>-</v>
      </c>
      <c r="S162" s="53" t="str">
        <f t="shared" si="17"/>
        <v>-</v>
      </c>
    </row>
    <row r="163" spans="1:19" ht="17.399999999999999" x14ac:dyDescent="0.4">
      <c r="A163" s="54">
        <v>27287</v>
      </c>
      <c r="B163" s="55" t="s">
        <v>62</v>
      </c>
      <c r="C163" s="56">
        <v>740985272879</v>
      </c>
      <c r="D163" s="57">
        <v>75</v>
      </c>
      <c r="E163" s="57" t="s">
        <v>192</v>
      </c>
      <c r="F163" s="58">
        <v>0.36256019294355069</v>
      </c>
      <c r="G163" s="57">
        <v>12</v>
      </c>
      <c r="H163" s="59">
        <v>6.5849999999999991</v>
      </c>
      <c r="I163" s="48" t="str">
        <f>IFERROR(VLOOKUP("21ST-"&amp;A163,[1]Лист1!$B$16:$P$170,15,FALSE),"С")</f>
        <v>С</v>
      </c>
      <c r="J163" s="26"/>
      <c r="K163" s="60">
        <f t="shared" si="12"/>
        <v>0</v>
      </c>
      <c r="N163" s="51" t="str">
        <f t="shared" si="13"/>
        <v>-</v>
      </c>
      <c r="O163" s="51" t="str">
        <f t="shared" si="14"/>
        <v>-</v>
      </c>
      <c r="P163" s="52" t="str">
        <f t="shared" si="15"/>
        <v>-</v>
      </c>
      <c r="Q163" s="53" t="str">
        <f t="shared" si="16"/>
        <v>-</v>
      </c>
      <c r="S163" s="53" t="str">
        <f t="shared" si="17"/>
        <v>-</v>
      </c>
    </row>
    <row r="164" spans="1:19" ht="17.399999999999999" x14ac:dyDescent="0.4">
      <c r="A164" s="54">
        <v>27069</v>
      </c>
      <c r="B164" s="55" t="s">
        <v>127</v>
      </c>
      <c r="C164" s="56">
        <v>740985270691</v>
      </c>
      <c r="D164" s="57">
        <v>120</v>
      </c>
      <c r="E164" s="57" t="s">
        <v>221</v>
      </c>
      <c r="F164" s="58">
        <v>0.16520025445514919</v>
      </c>
      <c r="G164" s="57">
        <v>12</v>
      </c>
      <c r="H164" s="59">
        <v>6.5849999999999991</v>
      </c>
      <c r="I164" s="48" t="str">
        <f>IFERROR(VLOOKUP("21ST-"&amp;A164,[1]Лист1!$B$16:$P$170,15,FALSE),"С")</f>
        <v>С</v>
      </c>
      <c r="J164" s="26"/>
      <c r="K164" s="60">
        <f t="shared" si="12"/>
        <v>0</v>
      </c>
      <c r="N164" s="51" t="str">
        <f t="shared" si="13"/>
        <v>-</v>
      </c>
      <c r="O164" s="51" t="str">
        <f t="shared" si="14"/>
        <v>-</v>
      </c>
      <c r="P164" s="52" t="str">
        <f t="shared" si="15"/>
        <v>-</v>
      </c>
      <c r="Q164" s="53" t="str">
        <f t="shared" si="16"/>
        <v>-</v>
      </c>
      <c r="S164" s="53" t="str">
        <f t="shared" si="17"/>
        <v>-</v>
      </c>
    </row>
    <row r="165" spans="1:19" ht="17.399999999999999" x14ac:dyDescent="0.4">
      <c r="A165" s="54">
        <v>27434</v>
      </c>
      <c r="B165" s="55" t="s">
        <v>130</v>
      </c>
      <c r="C165" s="56">
        <v>740985274347</v>
      </c>
      <c r="D165" s="57">
        <v>150</v>
      </c>
      <c r="E165" s="57" t="s">
        <v>191</v>
      </c>
      <c r="F165" s="58">
        <v>0.16111432318570473</v>
      </c>
      <c r="G165" s="57">
        <v>12</v>
      </c>
      <c r="H165" s="59">
        <v>28.875</v>
      </c>
      <c r="I165" s="48" t="str">
        <f>IFERROR(VLOOKUP("21ST-"&amp;A165,[1]Лист1!$B$16:$P$170,15,FALSE),"С")</f>
        <v>С</v>
      </c>
      <c r="J165" s="26"/>
      <c r="K165" s="60">
        <f t="shared" si="12"/>
        <v>0</v>
      </c>
      <c r="N165" s="51" t="str">
        <f t="shared" si="13"/>
        <v>-</v>
      </c>
      <c r="O165" s="51" t="str">
        <f t="shared" si="14"/>
        <v>-</v>
      </c>
      <c r="P165" s="52" t="str">
        <f t="shared" si="15"/>
        <v>-</v>
      </c>
      <c r="Q165" s="53" t="str">
        <f t="shared" si="16"/>
        <v>-</v>
      </c>
      <c r="S165" s="53" t="str">
        <f t="shared" si="17"/>
        <v>-</v>
      </c>
    </row>
    <row r="166" spans="1:19" ht="17.399999999999999" x14ac:dyDescent="0.4">
      <c r="A166" s="54">
        <v>27414</v>
      </c>
      <c r="B166" s="55" t="s">
        <v>131</v>
      </c>
      <c r="C166" s="56">
        <v>740985274149</v>
      </c>
      <c r="D166" s="57">
        <v>90</v>
      </c>
      <c r="E166" s="57" t="s">
        <v>189</v>
      </c>
      <c r="F166" s="58">
        <v>0.14242166053670813</v>
      </c>
      <c r="G166" s="57">
        <v>24</v>
      </c>
      <c r="H166" s="59">
        <v>29.714999999999996</v>
      </c>
      <c r="I166" s="48" t="str">
        <f>IFERROR(VLOOKUP("21ST-"&amp;A166,[1]Лист1!$B$16:$P$170,15,FALSE),"С")</f>
        <v>С</v>
      </c>
      <c r="J166" s="26"/>
      <c r="K166" s="60">
        <f t="shared" si="12"/>
        <v>0</v>
      </c>
      <c r="N166" s="51" t="str">
        <f t="shared" si="13"/>
        <v>-</v>
      </c>
      <c r="O166" s="51" t="str">
        <f t="shared" si="14"/>
        <v>-</v>
      </c>
      <c r="P166" s="52" t="str">
        <f t="shared" si="15"/>
        <v>-</v>
      </c>
      <c r="Q166" s="53" t="str">
        <f t="shared" si="16"/>
        <v>-</v>
      </c>
      <c r="S166" s="53" t="str">
        <f t="shared" si="17"/>
        <v>-</v>
      </c>
    </row>
    <row r="167" spans="1:19" ht="17.399999999999999" x14ac:dyDescent="0.4">
      <c r="A167" s="54">
        <v>27435</v>
      </c>
      <c r="B167" s="55" t="s">
        <v>131</v>
      </c>
      <c r="C167" s="56">
        <v>740985274354</v>
      </c>
      <c r="D167" s="57">
        <v>120</v>
      </c>
      <c r="E167" s="57" t="s">
        <v>191</v>
      </c>
      <c r="F167" s="58">
        <v>0.13932268974866768</v>
      </c>
      <c r="G167" s="57">
        <v>12</v>
      </c>
      <c r="H167" s="59">
        <v>33</v>
      </c>
      <c r="I167" s="48" t="str">
        <f>IFERROR(VLOOKUP("21ST-"&amp;A167,[1]Лист1!$B$16:$P$170,15,FALSE),"С")</f>
        <v>С</v>
      </c>
      <c r="J167" s="26"/>
      <c r="K167" s="60">
        <f t="shared" si="12"/>
        <v>0</v>
      </c>
      <c r="N167" s="51" t="str">
        <f t="shared" si="13"/>
        <v>-</v>
      </c>
      <c r="O167" s="51" t="str">
        <f t="shared" si="14"/>
        <v>-</v>
      </c>
      <c r="P167" s="52" t="str">
        <f t="shared" si="15"/>
        <v>-</v>
      </c>
      <c r="Q167" s="53" t="str">
        <f t="shared" si="16"/>
        <v>-</v>
      </c>
      <c r="S167" s="53" t="str">
        <f t="shared" si="17"/>
        <v>-</v>
      </c>
    </row>
    <row r="168" spans="1:19" ht="17.399999999999999" x14ac:dyDescent="0.4">
      <c r="A168" s="54">
        <v>21168</v>
      </c>
      <c r="B168" s="55" t="s">
        <v>6</v>
      </c>
      <c r="C168" s="56">
        <v>740985211687</v>
      </c>
      <c r="D168" s="57">
        <v>110</v>
      </c>
      <c r="E168" s="57" t="s">
        <v>189</v>
      </c>
      <c r="F168" s="58">
        <v>0.11268516074241801</v>
      </c>
      <c r="G168" s="57">
        <v>24</v>
      </c>
      <c r="H168" s="59">
        <v>5.5949999999999998</v>
      </c>
      <c r="I168" s="48" t="str">
        <f>IFERROR(VLOOKUP("21ST-"&amp;A168,[1]Лист1!$B$16:$P$170,15,FALSE),"С")</f>
        <v>С</v>
      </c>
      <c r="J168" s="26"/>
      <c r="K168" s="60">
        <f t="shared" si="12"/>
        <v>0</v>
      </c>
      <c r="N168" s="51" t="str">
        <f t="shared" si="13"/>
        <v>-</v>
      </c>
      <c r="O168" s="51" t="str">
        <f t="shared" si="14"/>
        <v>-</v>
      </c>
      <c r="P168" s="52" t="str">
        <f t="shared" si="15"/>
        <v>-</v>
      </c>
      <c r="Q168" s="53" t="str">
        <f t="shared" si="16"/>
        <v>-</v>
      </c>
      <c r="S168" s="53" t="str">
        <f t="shared" si="17"/>
        <v>-</v>
      </c>
    </row>
    <row r="169" spans="1:19" ht="17.399999999999999" x14ac:dyDescent="0.4">
      <c r="A169" s="54">
        <v>22777</v>
      </c>
      <c r="B169" s="55" t="s">
        <v>65</v>
      </c>
      <c r="C169" s="56">
        <v>740985227770</v>
      </c>
      <c r="D169" s="57">
        <v>120</v>
      </c>
      <c r="E169" s="57" t="s">
        <v>191</v>
      </c>
      <c r="F169" s="58">
        <v>0.2353420745806121</v>
      </c>
      <c r="G169" s="57">
        <v>12</v>
      </c>
      <c r="H169" s="59">
        <v>12.375</v>
      </c>
      <c r="I169" s="48" t="str">
        <f>IFERROR(VLOOKUP("21ST-"&amp;A169,[1]Лист1!$B$16:$P$170,15,FALSE),"С")</f>
        <v>С</v>
      </c>
      <c r="J169" s="26"/>
      <c r="K169" s="60">
        <f t="shared" si="12"/>
        <v>0</v>
      </c>
      <c r="N169" s="51" t="str">
        <f t="shared" si="13"/>
        <v>-</v>
      </c>
      <c r="O169" s="51" t="str">
        <f t="shared" si="14"/>
        <v>-</v>
      </c>
      <c r="P169" s="52" t="str">
        <f t="shared" si="15"/>
        <v>-</v>
      </c>
      <c r="Q169" s="53" t="str">
        <f t="shared" si="16"/>
        <v>-</v>
      </c>
      <c r="S169" s="53" t="str">
        <f t="shared" si="17"/>
        <v>-</v>
      </c>
    </row>
    <row r="170" spans="1:19" ht="17.399999999999999" x14ac:dyDescent="0.4">
      <c r="A170" s="54">
        <v>21324</v>
      </c>
      <c r="B170" s="55" t="s">
        <v>164</v>
      </c>
      <c r="C170" s="56">
        <v>740985213247</v>
      </c>
      <c r="D170" s="57">
        <v>60</v>
      </c>
      <c r="E170" s="57" t="s">
        <v>221</v>
      </c>
      <c r="F170" s="58">
        <v>8.1132691495041473E-2</v>
      </c>
      <c r="G170" s="57">
        <v>24</v>
      </c>
      <c r="H170" s="59">
        <v>6.5849999999999991</v>
      </c>
      <c r="I170" s="48" t="str">
        <f>IFERROR(VLOOKUP("21ST-"&amp;A170,[1]Лист1!$B$16:$P$170,15,FALSE),"С")</f>
        <v>С</v>
      </c>
      <c r="J170" s="26"/>
      <c r="K170" s="60">
        <f t="shared" si="12"/>
        <v>0</v>
      </c>
      <c r="N170" s="51" t="str">
        <f t="shared" si="13"/>
        <v>-</v>
      </c>
      <c r="O170" s="51" t="str">
        <f t="shared" si="14"/>
        <v>-</v>
      </c>
      <c r="P170" s="52" t="str">
        <f t="shared" si="15"/>
        <v>-</v>
      </c>
      <c r="Q170" s="53" t="str">
        <f t="shared" si="16"/>
        <v>-</v>
      </c>
      <c r="S170" s="53" t="str">
        <f t="shared" si="17"/>
        <v>-</v>
      </c>
    </row>
    <row r="171" spans="1:19" ht="17.399999999999999" x14ac:dyDescent="0.4">
      <c r="A171" s="54">
        <v>22906</v>
      </c>
      <c r="B171" s="55" t="s">
        <v>164</v>
      </c>
      <c r="C171" s="56">
        <v>740985229064</v>
      </c>
      <c r="D171" s="57">
        <v>200</v>
      </c>
      <c r="E171" s="57" t="s">
        <v>221</v>
      </c>
      <c r="F171" s="58">
        <v>0.19516375043107512</v>
      </c>
      <c r="G171" s="57">
        <v>12</v>
      </c>
      <c r="H171" s="59">
        <v>13.215</v>
      </c>
      <c r="I171" s="48" t="str">
        <f>IFERROR(VLOOKUP("21ST-"&amp;A171,[1]Лист1!$B$16:$P$170,15,FALSE),"С")</f>
        <v>С</v>
      </c>
      <c r="J171" s="26"/>
      <c r="K171" s="60">
        <f t="shared" si="12"/>
        <v>0</v>
      </c>
      <c r="N171" s="51" t="str">
        <f t="shared" si="13"/>
        <v>-</v>
      </c>
      <c r="O171" s="51" t="str">
        <f t="shared" si="14"/>
        <v>-</v>
      </c>
      <c r="P171" s="52" t="str">
        <f t="shared" si="15"/>
        <v>-</v>
      </c>
      <c r="Q171" s="53" t="str">
        <f t="shared" si="16"/>
        <v>-</v>
      </c>
      <c r="S171" s="53" t="str">
        <f t="shared" si="17"/>
        <v>-</v>
      </c>
    </row>
    <row r="172" spans="1:19" ht="17.399999999999999" x14ac:dyDescent="0.4">
      <c r="A172" s="54">
        <v>22757</v>
      </c>
      <c r="B172" s="55" t="s">
        <v>165</v>
      </c>
      <c r="C172" s="56">
        <v>740985227572</v>
      </c>
      <c r="D172" s="57">
        <v>45</v>
      </c>
      <c r="E172" s="57" t="s">
        <v>221</v>
      </c>
      <c r="F172" s="58">
        <v>8.470788135580537E-2</v>
      </c>
      <c r="G172" s="57">
        <v>24</v>
      </c>
      <c r="H172" s="59">
        <v>12.375</v>
      </c>
      <c r="I172" s="48" t="str">
        <f>IFERROR(VLOOKUP("21ST-"&amp;A172,[1]Лист1!$B$16:$P$170,15,FALSE),"С")</f>
        <v>С</v>
      </c>
      <c r="J172" s="26"/>
      <c r="K172" s="60">
        <f t="shared" si="12"/>
        <v>0</v>
      </c>
      <c r="N172" s="51" t="str">
        <f t="shared" si="13"/>
        <v>-</v>
      </c>
      <c r="O172" s="51" t="str">
        <f t="shared" si="14"/>
        <v>-</v>
      </c>
      <c r="P172" s="52" t="str">
        <f t="shared" si="15"/>
        <v>-</v>
      </c>
      <c r="Q172" s="53" t="str">
        <f t="shared" si="16"/>
        <v>-</v>
      </c>
      <c r="S172" s="53" t="str">
        <f t="shared" si="17"/>
        <v>-</v>
      </c>
    </row>
    <row r="173" spans="1:19" ht="17.399999999999999" x14ac:dyDescent="0.4">
      <c r="A173" s="54">
        <v>22661</v>
      </c>
      <c r="B173" s="55" t="s">
        <v>33</v>
      </c>
      <c r="C173" s="56">
        <v>740985226612</v>
      </c>
      <c r="D173" s="57">
        <v>100</v>
      </c>
      <c r="E173" s="57" t="s">
        <v>190</v>
      </c>
      <c r="F173" s="58">
        <v>7.7160258316414918E-2</v>
      </c>
      <c r="G173" s="57">
        <v>24</v>
      </c>
      <c r="H173" s="59">
        <v>2.4749999999999996</v>
      </c>
      <c r="I173" s="48" t="str">
        <f>IFERROR(VLOOKUP("21ST-"&amp;A173,[1]Лист1!$B$16:$P$170,15,FALSE),"С")</f>
        <v>С</v>
      </c>
      <c r="J173" s="26"/>
      <c r="K173" s="60">
        <f t="shared" si="12"/>
        <v>0</v>
      </c>
      <c r="N173" s="51" t="str">
        <f t="shared" si="13"/>
        <v>-</v>
      </c>
      <c r="O173" s="51" t="str">
        <f t="shared" si="14"/>
        <v>-</v>
      </c>
      <c r="P173" s="52" t="str">
        <f t="shared" si="15"/>
        <v>-</v>
      </c>
      <c r="Q173" s="53" t="str">
        <f t="shared" si="16"/>
        <v>-</v>
      </c>
      <c r="S173" s="53" t="str">
        <f t="shared" si="17"/>
        <v>-</v>
      </c>
    </row>
    <row r="174" spans="1:19" ht="17.399999999999999" x14ac:dyDescent="0.4">
      <c r="A174" s="54">
        <v>27380</v>
      </c>
      <c r="B174" s="55" t="s">
        <v>34</v>
      </c>
      <c r="C174" s="56">
        <v>740985273807</v>
      </c>
      <c r="D174" s="57">
        <v>110</v>
      </c>
      <c r="E174" s="57" t="s">
        <v>192</v>
      </c>
      <c r="F174" s="58">
        <v>7.9450000000000007E-2</v>
      </c>
      <c r="G174" s="57">
        <v>24</v>
      </c>
      <c r="H174" s="59">
        <v>2.4749999999999996</v>
      </c>
      <c r="I174" s="48" t="str">
        <f>IFERROR(VLOOKUP("21ST-"&amp;A174,[1]Лист1!$B$16:$P$170,15,FALSE),"С")</f>
        <v>С</v>
      </c>
      <c r="J174" s="26"/>
      <c r="K174" s="60">
        <f t="shared" si="12"/>
        <v>0</v>
      </c>
      <c r="N174" s="51" t="str">
        <f t="shared" si="13"/>
        <v>-</v>
      </c>
      <c r="O174" s="51" t="str">
        <f t="shared" si="14"/>
        <v>-</v>
      </c>
      <c r="P174" s="52" t="str">
        <f t="shared" si="15"/>
        <v>-</v>
      </c>
      <c r="Q174" s="53" t="str">
        <f t="shared" si="16"/>
        <v>-</v>
      </c>
      <c r="S174" s="53" t="str">
        <f t="shared" si="17"/>
        <v>-</v>
      </c>
    </row>
    <row r="175" spans="1:19" ht="17.399999999999999" x14ac:dyDescent="0.4">
      <c r="A175" s="54">
        <v>27292</v>
      </c>
      <c r="B175" s="55" t="s">
        <v>35</v>
      </c>
      <c r="C175" s="56">
        <v>740985272923</v>
      </c>
      <c r="D175" s="57">
        <v>300</v>
      </c>
      <c r="E175" s="57" t="s">
        <v>190</v>
      </c>
      <c r="F175" s="58">
        <v>0.1509340173480507</v>
      </c>
      <c r="G175" s="57">
        <v>24</v>
      </c>
      <c r="H175" s="59">
        <v>7.4250000000000007</v>
      </c>
      <c r="I175" s="48" t="str">
        <f>IFERROR(VLOOKUP("21ST-"&amp;A175,[1]Лист1!$B$16:$P$170,15,FALSE),"С")</f>
        <v>С</v>
      </c>
      <c r="J175" s="26"/>
      <c r="K175" s="60">
        <f t="shared" si="12"/>
        <v>0</v>
      </c>
      <c r="N175" s="51" t="str">
        <f t="shared" si="13"/>
        <v>-</v>
      </c>
      <c r="O175" s="51" t="str">
        <f t="shared" si="14"/>
        <v>-</v>
      </c>
      <c r="P175" s="52" t="str">
        <f t="shared" si="15"/>
        <v>-</v>
      </c>
      <c r="Q175" s="53" t="str">
        <f t="shared" si="16"/>
        <v>-</v>
      </c>
      <c r="S175" s="53" t="str">
        <f t="shared" si="17"/>
        <v>-</v>
      </c>
    </row>
    <row r="176" spans="1:19" ht="17.399999999999999" x14ac:dyDescent="0.4">
      <c r="A176" s="54">
        <v>27139</v>
      </c>
      <c r="B176" s="55" t="s">
        <v>35</v>
      </c>
      <c r="C176" s="56">
        <v>740985271391</v>
      </c>
      <c r="D176" s="57">
        <v>500</v>
      </c>
      <c r="E176" s="57" t="s">
        <v>190</v>
      </c>
      <c r="F176" s="58">
        <v>0.24340043902868316</v>
      </c>
      <c r="G176" s="57">
        <v>12</v>
      </c>
      <c r="H176" s="59">
        <v>8.25</v>
      </c>
      <c r="I176" s="48" t="str">
        <f>IFERROR(VLOOKUP("21ST-"&amp;A176,[1]Лист1!$B$16:$P$170,15,FALSE),"С")</f>
        <v>С</v>
      </c>
      <c r="J176" s="26"/>
      <c r="K176" s="60">
        <f t="shared" si="12"/>
        <v>0</v>
      </c>
      <c r="N176" s="51" t="str">
        <f t="shared" si="13"/>
        <v>-</v>
      </c>
      <c r="O176" s="51" t="str">
        <f t="shared" si="14"/>
        <v>-</v>
      </c>
      <c r="P176" s="52" t="str">
        <f t="shared" si="15"/>
        <v>-</v>
      </c>
      <c r="Q176" s="53" t="str">
        <f t="shared" si="16"/>
        <v>-</v>
      </c>
      <c r="S176" s="53" t="str">
        <f t="shared" si="17"/>
        <v>-</v>
      </c>
    </row>
    <row r="177" spans="1:19" ht="17.399999999999999" x14ac:dyDescent="0.4">
      <c r="A177" s="54">
        <v>27415</v>
      </c>
      <c r="B177" s="55" t="s">
        <v>35</v>
      </c>
      <c r="C177" s="56">
        <v>740985274156</v>
      </c>
      <c r="D177" s="57">
        <v>250</v>
      </c>
      <c r="E177" s="57" t="s">
        <v>189</v>
      </c>
      <c r="F177" s="58">
        <v>9.7022424209547639E-2</v>
      </c>
      <c r="G177" s="57">
        <v>24</v>
      </c>
      <c r="H177" s="59">
        <v>7.4250000000000007</v>
      </c>
      <c r="I177" s="48" t="str">
        <f>IFERROR(VLOOKUP("21ST-"&amp;A177,[1]Лист1!$B$16:$P$170,15,FALSE),"С")</f>
        <v>С</v>
      </c>
      <c r="J177" s="26"/>
      <c r="K177" s="60">
        <f t="shared" si="12"/>
        <v>0</v>
      </c>
      <c r="N177" s="51" t="str">
        <f t="shared" si="13"/>
        <v>-</v>
      </c>
      <c r="O177" s="51" t="str">
        <f t="shared" si="14"/>
        <v>-</v>
      </c>
      <c r="P177" s="52" t="str">
        <f t="shared" si="15"/>
        <v>-</v>
      </c>
      <c r="Q177" s="53" t="str">
        <f t="shared" si="16"/>
        <v>-</v>
      </c>
      <c r="S177" s="53" t="str">
        <f t="shared" si="17"/>
        <v>-</v>
      </c>
    </row>
    <row r="178" spans="1:19" ht="17.399999999999999" x14ac:dyDescent="0.4">
      <c r="A178" s="54">
        <v>21302</v>
      </c>
      <c r="B178" s="55" t="s">
        <v>39</v>
      </c>
      <c r="C178" s="56">
        <v>740985213025</v>
      </c>
      <c r="D178" s="57">
        <v>110</v>
      </c>
      <c r="E178" s="57" t="s">
        <v>189</v>
      </c>
      <c r="F178" s="58">
        <v>8.3970143765488989E-2</v>
      </c>
      <c r="G178" s="57">
        <v>24</v>
      </c>
      <c r="H178" s="59">
        <v>4.9649999999999999</v>
      </c>
      <c r="I178" s="48" t="str">
        <f>IFERROR(VLOOKUP("21ST-"&amp;A178,[1]Лист1!$B$16:$P$170,15,FALSE),"С")</f>
        <v>С</v>
      </c>
      <c r="J178" s="26"/>
      <c r="K178" s="60">
        <f t="shared" si="12"/>
        <v>0</v>
      </c>
      <c r="N178" s="51" t="str">
        <f t="shared" si="13"/>
        <v>-</v>
      </c>
      <c r="O178" s="51" t="str">
        <f t="shared" si="14"/>
        <v>-</v>
      </c>
      <c r="P178" s="52" t="str">
        <f t="shared" si="15"/>
        <v>-</v>
      </c>
      <c r="Q178" s="53" t="str">
        <f t="shared" si="16"/>
        <v>-</v>
      </c>
      <c r="S178" s="53" t="str">
        <f t="shared" si="17"/>
        <v>-</v>
      </c>
    </row>
    <row r="179" spans="1:19" ht="17.399999999999999" x14ac:dyDescent="0.4">
      <c r="A179" s="54">
        <v>22324</v>
      </c>
      <c r="B179" s="55" t="s">
        <v>42</v>
      </c>
      <c r="C179" s="56">
        <v>740985223246</v>
      </c>
      <c r="D179" s="57">
        <v>55</v>
      </c>
      <c r="E179" s="57" t="s">
        <v>189</v>
      </c>
      <c r="F179" s="58">
        <v>0.13016386672837479</v>
      </c>
      <c r="G179" s="57">
        <v>24</v>
      </c>
      <c r="H179" s="59">
        <v>8.25</v>
      </c>
      <c r="I179" s="48" t="str">
        <f>IFERROR(VLOOKUP("21ST-"&amp;A179,[1]Лист1!$B$16:$P$170,15,FALSE),"С")</f>
        <v>С</v>
      </c>
      <c r="J179" s="26"/>
      <c r="K179" s="60">
        <f t="shared" si="12"/>
        <v>0</v>
      </c>
      <c r="N179" s="51" t="str">
        <f t="shared" si="13"/>
        <v>-</v>
      </c>
      <c r="O179" s="51" t="str">
        <f t="shared" si="14"/>
        <v>-</v>
      </c>
      <c r="P179" s="52" t="str">
        <f t="shared" si="15"/>
        <v>-</v>
      </c>
      <c r="Q179" s="53" t="str">
        <f t="shared" si="16"/>
        <v>-</v>
      </c>
      <c r="S179" s="53" t="str">
        <f t="shared" si="17"/>
        <v>-</v>
      </c>
    </row>
    <row r="180" spans="1:19" ht="17.399999999999999" x14ac:dyDescent="0.4">
      <c r="A180" s="54">
        <v>28023</v>
      </c>
      <c r="B180" s="55" t="s">
        <v>79</v>
      </c>
      <c r="C180" s="56">
        <v>740985280232</v>
      </c>
      <c r="D180" s="57">
        <v>30</v>
      </c>
      <c r="E180" s="57" t="s">
        <v>190</v>
      </c>
      <c r="F180" s="58">
        <v>7.061472883720421E-2</v>
      </c>
      <c r="G180" s="57">
        <v>12</v>
      </c>
      <c r="H180" s="59">
        <v>8.25</v>
      </c>
      <c r="I180" s="48" t="str">
        <f>IFERROR(VLOOKUP("21ST-"&amp;A180,[1]Лист1!$B$16:$P$170,15,FALSE),"С")</f>
        <v>С</v>
      </c>
      <c r="J180" s="26"/>
      <c r="K180" s="60">
        <f t="shared" si="12"/>
        <v>0</v>
      </c>
      <c r="N180" s="51" t="str">
        <f t="shared" si="13"/>
        <v>-</v>
      </c>
      <c r="O180" s="51" t="str">
        <f t="shared" si="14"/>
        <v>-</v>
      </c>
      <c r="P180" s="52" t="str">
        <f t="shared" si="15"/>
        <v>-</v>
      </c>
      <c r="Q180" s="53" t="str">
        <f t="shared" si="16"/>
        <v>-</v>
      </c>
      <c r="S180" s="53" t="str">
        <f t="shared" si="17"/>
        <v>-</v>
      </c>
    </row>
    <row r="181" spans="1:19" ht="17.399999999999999" x14ac:dyDescent="0.4">
      <c r="A181" s="54">
        <v>28006</v>
      </c>
      <c r="B181" s="55" t="s">
        <v>167</v>
      </c>
      <c r="C181" s="56">
        <v>740985280065</v>
      </c>
      <c r="D181" s="57">
        <v>100</v>
      </c>
      <c r="E181" s="57" t="s">
        <v>221</v>
      </c>
      <c r="F181" s="58">
        <v>0.15487192819072015</v>
      </c>
      <c r="G181" s="57">
        <v>12</v>
      </c>
      <c r="H181" s="59">
        <v>6.5849999999999991</v>
      </c>
      <c r="I181" s="48" t="str">
        <f>IFERROR(VLOOKUP("21ST-"&amp;A181,[1]Лист1!$B$16:$P$170,15,FALSE),"С")</f>
        <v>С</v>
      </c>
      <c r="J181" s="26"/>
      <c r="K181" s="60">
        <f t="shared" si="12"/>
        <v>0</v>
      </c>
      <c r="N181" s="51" t="str">
        <f t="shared" si="13"/>
        <v>-</v>
      </c>
      <c r="O181" s="51" t="str">
        <f t="shared" si="14"/>
        <v>-</v>
      </c>
      <c r="P181" s="52" t="str">
        <f t="shared" si="15"/>
        <v>-</v>
      </c>
      <c r="Q181" s="53" t="str">
        <f t="shared" si="16"/>
        <v>-</v>
      </c>
      <c r="S181" s="53" t="str">
        <f t="shared" si="17"/>
        <v>-</v>
      </c>
    </row>
    <row r="182" spans="1:19" ht="17.399999999999999" x14ac:dyDescent="0.4">
      <c r="A182" s="54">
        <v>27369</v>
      </c>
      <c r="B182" s="55" t="s">
        <v>140</v>
      </c>
      <c r="C182" s="56">
        <v>740985273692</v>
      </c>
      <c r="D182" s="57">
        <v>90</v>
      </c>
      <c r="E182" s="57" t="s">
        <v>189</v>
      </c>
      <c r="F182" s="58">
        <v>0.23363960321834362</v>
      </c>
      <c r="G182" s="57">
        <v>12</v>
      </c>
      <c r="H182" s="59">
        <v>8.25</v>
      </c>
      <c r="I182" s="48" t="str">
        <f>IFERROR(VLOOKUP("21ST-"&amp;A182,[1]Лист1!$B$16:$P$170,15,FALSE),"С")</f>
        <v>С</v>
      </c>
      <c r="J182" s="26"/>
      <c r="K182" s="60">
        <f t="shared" si="12"/>
        <v>0</v>
      </c>
      <c r="N182" s="51" t="str">
        <f t="shared" si="13"/>
        <v>-</v>
      </c>
      <c r="O182" s="51" t="str">
        <f t="shared" si="14"/>
        <v>-</v>
      </c>
      <c r="P182" s="52" t="str">
        <f t="shared" si="15"/>
        <v>-</v>
      </c>
      <c r="Q182" s="53" t="str">
        <f t="shared" si="16"/>
        <v>-</v>
      </c>
      <c r="S182" s="53" t="str">
        <f t="shared" si="17"/>
        <v>-</v>
      </c>
    </row>
    <row r="183" spans="1:19" ht="17.399999999999999" x14ac:dyDescent="0.4">
      <c r="A183" s="54">
        <v>22407</v>
      </c>
      <c r="B183" s="55" t="s">
        <v>141</v>
      </c>
      <c r="C183" s="56">
        <v>740985224076</v>
      </c>
      <c r="D183" s="57">
        <v>60</v>
      </c>
      <c r="E183" s="57" t="s">
        <v>189</v>
      </c>
      <c r="F183" s="58">
        <v>0.13731424644990259</v>
      </c>
      <c r="G183" s="57">
        <v>24</v>
      </c>
      <c r="H183" s="59">
        <v>5.7450000000000001</v>
      </c>
      <c r="I183" s="48" t="str">
        <f>IFERROR(VLOOKUP("21ST-"&amp;A183,[1]Лист1!$B$16:$P$170,15,FALSE),"С")</f>
        <v>С</v>
      </c>
      <c r="J183" s="26"/>
      <c r="K183" s="60">
        <f t="shared" si="12"/>
        <v>0</v>
      </c>
      <c r="N183" s="51" t="str">
        <f t="shared" si="13"/>
        <v>-</v>
      </c>
      <c r="O183" s="51" t="str">
        <f t="shared" si="14"/>
        <v>-</v>
      </c>
      <c r="P183" s="52" t="str">
        <f t="shared" si="15"/>
        <v>-</v>
      </c>
      <c r="Q183" s="53" t="str">
        <f t="shared" si="16"/>
        <v>-</v>
      </c>
      <c r="S183" s="53" t="str">
        <f t="shared" si="17"/>
        <v>-</v>
      </c>
    </row>
    <row r="184" spans="1:19" ht="17.399999999999999" x14ac:dyDescent="0.4">
      <c r="A184" s="54">
        <v>22871</v>
      </c>
      <c r="B184" s="55" t="s">
        <v>141</v>
      </c>
      <c r="C184" s="56">
        <v>740985228715</v>
      </c>
      <c r="D184" s="57">
        <v>120</v>
      </c>
      <c r="E184" s="57" t="s">
        <v>189</v>
      </c>
      <c r="F184" s="58">
        <v>0.25152122742670396</v>
      </c>
      <c r="G184" s="57">
        <v>12</v>
      </c>
      <c r="H184" s="59">
        <v>8.25</v>
      </c>
      <c r="I184" s="48" t="str">
        <f>IFERROR(VLOOKUP("21ST-"&amp;A184,[1]Лист1!$B$16:$P$170,15,FALSE),"С")</f>
        <v>С</v>
      </c>
      <c r="J184" s="26"/>
      <c r="K184" s="60">
        <f t="shared" si="12"/>
        <v>0</v>
      </c>
      <c r="N184" s="51" t="str">
        <f t="shared" si="13"/>
        <v>-</v>
      </c>
      <c r="O184" s="51" t="str">
        <f t="shared" si="14"/>
        <v>-</v>
      </c>
      <c r="P184" s="52" t="str">
        <f t="shared" si="15"/>
        <v>-</v>
      </c>
      <c r="Q184" s="53" t="str">
        <f t="shared" si="16"/>
        <v>-</v>
      </c>
      <c r="S184" s="53" t="str">
        <f t="shared" si="17"/>
        <v>-</v>
      </c>
    </row>
    <row r="185" spans="1:19" ht="17.399999999999999" x14ac:dyDescent="0.4">
      <c r="A185" s="54">
        <v>22275</v>
      </c>
      <c r="B185" s="55" t="s">
        <v>212</v>
      </c>
      <c r="C185" s="56">
        <v>740985222751</v>
      </c>
      <c r="D185" s="57">
        <v>60</v>
      </c>
      <c r="E185" s="57" t="s">
        <v>195</v>
      </c>
      <c r="F185" s="58">
        <v>0.36894446055205765</v>
      </c>
      <c r="G185" s="57">
        <v>12</v>
      </c>
      <c r="H185" s="59">
        <v>10.8</v>
      </c>
      <c r="I185" s="48" t="str">
        <f>IFERROR(VLOOKUP("21ST-"&amp;A185,[1]Лист1!$B$16:$P$170,15,FALSE),"С")</f>
        <v>С</v>
      </c>
      <c r="J185" s="26"/>
      <c r="K185" s="60">
        <f t="shared" si="12"/>
        <v>0</v>
      </c>
      <c r="N185" s="51" t="str">
        <f t="shared" si="13"/>
        <v>-</v>
      </c>
      <c r="O185" s="51" t="str">
        <f t="shared" si="14"/>
        <v>-</v>
      </c>
      <c r="P185" s="52" t="str">
        <f t="shared" si="15"/>
        <v>-</v>
      </c>
      <c r="Q185" s="53" t="str">
        <f t="shared" si="16"/>
        <v>-</v>
      </c>
      <c r="S185" s="53" t="str">
        <f t="shared" si="17"/>
        <v>-</v>
      </c>
    </row>
    <row r="186" spans="1:19" ht="17.399999999999999" x14ac:dyDescent="0.4">
      <c r="A186" s="54">
        <v>22292</v>
      </c>
      <c r="B186" s="55" t="s">
        <v>213</v>
      </c>
      <c r="C186" s="56">
        <v>740985222928</v>
      </c>
      <c r="D186" s="57">
        <v>240</v>
      </c>
      <c r="E186" s="57" t="s">
        <v>190</v>
      </c>
      <c r="F186" s="58">
        <v>0.52581032320226673</v>
      </c>
      <c r="G186" s="57">
        <v>12</v>
      </c>
      <c r="H186" s="59">
        <v>18</v>
      </c>
      <c r="I186" s="48" t="str">
        <f>IFERROR(VLOOKUP("21ST-"&amp;A186,[1]Лист1!$B$16:$P$170,15,FALSE),"С")</f>
        <v>С</v>
      </c>
      <c r="J186" s="26"/>
      <c r="K186" s="60">
        <f t="shared" si="12"/>
        <v>0</v>
      </c>
      <c r="N186" s="51" t="str">
        <f t="shared" si="13"/>
        <v>-</v>
      </c>
      <c r="O186" s="51" t="str">
        <f t="shared" si="14"/>
        <v>-</v>
      </c>
      <c r="P186" s="52" t="str">
        <f t="shared" si="15"/>
        <v>-</v>
      </c>
      <c r="Q186" s="53" t="str">
        <f t="shared" si="16"/>
        <v>-</v>
      </c>
      <c r="S186" s="53" t="str">
        <f t="shared" si="17"/>
        <v>-</v>
      </c>
    </row>
    <row r="187" spans="1:19" ht="17.399999999999999" x14ac:dyDescent="0.4">
      <c r="A187" s="54">
        <v>22288</v>
      </c>
      <c r="B187" s="55" t="s">
        <v>215</v>
      </c>
      <c r="C187" s="56">
        <v>740985222881</v>
      </c>
      <c r="D187" s="57">
        <v>120</v>
      </c>
      <c r="E187" s="57" t="s">
        <v>190</v>
      </c>
      <c r="F187" s="58">
        <v>0.28920425821691248</v>
      </c>
      <c r="G187" s="57">
        <v>12</v>
      </c>
      <c r="H187" s="59">
        <v>18</v>
      </c>
      <c r="I187" s="48" t="str">
        <f>IFERROR(VLOOKUP("21ST-"&amp;A187,[1]Лист1!$B$16:$P$170,15,FALSE),"С")</f>
        <v>С</v>
      </c>
      <c r="J187" s="26"/>
      <c r="K187" s="60">
        <f t="shared" si="12"/>
        <v>0</v>
      </c>
      <c r="N187" s="51" t="str">
        <f t="shared" si="13"/>
        <v>-</v>
      </c>
      <c r="O187" s="51" t="str">
        <f t="shared" si="14"/>
        <v>-</v>
      </c>
      <c r="P187" s="52" t="str">
        <f t="shared" si="15"/>
        <v>-</v>
      </c>
      <c r="Q187" s="53" t="str">
        <f t="shared" si="16"/>
        <v>-</v>
      </c>
      <c r="S187" s="53" t="str">
        <f t="shared" si="17"/>
        <v>-</v>
      </c>
    </row>
    <row r="188" spans="1:19" ht="17.399999999999999" x14ac:dyDescent="0.4">
      <c r="A188" s="54">
        <v>22289</v>
      </c>
      <c r="B188" s="55" t="s">
        <v>216</v>
      </c>
      <c r="C188" s="56">
        <v>740985222898</v>
      </c>
      <c r="D188" s="57">
        <v>120</v>
      </c>
      <c r="E188" s="57" t="s">
        <v>190</v>
      </c>
      <c r="F188" s="58">
        <v>0.32391220138520838</v>
      </c>
      <c r="G188" s="57">
        <v>12</v>
      </c>
      <c r="H188" s="59">
        <v>18</v>
      </c>
      <c r="I188" s="48" t="str">
        <f>IFERROR(VLOOKUP("21ST-"&amp;A188,[1]Лист1!$B$16:$P$170,15,FALSE),"С")</f>
        <v>С</v>
      </c>
      <c r="J188" s="26"/>
      <c r="K188" s="60">
        <f t="shared" si="12"/>
        <v>0</v>
      </c>
      <c r="N188" s="51" t="str">
        <f t="shared" si="13"/>
        <v>-</v>
      </c>
      <c r="O188" s="51" t="str">
        <f t="shared" si="14"/>
        <v>-</v>
      </c>
      <c r="P188" s="52" t="str">
        <f t="shared" si="15"/>
        <v>-</v>
      </c>
      <c r="Q188" s="53" t="str">
        <f t="shared" si="16"/>
        <v>-</v>
      </c>
      <c r="S188" s="53" t="str">
        <f t="shared" si="17"/>
        <v>-</v>
      </c>
    </row>
    <row r="189" spans="1:19" ht="17.399999999999999" x14ac:dyDescent="0.4">
      <c r="A189" s="54">
        <v>21840</v>
      </c>
      <c r="B189" s="55" t="s">
        <v>168</v>
      </c>
      <c r="C189" s="56">
        <v>740985218402</v>
      </c>
      <c r="D189" s="57">
        <v>60</v>
      </c>
      <c r="E189" s="57" t="s">
        <v>190</v>
      </c>
      <c r="F189" s="58">
        <v>9.134751966865258E-2</v>
      </c>
      <c r="G189" s="57">
        <v>24</v>
      </c>
      <c r="H189" s="59">
        <v>6.5849999999999991</v>
      </c>
      <c r="I189" s="48" t="str">
        <f>IFERROR(VLOOKUP("21ST-"&amp;A189,[1]Лист1!$B$16:$P$170,15,FALSE),"С")</f>
        <v>С</v>
      </c>
      <c r="J189" s="26"/>
      <c r="K189" s="60">
        <f t="shared" si="12"/>
        <v>0</v>
      </c>
      <c r="N189" s="51" t="str">
        <f t="shared" si="13"/>
        <v>-</v>
      </c>
      <c r="O189" s="51" t="str">
        <f t="shared" si="14"/>
        <v>-</v>
      </c>
      <c r="P189" s="52" t="str">
        <f t="shared" si="15"/>
        <v>-</v>
      </c>
      <c r="Q189" s="53" t="str">
        <f t="shared" si="16"/>
        <v>-</v>
      </c>
      <c r="S189" s="53" t="str">
        <f t="shared" si="17"/>
        <v>-</v>
      </c>
    </row>
    <row r="190" spans="1:19" ht="17.399999999999999" x14ac:dyDescent="0.4">
      <c r="A190" s="54">
        <v>21300</v>
      </c>
      <c r="B190" s="55" t="s">
        <v>170</v>
      </c>
      <c r="C190" s="56">
        <v>740985213001</v>
      </c>
      <c r="D190" s="57">
        <v>60</v>
      </c>
      <c r="E190" s="57" t="s">
        <v>221</v>
      </c>
      <c r="F190" s="58">
        <v>7.8749231587865537E-2</v>
      </c>
      <c r="G190" s="57">
        <v>24</v>
      </c>
      <c r="H190" s="59">
        <v>6.5849999999999991</v>
      </c>
      <c r="I190" s="48" t="str">
        <f>IFERROR(VLOOKUP("21ST-"&amp;A190,[1]Лист1!$B$16:$P$170,15,FALSE),"С")</f>
        <v>С</v>
      </c>
      <c r="J190" s="26"/>
      <c r="K190" s="60">
        <f t="shared" si="12"/>
        <v>0</v>
      </c>
      <c r="N190" s="51" t="str">
        <f t="shared" si="13"/>
        <v>-</v>
      </c>
      <c r="O190" s="51" t="str">
        <f t="shared" si="14"/>
        <v>-</v>
      </c>
      <c r="P190" s="52" t="str">
        <f t="shared" si="15"/>
        <v>-</v>
      </c>
      <c r="Q190" s="53" t="str">
        <f t="shared" si="16"/>
        <v>-</v>
      </c>
      <c r="S190" s="53" t="str">
        <f t="shared" si="17"/>
        <v>-</v>
      </c>
    </row>
    <row r="191" spans="1:19" ht="17.399999999999999" x14ac:dyDescent="0.4">
      <c r="A191" s="54">
        <v>28069</v>
      </c>
      <c r="B191" s="55" t="s">
        <v>187</v>
      </c>
      <c r="C191" s="56">
        <v>740985280690</v>
      </c>
      <c r="D191" s="57">
        <v>60</v>
      </c>
      <c r="E191" s="57" t="s">
        <v>193</v>
      </c>
      <c r="F191" s="58">
        <v>0.10054086502490259</v>
      </c>
      <c r="G191" s="57">
        <v>24</v>
      </c>
      <c r="H191" s="59">
        <v>22.5</v>
      </c>
      <c r="I191" s="48" t="str">
        <f>IFERROR(VLOOKUP("21ST-"&amp;A191,[1]Лист1!$B$16:$P$170,15,FALSE),"С")</f>
        <v>С</v>
      </c>
      <c r="J191" s="26"/>
      <c r="K191" s="60">
        <f t="shared" si="12"/>
        <v>0</v>
      </c>
      <c r="N191" s="51" t="str">
        <f t="shared" si="13"/>
        <v>-</v>
      </c>
      <c r="O191" s="51" t="str">
        <f t="shared" si="14"/>
        <v>-</v>
      </c>
      <c r="P191" s="52" t="str">
        <f t="shared" si="15"/>
        <v>-</v>
      </c>
      <c r="Q191" s="53" t="str">
        <f t="shared" si="16"/>
        <v>-</v>
      </c>
      <c r="S191" s="53" t="str">
        <f t="shared" si="17"/>
        <v>-</v>
      </c>
    </row>
    <row r="192" spans="1:19" ht="17.399999999999999" x14ac:dyDescent="0.4">
      <c r="A192" s="54">
        <v>23023</v>
      </c>
      <c r="B192" s="55" t="s">
        <v>49</v>
      </c>
      <c r="C192" s="56">
        <v>740985230237</v>
      </c>
      <c r="D192" s="57">
        <v>120</v>
      </c>
      <c r="E192" s="57" t="s">
        <v>191</v>
      </c>
      <c r="F192" s="58">
        <v>0.16315728882042693</v>
      </c>
      <c r="G192" s="57">
        <v>12</v>
      </c>
      <c r="H192" s="59">
        <v>12.375</v>
      </c>
      <c r="I192" s="48" t="str">
        <f>IFERROR(VLOOKUP("21ST-"&amp;A192,[1]Лист1!$B$16:$P$170,15,FALSE),"С")</f>
        <v>С</v>
      </c>
      <c r="J192" s="26"/>
      <c r="K192" s="60">
        <f t="shared" si="12"/>
        <v>0</v>
      </c>
      <c r="N192" s="51" t="str">
        <f t="shared" si="13"/>
        <v>-</v>
      </c>
      <c r="O192" s="51" t="str">
        <f t="shared" si="14"/>
        <v>-</v>
      </c>
      <c r="P192" s="52" t="str">
        <f t="shared" si="15"/>
        <v>-</v>
      </c>
      <c r="Q192" s="53" t="str">
        <f t="shared" si="16"/>
        <v>-</v>
      </c>
      <c r="S192" s="53" t="str">
        <f t="shared" si="17"/>
        <v>-</v>
      </c>
    </row>
    <row r="193" spans="1:19" ht="17.399999999999999" x14ac:dyDescent="0.4">
      <c r="A193" s="54">
        <v>21690</v>
      </c>
      <c r="B193" s="55" t="s">
        <v>49</v>
      </c>
      <c r="C193" s="56">
        <v>740985216903</v>
      </c>
      <c r="D193" s="57">
        <v>200</v>
      </c>
      <c r="E193" s="57" t="s">
        <v>191</v>
      </c>
      <c r="F193" s="58">
        <v>0.23261812040098254</v>
      </c>
      <c r="G193" s="57">
        <v>12</v>
      </c>
      <c r="H193" s="59">
        <v>16.484999999999999</v>
      </c>
      <c r="I193" s="48" t="str">
        <f>IFERROR(VLOOKUP("21ST-"&amp;A193,[1]Лист1!$B$16:$P$170,15,FALSE),"С")</f>
        <v>С</v>
      </c>
      <c r="J193" s="26"/>
      <c r="K193" s="60">
        <f t="shared" si="12"/>
        <v>0</v>
      </c>
      <c r="N193" s="51" t="str">
        <f t="shared" si="13"/>
        <v>-</v>
      </c>
      <c r="O193" s="51" t="str">
        <f t="shared" si="14"/>
        <v>-</v>
      </c>
      <c r="P193" s="52" t="str">
        <f t="shared" si="15"/>
        <v>-</v>
      </c>
      <c r="Q193" s="53" t="str">
        <f t="shared" si="16"/>
        <v>-</v>
      </c>
      <c r="S193" s="53" t="str">
        <f t="shared" si="17"/>
        <v>-</v>
      </c>
    </row>
    <row r="194" spans="1:19" ht="17.399999999999999" x14ac:dyDescent="0.4">
      <c r="A194" s="54">
        <v>22301</v>
      </c>
      <c r="B194" s="55" t="s">
        <v>50</v>
      </c>
      <c r="C194" s="56">
        <v>740985223017</v>
      </c>
      <c r="D194" s="57">
        <v>60</v>
      </c>
      <c r="E194" s="57" t="s">
        <v>191</v>
      </c>
      <c r="F194" s="58">
        <v>0.11994903855476367</v>
      </c>
      <c r="G194" s="57">
        <v>24</v>
      </c>
      <c r="H194" s="59">
        <v>12.375</v>
      </c>
      <c r="I194" s="48" t="str">
        <f>IFERROR(VLOOKUP("21ST-"&amp;A194,[1]Лист1!$B$16:$P$170,15,FALSE),"С")</f>
        <v>С</v>
      </c>
      <c r="J194" s="26"/>
      <c r="K194" s="60">
        <f t="shared" si="12"/>
        <v>0</v>
      </c>
      <c r="N194" s="51" t="str">
        <f t="shared" si="13"/>
        <v>-</v>
      </c>
      <c r="O194" s="51" t="str">
        <f t="shared" si="14"/>
        <v>-</v>
      </c>
      <c r="P194" s="52" t="str">
        <f t="shared" si="15"/>
        <v>-</v>
      </c>
      <c r="Q194" s="53" t="str">
        <f t="shared" si="16"/>
        <v>-</v>
      </c>
      <c r="S194" s="53" t="str">
        <f t="shared" si="17"/>
        <v>-</v>
      </c>
    </row>
    <row r="195" spans="1:19" ht="17.399999999999999" x14ac:dyDescent="0.4">
      <c r="A195" s="54">
        <v>22314</v>
      </c>
      <c r="B195" s="55" t="s">
        <v>50</v>
      </c>
      <c r="C195" s="56">
        <v>740985223147</v>
      </c>
      <c r="D195" s="57">
        <v>150</v>
      </c>
      <c r="E195" s="57" t="s">
        <v>191</v>
      </c>
      <c r="F195" s="58">
        <v>0.25815519083501032</v>
      </c>
      <c r="G195" s="57">
        <v>12</v>
      </c>
      <c r="H195" s="59">
        <v>24.765000000000001</v>
      </c>
      <c r="I195" s="48" t="str">
        <f>IFERROR(VLOOKUP("21ST-"&amp;A195,[1]Лист1!$B$16:$P$170,15,FALSE),"С")</f>
        <v>С</v>
      </c>
      <c r="J195" s="26"/>
      <c r="K195" s="60">
        <f t="shared" ref="K195:K258" si="18">SUM(H195*J195)</f>
        <v>0</v>
      </c>
      <c r="N195" s="51" t="str">
        <f t="shared" si="13"/>
        <v>-</v>
      </c>
      <c r="O195" s="51" t="str">
        <f t="shared" si="14"/>
        <v>-</v>
      </c>
      <c r="P195" s="52" t="str">
        <f t="shared" si="15"/>
        <v>-</v>
      </c>
      <c r="Q195" s="53" t="str">
        <f t="shared" si="16"/>
        <v>-</v>
      </c>
      <c r="S195" s="53" t="str">
        <f t="shared" si="17"/>
        <v>-</v>
      </c>
    </row>
    <row r="196" spans="1:19" ht="17.399999999999999" x14ac:dyDescent="0.4">
      <c r="A196" s="54">
        <v>22639</v>
      </c>
      <c r="B196" s="55" t="s">
        <v>50</v>
      </c>
      <c r="C196" s="56">
        <v>740985226391</v>
      </c>
      <c r="D196" s="57">
        <v>180</v>
      </c>
      <c r="E196" s="57" t="s">
        <v>190</v>
      </c>
      <c r="F196" s="58">
        <v>0.33068047086764912</v>
      </c>
      <c r="G196" s="57">
        <v>12</v>
      </c>
      <c r="H196" s="59">
        <v>28.875</v>
      </c>
      <c r="I196" s="48" t="str">
        <f>IFERROR(VLOOKUP("21ST-"&amp;A196,[1]Лист1!$B$16:$P$170,15,FALSE),"С")</f>
        <v>С</v>
      </c>
      <c r="J196" s="26"/>
      <c r="K196" s="60">
        <f t="shared" si="18"/>
        <v>0</v>
      </c>
      <c r="N196" s="51" t="str">
        <f t="shared" ref="N196:N240" si="19">IFERROR(IF($N$2*F196=0, "-", $N$2*F196), "-")</f>
        <v>-</v>
      </c>
      <c r="O196" s="51" t="str">
        <f t="shared" ref="O196:O245" si="20">IFERROR(IF(N196&gt;0,H196+N196,"-"),"-")</f>
        <v>-</v>
      </c>
      <c r="P196" s="52" t="str">
        <f t="shared" ref="P196:P240" si="21">IF(J196&gt;0,J196*F196, "-")</f>
        <v>-</v>
      </c>
      <c r="Q196" s="53" t="str">
        <f t="shared" ref="Q196:Q240" si="22">IFERROR(IF($N$2&gt;0, $N$2*P196, "-"), "-")</f>
        <v>-</v>
      </c>
      <c r="S196" s="53" t="str">
        <f t="shared" ref="S196:S240" si="23">IFERROR(IF(Q196+K196=0, "-", IF(Q196&gt;0, Q196+K196, "-")), "-")</f>
        <v>-</v>
      </c>
    </row>
    <row r="197" spans="1:19" ht="17.399999999999999" x14ac:dyDescent="0.4">
      <c r="A197" s="54">
        <v>22787</v>
      </c>
      <c r="B197" s="55" t="s">
        <v>50</v>
      </c>
      <c r="C197" s="56">
        <v>740985227879</v>
      </c>
      <c r="D197" s="57">
        <v>210</v>
      </c>
      <c r="E197" s="57" t="s">
        <v>191</v>
      </c>
      <c r="F197" s="58">
        <v>0.34703176248481477</v>
      </c>
      <c r="G197" s="57">
        <v>12</v>
      </c>
      <c r="H197" s="59">
        <v>33</v>
      </c>
      <c r="I197" s="48" t="str">
        <f>IFERROR(VLOOKUP("21ST-"&amp;A197,[1]Лист1!$B$16:$P$170,15,FALSE),"С")</f>
        <v>С</v>
      </c>
      <c r="J197" s="26"/>
      <c r="K197" s="60">
        <f t="shared" si="18"/>
        <v>0</v>
      </c>
      <c r="N197" s="51" t="str">
        <f t="shared" si="19"/>
        <v>-</v>
      </c>
      <c r="O197" s="51" t="str">
        <f t="shared" si="20"/>
        <v>-</v>
      </c>
      <c r="P197" s="52" t="str">
        <f t="shared" si="21"/>
        <v>-</v>
      </c>
      <c r="Q197" s="53" t="str">
        <f t="shared" si="22"/>
        <v>-</v>
      </c>
      <c r="S197" s="53" t="str">
        <f t="shared" si="23"/>
        <v>-</v>
      </c>
    </row>
    <row r="198" spans="1:19" ht="17.399999999999999" x14ac:dyDescent="0.4">
      <c r="A198" s="54">
        <v>22476</v>
      </c>
      <c r="B198" s="55" t="s">
        <v>51</v>
      </c>
      <c r="C198" s="56">
        <v>740985224762</v>
      </c>
      <c r="D198" s="57">
        <v>60</v>
      </c>
      <c r="E198" s="57" t="s">
        <v>190</v>
      </c>
      <c r="F198" s="58">
        <v>0.16114884552166189</v>
      </c>
      <c r="G198" s="57">
        <v>24</v>
      </c>
      <c r="H198" s="59">
        <v>16.484999999999999</v>
      </c>
      <c r="I198" s="48" t="str">
        <f>IFERROR(VLOOKUP("21ST-"&amp;A198,[1]Лист1!$B$16:$P$170,15,FALSE),"С")</f>
        <v>С</v>
      </c>
      <c r="J198" s="26"/>
      <c r="K198" s="60">
        <f t="shared" si="18"/>
        <v>0</v>
      </c>
      <c r="N198" s="51" t="str">
        <f t="shared" si="19"/>
        <v>-</v>
      </c>
      <c r="O198" s="51" t="str">
        <f t="shared" si="20"/>
        <v>-</v>
      </c>
      <c r="P198" s="52" t="str">
        <f t="shared" si="21"/>
        <v>-</v>
      </c>
      <c r="Q198" s="53" t="str">
        <f t="shared" si="22"/>
        <v>-</v>
      </c>
      <c r="S198" s="53" t="str">
        <f t="shared" si="23"/>
        <v>-</v>
      </c>
    </row>
    <row r="199" spans="1:19" ht="17.399999999999999" x14ac:dyDescent="0.4">
      <c r="A199" s="54">
        <v>22481</v>
      </c>
      <c r="B199" s="55" t="s">
        <v>51</v>
      </c>
      <c r="C199" s="56">
        <v>740985224816</v>
      </c>
      <c r="D199" s="57">
        <v>150</v>
      </c>
      <c r="E199" s="57" t="s">
        <v>190</v>
      </c>
      <c r="F199" s="58">
        <v>0.36115470825225565</v>
      </c>
      <c r="G199" s="57">
        <v>12</v>
      </c>
      <c r="H199" s="59">
        <v>33</v>
      </c>
      <c r="I199" s="48" t="str">
        <f>IFERROR(VLOOKUP("21ST-"&amp;A199,[1]Лист1!$B$16:$P$170,15,FALSE),"С")</f>
        <v>С</v>
      </c>
      <c r="J199" s="26"/>
      <c r="K199" s="60">
        <f t="shared" si="18"/>
        <v>0</v>
      </c>
      <c r="N199" s="51" t="str">
        <f t="shared" si="19"/>
        <v>-</v>
      </c>
      <c r="O199" s="51" t="str">
        <f t="shared" si="20"/>
        <v>-</v>
      </c>
      <c r="P199" s="52" t="str">
        <f t="shared" si="21"/>
        <v>-</v>
      </c>
      <c r="Q199" s="53" t="str">
        <f t="shared" si="22"/>
        <v>-</v>
      </c>
      <c r="S199" s="53" t="str">
        <f t="shared" si="23"/>
        <v>-</v>
      </c>
    </row>
    <row r="200" spans="1:19" ht="17.399999999999999" x14ac:dyDescent="0.4">
      <c r="A200" s="54">
        <v>27387</v>
      </c>
      <c r="B200" s="55" t="s">
        <v>54</v>
      </c>
      <c r="C200" s="56">
        <v>740985273876</v>
      </c>
      <c r="D200" s="57">
        <v>120</v>
      </c>
      <c r="E200" s="57" t="s">
        <v>190</v>
      </c>
      <c r="F200" s="58">
        <v>0.25288320451651874</v>
      </c>
      <c r="G200" s="57">
        <v>12</v>
      </c>
      <c r="H200" s="59">
        <v>20.64</v>
      </c>
      <c r="I200" s="48" t="str">
        <f>IFERROR(VLOOKUP("21ST-"&amp;A200,[1]Лист1!$B$16:$P$170,15,FALSE),"С")</f>
        <v>С</v>
      </c>
      <c r="J200" s="26"/>
      <c r="K200" s="60">
        <f t="shared" si="18"/>
        <v>0</v>
      </c>
      <c r="N200" s="51" t="str">
        <f t="shared" si="19"/>
        <v>-</v>
      </c>
      <c r="O200" s="51" t="str">
        <f t="shared" si="20"/>
        <v>-</v>
      </c>
      <c r="P200" s="52" t="str">
        <f t="shared" si="21"/>
        <v>-</v>
      </c>
      <c r="Q200" s="53" t="str">
        <f t="shared" si="22"/>
        <v>-</v>
      </c>
      <c r="S200" s="53" t="str">
        <f t="shared" si="23"/>
        <v>-</v>
      </c>
    </row>
    <row r="201" spans="1:19" ht="17.399999999999999" x14ac:dyDescent="0.4">
      <c r="A201" s="54">
        <v>22564</v>
      </c>
      <c r="B201" s="55" t="s">
        <v>46</v>
      </c>
      <c r="C201" s="56">
        <v>740985225646</v>
      </c>
      <c r="D201" s="57">
        <v>60</v>
      </c>
      <c r="E201" s="57" t="s">
        <v>191</v>
      </c>
      <c r="F201" s="58">
        <v>9.134751966865258E-2</v>
      </c>
      <c r="G201" s="57">
        <v>24</v>
      </c>
      <c r="H201" s="59">
        <v>4.9649999999999999</v>
      </c>
      <c r="I201" s="48" t="str">
        <f>IFERROR(VLOOKUP("21ST-"&amp;A201,[1]Лист1!$B$16:$P$170,15,FALSE),"С")</f>
        <v>С</v>
      </c>
      <c r="J201" s="26"/>
      <c r="K201" s="60">
        <f t="shared" si="18"/>
        <v>0</v>
      </c>
      <c r="N201" s="51" t="str">
        <f t="shared" si="19"/>
        <v>-</v>
      </c>
      <c r="O201" s="51" t="str">
        <f t="shared" si="20"/>
        <v>-</v>
      </c>
      <c r="P201" s="52" t="str">
        <f t="shared" si="21"/>
        <v>-</v>
      </c>
      <c r="Q201" s="53" t="str">
        <f t="shared" si="22"/>
        <v>-</v>
      </c>
      <c r="S201" s="53" t="str">
        <f t="shared" si="23"/>
        <v>-</v>
      </c>
    </row>
    <row r="202" spans="1:19" ht="17.399999999999999" x14ac:dyDescent="0.4">
      <c r="A202" s="54">
        <v>22215</v>
      </c>
      <c r="B202" s="55" t="s">
        <v>47</v>
      </c>
      <c r="C202" s="56">
        <v>740985222157</v>
      </c>
      <c r="D202" s="57">
        <v>120</v>
      </c>
      <c r="E202" s="57" t="s">
        <v>190</v>
      </c>
      <c r="F202" s="58">
        <v>0.27143446746070482</v>
      </c>
      <c r="G202" s="57">
        <v>12</v>
      </c>
      <c r="H202" s="59">
        <v>9.8999999999999986</v>
      </c>
      <c r="I202" s="48" t="str">
        <f>IFERROR(VLOOKUP("21ST-"&amp;A202,[1]Лист1!$B$16:$P$170,15,FALSE),"С")</f>
        <v>С</v>
      </c>
      <c r="J202" s="26"/>
      <c r="K202" s="60">
        <f t="shared" si="18"/>
        <v>0</v>
      </c>
      <c r="N202" s="51" t="str">
        <f t="shared" si="19"/>
        <v>-</v>
      </c>
      <c r="O202" s="51" t="str">
        <f t="shared" si="20"/>
        <v>-</v>
      </c>
      <c r="P202" s="52" t="str">
        <f t="shared" si="21"/>
        <v>-</v>
      </c>
      <c r="Q202" s="53" t="str">
        <f t="shared" si="22"/>
        <v>-</v>
      </c>
      <c r="S202" s="53" t="str">
        <f t="shared" si="23"/>
        <v>-</v>
      </c>
    </row>
    <row r="203" spans="1:19" ht="17.399999999999999" x14ac:dyDescent="0.4">
      <c r="A203" s="54">
        <v>28070</v>
      </c>
      <c r="B203" s="55" t="s">
        <v>217</v>
      </c>
      <c r="C203" s="56">
        <v>740985280706</v>
      </c>
      <c r="D203" s="57">
        <v>120</v>
      </c>
      <c r="E203" s="57" t="s">
        <v>193</v>
      </c>
      <c r="F203" s="58">
        <v>0.17337211699403804</v>
      </c>
      <c r="G203" s="57">
        <v>12</v>
      </c>
      <c r="H203" s="59">
        <v>36</v>
      </c>
      <c r="I203" s="48" t="str">
        <f>IFERROR(VLOOKUP("21ST-"&amp;A203,[1]Лист1!$B$16:$P$170,15,FALSE),"С")</f>
        <v>С</v>
      </c>
      <c r="J203" s="26"/>
      <c r="K203" s="60">
        <f t="shared" si="18"/>
        <v>0</v>
      </c>
      <c r="N203" s="51" t="str">
        <f t="shared" si="19"/>
        <v>-</v>
      </c>
      <c r="O203" s="51" t="str">
        <f t="shared" si="20"/>
        <v>-</v>
      </c>
      <c r="P203" s="52" t="str">
        <f t="shared" si="21"/>
        <v>-</v>
      </c>
      <c r="Q203" s="53" t="str">
        <f t="shared" si="22"/>
        <v>-</v>
      </c>
      <c r="S203" s="53" t="str">
        <f t="shared" si="23"/>
        <v>-</v>
      </c>
    </row>
    <row r="204" spans="1:19" ht="17.399999999999999" x14ac:dyDescent="0.4">
      <c r="A204" s="54">
        <v>21378</v>
      </c>
      <c r="B204" s="55" t="s">
        <v>171</v>
      </c>
      <c r="C204" s="56">
        <v>740985213780</v>
      </c>
      <c r="D204" s="57">
        <v>60</v>
      </c>
      <c r="E204" s="57" t="s">
        <v>221</v>
      </c>
      <c r="F204" s="58">
        <v>8.1132691495041473E-2</v>
      </c>
      <c r="G204" s="57">
        <v>24</v>
      </c>
      <c r="H204" s="59">
        <v>6.5849999999999991</v>
      </c>
      <c r="I204" s="48" t="str">
        <f>IFERROR(VLOOKUP("21ST-"&amp;A204,[1]Лист1!$B$16:$P$170,15,FALSE),"С")</f>
        <v>С</v>
      </c>
      <c r="J204" s="26"/>
      <c r="K204" s="60">
        <f t="shared" si="18"/>
        <v>0</v>
      </c>
      <c r="N204" s="51" t="str">
        <f t="shared" si="19"/>
        <v>-</v>
      </c>
      <c r="O204" s="51" t="str">
        <f t="shared" si="20"/>
        <v>-</v>
      </c>
      <c r="P204" s="52" t="str">
        <f t="shared" si="21"/>
        <v>-</v>
      </c>
      <c r="Q204" s="53" t="str">
        <f t="shared" si="22"/>
        <v>-</v>
      </c>
      <c r="S204" s="53" t="str">
        <f t="shared" si="23"/>
        <v>-</v>
      </c>
    </row>
    <row r="205" spans="1:19" ht="17.399999999999999" x14ac:dyDescent="0.4">
      <c r="A205" s="54">
        <v>27772</v>
      </c>
      <c r="B205" s="55" t="s">
        <v>83</v>
      </c>
      <c r="C205" s="56">
        <v>740985277720</v>
      </c>
      <c r="D205" s="57">
        <v>120</v>
      </c>
      <c r="E205" s="57" t="s">
        <v>189</v>
      </c>
      <c r="F205" s="58">
        <v>0.18128293392404576</v>
      </c>
      <c r="G205" s="57">
        <v>12</v>
      </c>
      <c r="H205" s="59">
        <v>16.484999999999999</v>
      </c>
      <c r="I205" s="48" t="str">
        <f>IFERROR(VLOOKUP("21ST-"&amp;A205,[1]Лист1!$B$16:$P$170,15,FALSE),"С")</f>
        <v>С</v>
      </c>
      <c r="J205" s="26"/>
      <c r="K205" s="60">
        <f t="shared" si="18"/>
        <v>0</v>
      </c>
      <c r="N205" s="51" t="str">
        <f t="shared" si="19"/>
        <v>-</v>
      </c>
      <c r="O205" s="51" t="str">
        <f t="shared" si="20"/>
        <v>-</v>
      </c>
      <c r="P205" s="52" t="str">
        <f t="shared" si="21"/>
        <v>-</v>
      </c>
      <c r="Q205" s="53" t="str">
        <f t="shared" si="22"/>
        <v>-</v>
      </c>
      <c r="S205" s="53" t="str">
        <f t="shared" si="23"/>
        <v>-</v>
      </c>
    </row>
    <row r="206" spans="1:19" ht="17.399999999999999" x14ac:dyDescent="0.4">
      <c r="A206" s="54">
        <v>21781</v>
      </c>
      <c r="B206" s="55" t="s">
        <v>172</v>
      </c>
      <c r="C206" s="56">
        <v>740985217818</v>
      </c>
      <c r="D206" s="57">
        <v>60</v>
      </c>
      <c r="E206" s="57" t="s">
        <v>221</v>
      </c>
      <c r="F206" s="58">
        <v>7.772774877050441E-2</v>
      </c>
      <c r="G206" s="57">
        <v>24</v>
      </c>
      <c r="H206" s="59">
        <v>6.5849999999999991</v>
      </c>
      <c r="I206" s="48" t="str">
        <f>IFERROR(VLOOKUP("21ST-"&amp;A206,[1]Лист1!$B$16:$P$170,15,FALSE),"С")</f>
        <v>С</v>
      </c>
      <c r="J206" s="26"/>
      <c r="K206" s="60">
        <f t="shared" si="18"/>
        <v>0</v>
      </c>
      <c r="N206" s="51" t="str">
        <f t="shared" si="19"/>
        <v>-</v>
      </c>
      <c r="O206" s="51" t="str">
        <f t="shared" si="20"/>
        <v>-</v>
      </c>
      <c r="P206" s="52" t="str">
        <f t="shared" si="21"/>
        <v>-</v>
      </c>
      <c r="Q206" s="53" t="str">
        <f t="shared" si="22"/>
        <v>-</v>
      </c>
      <c r="S206" s="53" t="str">
        <f t="shared" si="23"/>
        <v>-</v>
      </c>
    </row>
    <row r="207" spans="1:19" ht="17.399999999999999" x14ac:dyDescent="0.4">
      <c r="A207" s="54">
        <v>28067</v>
      </c>
      <c r="B207" s="55" t="s">
        <v>43</v>
      </c>
      <c r="C207" s="56">
        <v>740985280676</v>
      </c>
      <c r="D207" s="57">
        <v>110</v>
      </c>
      <c r="E207" s="57" t="s">
        <v>221</v>
      </c>
      <c r="F207" s="58">
        <v>0.1020645201450875</v>
      </c>
      <c r="G207" s="57">
        <v>24</v>
      </c>
      <c r="H207" s="59">
        <v>12.149999999999999</v>
      </c>
      <c r="I207" s="48" t="str">
        <f>IFERROR(VLOOKUP("21ST-"&amp;A207,[1]Лист1!$B$16:$P$170,15,FALSE),"С")</f>
        <v>С</v>
      </c>
      <c r="J207" s="26"/>
      <c r="K207" s="60">
        <f t="shared" si="18"/>
        <v>0</v>
      </c>
      <c r="N207" s="51" t="str">
        <f t="shared" si="19"/>
        <v>-</v>
      </c>
      <c r="O207" s="51" t="str">
        <f t="shared" si="20"/>
        <v>-</v>
      </c>
      <c r="P207" s="52" t="str">
        <f t="shared" si="21"/>
        <v>-</v>
      </c>
      <c r="Q207" s="53" t="str">
        <f t="shared" si="22"/>
        <v>-</v>
      </c>
      <c r="S207" s="53" t="str">
        <f t="shared" si="23"/>
        <v>-</v>
      </c>
    </row>
    <row r="208" spans="1:19" ht="17.399999999999999" x14ac:dyDescent="0.4">
      <c r="A208" s="54">
        <v>27367</v>
      </c>
      <c r="B208" s="55" t="s">
        <v>145</v>
      </c>
      <c r="C208" s="56">
        <v>740985273678</v>
      </c>
      <c r="D208" s="57">
        <v>60</v>
      </c>
      <c r="E208" s="57" t="s">
        <v>189</v>
      </c>
      <c r="F208" s="58">
        <v>8.9745210371530854E-2</v>
      </c>
      <c r="G208" s="57">
        <v>12</v>
      </c>
      <c r="H208" s="59">
        <v>16.484999999999999</v>
      </c>
      <c r="I208" s="48" t="str">
        <f>IFERROR(VLOOKUP("21ST-"&amp;A208,[1]Лист1!$B$16:$P$170,15,FALSE),"С")</f>
        <v>С</v>
      </c>
      <c r="J208" s="26"/>
      <c r="K208" s="60">
        <f t="shared" si="18"/>
        <v>0</v>
      </c>
      <c r="N208" s="51" t="str">
        <f t="shared" si="19"/>
        <v>-</v>
      </c>
      <c r="O208" s="51" t="str">
        <f t="shared" si="20"/>
        <v>-</v>
      </c>
      <c r="P208" s="52" t="str">
        <f t="shared" si="21"/>
        <v>-</v>
      </c>
      <c r="Q208" s="53" t="str">
        <f t="shared" si="22"/>
        <v>-</v>
      </c>
      <c r="S208" s="53" t="str">
        <f t="shared" si="23"/>
        <v>-</v>
      </c>
    </row>
    <row r="209" spans="1:19" ht="17.399999999999999" x14ac:dyDescent="0.4">
      <c r="A209" s="54">
        <v>22024</v>
      </c>
      <c r="B209" s="55" t="s">
        <v>173</v>
      </c>
      <c r="C209" s="56">
        <v>740985220245</v>
      </c>
      <c r="D209" s="57">
        <v>60</v>
      </c>
      <c r="E209" s="57" t="s">
        <v>221</v>
      </c>
      <c r="F209" s="58">
        <v>4.0273378800597032E-2</v>
      </c>
      <c r="G209" s="57">
        <v>24</v>
      </c>
      <c r="H209" s="59">
        <v>9.8999999999999986</v>
      </c>
      <c r="I209" s="48" t="str">
        <f>IFERROR(VLOOKUP("21ST-"&amp;A209,[1]Лист1!$B$16:$P$170,15,FALSE),"С")</f>
        <v>С</v>
      </c>
      <c r="J209" s="26"/>
      <c r="K209" s="60">
        <f t="shared" si="18"/>
        <v>0</v>
      </c>
      <c r="N209" s="51" t="str">
        <f t="shared" si="19"/>
        <v>-</v>
      </c>
      <c r="O209" s="51" t="str">
        <f t="shared" si="20"/>
        <v>-</v>
      </c>
      <c r="P209" s="52" t="str">
        <f t="shared" si="21"/>
        <v>-</v>
      </c>
      <c r="Q209" s="53" t="str">
        <f t="shared" si="22"/>
        <v>-</v>
      </c>
      <c r="S209" s="53" t="str">
        <f t="shared" si="23"/>
        <v>-</v>
      </c>
    </row>
    <row r="210" spans="1:19" ht="17.399999999999999" x14ac:dyDescent="0.4">
      <c r="A210" s="54">
        <v>28058</v>
      </c>
      <c r="B210" s="55" t="s">
        <v>154</v>
      </c>
      <c r="C210" s="56">
        <v>740985280584</v>
      </c>
      <c r="D210" s="57">
        <v>360</v>
      </c>
      <c r="E210" s="57" t="s">
        <v>190</v>
      </c>
      <c r="F210" s="58">
        <v>0.150586996935375</v>
      </c>
      <c r="G210" s="57">
        <v>24</v>
      </c>
      <c r="H210" s="59">
        <v>20.64</v>
      </c>
      <c r="I210" s="48" t="str">
        <f>IFERROR(VLOOKUP("21ST-"&amp;A210,[1]Лист1!$B$16:$P$170,15,FALSE),"С")</f>
        <v>С</v>
      </c>
      <c r="J210" s="26"/>
      <c r="K210" s="60">
        <f t="shared" si="18"/>
        <v>0</v>
      </c>
      <c r="N210" s="51" t="str">
        <f t="shared" si="19"/>
        <v>-</v>
      </c>
      <c r="O210" s="51" t="str">
        <f t="shared" si="20"/>
        <v>-</v>
      </c>
      <c r="P210" s="52" t="str">
        <f t="shared" si="21"/>
        <v>-</v>
      </c>
      <c r="Q210" s="53" t="str">
        <f t="shared" si="22"/>
        <v>-</v>
      </c>
      <c r="S210" s="53" t="str">
        <f t="shared" si="23"/>
        <v>-</v>
      </c>
    </row>
    <row r="211" spans="1:19" ht="17.399999999999999" x14ac:dyDescent="0.4">
      <c r="A211" s="54">
        <v>22271</v>
      </c>
      <c r="B211" s="55" t="s">
        <v>218</v>
      </c>
      <c r="C211" s="56">
        <v>740985222713</v>
      </c>
      <c r="D211" s="57">
        <v>120</v>
      </c>
      <c r="E211" s="57" t="s">
        <v>190</v>
      </c>
      <c r="F211" s="58">
        <v>7.7046760225597019E-2</v>
      </c>
      <c r="G211" s="57">
        <v>24</v>
      </c>
      <c r="H211" s="59">
        <v>9.8999999999999986</v>
      </c>
      <c r="I211" s="48" t="str">
        <f>IFERROR(VLOOKUP("21ST-"&amp;A211,[1]Лист1!$B$16:$P$170,15,FALSE),"С")</f>
        <v>С</v>
      </c>
      <c r="J211" s="26"/>
      <c r="K211" s="60">
        <f t="shared" si="18"/>
        <v>0</v>
      </c>
      <c r="N211" s="51" t="str">
        <f t="shared" si="19"/>
        <v>-</v>
      </c>
      <c r="O211" s="51" t="str">
        <f t="shared" si="20"/>
        <v>-</v>
      </c>
      <c r="P211" s="52" t="str">
        <f t="shared" si="21"/>
        <v>-</v>
      </c>
      <c r="Q211" s="53" t="str">
        <f t="shared" si="22"/>
        <v>-</v>
      </c>
      <c r="S211" s="53" t="str">
        <f t="shared" si="23"/>
        <v>-</v>
      </c>
    </row>
    <row r="212" spans="1:19" ht="17.399999999999999" x14ac:dyDescent="0.4">
      <c r="A212" s="54">
        <v>27072</v>
      </c>
      <c r="B212" s="55" t="s">
        <v>72</v>
      </c>
      <c r="C212" s="56">
        <v>740985270721</v>
      </c>
      <c r="D212" s="57">
        <v>90</v>
      </c>
      <c r="E212" s="57" t="s">
        <v>190</v>
      </c>
      <c r="F212" s="58">
        <v>0.11943829714608312</v>
      </c>
      <c r="G212" s="57">
        <v>24</v>
      </c>
      <c r="H212" s="59">
        <v>5.7450000000000001</v>
      </c>
      <c r="I212" s="48" t="str">
        <f>IFERROR(VLOOKUP("21ST-"&amp;A212,[1]Лист1!$B$16:$P$170,15,FALSE),"С")</f>
        <v>С</v>
      </c>
      <c r="J212" s="26"/>
      <c r="K212" s="60">
        <f t="shared" si="18"/>
        <v>0</v>
      </c>
      <c r="N212" s="51" t="str">
        <f t="shared" si="19"/>
        <v>-</v>
      </c>
      <c r="O212" s="51" t="str">
        <f t="shared" si="20"/>
        <v>-</v>
      </c>
      <c r="P212" s="52" t="str">
        <f t="shared" si="21"/>
        <v>-</v>
      </c>
      <c r="Q212" s="53" t="str">
        <f t="shared" si="22"/>
        <v>-</v>
      </c>
      <c r="S212" s="53" t="str">
        <f t="shared" si="23"/>
        <v>-</v>
      </c>
    </row>
    <row r="213" spans="1:19" ht="17.399999999999999" x14ac:dyDescent="0.4">
      <c r="A213" s="54">
        <v>21338</v>
      </c>
      <c r="B213" s="55" t="s">
        <v>174</v>
      </c>
      <c r="C213" s="56">
        <v>740985213384</v>
      </c>
      <c r="D213" s="57">
        <v>60</v>
      </c>
      <c r="E213" s="57" t="s">
        <v>221</v>
      </c>
      <c r="F213" s="58">
        <v>7.9430220132772955E-2</v>
      </c>
      <c r="G213" s="57">
        <v>24</v>
      </c>
      <c r="H213" s="59">
        <v>6.5849999999999991</v>
      </c>
      <c r="I213" s="48" t="str">
        <f>IFERROR(VLOOKUP("21ST-"&amp;A213,[1]Лист1!$B$16:$P$170,15,FALSE),"С")</f>
        <v>С</v>
      </c>
      <c r="J213" s="26"/>
      <c r="K213" s="60">
        <f t="shared" si="18"/>
        <v>0</v>
      </c>
      <c r="N213" s="51" t="str">
        <f t="shared" si="19"/>
        <v>-</v>
      </c>
      <c r="O213" s="51" t="str">
        <f t="shared" si="20"/>
        <v>-</v>
      </c>
      <c r="P213" s="52" t="str">
        <f t="shared" si="21"/>
        <v>-</v>
      </c>
      <c r="Q213" s="53" t="str">
        <f t="shared" si="22"/>
        <v>-</v>
      </c>
      <c r="S213" s="53" t="str">
        <f t="shared" si="23"/>
        <v>-</v>
      </c>
    </row>
    <row r="214" spans="1:19" ht="17.399999999999999" x14ac:dyDescent="0.4">
      <c r="A214" s="54">
        <v>22907</v>
      </c>
      <c r="B214" s="55" t="s">
        <v>174</v>
      </c>
      <c r="C214" s="56">
        <v>740985229071</v>
      </c>
      <c r="D214" s="57">
        <v>200</v>
      </c>
      <c r="E214" s="57" t="s">
        <v>221</v>
      </c>
      <c r="F214" s="58">
        <v>0.18948884589017997</v>
      </c>
      <c r="G214" s="57">
        <v>12</v>
      </c>
      <c r="H214" s="59">
        <v>13.215</v>
      </c>
      <c r="I214" s="48" t="str">
        <f>IFERROR(VLOOKUP("21ST-"&amp;A214,[1]Лист1!$B$16:$P$170,15,FALSE),"С")</f>
        <v>С</v>
      </c>
      <c r="J214" s="26"/>
      <c r="K214" s="60">
        <f t="shared" si="18"/>
        <v>0</v>
      </c>
      <c r="N214" s="51" t="str">
        <f t="shared" si="19"/>
        <v>-</v>
      </c>
      <c r="O214" s="51" t="str">
        <f t="shared" si="20"/>
        <v>-</v>
      </c>
      <c r="P214" s="52" t="str">
        <f t="shared" si="21"/>
        <v>-</v>
      </c>
      <c r="Q214" s="53" t="str">
        <f t="shared" si="22"/>
        <v>-</v>
      </c>
      <c r="S214" s="53" t="str">
        <f t="shared" si="23"/>
        <v>-</v>
      </c>
    </row>
    <row r="215" spans="1:19" ht="17.399999999999999" x14ac:dyDescent="0.4">
      <c r="A215" s="54">
        <v>28088</v>
      </c>
      <c r="B215" s="55" t="s">
        <v>155</v>
      </c>
      <c r="C215" s="56">
        <v>740985280881</v>
      </c>
      <c r="D215" s="57">
        <v>30</v>
      </c>
      <c r="E215" s="57" t="s">
        <v>190</v>
      </c>
      <c r="F215" s="58">
        <v>8.4070305830635794E-2</v>
      </c>
      <c r="G215" s="57">
        <v>12</v>
      </c>
      <c r="H215" s="59">
        <v>12.375</v>
      </c>
      <c r="I215" s="48" t="str">
        <f>IFERROR(VLOOKUP("21ST-"&amp;A215,[1]Лист1!$B$16:$P$170,15,FALSE),"С")</f>
        <v>С</v>
      </c>
      <c r="J215" s="26"/>
      <c r="K215" s="60">
        <f t="shared" si="18"/>
        <v>0</v>
      </c>
      <c r="N215" s="51" t="str">
        <f t="shared" si="19"/>
        <v>-</v>
      </c>
      <c r="O215" s="51" t="str">
        <f t="shared" si="20"/>
        <v>-</v>
      </c>
      <c r="P215" s="52" t="str">
        <f t="shared" si="21"/>
        <v>-</v>
      </c>
      <c r="Q215" s="53" t="str">
        <f t="shared" si="22"/>
        <v>-</v>
      </c>
      <c r="S215" s="53" t="str">
        <f t="shared" si="23"/>
        <v>-</v>
      </c>
    </row>
    <row r="216" spans="1:19" ht="17.399999999999999" x14ac:dyDescent="0.4">
      <c r="A216" s="54">
        <v>22908</v>
      </c>
      <c r="B216" s="55" t="s">
        <v>159</v>
      </c>
      <c r="C216" s="56">
        <v>740985229088</v>
      </c>
      <c r="D216" s="57">
        <v>150</v>
      </c>
      <c r="E216" s="57" t="s">
        <v>221</v>
      </c>
      <c r="F216" s="58">
        <v>0.20708104996695473</v>
      </c>
      <c r="G216" s="57">
        <v>12</v>
      </c>
      <c r="H216" s="59">
        <v>16.484999999999999</v>
      </c>
      <c r="I216" s="48" t="str">
        <f>IFERROR(VLOOKUP("21ST-"&amp;A216,[1]Лист1!$B$16:$P$170,15,FALSE),"С")</f>
        <v>С</v>
      </c>
      <c r="J216" s="26"/>
      <c r="K216" s="60">
        <f t="shared" si="18"/>
        <v>0</v>
      </c>
      <c r="N216" s="51" t="str">
        <f t="shared" si="19"/>
        <v>-</v>
      </c>
      <c r="O216" s="51" t="str">
        <f t="shared" si="20"/>
        <v>-</v>
      </c>
      <c r="P216" s="52" t="str">
        <f t="shared" si="21"/>
        <v>-</v>
      </c>
      <c r="Q216" s="53" t="str">
        <f t="shared" si="22"/>
        <v>-</v>
      </c>
      <c r="S216" s="53" t="str">
        <f t="shared" si="23"/>
        <v>-</v>
      </c>
    </row>
    <row r="217" spans="1:19" ht="17.399999999999999" x14ac:dyDescent="0.4">
      <c r="A217" s="54">
        <v>21228</v>
      </c>
      <c r="B217" s="55" t="s">
        <v>175</v>
      </c>
      <c r="C217" s="56">
        <v>740985212288</v>
      </c>
      <c r="D217" s="57">
        <v>60</v>
      </c>
      <c r="E217" s="57" t="s">
        <v>221</v>
      </c>
      <c r="F217" s="58">
        <v>8.4537634219578495E-2</v>
      </c>
      <c r="G217" s="57">
        <v>24</v>
      </c>
      <c r="H217" s="59">
        <v>6.5849999999999991</v>
      </c>
      <c r="I217" s="48" t="str">
        <f>IFERROR(VLOOKUP("21ST-"&amp;A217,[1]Лист1!$B$16:$P$170,15,FALSE),"С")</f>
        <v>С</v>
      </c>
      <c r="J217" s="26"/>
      <c r="K217" s="60">
        <f t="shared" si="18"/>
        <v>0</v>
      </c>
      <c r="N217" s="51" t="str">
        <f t="shared" si="19"/>
        <v>-</v>
      </c>
      <c r="O217" s="51" t="str">
        <f t="shared" si="20"/>
        <v>-</v>
      </c>
      <c r="P217" s="52" t="str">
        <f t="shared" si="21"/>
        <v>-</v>
      </c>
      <c r="Q217" s="53" t="str">
        <f t="shared" si="22"/>
        <v>-</v>
      </c>
      <c r="S217" s="53" t="str">
        <f t="shared" si="23"/>
        <v>-</v>
      </c>
    </row>
    <row r="218" spans="1:19" ht="17.399999999999999" x14ac:dyDescent="0.4">
      <c r="A218" s="54">
        <v>21689</v>
      </c>
      <c r="B218" s="55" t="s">
        <v>175</v>
      </c>
      <c r="C218" s="56">
        <v>740985216897</v>
      </c>
      <c r="D218" s="57">
        <v>200</v>
      </c>
      <c r="E218" s="57" t="s">
        <v>221</v>
      </c>
      <c r="F218" s="58">
        <v>0.20651355951286524</v>
      </c>
      <c r="G218" s="57">
        <v>12</v>
      </c>
      <c r="H218" s="59">
        <v>13.215</v>
      </c>
      <c r="I218" s="48" t="str">
        <f>IFERROR(VLOOKUP("21ST-"&amp;A218,[1]Лист1!$B$16:$P$170,15,FALSE),"С")</f>
        <v>С</v>
      </c>
      <c r="J218" s="26"/>
      <c r="K218" s="60">
        <f t="shared" si="18"/>
        <v>0</v>
      </c>
      <c r="N218" s="51" t="str">
        <f t="shared" si="19"/>
        <v>-</v>
      </c>
      <c r="O218" s="51" t="str">
        <f t="shared" si="20"/>
        <v>-</v>
      </c>
      <c r="P218" s="52" t="str">
        <f t="shared" si="21"/>
        <v>-</v>
      </c>
      <c r="Q218" s="53" t="str">
        <f t="shared" si="22"/>
        <v>-</v>
      </c>
      <c r="S218" s="53" t="str">
        <f t="shared" si="23"/>
        <v>-</v>
      </c>
    </row>
    <row r="219" spans="1:19" ht="17.399999999999999" x14ac:dyDescent="0.4">
      <c r="A219" s="54">
        <v>22790</v>
      </c>
      <c r="B219" s="55" t="s">
        <v>180</v>
      </c>
      <c r="C219" s="56">
        <v>740985227909</v>
      </c>
      <c r="D219" s="57">
        <v>24</v>
      </c>
      <c r="E219" s="57" t="s">
        <v>196</v>
      </c>
      <c r="F219" s="58">
        <v>8.2935324922456782E-2</v>
      </c>
      <c r="G219" s="57">
        <v>12</v>
      </c>
      <c r="H219" s="59">
        <v>3.7050000000000001</v>
      </c>
      <c r="I219" s="48" t="str">
        <f>IFERROR(VLOOKUP("21ST-"&amp;A219,[1]Лист1!$B$16:$P$170,15,FALSE),"С")</f>
        <v>С</v>
      </c>
      <c r="J219" s="26"/>
      <c r="K219" s="60">
        <f t="shared" si="18"/>
        <v>0</v>
      </c>
      <c r="N219" s="51" t="str">
        <f t="shared" si="19"/>
        <v>-</v>
      </c>
      <c r="O219" s="51" t="str">
        <f t="shared" si="20"/>
        <v>-</v>
      </c>
      <c r="P219" s="52" t="str">
        <f t="shared" si="21"/>
        <v>-</v>
      </c>
      <c r="Q219" s="53" t="str">
        <f t="shared" si="22"/>
        <v>-</v>
      </c>
      <c r="S219" s="53" t="str">
        <f t="shared" si="23"/>
        <v>-</v>
      </c>
    </row>
    <row r="220" spans="1:19" ht="17.399999999999999" x14ac:dyDescent="0.4">
      <c r="A220" s="54">
        <v>22791</v>
      </c>
      <c r="B220" s="55" t="s">
        <v>182</v>
      </c>
      <c r="C220" s="56">
        <v>740985227916</v>
      </c>
      <c r="D220" s="57">
        <v>24</v>
      </c>
      <c r="E220" s="57" t="s">
        <v>196</v>
      </c>
      <c r="F220" s="58">
        <v>8.2935324922456782E-2</v>
      </c>
      <c r="G220" s="57">
        <v>12</v>
      </c>
      <c r="H220" s="59">
        <v>3.7050000000000001</v>
      </c>
      <c r="I220" s="48" t="str">
        <f>IFERROR(VLOOKUP("21ST-"&amp;A220,[1]Лист1!$B$16:$P$170,15,FALSE),"С")</f>
        <v>С</v>
      </c>
      <c r="J220" s="26"/>
      <c r="K220" s="60">
        <f t="shared" si="18"/>
        <v>0</v>
      </c>
      <c r="N220" s="51" t="str">
        <f t="shared" si="19"/>
        <v>-</v>
      </c>
      <c r="O220" s="51" t="str">
        <f t="shared" si="20"/>
        <v>-</v>
      </c>
      <c r="P220" s="52" t="str">
        <f t="shared" si="21"/>
        <v>-</v>
      </c>
      <c r="Q220" s="53" t="str">
        <f t="shared" si="22"/>
        <v>-</v>
      </c>
      <c r="S220" s="53" t="str">
        <f t="shared" si="23"/>
        <v>-</v>
      </c>
    </row>
    <row r="221" spans="1:19" ht="17.399999999999999" x14ac:dyDescent="0.4">
      <c r="A221" s="54">
        <v>22399</v>
      </c>
      <c r="B221" s="55" t="s">
        <v>183</v>
      </c>
      <c r="C221" s="56">
        <v>740985223994</v>
      </c>
      <c r="D221" s="57">
        <v>24</v>
      </c>
      <c r="E221" s="57" t="s">
        <v>196</v>
      </c>
      <c r="F221" s="58">
        <v>8.2935324922456782E-2</v>
      </c>
      <c r="G221" s="57">
        <v>12</v>
      </c>
      <c r="H221" s="59">
        <v>3.7050000000000001</v>
      </c>
      <c r="I221" s="48" t="str">
        <f>IFERROR(VLOOKUP("21ST-"&amp;A221,[1]Лист1!$B$16:$P$170,15,FALSE),"С")</f>
        <v>С</v>
      </c>
      <c r="J221" s="26"/>
      <c r="K221" s="60">
        <f t="shared" si="18"/>
        <v>0</v>
      </c>
      <c r="N221" s="51" t="str">
        <f t="shared" si="19"/>
        <v>-</v>
      </c>
      <c r="O221" s="51" t="str">
        <f t="shared" si="20"/>
        <v>-</v>
      </c>
      <c r="P221" s="52" t="str">
        <f t="shared" si="21"/>
        <v>-</v>
      </c>
      <c r="Q221" s="53" t="str">
        <f t="shared" si="22"/>
        <v>-</v>
      </c>
      <c r="S221" s="53" t="str">
        <f t="shared" si="23"/>
        <v>-</v>
      </c>
    </row>
    <row r="222" spans="1:19" ht="17.399999999999999" x14ac:dyDescent="0.4">
      <c r="A222" s="54">
        <v>22405</v>
      </c>
      <c r="B222" s="55" t="s">
        <v>184</v>
      </c>
      <c r="C222" s="56">
        <v>740985224052</v>
      </c>
      <c r="D222" s="57">
        <v>24</v>
      </c>
      <c r="E222" s="57" t="s">
        <v>196</v>
      </c>
      <c r="F222" s="58">
        <v>8.2935324922456782E-2</v>
      </c>
      <c r="G222" s="57">
        <v>12</v>
      </c>
      <c r="H222" s="59">
        <v>3.7050000000000001</v>
      </c>
      <c r="I222" s="48" t="str">
        <f>IFERROR(VLOOKUP("21ST-"&amp;A222,[1]Лист1!$B$16:$P$170,15,FALSE),"С")</f>
        <v>С</v>
      </c>
      <c r="J222" s="26"/>
      <c r="K222" s="60">
        <f t="shared" si="18"/>
        <v>0</v>
      </c>
      <c r="N222" s="51" t="str">
        <f t="shared" si="19"/>
        <v>-</v>
      </c>
      <c r="O222" s="51" t="str">
        <f t="shared" si="20"/>
        <v>-</v>
      </c>
      <c r="P222" s="52" t="str">
        <f t="shared" si="21"/>
        <v>-</v>
      </c>
      <c r="Q222" s="53" t="str">
        <f t="shared" si="22"/>
        <v>-</v>
      </c>
      <c r="S222" s="53" t="str">
        <f t="shared" si="23"/>
        <v>-</v>
      </c>
    </row>
    <row r="223" spans="1:19" ht="17.399999999999999" x14ac:dyDescent="0.4">
      <c r="A223" s="54">
        <v>22692</v>
      </c>
      <c r="B223" s="55" t="s">
        <v>185</v>
      </c>
      <c r="C223" s="56">
        <v>740985226926</v>
      </c>
      <c r="D223" s="57">
        <v>24</v>
      </c>
      <c r="E223" s="57" t="s">
        <v>196</v>
      </c>
      <c r="F223" s="58">
        <v>8.2935324922456782E-2</v>
      </c>
      <c r="G223" s="57">
        <v>12</v>
      </c>
      <c r="H223" s="59">
        <v>3.7050000000000001</v>
      </c>
      <c r="I223" s="48" t="str">
        <f>IFERROR(VLOOKUP("21ST-"&amp;A223,[1]Лист1!$B$16:$P$170,15,FALSE),"С")</f>
        <v>С</v>
      </c>
      <c r="J223" s="26"/>
      <c r="K223" s="60">
        <f t="shared" si="18"/>
        <v>0</v>
      </c>
      <c r="N223" s="51" t="str">
        <f t="shared" si="19"/>
        <v>-</v>
      </c>
      <c r="O223" s="51" t="str">
        <f t="shared" si="20"/>
        <v>-</v>
      </c>
      <c r="P223" s="52" t="str">
        <f t="shared" si="21"/>
        <v>-</v>
      </c>
      <c r="Q223" s="53" t="str">
        <f t="shared" si="22"/>
        <v>-</v>
      </c>
      <c r="S223" s="53" t="str">
        <f t="shared" si="23"/>
        <v>-</v>
      </c>
    </row>
    <row r="224" spans="1:19" ht="17.399999999999999" x14ac:dyDescent="0.4">
      <c r="A224" s="54">
        <v>22691</v>
      </c>
      <c r="B224" s="55" t="s">
        <v>186</v>
      </c>
      <c r="C224" s="56">
        <v>740985226919</v>
      </c>
      <c r="D224" s="57">
        <v>24</v>
      </c>
      <c r="E224" s="57" t="s">
        <v>196</v>
      </c>
      <c r="F224" s="58">
        <v>8.2935324922456782E-2</v>
      </c>
      <c r="G224" s="57">
        <v>12</v>
      </c>
      <c r="H224" s="59">
        <v>3.7050000000000001</v>
      </c>
      <c r="I224" s="48" t="str">
        <f>IFERROR(VLOOKUP("21ST-"&amp;A224,[1]Лист1!$B$16:$P$170,15,FALSE),"С")</f>
        <v>С</v>
      </c>
      <c r="J224" s="26"/>
      <c r="K224" s="60">
        <f t="shared" si="18"/>
        <v>0</v>
      </c>
      <c r="N224" s="51" t="str">
        <f t="shared" si="19"/>
        <v>-</v>
      </c>
      <c r="O224" s="51" t="str">
        <f t="shared" si="20"/>
        <v>-</v>
      </c>
      <c r="P224" s="52" t="str">
        <f t="shared" si="21"/>
        <v>-</v>
      </c>
      <c r="Q224" s="53" t="str">
        <f t="shared" si="22"/>
        <v>-</v>
      </c>
      <c r="S224" s="53" t="str">
        <f t="shared" si="23"/>
        <v>-</v>
      </c>
    </row>
    <row r="225" spans="1:19" ht="17.399999999999999" x14ac:dyDescent="0.4">
      <c r="A225" s="54">
        <v>22306</v>
      </c>
      <c r="B225" s="55" t="s">
        <v>176</v>
      </c>
      <c r="C225" s="56">
        <v>740985223062</v>
      </c>
      <c r="D225" s="57">
        <v>60</v>
      </c>
      <c r="E225" s="57" t="s">
        <v>221</v>
      </c>
      <c r="F225" s="58">
        <v>7.9089725860319246E-2</v>
      </c>
      <c r="G225" s="57">
        <v>24</v>
      </c>
      <c r="H225" s="59">
        <v>6.5849999999999991</v>
      </c>
      <c r="I225" s="48" t="str">
        <f>IFERROR(VLOOKUP("21ST-"&amp;A225,[1]Лист1!$B$16:$P$170,15,FALSE),"С")</f>
        <v>С</v>
      </c>
      <c r="J225" s="26"/>
      <c r="K225" s="60">
        <f t="shared" si="18"/>
        <v>0</v>
      </c>
      <c r="N225" s="51" t="str">
        <f t="shared" si="19"/>
        <v>-</v>
      </c>
      <c r="O225" s="51" t="str">
        <f t="shared" si="20"/>
        <v>-</v>
      </c>
      <c r="P225" s="52" t="str">
        <f t="shared" si="21"/>
        <v>-</v>
      </c>
      <c r="Q225" s="53" t="str">
        <f t="shared" si="22"/>
        <v>-</v>
      </c>
      <c r="S225" s="53" t="str">
        <f t="shared" si="23"/>
        <v>-</v>
      </c>
    </row>
    <row r="226" spans="1:19" ht="17.399999999999999" x14ac:dyDescent="0.4">
      <c r="A226" s="54">
        <v>22368</v>
      </c>
      <c r="B226" s="55" t="s">
        <v>101</v>
      </c>
      <c r="C226" s="56">
        <v>740985223680</v>
      </c>
      <c r="D226" s="57">
        <v>130</v>
      </c>
      <c r="E226" s="57" t="s">
        <v>190</v>
      </c>
      <c r="F226" s="58">
        <v>0.22733714881696793</v>
      </c>
      <c r="G226" s="57">
        <v>24</v>
      </c>
      <c r="H226" s="59">
        <v>6.5849999999999991</v>
      </c>
      <c r="I226" s="48" t="str">
        <f>IFERROR(VLOOKUP("21ST-"&amp;A226,[1]Лист1!$B$16:$P$170,15,FALSE),"С")</f>
        <v>С</v>
      </c>
      <c r="J226" s="26"/>
      <c r="K226" s="60">
        <f t="shared" si="18"/>
        <v>0</v>
      </c>
      <c r="N226" s="51" t="str">
        <f t="shared" si="19"/>
        <v>-</v>
      </c>
      <c r="O226" s="51" t="str">
        <f t="shared" si="20"/>
        <v>-</v>
      </c>
      <c r="P226" s="52" t="str">
        <f t="shared" si="21"/>
        <v>-</v>
      </c>
      <c r="Q226" s="53" t="str">
        <f t="shared" si="22"/>
        <v>-</v>
      </c>
      <c r="S226" s="53" t="str">
        <f t="shared" si="23"/>
        <v>-</v>
      </c>
    </row>
    <row r="227" spans="1:19" ht="17.399999999999999" x14ac:dyDescent="0.4">
      <c r="A227" s="54">
        <v>22875</v>
      </c>
      <c r="B227" s="55" t="s">
        <v>162</v>
      </c>
      <c r="C227" s="56">
        <v>740985228753</v>
      </c>
      <c r="D227" s="57">
        <v>180</v>
      </c>
      <c r="E227" s="57" t="s">
        <v>189</v>
      </c>
      <c r="F227" s="58">
        <v>0.45304654584812226</v>
      </c>
      <c r="G227" s="57">
        <v>12</v>
      </c>
      <c r="H227" s="59">
        <v>18.164999999999999</v>
      </c>
      <c r="I227" s="48" t="str">
        <f>IFERROR(VLOOKUP("21ST-"&amp;A227,[1]Лист1!$B$16:$P$170,15,FALSE),"С")</f>
        <v>С</v>
      </c>
      <c r="J227" s="26"/>
      <c r="K227" s="60">
        <f t="shared" si="18"/>
        <v>0</v>
      </c>
      <c r="N227" s="51" t="str">
        <f t="shared" si="19"/>
        <v>-</v>
      </c>
      <c r="O227" s="51" t="str">
        <f t="shared" si="20"/>
        <v>-</v>
      </c>
      <c r="P227" s="52" t="str">
        <f t="shared" si="21"/>
        <v>-</v>
      </c>
      <c r="Q227" s="53" t="str">
        <f t="shared" si="22"/>
        <v>-</v>
      </c>
      <c r="S227" s="53" t="str">
        <f t="shared" si="23"/>
        <v>-</v>
      </c>
    </row>
    <row r="228" spans="1:19" ht="17.399999999999999" x14ac:dyDescent="0.4">
      <c r="A228" s="54">
        <v>27990</v>
      </c>
      <c r="B228" s="55" t="s">
        <v>178</v>
      </c>
      <c r="C228" s="56">
        <v>740985279908</v>
      </c>
      <c r="D228" s="57">
        <v>60</v>
      </c>
      <c r="E228" s="57" t="s">
        <v>221</v>
      </c>
      <c r="F228" s="58">
        <v>9.4752462393189629E-2</v>
      </c>
      <c r="G228" s="57">
        <v>24</v>
      </c>
      <c r="H228" s="59">
        <v>8.25</v>
      </c>
      <c r="I228" s="48" t="str">
        <f>IFERROR(VLOOKUP("21ST-"&amp;A228,[1]Лист1!$B$16:$P$170,15,FALSE),"С")</f>
        <v>С</v>
      </c>
      <c r="J228" s="26"/>
      <c r="K228" s="60">
        <f t="shared" si="18"/>
        <v>0</v>
      </c>
      <c r="N228" s="51" t="str">
        <f t="shared" si="19"/>
        <v>-</v>
      </c>
      <c r="O228" s="51" t="str">
        <f t="shared" si="20"/>
        <v>-</v>
      </c>
      <c r="P228" s="52" t="str">
        <f t="shared" si="21"/>
        <v>-</v>
      </c>
      <c r="Q228" s="53" t="str">
        <f t="shared" si="22"/>
        <v>-</v>
      </c>
      <c r="S228" s="53" t="str">
        <f t="shared" si="23"/>
        <v>-</v>
      </c>
    </row>
    <row r="229" spans="1:19" ht="17.399999999999999" x14ac:dyDescent="0.4">
      <c r="A229" s="54">
        <v>28086</v>
      </c>
      <c r="B229" s="55" t="s">
        <v>106</v>
      </c>
      <c r="C229" s="56">
        <v>740985280867</v>
      </c>
      <c r="D229" s="57">
        <v>90</v>
      </c>
      <c r="E229" s="57" t="s">
        <v>195</v>
      </c>
      <c r="F229" s="58">
        <v>0.33099107730952088</v>
      </c>
      <c r="G229" s="57">
        <v>12</v>
      </c>
      <c r="H229" s="59">
        <v>10.904999999999999</v>
      </c>
      <c r="I229" s="48" t="s">
        <v>228</v>
      </c>
      <c r="J229" s="26"/>
      <c r="K229" s="60">
        <f t="shared" si="18"/>
        <v>0</v>
      </c>
      <c r="N229" s="51" t="str">
        <f t="shared" si="19"/>
        <v>-</v>
      </c>
      <c r="O229" s="51" t="str">
        <f t="shared" si="20"/>
        <v>-</v>
      </c>
      <c r="P229" s="52" t="str">
        <f t="shared" si="21"/>
        <v>-</v>
      </c>
      <c r="Q229" s="53" t="str">
        <f t="shared" si="22"/>
        <v>-</v>
      </c>
      <c r="S229" s="53" t="str">
        <f t="shared" si="23"/>
        <v>-</v>
      </c>
    </row>
    <row r="230" spans="1:19" ht="17.399999999999999" x14ac:dyDescent="0.4">
      <c r="A230" s="54">
        <v>27729</v>
      </c>
      <c r="B230" s="55" t="s">
        <v>107</v>
      </c>
      <c r="C230" s="56">
        <v>740985277294</v>
      </c>
      <c r="D230" s="57">
        <v>120</v>
      </c>
      <c r="E230" s="57" t="s">
        <v>195</v>
      </c>
      <c r="F230" s="58">
        <v>0.43704331504279836</v>
      </c>
      <c r="G230" s="57">
        <v>12</v>
      </c>
      <c r="H230" s="59">
        <v>6</v>
      </c>
      <c r="I230" s="48" t="s">
        <v>228</v>
      </c>
      <c r="J230" s="26"/>
      <c r="K230" s="60">
        <f t="shared" si="18"/>
        <v>0</v>
      </c>
      <c r="N230" s="51" t="str">
        <f t="shared" si="19"/>
        <v>-</v>
      </c>
      <c r="O230" s="51" t="str">
        <f t="shared" si="20"/>
        <v>-</v>
      </c>
      <c r="P230" s="52" t="str">
        <f t="shared" si="21"/>
        <v>-</v>
      </c>
      <c r="Q230" s="53" t="str">
        <f t="shared" si="22"/>
        <v>-</v>
      </c>
      <c r="S230" s="53" t="str">
        <f t="shared" si="23"/>
        <v>-</v>
      </c>
    </row>
    <row r="231" spans="1:19" ht="17.399999999999999" x14ac:dyDescent="0.4">
      <c r="A231" s="54">
        <v>27791</v>
      </c>
      <c r="B231" s="55" t="s">
        <v>108</v>
      </c>
      <c r="C231" s="56">
        <v>740985277911</v>
      </c>
      <c r="D231" s="57">
        <v>60</v>
      </c>
      <c r="E231" s="57" t="s">
        <v>195</v>
      </c>
      <c r="F231" s="58">
        <v>0.25946609378395702</v>
      </c>
      <c r="G231" s="57">
        <v>12</v>
      </c>
      <c r="H231" s="59">
        <v>7.92</v>
      </c>
      <c r="I231" s="48" t="s">
        <v>228</v>
      </c>
      <c r="J231" s="26"/>
      <c r="K231" s="60">
        <f t="shared" si="18"/>
        <v>0</v>
      </c>
      <c r="N231" s="51" t="str">
        <f t="shared" si="19"/>
        <v>-</v>
      </c>
      <c r="O231" s="51" t="str">
        <f t="shared" si="20"/>
        <v>-</v>
      </c>
      <c r="P231" s="52" t="str">
        <f t="shared" si="21"/>
        <v>-</v>
      </c>
      <c r="Q231" s="53" t="str">
        <f t="shared" si="22"/>
        <v>-</v>
      </c>
      <c r="S231" s="53" t="str">
        <f t="shared" si="23"/>
        <v>-</v>
      </c>
    </row>
    <row r="232" spans="1:19" ht="17.399999999999999" x14ac:dyDescent="0.4">
      <c r="A232" s="54">
        <v>27622</v>
      </c>
      <c r="B232" s="55" t="s">
        <v>109</v>
      </c>
      <c r="C232" s="56">
        <v>740985276228</v>
      </c>
      <c r="D232" s="57">
        <v>120</v>
      </c>
      <c r="E232" s="57" t="s">
        <v>195</v>
      </c>
      <c r="F232" s="58">
        <v>0.43704331504279836</v>
      </c>
      <c r="G232" s="57">
        <v>12</v>
      </c>
      <c r="H232" s="59">
        <v>9.8999999999999986</v>
      </c>
      <c r="I232" s="48" t="s">
        <v>228</v>
      </c>
      <c r="J232" s="26"/>
      <c r="K232" s="60">
        <f t="shared" si="18"/>
        <v>0</v>
      </c>
      <c r="N232" s="51" t="str">
        <f t="shared" si="19"/>
        <v>-</v>
      </c>
      <c r="O232" s="51" t="str">
        <f t="shared" si="20"/>
        <v>-</v>
      </c>
      <c r="P232" s="52" t="str">
        <f t="shared" si="21"/>
        <v>-</v>
      </c>
      <c r="Q232" s="53" t="str">
        <f t="shared" si="22"/>
        <v>-</v>
      </c>
      <c r="S232" s="53" t="str">
        <f t="shared" si="23"/>
        <v>-</v>
      </c>
    </row>
    <row r="233" spans="1:19" ht="17.399999999999999" x14ac:dyDescent="0.4">
      <c r="A233" s="54">
        <v>28017</v>
      </c>
      <c r="B233" s="55" t="s">
        <v>110</v>
      </c>
      <c r="C233" s="56">
        <v>740985280171</v>
      </c>
      <c r="D233" s="57">
        <v>60</v>
      </c>
      <c r="E233" s="57" t="s">
        <v>195</v>
      </c>
      <c r="F233" s="58">
        <v>0.26627597923303115</v>
      </c>
      <c r="G233" s="57">
        <v>12</v>
      </c>
      <c r="H233" s="59">
        <v>9.9</v>
      </c>
      <c r="I233" s="48" t="s">
        <v>228</v>
      </c>
      <c r="J233" s="26"/>
      <c r="K233" s="60">
        <f t="shared" si="18"/>
        <v>0</v>
      </c>
      <c r="N233" s="51" t="str">
        <f t="shared" si="19"/>
        <v>-</v>
      </c>
      <c r="O233" s="51" t="str">
        <f t="shared" si="20"/>
        <v>-</v>
      </c>
      <c r="P233" s="52" t="str">
        <f t="shared" si="21"/>
        <v>-</v>
      </c>
      <c r="Q233" s="53" t="str">
        <f t="shared" si="22"/>
        <v>-</v>
      </c>
      <c r="S233" s="53" t="str">
        <f t="shared" si="23"/>
        <v>-</v>
      </c>
    </row>
    <row r="234" spans="1:19" ht="17.399999999999999" x14ac:dyDescent="0.4">
      <c r="A234" s="54">
        <v>22276</v>
      </c>
      <c r="B234" s="55" t="s">
        <v>219</v>
      </c>
      <c r="C234" s="56">
        <v>740985222768</v>
      </c>
      <c r="D234" s="57">
        <v>90</v>
      </c>
      <c r="E234" s="57" t="s">
        <v>195</v>
      </c>
      <c r="F234" s="58">
        <v>0.47449768501270578</v>
      </c>
      <c r="G234" s="57">
        <v>12</v>
      </c>
      <c r="H234" s="59">
        <v>18</v>
      </c>
      <c r="I234" s="48" t="s">
        <v>228</v>
      </c>
      <c r="J234" s="26"/>
      <c r="K234" s="60">
        <f t="shared" si="18"/>
        <v>0</v>
      </c>
      <c r="N234" s="51" t="str">
        <f t="shared" si="19"/>
        <v>-</v>
      </c>
      <c r="O234" s="51" t="str">
        <f t="shared" si="20"/>
        <v>-</v>
      </c>
      <c r="P234" s="52" t="str">
        <f t="shared" si="21"/>
        <v>-</v>
      </c>
      <c r="Q234" s="53" t="str">
        <f t="shared" si="22"/>
        <v>-</v>
      </c>
      <c r="S234" s="53" t="str">
        <f t="shared" si="23"/>
        <v>-</v>
      </c>
    </row>
    <row r="235" spans="1:19" ht="17.399999999999999" x14ac:dyDescent="0.4">
      <c r="A235" s="54">
        <v>27617</v>
      </c>
      <c r="B235" s="55" t="s">
        <v>113</v>
      </c>
      <c r="C235" s="56">
        <v>740985276174</v>
      </c>
      <c r="D235" s="57">
        <v>75</v>
      </c>
      <c r="E235" s="57" t="s">
        <v>195</v>
      </c>
      <c r="F235" s="58">
        <v>0.28840810694252189</v>
      </c>
      <c r="G235" s="57">
        <v>12</v>
      </c>
      <c r="H235" s="59">
        <v>6.9150000000000009</v>
      </c>
      <c r="I235" s="48" t="s">
        <v>228</v>
      </c>
      <c r="J235" s="26"/>
      <c r="K235" s="60">
        <f t="shared" si="18"/>
        <v>0</v>
      </c>
      <c r="N235" s="51" t="str">
        <f t="shared" si="19"/>
        <v>-</v>
      </c>
      <c r="O235" s="51" t="str">
        <f t="shared" si="20"/>
        <v>-</v>
      </c>
      <c r="P235" s="52" t="str">
        <f t="shared" si="21"/>
        <v>-</v>
      </c>
      <c r="Q235" s="53" t="str">
        <f t="shared" si="22"/>
        <v>-</v>
      </c>
      <c r="S235" s="53" t="str">
        <f t="shared" si="23"/>
        <v>-</v>
      </c>
    </row>
    <row r="236" spans="1:19" ht="17.399999999999999" x14ac:dyDescent="0.4">
      <c r="A236" s="54">
        <v>27618</v>
      </c>
      <c r="B236" s="55" t="s">
        <v>113</v>
      </c>
      <c r="C236" s="56">
        <v>740985276181</v>
      </c>
      <c r="D236" s="57">
        <v>120</v>
      </c>
      <c r="E236" s="57" t="s">
        <v>195</v>
      </c>
      <c r="F236" s="58">
        <v>0.43704331504279836</v>
      </c>
      <c r="G236" s="57">
        <v>12</v>
      </c>
      <c r="H236" s="59">
        <v>9.8999999999999986</v>
      </c>
      <c r="I236" s="48" t="s">
        <v>228</v>
      </c>
      <c r="J236" s="26"/>
      <c r="K236" s="60">
        <f t="shared" si="18"/>
        <v>0</v>
      </c>
      <c r="N236" s="51" t="str">
        <f t="shared" si="19"/>
        <v>-</v>
      </c>
      <c r="O236" s="51" t="str">
        <f t="shared" si="20"/>
        <v>-</v>
      </c>
      <c r="P236" s="52" t="str">
        <f t="shared" si="21"/>
        <v>-</v>
      </c>
      <c r="Q236" s="53" t="str">
        <f t="shared" si="22"/>
        <v>-</v>
      </c>
      <c r="S236" s="53" t="str">
        <f t="shared" si="23"/>
        <v>-</v>
      </c>
    </row>
    <row r="237" spans="1:19" ht="17.399999999999999" x14ac:dyDescent="0.4">
      <c r="A237" s="54">
        <v>22452</v>
      </c>
      <c r="B237" s="55" t="s">
        <v>104</v>
      </c>
      <c r="C237" s="56">
        <v>740985224526</v>
      </c>
      <c r="D237" s="57">
        <v>65</v>
      </c>
      <c r="E237" s="57" t="s">
        <v>190</v>
      </c>
      <c r="F237" s="58">
        <v>0.15866843932857896</v>
      </c>
      <c r="G237" s="57">
        <v>12</v>
      </c>
      <c r="H237" s="59">
        <v>8.25</v>
      </c>
      <c r="I237" s="48" t="s">
        <v>228</v>
      </c>
      <c r="J237" s="26"/>
      <c r="K237" s="60">
        <f t="shared" si="18"/>
        <v>0</v>
      </c>
      <c r="N237" s="51" t="str">
        <f t="shared" si="19"/>
        <v>-</v>
      </c>
      <c r="O237" s="51" t="str">
        <f t="shared" si="20"/>
        <v>-</v>
      </c>
      <c r="P237" s="52" t="str">
        <f t="shared" si="21"/>
        <v>-</v>
      </c>
      <c r="Q237" s="53" t="str">
        <f t="shared" si="22"/>
        <v>-</v>
      </c>
      <c r="S237" s="53" t="str">
        <f t="shared" si="23"/>
        <v>-</v>
      </c>
    </row>
    <row r="238" spans="1:19" ht="17.399999999999999" x14ac:dyDescent="0.4">
      <c r="A238" s="54">
        <v>22439</v>
      </c>
      <c r="B238" s="55" t="s">
        <v>102</v>
      </c>
      <c r="C238" s="56">
        <v>740985224397</v>
      </c>
      <c r="D238" s="57">
        <v>65</v>
      </c>
      <c r="E238" s="57" t="s">
        <v>190</v>
      </c>
      <c r="F238" s="58">
        <v>0.14981558824478267</v>
      </c>
      <c r="G238" s="57">
        <v>12</v>
      </c>
      <c r="H238" s="59">
        <v>8.25</v>
      </c>
      <c r="I238" s="48" t="s">
        <v>228</v>
      </c>
      <c r="J238" s="26"/>
      <c r="K238" s="60">
        <f t="shared" si="18"/>
        <v>0</v>
      </c>
      <c r="N238" s="51" t="str">
        <f t="shared" si="19"/>
        <v>-</v>
      </c>
      <c r="O238" s="51" t="str">
        <f t="shared" si="20"/>
        <v>-</v>
      </c>
      <c r="P238" s="52" t="str">
        <f t="shared" si="21"/>
        <v>-</v>
      </c>
      <c r="Q238" s="53" t="str">
        <f t="shared" si="22"/>
        <v>-</v>
      </c>
      <c r="S238" s="53" t="str">
        <f t="shared" si="23"/>
        <v>-</v>
      </c>
    </row>
    <row r="239" spans="1:19" ht="17.399999999999999" x14ac:dyDescent="0.4">
      <c r="A239" s="54">
        <v>22460</v>
      </c>
      <c r="B239" s="55" t="s">
        <v>105</v>
      </c>
      <c r="C239" s="56">
        <v>740985224601</v>
      </c>
      <c r="D239" s="57">
        <v>65</v>
      </c>
      <c r="E239" s="57" t="s">
        <v>190</v>
      </c>
      <c r="F239" s="58">
        <v>0.19998174438629504</v>
      </c>
      <c r="G239" s="57">
        <v>12</v>
      </c>
      <c r="H239" s="59">
        <v>8.25</v>
      </c>
      <c r="I239" s="48" t="s">
        <v>228</v>
      </c>
      <c r="J239" s="26"/>
      <c r="K239" s="60">
        <f t="shared" si="18"/>
        <v>0</v>
      </c>
      <c r="N239" s="51" t="str">
        <f t="shared" si="19"/>
        <v>-</v>
      </c>
      <c r="O239" s="51" t="str">
        <f t="shared" si="20"/>
        <v>-</v>
      </c>
      <c r="P239" s="52" t="str">
        <f t="shared" si="21"/>
        <v>-</v>
      </c>
      <c r="Q239" s="53" t="str">
        <f t="shared" si="22"/>
        <v>-</v>
      </c>
      <c r="S239" s="53" t="str">
        <f t="shared" si="23"/>
        <v>-</v>
      </c>
    </row>
    <row r="240" spans="1:19" ht="17.399999999999999" x14ac:dyDescent="0.4">
      <c r="A240" s="54">
        <v>22443</v>
      </c>
      <c r="B240" s="55" t="s">
        <v>103</v>
      </c>
      <c r="C240" s="56">
        <v>740985224434</v>
      </c>
      <c r="D240" s="57">
        <v>65</v>
      </c>
      <c r="E240" s="57" t="s">
        <v>190</v>
      </c>
      <c r="F240" s="58">
        <v>0.19998174438629504</v>
      </c>
      <c r="G240" s="57">
        <v>12</v>
      </c>
      <c r="H240" s="59">
        <v>8.25</v>
      </c>
      <c r="I240" s="48" t="s">
        <v>228</v>
      </c>
      <c r="J240" s="26"/>
      <c r="K240" s="60">
        <f t="shared" si="18"/>
        <v>0</v>
      </c>
      <c r="N240" s="51" t="str">
        <f t="shared" si="19"/>
        <v>-</v>
      </c>
      <c r="O240" s="51" t="str">
        <f t="shared" si="20"/>
        <v>-</v>
      </c>
      <c r="P240" s="52" t="str">
        <f t="shared" si="21"/>
        <v>-</v>
      </c>
      <c r="Q240" s="53" t="str">
        <f t="shared" si="22"/>
        <v>-</v>
      </c>
      <c r="S240" s="53" t="str">
        <f t="shared" si="23"/>
        <v>-</v>
      </c>
    </row>
    <row r="241" spans="1:19" ht="17.399999999999999" x14ac:dyDescent="0.4">
      <c r="A241" s="54">
        <v>28013</v>
      </c>
      <c r="B241" s="55" t="s">
        <v>229</v>
      </c>
      <c r="C241" s="56"/>
      <c r="D241" s="57">
        <v>60</v>
      </c>
      <c r="E241" s="57" t="s">
        <v>190</v>
      </c>
      <c r="F241" s="58">
        <v>0.13007970789403334</v>
      </c>
      <c r="G241" s="57">
        <v>12</v>
      </c>
      <c r="H241" s="59">
        <v>2.7750000000000004</v>
      </c>
      <c r="I241" s="48" t="s">
        <v>228</v>
      </c>
      <c r="J241" s="26"/>
      <c r="K241" s="60">
        <f t="shared" si="18"/>
        <v>0</v>
      </c>
      <c r="N241" s="51" t="str">
        <f t="shared" ref="N241:N245" si="24">IFERROR(IF($N$2*F241=0, "-", $N$2*F241), "-")</f>
        <v>-</v>
      </c>
      <c r="O241" s="51" t="str">
        <f t="shared" si="20"/>
        <v>-</v>
      </c>
      <c r="P241" s="52" t="str">
        <f t="shared" ref="P241:P245" si="25">IF(J241&gt;0,J241*F241, "-")</f>
        <v>-</v>
      </c>
      <c r="Q241" s="53" t="str">
        <f t="shared" ref="Q241:Q245" si="26">IFERROR(IF($N$2&gt;0, $N$2*P241, "-"), "-")</f>
        <v>-</v>
      </c>
      <c r="S241" s="53" t="str">
        <f t="shared" ref="S241:S245" si="27">IFERROR(IF(Q241+K241=0, "-", IF(Q241&gt;0, Q241+K241, "-")), "-")</f>
        <v>-</v>
      </c>
    </row>
    <row r="242" spans="1:19" customFormat="1" ht="17.399999999999999" hidden="1" x14ac:dyDescent="0.4">
      <c r="A242" s="19">
        <v>22261</v>
      </c>
      <c r="B242" s="1" t="s">
        <v>230</v>
      </c>
      <c r="C242" s="5"/>
      <c r="D242" s="3" t="s">
        <v>231</v>
      </c>
      <c r="E242" s="3" t="s">
        <v>232</v>
      </c>
      <c r="F242" s="17">
        <v>0</v>
      </c>
      <c r="G242" s="3">
        <v>6</v>
      </c>
      <c r="H242" s="4">
        <v>13.5</v>
      </c>
      <c r="I242" s="18" t="s">
        <v>228</v>
      </c>
      <c r="J242" s="6"/>
      <c r="K242" s="20">
        <f t="shared" si="18"/>
        <v>0</v>
      </c>
      <c r="L242" s="2"/>
      <c r="M242" s="2"/>
      <c r="N242" s="14" t="str">
        <f t="shared" si="24"/>
        <v>-</v>
      </c>
      <c r="O242" s="14" t="str">
        <f t="shared" si="20"/>
        <v>-</v>
      </c>
      <c r="P242" s="15" t="str">
        <f t="shared" si="25"/>
        <v>-</v>
      </c>
      <c r="Q242" s="16" t="str">
        <f t="shared" si="26"/>
        <v>-</v>
      </c>
      <c r="S242" s="16" t="str">
        <f t="shared" si="27"/>
        <v>-</v>
      </c>
    </row>
    <row r="243" spans="1:19" customFormat="1" ht="17.399999999999999" hidden="1" x14ac:dyDescent="0.4">
      <c r="A243" s="19">
        <v>22260</v>
      </c>
      <c r="B243" s="1" t="s">
        <v>233</v>
      </c>
      <c r="C243" s="5"/>
      <c r="D243" s="3" t="s">
        <v>234</v>
      </c>
      <c r="E243" s="3" t="s">
        <v>232</v>
      </c>
      <c r="F243" s="17">
        <v>0</v>
      </c>
      <c r="G243" s="3">
        <v>12</v>
      </c>
      <c r="H243" s="4">
        <v>18</v>
      </c>
      <c r="I243" s="18" t="s">
        <v>228</v>
      </c>
      <c r="J243" s="6"/>
      <c r="K243" s="20">
        <f t="shared" si="18"/>
        <v>0</v>
      </c>
      <c r="L243" s="2"/>
      <c r="M243" s="2"/>
      <c r="N243" s="14" t="str">
        <f t="shared" si="24"/>
        <v>-</v>
      </c>
      <c r="O243" s="14" t="str">
        <f t="shared" si="20"/>
        <v>-</v>
      </c>
      <c r="P243" s="15" t="str">
        <f t="shared" si="25"/>
        <v>-</v>
      </c>
      <c r="Q243" s="16" t="str">
        <f t="shared" si="26"/>
        <v>-</v>
      </c>
      <c r="S243" s="16" t="str">
        <f t="shared" si="27"/>
        <v>-</v>
      </c>
    </row>
    <row r="244" spans="1:19" customFormat="1" ht="17.399999999999999" hidden="1" x14ac:dyDescent="0.4">
      <c r="A244" s="19">
        <v>25684</v>
      </c>
      <c r="B244" s="1" t="s">
        <v>235</v>
      </c>
      <c r="C244" s="5"/>
      <c r="D244" s="3" t="s">
        <v>234</v>
      </c>
      <c r="E244" s="3" t="s">
        <v>232</v>
      </c>
      <c r="F244" s="17">
        <v>0</v>
      </c>
      <c r="G244" s="3">
        <v>6</v>
      </c>
      <c r="H244" s="4">
        <v>13.5</v>
      </c>
      <c r="I244" s="18" t="s">
        <v>228</v>
      </c>
      <c r="J244" s="6"/>
      <c r="K244" s="20">
        <f t="shared" si="18"/>
        <v>0</v>
      </c>
      <c r="L244" s="2"/>
      <c r="M244" s="2"/>
      <c r="N244" s="14" t="str">
        <f t="shared" si="24"/>
        <v>-</v>
      </c>
      <c r="O244" s="14" t="str">
        <f t="shared" si="20"/>
        <v>-</v>
      </c>
      <c r="P244" s="15" t="str">
        <f t="shared" si="25"/>
        <v>-</v>
      </c>
      <c r="Q244" s="16" t="str">
        <f t="shared" si="26"/>
        <v>-</v>
      </c>
      <c r="S244" s="16" t="str">
        <f t="shared" si="27"/>
        <v>-</v>
      </c>
    </row>
    <row r="245" spans="1:19" ht="18" thickBot="1" x14ac:dyDescent="0.45">
      <c r="A245" s="61">
        <v>22443</v>
      </c>
      <c r="B245" s="62" t="s">
        <v>103</v>
      </c>
      <c r="C245" s="63"/>
      <c r="D245" s="64">
        <v>65</v>
      </c>
      <c r="E245" s="64" t="s">
        <v>190</v>
      </c>
      <c r="F245" s="65">
        <v>0.19998174438629504</v>
      </c>
      <c r="G245" s="64">
        <v>12</v>
      </c>
      <c r="H245" s="66">
        <v>8.25</v>
      </c>
      <c r="I245" s="67" t="s">
        <v>228</v>
      </c>
      <c r="J245" s="27"/>
      <c r="K245" s="68">
        <f t="shared" si="18"/>
        <v>0</v>
      </c>
      <c r="N245" s="51" t="str">
        <f t="shared" si="24"/>
        <v>-</v>
      </c>
      <c r="O245" s="51" t="str">
        <f t="shared" si="20"/>
        <v>-</v>
      </c>
      <c r="P245" s="52" t="str">
        <f t="shared" si="25"/>
        <v>-</v>
      </c>
      <c r="Q245" s="53" t="str">
        <f t="shared" si="26"/>
        <v>-</v>
      </c>
      <c r="S245" s="53" t="str">
        <f t="shared" si="27"/>
        <v>-</v>
      </c>
    </row>
    <row r="246" spans="1:19" x14ac:dyDescent="0.3">
      <c r="N246" s="51"/>
      <c r="O246" s="51"/>
      <c r="P246" s="52"/>
      <c r="Q246" s="53"/>
      <c r="S246" s="53"/>
    </row>
    <row r="247" spans="1:19" x14ac:dyDescent="0.3">
      <c r="N247" s="51"/>
      <c r="O247" s="51"/>
      <c r="P247" s="52"/>
      <c r="Q247" s="53"/>
      <c r="S247" s="53"/>
    </row>
    <row r="248" spans="1:19" ht="16.2" thickBot="1" x14ac:dyDescent="0.35">
      <c r="N248" s="51"/>
      <c r="O248" s="51"/>
      <c r="P248" s="52"/>
      <c r="Q248" s="53"/>
      <c r="S248" s="53"/>
    </row>
    <row r="249" spans="1:19" x14ac:dyDescent="0.3">
      <c r="B249" s="22" t="e" vm="1">
        <v>#VALUE!</v>
      </c>
      <c r="N249" s="51"/>
      <c r="O249" s="51"/>
      <c r="P249" s="52"/>
      <c r="Q249" s="53"/>
      <c r="S249" s="53"/>
    </row>
    <row r="250" spans="1:19" ht="16.2" thickBot="1" x14ac:dyDescent="0.35">
      <c r="B250" s="23"/>
      <c r="N250" s="51"/>
      <c r="O250" s="51"/>
      <c r="P250" s="52"/>
      <c r="Q250" s="53"/>
      <c r="S250" s="53"/>
    </row>
    <row r="251" spans="1:19" x14ac:dyDescent="0.3">
      <c r="B251" s="7" t="s">
        <v>201</v>
      </c>
      <c r="N251" s="51"/>
      <c r="O251" s="51"/>
      <c r="P251" s="52"/>
      <c r="Q251" s="53"/>
      <c r="S251" s="53"/>
    </row>
    <row r="252" spans="1:19" x14ac:dyDescent="0.3">
      <c r="B252" s="8" t="s">
        <v>202</v>
      </c>
      <c r="N252" s="51"/>
      <c r="O252" s="51"/>
      <c r="P252" s="52"/>
      <c r="Q252" s="53"/>
      <c r="S252" s="53"/>
    </row>
    <row r="253" spans="1:19" ht="16.2" thickBot="1" x14ac:dyDescent="0.35">
      <c r="B253" s="9" t="s">
        <v>203</v>
      </c>
      <c r="N253" s="51"/>
      <c r="O253" s="51"/>
      <c r="P253" s="52"/>
      <c r="Q253" s="53"/>
      <c r="S253" s="53"/>
    </row>
    <row r="254" spans="1:19" x14ac:dyDescent="0.3">
      <c r="B254" s="10" t="s">
        <v>204</v>
      </c>
      <c r="N254" s="51"/>
      <c r="O254" s="51"/>
      <c r="P254" s="52"/>
      <c r="Q254" s="53"/>
      <c r="S254" s="53"/>
    </row>
    <row r="255" spans="1:19" ht="16.2" thickBot="1" x14ac:dyDescent="0.35">
      <c r="B255" s="11" t="s">
        <v>205</v>
      </c>
      <c r="N255" s="51"/>
      <c r="O255" s="51"/>
      <c r="P255" s="52"/>
      <c r="Q255" s="53"/>
      <c r="S255" s="53"/>
    </row>
    <row r="256" spans="1:19" x14ac:dyDescent="0.3">
      <c r="N256" s="51"/>
      <c r="O256" s="51"/>
      <c r="P256" s="52"/>
      <c r="Q256" s="53"/>
      <c r="S256" s="53"/>
    </row>
    <row r="257" spans="14:19" x14ac:dyDescent="0.3">
      <c r="N257" s="51"/>
      <c r="O257" s="51"/>
      <c r="P257" s="52"/>
      <c r="Q257" s="53"/>
      <c r="S257" s="53"/>
    </row>
    <row r="258" spans="14:19" x14ac:dyDescent="0.3">
      <c r="N258" s="51"/>
      <c r="O258" s="51"/>
      <c r="P258" s="52"/>
      <c r="Q258" s="53"/>
      <c r="S258" s="53"/>
    </row>
    <row r="259" spans="14:19" x14ac:dyDescent="0.3">
      <c r="N259" s="51"/>
      <c r="O259" s="51"/>
      <c r="P259" s="52"/>
      <c r="Q259" s="53"/>
      <c r="S259" s="53"/>
    </row>
    <row r="260" spans="14:19" x14ac:dyDescent="0.3">
      <c r="N260" s="51"/>
      <c r="O260" s="51"/>
      <c r="P260" s="52"/>
      <c r="Q260" s="53"/>
      <c r="S260" s="53"/>
    </row>
    <row r="261" spans="14:19" x14ac:dyDescent="0.3">
      <c r="N261" s="51"/>
      <c r="O261" s="51"/>
      <c r="P261" s="52"/>
      <c r="Q261" s="53"/>
      <c r="S261" s="53"/>
    </row>
    <row r="262" spans="14:19" x14ac:dyDescent="0.3">
      <c r="N262" s="51"/>
      <c r="O262" s="51"/>
      <c r="P262" s="52"/>
      <c r="Q262" s="53"/>
      <c r="S262" s="53"/>
    </row>
    <row r="263" spans="14:19" x14ac:dyDescent="0.3">
      <c r="N263" s="51"/>
      <c r="O263" s="51"/>
      <c r="P263" s="52"/>
      <c r="Q263" s="53"/>
      <c r="S263" s="53"/>
    </row>
    <row r="264" spans="14:19" x14ac:dyDescent="0.3">
      <c r="N264" s="51"/>
      <c r="O264" s="51"/>
      <c r="P264" s="52"/>
      <c r="Q264" s="53"/>
      <c r="S264" s="53"/>
    </row>
    <row r="265" spans="14:19" x14ac:dyDescent="0.3">
      <c r="N265" s="51"/>
      <c r="O265" s="51"/>
      <c r="P265" s="52"/>
      <c r="Q265" s="53"/>
      <c r="S265" s="53"/>
    </row>
    <row r="266" spans="14:19" x14ac:dyDescent="0.3">
      <c r="N266" s="51"/>
      <c r="O266" s="51"/>
      <c r="P266" s="52"/>
      <c r="Q266" s="53"/>
      <c r="S266" s="53"/>
    </row>
    <row r="267" spans="14:19" x14ac:dyDescent="0.3">
      <c r="N267" s="51"/>
      <c r="O267" s="51"/>
      <c r="P267" s="52"/>
      <c r="Q267" s="53"/>
      <c r="S267" s="53"/>
    </row>
    <row r="268" spans="14:19" x14ac:dyDescent="0.3">
      <c r="N268" s="51"/>
      <c r="O268" s="51"/>
      <c r="P268" s="52"/>
      <c r="Q268" s="53"/>
      <c r="S268" s="53"/>
    </row>
    <row r="269" spans="14:19" x14ac:dyDescent="0.3">
      <c r="N269" s="51"/>
      <c r="O269" s="51"/>
      <c r="P269" s="52"/>
      <c r="Q269" s="53"/>
      <c r="S269" s="53"/>
    </row>
    <row r="270" spans="14:19" x14ac:dyDescent="0.3">
      <c r="N270" s="51"/>
      <c r="O270" s="51"/>
      <c r="P270" s="52"/>
      <c r="Q270" s="53"/>
      <c r="S270" s="53"/>
    </row>
    <row r="271" spans="14:19" x14ac:dyDescent="0.3">
      <c r="N271" s="51"/>
      <c r="O271" s="51"/>
      <c r="P271" s="52"/>
      <c r="Q271" s="53"/>
      <c r="S271" s="53"/>
    </row>
    <row r="272" spans="14:19" x14ac:dyDescent="0.3">
      <c r="N272" s="51"/>
      <c r="O272" s="51"/>
      <c r="P272" s="52"/>
      <c r="Q272" s="53"/>
      <c r="S272" s="53"/>
    </row>
    <row r="273" spans="14:19" x14ac:dyDescent="0.3">
      <c r="N273" s="51"/>
      <c r="O273" s="51"/>
      <c r="P273" s="52"/>
      <c r="Q273" s="53"/>
      <c r="S273" s="53"/>
    </row>
    <row r="274" spans="14:19" x14ac:dyDescent="0.3">
      <c r="N274" s="51"/>
      <c r="O274" s="51"/>
      <c r="P274" s="52"/>
      <c r="Q274" s="53"/>
      <c r="S274" s="53"/>
    </row>
    <row r="275" spans="14:19" x14ac:dyDescent="0.3">
      <c r="N275" s="51"/>
      <c r="O275" s="51"/>
      <c r="P275" s="52"/>
      <c r="Q275" s="53"/>
      <c r="S275" s="53"/>
    </row>
    <row r="276" spans="14:19" x14ac:dyDescent="0.3">
      <c r="N276" s="51"/>
      <c r="O276" s="51"/>
      <c r="P276" s="52"/>
      <c r="Q276" s="53"/>
      <c r="S276" s="53"/>
    </row>
    <row r="277" spans="14:19" x14ac:dyDescent="0.3">
      <c r="N277" s="51"/>
      <c r="O277" s="51"/>
      <c r="P277" s="52"/>
      <c r="Q277" s="53"/>
      <c r="S277" s="53"/>
    </row>
    <row r="278" spans="14:19" x14ac:dyDescent="0.3">
      <c r="N278" s="51"/>
      <c r="O278" s="51"/>
      <c r="P278" s="52"/>
      <c r="Q278" s="53"/>
      <c r="S278" s="53"/>
    </row>
    <row r="279" spans="14:19" x14ac:dyDescent="0.3">
      <c r="N279" s="51"/>
      <c r="O279" s="51"/>
      <c r="P279" s="52"/>
      <c r="Q279" s="53"/>
      <c r="S279" s="53"/>
    </row>
    <row r="280" spans="14:19" x14ac:dyDescent="0.3">
      <c r="N280" s="51"/>
      <c r="O280" s="51"/>
      <c r="P280" s="52"/>
      <c r="Q280" s="53"/>
      <c r="S280" s="53"/>
    </row>
    <row r="281" spans="14:19" x14ac:dyDescent="0.3">
      <c r="N281" s="51"/>
      <c r="O281" s="51"/>
      <c r="P281" s="52"/>
      <c r="Q281" s="53"/>
      <c r="S281" s="53"/>
    </row>
    <row r="282" spans="14:19" x14ac:dyDescent="0.3">
      <c r="N282" s="51"/>
      <c r="O282" s="51"/>
      <c r="P282" s="52"/>
      <c r="Q282" s="53"/>
      <c r="S282" s="53"/>
    </row>
    <row r="283" spans="14:19" x14ac:dyDescent="0.3">
      <c r="N283" s="51"/>
      <c r="O283" s="51"/>
      <c r="P283" s="52"/>
      <c r="Q283" s="53"/>
      <c r="S283" s="53"/>
    </row>
    <row r="284" spans="14:19" x14ac:dyDescent="0.3">
      <c r="N284" s="51"/>
      <c r="O284" s="51"/>
      <c r="P284" s="52"/>
      <c r="Q284" s="53"/>
      <c r="S284" s="53"/>
    </row>
    <row r="285" spans="14:19" x14ac:dyDescent="0.3">
      <c r="N285" s="51"/>
      <c r="O285" s="51"/>
      <c r="P285" s="52"/>
      <c r="Q285" s="53"/>
      <c r="S285" s="53"/>
    </row>
    <row r="286" spans="14:19" x14ac:dyDescent="0.3">
      <c r="N286" s="51"/>
      <c r="O286" s="51"/>
      <c r="P286" s="52"/>
      <c r="Q286" s="53"/>
      <c r="S286" s="53"/>
    </row>
    <row r="287" spans="14:19" x14ac:dyDescent="0.3">
      <c r="N287" s="51"/>
      <c r="O287" s="51"/>
      <c r="P287" s="52"/>
      <c r="Q287" s="53"/>
      <c r="S287" s="53"/>
    </row>
    <row r="288" spans="14:19" x14ac:dyDescent="0.3">
      <c r="N288" s="51"/>
      <c r="O288" s="51"/>
      <c r="P288" s="52"/>
      <c r="Q288" s="53"/>
      <c r="S288" s="53"/>
    </row>
    <row r="289" spans="14:19" x14ac:dyDescent="0.3">
      <c r="N289" s="51"/>
      <c r="O289" s="51"/>
      <c r="P289" s="52"/>
      <c r="Q289" s="53"/>
      <c r="S289" s="53"/>
    </row>
    <row r="290" spans="14:19" x14ac:dyDescent="0.3">
      <c r="N290" s="51"/>
      <c r="O290" s="51"/>
      <c r="P290" s="52"/>
      <c r="Q290" s="53"/>
      <c r="S290" s="53"/>
    </row>
    <row r="291" spans="14:19" x14ac:dyDescent="0.3">
      <c r="N291" s="51"/>
      <c r="O291" s="51"/>
      <c r="P291" s="52"/>
      <c r="Q291" s="53"/>
      <c r="S291" s="53"/>
    </row>
    <row r="292" spans="14:19" x14ac:dyDescent="0.3">
      <c r="N292" s="51"/>
      <c r="O292" s="51"/>
      <c r="P292" s="52"/>
      <c r="Q292" s="53"/>
      <c r="S292" s="53"/>
    </row>
    <row r="293" spans="14:19" x14ac:dyDescent="0.3">
      <c r="N293" s="51"/>
      <c r="O293" s="51"/>
      <c r="P293" s="52"/>
      <c r="Q293" s="53"/>
      <c r="S293" s="53"/>
    </row>
    <row r="294" spans="14:19" x14ac:dyDescent="0.3">
      <c r="N294" s="51"/>
      <c r="O294" s="51"/>
      <c r="P294" s="52"/>
      <c r="Q294" s="53"/>
      <c r="S294" s="53"/>
    </row>
    <row r="295" spans="14:19" x14ac:dyDescent="0.3">
      <c r="N295" s="51"/>
      <c r="O295" s="51"/>
      <c r="P295" s="52"/>
      <c r="Q295" s="53"/>
      <c r="S295" s="53"/>
    </row>
    <row r="296" spans="14:19" x14ac:dyDescent="0.3">
      <c r="N296" s="51"/>
      <c r="O296" s="51"/>
      <c r="P296" s="52"/>
      <c r="Q296" s="53"/>
      <c r="S296" s="53"/>
    </row>
    <row r="297" spans="14:19" x14ac:dyDescent="0.3">
      <c r="N297" s="51"/>
      <c r="O297" s="51"/>
      <c r="P297" s="52"/>
      <c r="Q297" s="53"/>
      <c r="S297" s="53"/>
    </row>
    <row r="298" spans="14:19" x14ac:dyDescent="0.3">
      <c r="N298" s="51"/>
      <c r="O298" s="51"/>
      <c r="P298" s="52"/>
      <c r="Q298" s="53"/>
      <c r="S298" s="53"/>
    </row>
    <row r="299" spans="14:19" x14ac:dyDescent="0.3">
      <c r="N299" s="51"/>
      <c r="O299" s="51"/>
      <c r="P299" s="52"/>
      <c r="Q299" s="53"/>
      <c r="S299" s="53"/>
    </row>
    <row r="300" spans="14:19" x14ac:dyDescent="0.3">
      <c r="N300" s="51"/>
      <c r="O300" s="51"/>
      <c r="P300" s="52"/>
      <c r="Q300" s="53"/>
      <c r="S300" s="53"/>
    </row>
    <row r="301" spans="14:19" x14ac:dyDescent="0.3">
      <c r="N301" s="51"/>
      <c r="O301" s="51"/>
      <c r="P301" s="52"/>
      <c r="Q301" s="53"/>
      <c r="S301" s="53"/>
    </row>
    <row r="302" spans="14:19" x14ac:dyDescent="0.3">
      <c r="N302" s="51"/>
      <c r="O302" s="51"/>
      <c r="P302" s="52"/>
      <c r="Q302" s="53"/>
      <c r="S302" s="53"/>
    </row>
    <row r="303" spans="14:19" x14ac:dyDescent="0.3">
      <c r="N303" s="51"/>
      <c r="O303" s="51"/>
      <c r="P303" s="52"/>
      <c r="Q303" s="53"/>
      <c r="S303" s="53"/>
    </row>
    <row r="304" spans="14:19" x14ac:dyDescent="0.3">
      <c r="N304" s="51"/>
      <c r="O304" s="51"/>
      <c r="P304" s="52"/>
      <c r="Q304" s="53"/>
      <c r="S304" s="53"/>
    </row>
    <row r="305" spans="14:19" x14ac:dyDescent="0.3">
      <c r="N305" s="51"/>
      <c r="O305" s="51"/>
      <c r="P305" s="52"/>
      <c r="Q305" s="53"/>
      <c r="S305" s="53"/>
    </row>
    <row r="306" spans="14:19" x14ac:dyDescent="0.3">
      <c r="N306" s="51"/>
      <c r="O306" s="51"/>
      <c r="P306" s="52"/>
      <c r="Q306" s="53"/>
      <c r="S306" s="53"/>
    </row>
    <row r="307" spans="14:19" x14ac:dyDescent="0.3">
      <c r="N307" s="51"/>
      <c r="O307" s="51"/>
      <c r="P307" s="52"/>
      <c r="Q307" s="53"/>
      <c r="S307" s="53"/>
    </row>
    <row r="308" spans="14:19" x14ac:dyDescent="0.3">
      <c r="N308" s="51"/>
      <c r="O308" s="51"/>
      <c r="P308" s="52"/>
      <c r="Q308" s="53"/>
      <c r="S308" s="53"/>
    </row>
    <row r="309" spans="14:19" x14ac:dyDescent="0.3">
      <c r="N309" s="51"/>
      <c r="O309" s="51"/>
      <c r="P309" s="52"/>
      <c r="Q309" s="53"/>
      <c r="S309" s="53"/>
    </row>
    <row r="310" spans="14:19" x14ac:dyDescent="0.3">
      <c r="N310" s="51"/>
      <c r="O310" s="51"/>
      <c r="P310" s="52"/>
      <c r="Q310" s="53"/>
      <c r="S310" s="53"/>
    </row>
    <row r="311" spans="14:19" x14ac:dyDescent="0.3">
      <c r="N311" s="51"/>
      <c r="O311" s="51"/>
      <c r="P311" s="52"/>
      <c r="Q311" s="53"/>
      <c r="S311" s="53"/>
    </row>
    <row r="312" spans="14:19" x14ac:dyDescent="0.3">
      <c r="N312" s="51"/>
      <c r="O312" s="51"/>
      <c r="P312" s="52"/>
      <c r="Q312" s="53"/>
      <c r="S312" s="53"/>
    </row>
    <row r="313" spans="14:19" x14ac:dyDescent="0.3">
      <c r="N313" s="51"/>
      <c r="O313" s="51"/>
      <c r="P313" s="52"/>
      <c r="Q313" s="53"/>
      <c r="S313" s="53"/>
    </row>
    <row r="314" spans="14:19" x14ac:dyDescent="0.3">
      <c r="N314" s="51"/>
      <c r="O314" s="51"/>
      <c r="P314" s="52"/>
      <c r="Q314" s="53"/>
      <c r="S314" s="53"/>
    </row>
    <row r="315" spans="14:19" x14ac:dyDescent="0.3">
      <c r="N315" s="51"/>
      <c r="O315" s="51"/>
      <c r="P315" s="52"/>
      <c r="Q315" s="53"/>
      <c r="S315" s="53"/>
    </row>
    <row r="316" spans="14:19" x14ac:dyDescent="0.3">
      <c r="N316" s="51"/>
      <c r="O316" s="51"/>
      <c r="P316" s="52"/>
      <c r="Q316" s="53"/>
      <c r="S316" s="53"/>
    </row>
    <row r="317" spans="14:19" x14ac:dyDescent="0.3">
      <c r="N317" s="51"/>
      <c r="O317" s="51"/>
      <c r="P317" s="52"/>
      <c r="Q317" s="53"/>
      <c r="S317" s="53"/>
    </row>
    <row r="318" spans="14:19" x14ac:dyDescent="0.3">
      <c r="N318" s="51"/>
      <c r="O318" s="51"/>
      <c r="P318" s="52"/>
      <c r="Q318" s="53"/>
      <c r="S318" s="53"/>
    </row>
    <row r="319" spans="14:19" x14ac:dyDescent="0.3">
      <c r="N319" s="51"/>
      <c r="O319" s="51"/>
      <c r="P319" s="52"/>
      <c r="Q319" s="53"/>
      <c r="S319" s="53"/>
    </row>
    <row r="320" spans="14:19" x14ac:dyDescent="0.3">
      <c r="N320" s="51"/>
      <c r="O320" s="51"/>
      <c r="P320" s="52"/>
      <c r="Q320" s="53"/>
      <c r="S320" s="53"/>
    </row>
    <row r="321" spans="14:19" x14ac:dyDescent="0.3">
      <c r="N321" s="51"/>
      <c r="O321" s="51"/>
      <c r="P321" s="52"/>
      <c r="Q321" s="53"/>
      <c r="S321" s="53"/>
    </row>
    <row r="322" spans="14:19" x14ac:dyDescent="0.3">
      <c r="N322" s="51"/>
      <c r="O322" s="51"/>
      <c r="P322" s="52"/>
      <c r="Q322" s="53"/>
      <c r="S322" s="53"/>
    </row>
    <row r="323" spans="14:19" x14ac:dyDescent="0.3">
      <c r="N323" s="51"/>
      <c r="O323" s="51"/>
      <c r="P323" s="52"/>
      <c r="Q323" s="53"/>
      <c r="S323" s="53"/>
    </row>
    <row r="324" spans="14:19" x14ac:dyDescent="0.3">
      <c r="N324" s="51"/>
      <c r="O324" s="51"/>
      <c r="P324" s="52"/>
      <c r="Q324" s="53"/>
      <c r="S324" s="53"/>
    </row>
    <row r="325" spans="14:19" x14ac:dyDescent="0.3">
      <c r="N325" s="51"/>
      <c r="O325" s="51"/>
      <c r="P325" s="52"/>
      <c r="Q325" s="53"/>
      <c r="S325" s="53"/>
    </row>
    <row r="326" spans="14:19" x14ac:dyDescent="0.3">
      <c r="N326" s="51"/>
      <c r="O326" s="51"/>
      <c r="P326" s="52"/>
      <c r="Q326" s="53"/>
      <c r="S326" s="53"/>
    </row>
    <row r="327" spans="14:19" x14ac:dyDescent="0.3">
      <c r="N327" s="51"/>
      <c r="O327" s="51"/>
      <c r="P327" s="52"/>
      <c r="Q327" s="53"/>
      <c r="S327" s="53"/>
    </row>
    <row r="328" spans="14:19" x14ac:dyDescent="0.3">
      <c r="N328" s="51"/>
      <c r="O328" s="51"/>
      <c r="P328" s="52"/>
      <c r="Q328" s="53"/>
      <c r="S328" s="53"/>
    </row>
    <row r="329" spans="14:19" x14ac:dyDescent="0.3">
      <c r="N329" s="51"/>
      <c r="O329" s="51"/>
      <c r="P329" s="52"/>
      <c r="Q329" s="53"/>
      <c r="S329" s="53"/>
    </row>
    <row r="330" spans="14:19" x14ac:dyDescent="0.3">
      <c r="N330" s="51"/>
      <c r="O330" s="51"/>
      <c r="P330" s="52"/>
      <c r="Q330" s="53"/>
      <c r="S330" s="53"/>
    </row>
    <row r="331" spans="14:19" x14ac:dyDescent="0.3">
      <c r="N331" s="51"/>
      <c r="O331" s="51"/>
      <c r="P331" s="52"/>
      <c r="Q331" s="53"/>
      <c r="S331" s="53"/>
    </row>
    <row r="332" spans="14:19" x14ac:dyDescent="0.3">
      <c r="N332" s="51"/>
      <c r="O332" s="51"/>
      <c r="P332" s="52"/>
      <c r="Q332" s="53"/>
      <c r="S332" s="53"/>
    </row>
    <row r="333" spans="14:19" x14ac:dyDescent="0.3">
      <c r="N333" s="51"/>
      <c r="O333" s="51"/>
      <c r="P333" s="52"/>
      <c r="Q333" s="53"/>
      <c r="S333" s="53"/>
    </row>
    <row r="334" spans="14:19" x14ac:dyDescent="0.3">
      <c r="N334" s="51"/>
      <c r="O334" s="51"/>
      <c r="P334" s="52"/>
      <c r="Q334" s="53"/>
      <c r="S334" s="53"/>
    </row>
    <row r="335" spans="14:19" x14ac:dyDescent="0.3">
      <c r="N335" s="51"/>
      <c r="O335" s="51"/>
      <c r="P335" s="52"/>
      <c r="Q335" s="53"/>
      <c r="S335" s="53"/>
    </row>
    <row r="336" spans="14:19" x14ac:dyDescent="0.3">
      <c r="N336" s="51"/>
      <c r="O336" s="51"/>
      <c r="P336" s="52"/>
      <c r="Q336" s="53"/>
      <c r="S336" s="53"/>
    </row>
    <row r="337" spans="14:19" x14ac:dyDescent="0.3">
      <c r="N337" s="51"/>
      <c r="O337" s="51"/>
      <c r="P337" s="52"/>
      <c r="Q337" s="53"/>
      <c r="S337" s="53"/>
    </row>
    <row r="338" spans="14:19" x14ac:dyDescent="0.3">
      <c r="N338" s="51"/>
      <c r="O338" s="51"/>
      <c r="P338" s="52"/>
      <c r="Q338" s="53"/>
      <c r="S338" s="53"/>
    </row>
    <row r="339" spans="14:19" x14ac:dyDescent="0.3">
      <c r="N339" s="51"/>
      <c r="O339" s="51"/>
      <c r="P339" s="52"/>
      <c r="Q339" s="53"/>
      <c r="S339" s="53"/>
    </row>
    <row r="340" spans="14:19" x14ac:dyDescent="0.3">
      <c r="N340" s="51"/>
      <c r="O340" s="51"/>
      <c r="P340" s="52"/>
      <c r="Q340" s="53"/>
      <c r="S340" s="53"/>
    </row>
    <row r="341" spans="14:19" x14ac:dyDescent="0.3">
      <c r="N341" s="51"/>
      <c r="O341" s="51"/>
      <c r="P341" s="52"/>
      <c r="Q341" s="53"/>
      <c r="S341" s="53"/>
    </row>
    <row r="342" spans="14:19" x14ac:dyDescent="0.3">
      <c r="N342" s="51"/>
      <c r="O342" s="51"/>
      <c r="P342" s="52"/>
      <c r="Q342" s="53"/>
      <c r="S342" s="53"/>
    </row>
    <row r="343" spans="14:19" x14ac:dyDescent="0.3">
      <c r="N343" s="51"/>
      <c r="O343" s="51"/>
      <c r="P343" s="52"/>
      <c r="Q343" s="53"/>
      <c r="S343" s="53"/>
    </row>
    <row r="344" spans="14:19" x14ac:dyDescent="0.3">
      <c r="N344" s="51"/>
      <c r="O344" s="51"/>
      <c r="P344" s="52"/>
      <c r="Q344" s="53"/>
      <c r="S344" s="53"/>
    </row>
    <row r="345" spans="14:19" x14ac:dyDescent="0.3">
      <c r="N345" s="51"/>
      <c r="O345" s="51"/>
      <c r="P345" s="52"/>
      <c r="Q345" s="53"/>
      <c r="S345" s="53"/>
    </row>
    <row r="346" spans="14:19" x14ac:dyDescent="0.3">
      <c r="N346" s="51"/>
      <c r="O346" s="51"/>
      <c r="P346" s="52"/>
      <c r="Q346" s="53"/>
      <c r="S346" s="53"/>
    </row>
    <row r="347" spans="14:19" x14ac:dyDescent="0.3">
      <c r="N347" s="51"/>
      <c r="O347" s="51"/>
      <c r="P347" s="52"/>
      <c r="Q347" s="53"/>
      <c r="S347" s="53"/>
    </row>
    <row r="348" spans="14:19" x14ac:dyDescent="0.3">
      <c r="N348" s="51"/>
      <c r="O348" s="51"/>
      <c r="P348" s="52"/>
      <c r="Q348" s="53"/>
      <c r="S348" s="53"/>
    </row>
    <row r="349" spans="14:19" x14ac:dyDescent="0.3">
      <c r="N349" s="51"/>
      <c r="O349" s="51"/>
      <c r="P349" s="52"/>
      <c r="Q349" s="53"/>
      <c r="S349" s="53"/>
    </row>
    <row r="350" spans="14:19" x14ac:dyDescent="0.3">
      <c r="N350" s="51"/>
      <c r="O350" s="51"/>
      <c r="P350" s="52"/>
      <c r="Q350" s="53"/>
      <c r="S350" s="53"/>
    </row>
    <row r="351" spans="14:19" x14ac:dyDescent="0.3">
      <c r="N351" s="51"/>
      <c r="O351" s="51"/>
      <c r="P351" s="52"/>
      <c r="Q351" s="53"/>
      <c r="S351" s="53"/>
    </row>
    <row r="352" spans="14:19" x14ac:dyDescent="0.3">
      <c r="N352" s="51"/>
      <c r="O352" s="51"/>
      <c r="P352" s="52"/>
      <c r="Q352" s="53"/>
      <c r="S352" s="53"/>
    </row>
    <row r="353" spans="14:19" x14ac:dyDescent="0.3">
      <c r="N353" s="51"/>
      <c r="O353" s="51"/>
      <c r="P353" s="52"/>
      <c r="Q353" s="53"/>
      <c r="S353" s="53"/>
    </row>
    <row r="354" spans="14:19" x14ac:dyDescent="0.3">
      <c r="N354" s="51"/>
      <c r="O354" s="51"/>
      <c r="P354" s="52"/>
      <c r="Q354" s="53"/>
      <c r="S354" s="53"/>
    </row>
    <row r="355" spans="14:19" x14ac:dyDescent="0.3">
      <c r="N355" s="51"/>
      <c r="O355" s="51"/>
      <c r="P355" s="52"/>
      <c r="Q355" s="53"/>
      <c r="S355" s="53"/>
    </row>
    <row r="356" spans="14:19" x14ac:dyDescent="0.3">
      <c r="N356" s="51"/>
      <c r="O356" s="51"/>
      <c r="P356" s="52"/>
      <c r="Q356" s="53"/>
      <c r="S356" s="53"/>
    </row>
    <row r="357" spans="14:19" x14ac:dyDescent="0.3">
      <c r="N357" s="51"/>
      <c r="O357" s="51"/>
      <c r="P357" s="52"/>
      <c r="Q357" s="53"/>
      <c r="S357" s="53"/>
    </row>
    <row r="358" spans="14:19" x14ac:dyDescent="0.3">
      <c r="N358" s="51"/>
      <c r="O358" s="51"/>
      <c r="P358" s="52"/>
      <c r="Q358" s="53"/>
      <c r="S358" s="53"/>
    </row>
    <row r="359" spans="14:19" x14ac:dyDescent="0.3">
      <c r="N359" s="51"/>
      <c r="O359" s="51"/>
      <c r="P359" s="52"/>
      <c r="Q359" s="53"/>
      <c r="S359" s="53"/>
    </row>
    <row r="360" spans="14:19" x14ac:dyDescent="0.3">
      <c r="N360" s="51"/>
      <c r="O360" s="51"/>
      <c r="P360" s="52"/>
      <c r="Q360" s="53"/>
      <c r="S360" s="53"/>
    </row>
    <row r="361" spans="14:19" x14ac:dyDescent="0.3">
      <c r="N361" s="51"/>
      <c r="O361" s="51"/>
      <c r="P361" s="52"/>
      <c r="Q361" s="53"/>
      <c r="S361" s="53"/>
    </row>
    <row r="362" spans="14:19" x14ac:dyDescent="0.3">
      <c r="N362" s="51"/>
      <c r="O362" s="51"/>
      <c r="P362" s="52"/>
      <c r="Q362" s="53"/>
      <c r="S362" s="53"/>
    </row>
    <row r="363" spans="14:19" x14ac:dyDescent="0.3">
      <c r="N363" s="51"/>
      <c r="O363" s="51"/>
      <c r="P363" s="52"/>
      <c r="Q363" s="53"/>
      <c r="S363" s="53"/>
    </row>
    <row r="364" spans="14:19" x14ac:dyDescent="0.3">
      <c r="N364" s="51"/>
      <c r="O364" s="51"/>
      <c r="P364" s="52"/>
      <c r="Q364" s="53"/>
      <c r="S364" s="53"/>
    </row>
    <row r="365" spans="14:19" x14ac:dyDescent="0.3">
      <c r="N365" s="51"/>
      <c r="O365" s="51"/>
      <c r="P365" s="52"/>
      <c r="Q365" s="53"/>
      <c r="S365" s="53"/>
    </row>
    <row r="366" spans="14:19" x14ac:dyDescent="0.3">
      <c r="N366" s="51"/>
      <c r="O366" s="51"/>
      <c r="P366" s="52"/>
      <c r="Q366" s="53"/>
      <c r="S366" s="53"/>
    </row>
    <row r="367" spans="14:19" x14ac:dyDescent="0.3">
      <c r="N367" s="51"/>
      <c r="O367" s="51"/>
      <c r="P367" s="52"/>
      <c r="Q367" s="53"/>
      <c r="S367" s="53"/>
    </row>
    <row r="368" spans="14:19" x14ac:dyDescent="0.3">
      <c r="N368" s="51"/>
      <c r="O368" s="51"/>
      <c r="P368" s="52"/>
      <c r="Q368" s="53"/>
      <c r="S368" s="53"/>
    </row>
    <row r="369" spans="14:19" x14ac:dyDescent="0.3">
      <c r="N369" s="51"/>
      <c r="O369" s="51"/>
      <c r="P369" s="52"/>
      <c r="Q369" s="53"/>
      <c r="S369" s="53"/>
    </row>
    <row r="370" spans="14:19" x14ac:dyDescent="0.3">
      <c r="N370" s="51"/>
      <c r="O370" s="51"/>
      <c r="P370" s="52"/>
      <c r="Q370" s="53"/>
      <c r="S370" s="53"/>
    </row>
    <row r="371" spans="14:19" x14ac:dyDescent="0.3">
      <c r="N371" s="51"/>
      <c r="O371" s="51"/>
      <c r="P371" s="52"/>
      <c r="Q371" s="53"/>
      <c r="S371" s="53"/>
    </row>
    <row r="372" spans="14:19" x14ac:dyDescent="0.3">
      <c r="N372" s="51"/>
      <c r="O372" s="51"/>
      <c r="P372" s="52"/>
      <c r="Q372" s="53"/>
      <c r="S372" s="53"/>
    </row>
    <row r="373" spans="14:19" x14ac:dyDescent="0.3">
      <c r="N373" s="51"/>
      <c r="O373" s="51"/>
      <c r="P373" s="52"/>
      <c r="Q373" s="53"/>
      <c r="S373" s="53"/>
    </row>
    <row r="374" spans="14:19" x14ac:dyDescent="0.3">
      <c r="N374" s="51"/>
      <c r="O374" s="51"/>
      <c r="P374" s="52"/>
      <c r="Q374" s="53"/>
      <c r="S374" s="53"/>
    </row>
    <row r="375" spans="14:19" x14ac:dyDescent="0.3">
      <c r="N375" s="51"/>
      <c r="O375" s="51"/>
      <c r="P375" s="52"/>
      <c r="Q375" s="53"/>
      <c r="S375" s="53"/>
    </row>
    <row r="376" spans="14:19" x14ac:dyDescent="0.3">
      <c r="N376" s="51"/>
      <c r="O376" s="51"/>
      <c r="P376" s="52"/>
      <c r="Q376" s="53"/>
      <c r="S376" s="53"/>
    </row>
    <row r="377" spans="14:19" x14ac:dyDescent="0.3">
      <c r="N377" s="51"/>
      <c r="O377" s="51"/>
      <c r="P377" s="52"/>
      <c r="Q377" s="53"/>
      <c r="S377" s="53"/>
    </row>
    <row r="378" spans="14:19" x14ac:dyDescent="0.3">
      <c r="N378" s="51"/>
      <c r="O378" s="51"/>
      <c r="P378" s="52"/>
      <c r="Q378" s="53"/>
      <c r="S378" s="53"/>
    </row>
    <row r="379" spans="14:19" x14ac:dyDescent="0.3">
      <c r="N379" s="51"/>
      <c r="O379" s="51"/>
      <c r="P379" s="52"/>
      <c r="Q379" s="53"/>
      <c r="S379" s="53"/>
    </row>
    <row r="380" spans="14:19" x14ac:dyDescent="0.3">
      <c r="N380" s="51"/>
      <c r="O380" s="51"/>
      <c r="P380" s="52"/>
      <c r="Q380" s="53"/>
      <c r="S380" s="53"/>
    </row>
    <row r="381" spans="14:19" x14ac:dyDescent="0.3">
      <c r="N381" s="51"/>
      <c r="O381" s="51"/>
      <c r="P381" s="52"/>
      <c r="Q381" s="53"/>
      <c r="S381" s="53"/>
    </row>
    <row r="382" spans="14:19" x14ac:dyDescent="0.3">
      <c r="N382" s="51"/>
      <c r="O382" s="51"/>
      <c r="P382" s="52"/>
      <c r="Q382" s="53"/>
      <c r="S382" s="53"/>
    </row>
    <row r="383" spans="14:19" x14ac:dyDescent="0.3">
      <c r="N383" s="51"/>
      <c r="O383" s="51"/>
      <c r="P383" s="52"/>
      <c r="Q383" s="53"/>
      <c r="S383" s="53"/>
    </row>
    <row r="384" spans="14:19" x14ac:dyDescent="0.3">
      <c r="N384" s="51"/>
      <c r="O384" s="51"/>
      <c r="P384" s="52"/>
      <c r="Q384" s="53"/>
      <c r="S384" s="53"/>
    </row>
    <row r="385" spans="14:19" x14ac:dyDescent="0.3">
      <c r="N385" s="51"/>
      <c r="O385" s="51"/>
      <c r="P385" s="52"/>
      <c r="Q385" s="53"/>
      <c r="S385" s="53"/>
    </row>
    <row r="386" spans="14:19" x14ac:dyDescent="0.3">
      <c r="N386" s="51"/>
      <c r="O386" s="51"/>
      <c r="P386" s="52"/>
      <c r="Q386" s="53"/>
      <c r="S386" s="53"/>
    </row>
    <row r="387" spans="14:19" x14ac:dyDescent="0.3">
      <c r="N387" s="51"/>
      <c r="O387" s="51"/>
      <c r="P387" s="52"/>
      <c r="Q387" s="53"/>
      <c r="S387" s="53"/>
    </row>
    <row r="388" spans="14:19" x14ac:dyDescent="0.3">
      <c r="N388" s="51"/>
      <c r="O388" s="51"/>
      <c r="P388" s="52"/>
      <c r="Q388" s="53"/>
      <c r="S388" s="53"/>
    </row>
    <row r="389" spans="14:19" x14ac:dyDescent="0.3">
      <c r="N389" s="51"/>
      <c r="O389" s="51"/>
      <c r="P389" s="52"/>
      <c r="Q389" s="53"/>
      <c r="S389" s="53"/>
    </row>
    <row r="390" spans="14:19" x14ac:dyDescent="0.3">
      <c r="N390" s="51"/>
      <c r="O390" s="51"/>
      <c r="P390" s="52"/>
      <c r="Q390" s="53"/>
      <c r="S390" s="53"/>
    </row>
    <row r="391" spans="14:19" x14ac:dyDescent="0.3">
      <c r="N391" s="51"/>
      <c r="O391" s="51"/>
      <c r="P391" s="52"/>
      <c r="Q391" s="53"/>
      <c r="S391" s="53"/>
    </row>
    <row r="392" spans="14:19" x14ac:dyDescent="0.3">
      <c r="N392" s="51"/>
      <c r="O392" s="51"/>
      <c r="P392" s="52"/>
      <c r="Q392" s="53"/>
      <c r="S392" s="53"/>
    </row>
    <row r="393" spans="14:19" x14ac:dyDescent="0.3">
      <c r="N393" s="51"/>
      <c r="O393" s="51"/>
      <c r="P393" s="52"/>
      <c r="Q393" s="53"/>
      <c r="S393" s="53"/>
    </row>
    <row r="394" spans="14:19" x14ac:dyDescent="0.3">
      <c r="N394" s="51"/>
      <c r="O394" s="51"/>
      <c r="P394" s="52"/>
      <c r="Q394" s="53"/>
      <c r="S394" s="53"/>
    </row>
    <row r="395" spans="14:19" x14ac:dyDescent="0.3">
      <c r="N395" s="51"/>
      <c r="O395" s="51"/>
      <c r="P395" s="52"/>
      <c r="Q395" s="53"/>
      <c r="S395" s="53"/>
    </row>
    <row r="396" spans="14:19" x14ac:dyDescent="0.3">
      <c r="N396" s="51"/>
      <c r="O396" s="51"/>
      <c r="P396" s="52"/>
      <c r="Q396" s="53"/>
      <c r="S396" s="53"/>
    </row>
    <row r="397" spans="14:19" x14ac:dyDescent="0.3">
      <c r="N397" s="51"/>
      <c r="O397" s="51"/>
      <c r="P397" s="52"/>
      <c r="Q397" s="53"/>
      <c r="S397" s="53"/>
    </row>
    <row r="398" spans="14:19" x14ac:dyDescent="0.3">
      <c r="N398" s="51"/>
      <c r="O398" s="51"/>
      <c r="P398" s="52"/>
      <c r="Q398" s="53"/>
      <c r="S398" s="53"/>
    </row>
    <row r="399" spans="14:19" x14ac:dyDescent="0.3">
      <c r="N399" s="51"/>
      <c r="O399" s="51"/>
      <c r="P399" s="52"/>
      <c r="Q399" s="53"/>
      <c r="S399" s="53"/>
    </row>
    <row r="400" spans="14:19" x14ac:dyDescent="0.3">
      <c r="N400" s="51"/>
      <c r="O400" s="51"/>
      <c r="P400" s="52"/>
      <c r="Q400" s="53"/>
      <c r="S400" s="53"/>
    </row>
    <row r="401" spans="14:19" x14ac:dyDescent="0.3">
      <c r="N401" s="51"/>
      <c r="O401" s="51"/>
      <c r="P401" s="52"/>
      <c r="Q401" s="53"/>
      <c r="S401" s="53"/>
    </row>
    <row r="402" spans="14:19" x14ac:dyDescent="0.3">
      <c r="N402" s="51"/>
      <c r="O402" s="51"/>
      <c r="P402" s="52"/>
      <c r="Q402" s="53"/>
      <c r="S402" s="53"/>
    </row>
    <row r="403" spans="14:19" x14ac:dyDescent="0.3">
      <c r="N403" s="51"/>
      <c r="O403" s="51"/>
      <c r="P403" s="52"/>
      <c r="Q403" s="53"/>
      <c r="S403" s="53"/>
    </row>
    <row r="404" spans="14:19" x14ac:dyDescent="0.3">
      <c r="N404" s="51"/>
      <c r="O404" s="51"/>
      <c r="P404" s="52"/>
      <c r="Q404" s="53"/>
      <c r="S404" s="53"/>
    </row>
    <row r="405" spans="14:19" x14ac:dyDescent="0.3">
      <c r="N405" s="51"/>
      <c r="O405" s="51"/>
      <c r="P405" s="52"/>
      <c r="Q405" s="53"/>
      <c r="S405" s="53"/>
    </row>
    <row r="406" spans="14:19" x14ac:dyDescent="0.3">
      <c r="N406" s="51"/>
      <c r="O406" s="51"/>
      <c r="P406" s="52"/>
      <c r="Q406" s="53"/>
      <c r="S406" s="53"/>
    </row>
    <row r="407" spans="14:19" x14ac:dyDescent="0.3">
      <c r="N407" s="51"/>
      <c r="O407" s="51"/>
      <c r="P407" s="52"/>
      <c r="Q407" s="53"/>
      <c r="S407" s="53"/>
    </row>
    <row r="408" spans="14:19" x14ac:dyDescent="0.3">
      <c r="N408" s="51"/>
      <c r="O408" s="51"/>
      <c r="P408" s="52"/>
      <c r="Q408" s="53"/>
      <c r="S408" s="53"/>
    </row>
    <row r="409" spans="14:19" x14ac:dyDescent="0.3">
      <c r="N409" s="51"/>
      <c r="O409" s="51"/>
      <c r="P409" s="52"/>
      <c r="Q409" s="53"/>
      <c r="S409" s="53"/>
    </row>
    <row r="410" spans="14:19" x14ac:dyDescent="0.3">
      <c r="N410" s="51"/>
      <c r="O410" s="51"/>
      <c r="P410" s="52"/>
      <c r="Q410" s="53"/>
      <c r="S410" s="53"/>
    </row>
    <row r="411" spans="14:19" x14ac:dyDescent="0.3">
      <c r="N411" s="51"/>
      <c r="O411" s="51"/>
      <c r="P411" s="52"/>
      <c r="Q411" s="53"/>
      <c r="S411" s="53"/>
    </row>
    <row r="412" spans="14:19" x14ac:dyDescent="0.3">
      <c r="N412" s="51"/>
      <c r="O412" s="51"/>
      <c r="P412" s="52"/>
      <c r="Q412" s="53"/>
      <c r="S412" s="53"/>
    </row>
    <row r="413" spans="14:19" x14ac:dyDescent="0.3">
      <c r="N413" s="51"/>
      <c r="O413" s="51"/>
      <c r="P413" s="52"/>
      <c r="Q413" s="53"/>
      <c r="S413" s="53"/>
    </row>
    <row r="414" spans="14:19" x14ac:dyDescent="0.3">
      <c r="N414" s="51"/>
      <c r="O414" s="51"/>
      <c r="P414" s="52"/>
      <c r="Q414" s="53"/>
      <c r="S414" s="53"/>
    </row>
    <row r="415" spans="14:19" x14ac:dyDescent="0.3">
      <c r="N415" s="51"/>
      <c r="O415" s="51"/>
      <c r="P415" s="52"/>
      <c r="Q415" s="53"/>
      <c r="S415" s="53"/>
    </row>
    <row r="416" spans="14:19" x14ac:dyDescent="0.3">
      <c r="N416" s="51"/>
      <c r="O416" s="51"/>
      <c r="P416" s="52"/>
      <c r="Q416" s="53"/>
      <c r="S416" s="53"/>
    </row>
    <row r="417" spans="14:19" x14ac:dyDescent="0.3">
      <c r="N417" s="51"/>
      <c r="O417" s="51"/>
      <c r="P417" s="52"/>
      <c r="Q417" s="53"/>
      <c r="S417" s="53"/>
    </row>
    <row r="418" spans="14:19" x14ac:dyDescent="0.3">
      <c r="N418" s="51"/>
      <c r="O418" s="51"/>
      <c r="P418" s="52"/>
      <c r="Q418" s="53"/>
      <c r="S418" s="53"/>
    </row>
    <row r="419" spans="14:19" x14ac:dyDescent="0.3">
      <c r="N419" s="51"/>
      <c r="O419" s="51"/>
      <c r="P419" s="52"/>
      <c r="Q419" s="53"/>
      <c r="S419" s="53"/>
    </row>
    <row r="420" spans="14:19" x14ac:dyDescent="0.3">
      <c r="N420" s="51"/>
      <c r="O420" s="51"/>
      <c r="P420" s="52"/>
      <c r="Q420" s="53"/>
      <c r="S420" s="53"/>
    </row>
    <row r="421" spans="14:19" x14ac:dyDescent="0.3">
      <c r="N421" s="51"/>
      <c r="O421" s="51"/>
      <c r="P421" s="52"/>
      <c r="Q421" s="53"/>
      <c r="S421" s="53"/>
    </row>
    <row r="422" spans="14:19" x14ac:dyDescent="0.3">
      <c r="N422" s="51"/>
      <c r="O422" s="51"/>
      <c r="P422" s="52"/>
      <c r="Q422" s="53"/>
      <c r="S422" s="53"/>
    </row>
    <row r="423" spans="14:19" x14ac:dyDescent="0.3">
      <c r="N423" s="51"/>
      <c r="O423" s="51"/>
      <c r="P423" s="52"/>
      <c r="Q423" s="53"/>
      <c r="S423" s="53"/>
    </row>
    <row r="424" spans="14:19" x14ac:dyDescent="0.3">
      <c r="N424" s="51"/>
      <c r="O424" s="51"/>
      <c r="P424" s="52"/>
      <c r="Q424" s="53"/>
      <c r="S424" s="53"/>
    </row>
    <row r="425" spans="14:19" x14ac:dyDescent="0.3">
      <c r="N425" s="51"/>
      <c r="O425" s="51"/>
      <c r="P425" s="52"/>
      <c r="Q425" s="53"/>
      <c r="S425" s="53"/>
    </row>
    <row r="426" spans="14:19" x14ac:dyDescent="0.3">
      <c r="N426" s="51"/>
      <c r="O426" s="51"/>
      <c r="P426" s="52"/>
      <c r="Q426" s="53"/>
      <c r="S426" s="53"/>
    </row>
    <row r="427" spans="14:19" x14ac:dyDescent="0.3">
      <c r="N427" s="51"/>
      <c r="O427" s="51"/>
      <c r="P427" s="52"/>
      <c r="Q427" s="53"/>
      <c r="S427" s="53"/>
    </row>
    <row r="428" spans="14:19" x14ac:dyDescent="0.3">
      <c r="N428" s="51"/>
      <c r="O428" s="51"/>
      <c r="P428" s="52"/>
      <c r="Q428" s="53"/>
      <c r="S428" s="53"/>
    </row>
    <row r="429" spans="14:19" x14ac:dyDescent="0.3">
      <c r="N429" s="51"/>
      <c r="O429" s="51"/>
      <c r="P429" s="52"/>
      <c r="Q429" s="53"/>
      <c r="S429" s="53"/>
    </row>
    <row r="430" spans="14:19" x14ac:dyDescent="0.3">
      <c r="N430" s="51"/>
      <c r="O430" s="51"/>
      <c r="P430" s="52"/>
      <c r="Q430" s="53"/>
      <c r="S430" s="53"/>
    </row>
    <row r="431" spans="14:19" x14ac:dyDescent="0.3">
      <c r="N431" s="51"/>
      <c r="O431" s="51"/>
      <c r="P431" s="52"/>
      <c r="Q431" s="53"/>
      <c r="S431" s="53"/>
    </row>
    <row r="432" spans="14:19" x14ac:dyDescent="0.3">
      <c r="N432" s="51"/>
      <c r="O432" s="51"/>
      <c r="P432" s="52"/>
      <c r="Q432" s="53"/>
      <c r="S432" s="53"/>
    </row>
    <row r="433" spans="14:19" x14ac:dyDescent="0.3">
      <c r="N433" s="51"/>
      <c r="O433" s="51"/>
      <c r="P433" s="52"/>
      <c r="Q433" s="53"/>
      <c r="S433" s="53"/>
    </row>
    <row r="434" spans="14:19" x14ac:dyDescent="0.3">
      <c r="N434" s="51"/>
      <c r="O434" s="51"/>
      <c r="P434" s="52"/>
      <c r="Q434" s="53"/>
      <c r="S434" s="53"/>
    </row>
    <row r="435" spans="14:19" x14ac:dyDescent="0.3">
      <c r="N435" s="51"/>
      <c r="O435" s="51"/>
      <c r="P435" s="52"/>
      <c r="Q435" s="53"/>
      <c r="S435" s="53"/>
    </row>
    <row r="436" spans="14:19" x14ac:dyDescent="0.3">
      <c r="N436" s="51"/>
      <c r="O436" s="51"/>
      <c r="P436" s="52"/>
      <c r="Q436" s="53"/>
      <c r="S436" s="53"/>
    </row>
    <row r="437" spans="14:19" x14ac:dyDescent="0.3">
      <c r="N437" s="51"/>
      <c r="O437" s="51"/>
      <c r="P437" s="52"/>
      <c r="Q437" s="53"/>
      <c r="S437" s="53"/>
    </row>
    <row r="438" spans="14:19" x14ac:dyDescent="0.3">
      <c r="N438" s="51"/>
      <c r="O438" s="51"/>
      <c r="P438" s="52"/>
      <c r="Q438" s="53"/>
      <c r="S438" s="53"/>
    </row>
    <row r="439" spans="14:19" x14ac:dyDescent="0.3">
      <c r="N439" s="51"/>
      <c r="O439" s="51"/>
      <c r="P439" s="52"/>
      <c r="Q439" s="53"/>
      <c r="S439" s="53"/>
    </row>
    <row r="440" spans="14:19" x14ac:dyDescent="0.3">
      <c r="N440" s="51"/>
      <c r="O440" s="51"/>
      <c r="P440" s="52"/>
      <c r="Q440" s="53"/>
      <c r="S440" s="53"/>
    </row>
    <row r="441" spans="14:19" x14ac:dyDescent="0.3">
      <c r="N441" s="51"/>
      <c r="O441" s="51"/>
      <c r="P441" s="52"/>
      <c r="Q441" s="53"/>
      <c r="S441" s="53"/>
    </row>
    <row r="442" spans="14:19" x14ac:dyDescent="0.3">
      <c r="N442" s="51"/>
      <c r="O442" s="51"/>
      <c r="P442" s="52"/>
      <c r="Q442" s="53"/>
      <c r="S442" s="53"/>
    </row>
    <row r="443" spans="14:19" x14ac:dyDescent="0.3">
      <c r="N443" s="51"/>
      <c r="O443" s="51"/>
      <c r="P443" s="52"/>
      <c r="Q443" s="53"/>
      <c r="S443" s="53"/>
    </row>
    <row r="444" spans="14:19" x14ac:dyDescent="0.3">
      <c r="N444" s="51"/>
      <c r="O444" s="51"/>
      <c r="P444" s="52"/>
      <c r="Q444" s="53"/>
      <c r="S444" s="53"/>
    </row>
    <row r="445" spans="14:19" x14ac:dyDescent="0.3">
      <c r="N445" s="51"/>
      <c r="O445" s="51"/>
      <c r="P445" s="52"/>
      <c r="Q445" s="53"/>
      <c r="S445" s="53"/>
    </row>
    <row r="446" spans="14:19" x14ac:dyDescent="0.3">
      <c r="N446" s="51"/>
      <c r="O446" s="51"/>
      <c r="P446" s="52"/>
      <c r="Q446" s="53"/>
      <c r="S446" s="53"/>
    </row>
    <row r="447" spans="14:19" x14ac:dyDescent="0.3">
      <c r="N447" s="51"/>
      <c r="O447" s="51"/>
      <c r="P447" s="52"/>
      <c r="Q447" s="53"/>
      <c r="S447" s="53"/>
    </row>
    <row r="448" spans="14:19" x14ac:dyDescent="0.3">
      <c r="N448" s="51"/>
      <c r="O448" s="51"/>
      <c r="P448" s="52"/>
      <c r="Q448" s="53"/>
      <c r="S448" s="53"/>
    </row>
    <row r="449" spans="14:19" x14ac:dyDescent="0.3">
      <c r="N449" s="51"/>
      <c r="O449" s="51"/>
      <c r="P449" s="52"/>
      <c r="Q449" s="53"/>
      <c r="S449" s="53"/>
    </row>
    <row r="450" spans="14:19" x14ac:dyDescent="0.3">
      <c r="N450" s="51"/>
      <c r="O450" s="51"/>
      <c r="P450" s="52"/>
      <c r="Q450" s="53"/>
      <c r="S450" s="53"/>
    </row>
    <row r="451" spans="14:19" x14ac:dyDescent="0.3">
      <c r="N451" s="51"/>
      <c r="O451" s="51"/>
      <c r="P451" s="52"/>
      <c r="Q451" s="53"/>
      <c r="S451" s="53"/>
    </row>
    <row r="452" spans="14:19" x14ac:dyDescent="0.3">
      <c r="N452" s="51"/>
      <c r="O452" s="51"/>
      <c r="P452" s="52"/>
      <c r="Q452" s="53"/>
      <c r="S452" s="53"/>
    </row>
    <row r="453" spans="14:19" x14ac:dyDescent="0.3">
      <c r="N453" s="51"/>
      <c r="O453" s="51"/>
      <c r="P453" s="52"/>
      <c r="Q453" s="53"/>
      <c r="S453" s="53"/>
    </row>
    <row r="454" spans="14:19" x14ac:dyDescent="0.3">
      <c r="N454" s="51"/>
      <c r="O454" s="51"/>
      <c r="P454" s="52"/>
      <c r="Q454" s="53"/>
      <c r="S454" s="53"/>
    </row>
    <row r="455" spans="14:19" x14ac:dyDescent="0.3">
      <c r="N455" s="51"/>
      <c r="O455" s="51"/>
      <c r="P455" s="52"/>
      <c r="Q455" s="53"/>
      <c r="S455" s="53"/>
    </row>
    <row r="456" spans="14:19" x14ac:dyDescent="0.3">
      <c r="N456" s="51"/>
      <c r="O456" s="51"/>
      <c r="P456" s="52"/>
      <c r="Q456" s="53"/>
      <c r="S456" s="53"/>
    </row>
    <row r="457" spans="14:19" x14ac:dyDescent="0.3">
      <c r="N457" s="51"/>
      <c r="O457" s="51"/>
      <c r="P457" s="52"/>
      <c r="Q457" s="53"/>
      <c r="S457" s="53"/>
    </row>
    <row r="458" spans="14:19" x14ac:dyDescent="0.3">
      <c r="N458" s="51"/>
      <c r="O458" s="51"/>
      <c r="P458" s="52"/>
      <c r="Q458" s="53"/>
      <c r="S458" s="53"/>
    </row>
    <row r="459" spans="14:19" x14ac:dyDescent="0.3">
      <c r="N459" s="51"/>
      <c r="O459" s="51"/>
      <c r="P459" s="52"/>
      <c r="Q459" s="53"/>
      <c r="S459" s="53"/>
    </row>
    <row r="460" spans="14:19" x14ac:dyDescent="0.3">
      <c r="N460" s="51"/>
      <c r="O460" s="51"/>
      <c r="P460" s="52"/>
      <c r="Q460" s="53"/>
      <c r="S460" s="53"/>
    </row>
    <row r="461" spans="14:19" x14ac:dyDescent="0.3">
      <c r="N461" s="51"/>
      <c r="O461" s="51"/>
      <c r="P461" s="52"/>
      <c r="Q461" s="53"/>
      <c r="S461" s="53"/>
    </row>
    <row r="462" spans="14:19" x14ac:dyDescent="0.3">
      <c r="N462" s="51"/>
      <c r="O462" s="51"/>
      <c r="P462" s="52"/>
      <c r="Q462" s="53"/>
      <c r="S462" s="53"/>
    </row>
    <row r="463" spans="14:19" x14ac:dyDescent="0.3">
      <c r="N463" s="51"/>
      <c r="O463" s="51"/>
      <c r="P463" s="52"/>
      <c r="Q463" s="53"/>
      <c r="S463" s="53"/>
    </row>
    <row r="464" spans="14:19" x14ac:dyDescent="0.3">
      <c r="N464" s="51"/>
      <c r="O464" s="51"/>
      <c r="P464" s="52"/>
      <c r="Q464" s="53"/>
      <c r="S464" s="53"/>
    </row>
    <row r="465" spans="14:19" x14ac:dyDescent="0.3">
      <c r="N465" s="51"/>
      <c r="O465" s="51"/>
      <c r="P465" s="52"/>
      <c r="Q465" s="53"/>
      <c r="S465" s="53"/>
    </row>
    <row r="466" spans="14:19" x14ac:dyDescent="0.3">
      <c r="N466" s="51"/>
      <c r="O466" s="51"/>
      <c r="P466" s="52"/>
      <c r="Q466" s="53"/>
      <c r="S466" s="53"/>
    </row>
    <row r="467" spans="14:19" x14ac:dyDescent="0.3">
      <c r="N467" s="51"/>
      <c r="O467" s="51"/>
      <c r="P467" s="52"/>
      <c r="Q467" s="53"/>
      <c r="S467" s="53"/>
    </row>
    <row r="468" spans="14:19" x14ac:dyDescent="0.3">
      <c r="N468" s="51"/>
      <c r="O468" s="51"/>
      <c r="P468" s="52"/>
      <c r="Q468" s="53"/>
      <c r="S468" s="53"/>
    </row>
    <row r="469" spans="14:19" x14ac:dyDescent="0.3">
      <c r="N469" s="51"/>
      <c r="O469" s="51"/>
      <c r="P469" s="52"/>
      <c r="Q469" s="53"/>
      <c r="S469" s="53"/>
    </row>
    <row r="470" spans="14:19" x14ac:dyDescent="0.3">
      <c r="N470" s="51"/>
      <c r="O470" s="51"/>
      <c r="P470" s="52"/>
      <c r="Q470" s="53"/>
      <c r="S470" s="53"/>
    </row>
    <row r="471" spans="14:19" x14ac:dyDescent="0.3">
      <c r="N471" s="51"/>
      <c r="O471" s="51"/>
      <c r="P471" s="52"/>
      <c r="Q471" s="53"/>
      <c r="S471" s="53"/>
    </row>
    <row r="472" spans="14:19" x14ac:dyDescent="0.3">
      <c r="N472" s="51"/>
      <c r="O472" s="51"/>
      <c r="P472" s="52"/>
      <c r="Q472" s="53"/>
      <c r="S472" s="53"/>
    </row>
    <row r="473" spans="14:19" x14ac:dyDescent="0.3">
      <c r="N473" s="51"/>
      <c r="O473" s="51"/>
      <c r="P473" s="52"/>
      <c r="Q473" s="53"/>
      <c r="S473" s="53"/>
    </row>
    <row r="474" spans="14:19" x14ac:dyDescent="0.3">
      <c r="N474" s="51"/>
      <c r="O474" s="51"/>
      <c r="P474" s="52"/>
      <c r="Q474" s="53"/>
      <c r="S474" s="53"/>
    </row>
    <row r="475" spans="14:19" x14ac:dyDescent="0.3">
      <c r="N475" s="51"/>
      <c r="O475" s="51"/>
      <c r="P475" s="52"/>
      <c r="Q475" s="53"/>
      <c r="S475" s="53"/>
    </row>
    <row r="476" spans="14:19" x14ac:dyDescent="0.3">
      <c r="N476" s="51"/>
      <c r="O476" s="51"/>
      <c r="P476" s="52"/>
      <c r="Q476" s="53"/>
      <c r="S476" s="53"/>
    </row>
    <row r="477" spans="14:19" x14ac:dyDescent="0.3">
      <c r="N477" s="51"/>
      <c r="O477" s="51"/>
      <c r="P477" s="52"/>
      <c r="Q477" s="53"/>
      <c r="S477" s="53"/>
    </row>
    <row r="478" spans="14:19" x14ac:dyDescent="0.3">
      <c r="N478" s="51"/>
      <c r="O478" s="51"/>
      <c r="P478" s="52"/>
      <c r="Q478" s="53"/>
      <c r="S478" s="53"/>
    </row>
    <row r="479" spans="14:19" x14ac:dyDescent="0.3">
      <c r="N479" s="51"/>
      <c r="O479" s="51"/>
      <c r="P479" s="52"/>
      <c r="Q479" s="53"/>
      <c r="S479" s="53"/>
    </row>
    <row r="480" spans="14:19" x14ac:dyDescent="0.3">
      <c r="N480" s="51"/>
      <c r="O480" s="51"/>
      <c r="P480" s="52"/>
      <c r="Q480" s="53"/>
      <c r="S480" s="53"/>
    </row>
    <row r="481" spans="14:19" x14ac:dyDescent="0.3">
      <c r="N481" s="51"/>
      <c r="O481" s="51"/>
      <c r="P481" s="52"/>
      <c r="Q481" s="53"/>
      <c r="S481" s="53"/>
    </row>
    <row r="482" spans="14:19" x14ac:dyDescent="0.3">
      <c r="N482" s="51"/>
      <c r="O482" s="51"/>
      <c r="P482" s="52"/>
      <c r="Q482" s="53"/>
      <c r="S482" s="53"/>
    </row>
    <row r="483" spans="14:19" x14ac:dyDescent="0.3">
      <c r="N483" s="51"/>
      <c r="O483" s="51"/>
      <c r="P483" s="52"/>
      <c r="Q483" s="53"/>
      <c r="S483" s="53"/>
    </row>
    <row r="484" spans="14:19" x14ac:dyDescent="0.3">
      <c r="N484" s="51"/>
      <c r="O484" s="51"/>
      <c r="P484" s="52"/>
      <c r="Q484" s="53"/>
      <c r="S484" s="53"/>
    </row>
    <row r="485" spans="14:19" x14ac:dyDescent="0.3">
      <c r="N485" s="51"/>
      <c r="O485" s="51"/>
      <c r="P485" s="52"/>
      <c r="Q485" s="53"/>
      <c r="S485" s="53"/>
    </row>
    <row r="486" spans="14:19" x14ac:dyDescent="0.3">
      <c r="N486" s="51"/>
      <c r="O486" s="51"/>
      <c r="P486" s="52"/>
      <c r="Q486" s="53"/>
      <c r="S486" s="53"/>
    </row>
    <row r="487" spans="14:19" x14ac:dyDescent="0.3">
      <c r="N487" s="51"/>
      <c r="O487" s="51"/>
      <c r="P487" s="52"/>
      <c r="Q487" s="53"/>
      <c r="S487" s="53"/>
    </row>
    <row r="488" spans="14:19" x14ac:dyDescent="0.3">
      <c r="N488" s="51"/>
      <c r="O488" s="51"/>
      <c r="P488" s="52"/>
      <c r="Q488" s="53"/>
      <c r="S488" s="53"/>
    </row>
    <row r="489" spans="14:19" x14ac:dyDescent="0.3">
      <c r="N489" s="51"/>
      <c r="O489" s="51"/>
      <c r="P489" s="52"/>
      <c r="Q489" s="53"/>
      <c r="S489" s="53"/>
    </row>
    <row r="490" spans="14:19" x14ac:dyDescent="0.3">
      <c r="N490" s="51"/>
      <c r="O490" s="51"/>
      <c r="P490" s="52"/>
      <c r="Q490" s="53"/>
      <c r="S490" s="53"/>
    </row>
    <row r="491" spans="14:19" x14ac:dyDescent="0.3">
      <c r="N491" s="51"/>
      <c r="O491" s="51"/>
      <c r="P491" s="52"/>
      <c r="Q491" s="53"/>
      <c r="S491" s="53"/>
    </row>
    <row r="492" spans="14:19" x14ac:dyDescent="0.3">
      <c r="N492" s="51"/>
      <c r="O492" s="51"/>
      <c r="P492" s="52"/>
      <c r="Q492" s="53"/>
      <c r="S492" s="53"/>
    </row>
    <row r="493" spans="14:19" x14ac:dyDescent="0.3">
      <c r="N493" s="51"/>
      <c r="O493" s="51"/>
      <c r="P493" s="52"/>
      <c r="Q493" s="53"/>
      <c r="S493" s="53"/>
    </row>
    <row r="494" spans="14:19" x14ac:dyDescent="0.3">
      <c r="N494" s="51"/>
      <c r="O494" s="51"/>
      <c r="P494" s="52"/>
      <c r="Q494" s="53"/>
      <c r="S494" s="53"/>
    </row>
    <row r="495" spans="14:19" x14ac:dyDescent="0.3">
      <c r="N495" s="51"/>
      <c r="O495" s="51"/>
      <c r="P495" s="52"/>
      <c r="Q495" s="53"/>
      <c r="S495" s="53"/>
    </row>
    <row r="496" spans="14:19" x14ac:dyDescent="0.3">
      <c r="N496" s="51"/>
      <c r="O496" s="51"/>
      <c r="P496" s="52"/>
      <c r="Q496" s="53"/>
      <c r="S496" s="53"/>
    </row>
    <row r="497" spans="14:19" x14ac:dyDescent="0.3">
      <c r="N497" s="51"/>
      <c r="O497" s="51"/>
      <c r="P497" s="52"/>
      <c r="Q497" s="53"/>
      <c r="S497" s="53"/>
    </row>
    <row r="498" spans="14:19" x14ac:dyDescent="0.3">
      <c r="N498" s="51"/>
      <c r="O498" s="51"/>
      <c r="P498" s="52"/>
      <c r="Q498" s="53"/>
      <c r="S498" s="53"/>
    </row>
    <row r="499" spans="14:19" x14ac:dyDescent="0.3">
      <c r="N499" s="51"/>
      <c r="O499" s="51"/>
      <c r="P499" s="52"/>
      <c r="Q499" s="53"/>
      <c r="S499" s="53"/>
    </row>
    <row r="500" spans="14:19" x14ac:dyDescent="0.3">
      <c r="N500" s="51"/>
      <c r="O500" s="51"/>
      <c r="P500" s="52"/>
      <c r="Q500" s="53"/>
      <c r="S500" s="53"/>
    </row>
    <row r="501" spans="14:19" x14ac:dyDescent="0.3">
      <c r="N501" s="51"/>
      <c r="O501" s="51"/>
      <c r="P501" s="52"/>
      <c r="Q501" s="53"/>
      <c r="S501" s="53"/>
    </row>
    <row r="502" spans="14:19" x14ac:dyDescent="0.3">
      <c r="N502" s="51"/>
      <c r="O502" s="51"/>
      <c r="P502" s="52"/>
      <c r="Q502" s="53"/>
      <c r="S502" s="53"/>
    </row>
    <row r="503" spans="14:19" x14ac:dyDescent="0.3">
      <c r="N503" s="51"/>
      <c r="O503" s="51"/>
      <c r="P503" s="52"/>
      <c r="Q503" s="53"/>
      <c r="S503" s="53"/>
    </row>
    <row r="504" spans="14:19" x14ac:dyDescent="0.3">
      <c r="N504" s="51"/>
      <c r="O504" s="51"/>
      <c r="P504" s="52"/>
      <c r="Q504" s="53"/>
      <c r="S504" s="53"/>
    </row>
    <row r="505" spans="14:19" x14ac:dyDescent="0.3">
      <c r="N505" s="51"/>
      <c r="O505" s="51"/>
      <c r="P505" s="52"/>
      <c r="Q505" s="53"/>
      <c r="S505" s="53"/>
    </row>
    <row r="506" spans="14:19" x14ac:dyDescent="0.3">
      <c r="N506" s="51"/>
      <c r="O506" s="51"/>
      <c r="P506" s="52"/>
      <c r="Q506" s="53"/>
      <c r="S506" s="53"/>
    </row>
    <row r="507" spans="14:19" x14ac:dyDescent="0.3">
      <c r="N507" s="51"/>
      <c r="O507" s="51"/>
      <c r="P507" s="52"/>
      <c r="Q507" s="53"/>
      <c r="S507" s="53"/>
    </row>
    <row r="508" spans="14:19" x14ac:dyDescent="0.3">
      <c r="N508" s="51"/>
      <c r="O508" s="51"/>
      <c r="P508" s="52"/>
      <c r="Q508" s="53"/>
      <c r="S508" s="53"/>
    </row>
    <row r="509" spans="14:19" x14ac:dyDescent="0.3">
      <c r="N509" s="51"/>
      <c r="O509" s="51"/>
      <c r="P509" s="52"/>
      <c r="Q509" s="53"/>
      <c r="S509" s="53"/>
    </row>
    <row r="510" spans="14:19" x14ac:dyDescent="0.3">
      <c r="N510" s="51"/>
      <c r="O510" s="51"/>
      <c r="P510" s="52"/>
      <c r="Q510" s="53"/>
      <c r="S510" s="53"/>
    </row>
    <row r="511" spans="14:19" x14ac:dyDescent="0.3">
      <c r="N511" s="51"/>
      <c r="O511" s="51"/>
      <c r="P511" s="52"/>
      <c r="Q511" s="53"/>
      <c r="S511" s="53"/>
    </row>
    <row r="512" spans="14:19" x14ac:dyDescent="0.3">
      <c r="N512" s="51"/>
      <c r="O512" s="51"/>
      <c r="P512" s="52"/>
      <c r="Q512" s="53"/>
      <c r="S512" s="53"/>
    </row>
    <row r="513" spans="14:19" x14ac:dyDescent="0.3">
      <c r="N513" s="51"/>
      <c r="O513" s="51"/>
      <c r="P513" s="52"/>
      <c r="Q513" s="53"/>
      <c r="S513" s="53"/>
    </row>
    <row r="514" spans="14:19" x14ac:dyDescent="0.3">
      <c r="N514" s="51"/>
      <c r="O514" s="51"/>
      <c r="P514" s="52"/>
      <c r="Q514" s="53"/>
      <c r="S514" s="53"/>
    </row>
    <row r="515" spans="14:19" x14ac:dyDescent="0.3">
      <c r="N515" s="51"/>
      <c r="O515" s="51"/>
      <c r="P515" s="52"/>
      <c r="Q515" s="53"/>
      <c r="S515" s="53"/>
    </row>
    <row r="516" spans="14:19" x14ac:dyDescent="0.3">
      <c r="N516" s="51"/>
      <c r="O516" s="51"/>
      <c r="P516" s="52"/>
      <c r="Q516" s="53"/>
      <c r="S516" s="53"/>
    </row>
    <row r="517" spans="14:19" x14ac:dyDescent="0.3">
      <c r="N517" s="51"/>
      <c r="O517" s="51"/>
      <c r="P517" s="52"/>
      <c r="Q517" s="53"/>
      <c r="S517" s="53"/>
    </row>
    <row r="518" spans="14:19" x14ac:dyDescent="0.3">
      <c r="N518" s="51"/>
      <c r="O518" s="51"/>
      <c r="P518" s="52"/>
      <c r="Q518" s="53"/>
      <c r="S518" s="53"/>
    </row>
    <row r="519" spans="14:19" x14ac:dyDescent="0.3">
      <c r="N519" s="51"/>
      <c r="O519" s="51"/>
      <c r="P519" s="52"/>
      <c r="Q519" s="53"/>
      <c r="S519" s="53"/>
    </row>
    <row r="520" spans="14:19" x14ac:dyDescent="0.3">
      <c r="N520" s="51"/>
      <c r="O520" s="51"/>
      <c r="P520" s="52"/>
      <c r="Q520" s="53"/>
      <c r="S520" s="53"/>
    </row>
    <row r="521" spans="14:19" x14ac:dyDescent="0.3">
      <c r="N521" s="51"/>
      <c r="O521" s="51"/>
      <c r="P521" s="52"/>
      <c r="Q521" s="53"/>
      <c r="S521" s="53"/>
    </row>
    <row r="522" spans="14:19" x14ac:dyDescent="0.3">
      <c r="N522" s="51"/>
      <c r="O522" s="51"/>
      <c r="P522" s="52"/>
      <c r="Q522" s="53"/>
      <c r="S522" s="53"/>
    </row>
    <row r="523" spans="14:19" x14ac:dyDescent="0.3">
      <c r="N523" s="51"/>
      <c r="O523" s="51"/>
      <c r="P523" s="52"/>
      <c r="Q523" s="53"/>
      <c r="S523" s="53"/>
    </row>
    <row r="524" spans="14:19" x14ac:dyDescent="0.3">
      <c r="N524" s="51"/>
      <c r="O524" s="51"/>
      <c r="P524" s="52"/>
      <c r="Q524" s="53"/>
      <c r="S524" s="53"/>
    </row>
    <row r="525" spans="14:19" x14ac:dyDescent="0.3">
      <c r="N525" s="51"/>
      <c r="O525" s="51"/>
      <c r="P525" s="52"/>
      <c r="Q525" s="53"/>
      <c r="S525" s="53"/>
    </row>
    <row r="526" spans="14:19" x14ac:dyDescent="0.3">
      <c r="N526" s="51"/>
      <c r="O526" s="51"/>
      <c r="P526" s="52"/>
      <c r="Q526" s="53"/>
      <c r="S526" s="53"/>
    </row>
    <row r="527" spans="14:19" x14ac:dyDescent="0.3">
      <c r="N527" s="51"/>
      <c r="O527" s="51"/>
      <c r="P527" s="52"/>
      <c r="Q527" s="53"/>
      <c r="S527" s="53"/>
    </row>
    <row r="528" spans="14:19" x14ac:dyDescent="0.3">
      <c r="N528" s="51"/>
      <c r="O528" s="51"/>
      <c r="P528" s="52"/>
      <c r="Q528" s="53"/>
      <c r="S528" s="53"/>
    </row>
    <row r="529" spans="14:19" x14ac:dyDescent="0.3">
      <c r="N529" s="51"/>
      <c r="O529" s="51"/>
      <c r="P529" s="52"/>
      <c r="Q529" s="53"/>
      <c r="S529" s="53"/>
    </row>
    <row r="530" spans="14:19" x14ac:dyDescent="0.3">
      <c r="N530" s="51"/>
      <c r="O530" s="51"/>
      <c r="P530" s="52"/>
      <c r="Q530" s="53"/>
      <c r="S530" s="53"/>
    </row>
    <row r="531" spans="14:19" x14ac:dyDescent="0.3">
      <c r="N531" s="51"/>
      <c r="O531" s="51"/>
      <c r="P531" s="52"/>
      <c r="Q531" s="53"/>
      <c r="S531" s="53"/>
    </row>
    <row r="532" spans="14:19" x14ac:dyDescent="0.3">
      <c r="N532" s="51"/>
      <c r="O532" s="51"/>
      <c r="P532" s="52"/>
      <c r="Q532" s="53"/>
      <c r="S532" s="53"/>
    </row>
    <row r="533" spans="14:19" x14ac:dyDescent="0.3">
      <c r="N533" s="51"/>
      <c r="O533" s="51"/>
      <c r="P533" s="52"/>
      <c r="Q533" s="53"/>
      <c r="S533" s="53"/>
    </row>
    <row r="534" spans="14:19" x14ac:dyDescent="0.3">
      <c r="N534" s="51"/>
      <c r="O534" s="51"/>
      <c r="P534" s="52"/>
      <c r="Q534" s="53"/>
      <c r="S534" s="53"/>
    </row>
    <row r="535" spans="14:19" x14ac:dyDescent="0.3">
      <c r="N535" s="51"/>
      <c r="O535" s="51"/>
      <c r="P535" s="52"/>
      <c r="Q535" s="53"/>
      <c r="S535" s="53"/>
    </row>
    <row r="536" spans="14:19" x14ac:dyDescent="0.3">
      <c r="N536" s="51"/>
      <c r="O536" s="51"/>
      <c r="P536" s="52"/>
      <c r="Q536" s="53"/>
      <c r="S536" s="53"/>
    </row>
    <row r="537" spans="14:19" x14ac:dyDescent="0.3">
      <c r="N537" s="51"/>
      <c r="O537" s="51"/>
      <c r="P537" s="52"/>
      <c r="Q537" s="53"/>
      <c r="S537" s="53"/>
    </row>
    <row r="538" spans="14:19" x14ac:dyDescent="0.3">
      <c r="N538" s="51"/>
      <c r="O538" s="51"/>
      <c r="P538" s="52"/>
      <c r="Q538" s="53"/>
      <c r="S538" s="53"/>
    </row>
    <row r="539" spans="14:19" x14ac:dyDescent="0.3">
      <c r="N539" s="51"/>
      <c r="O539" s="51"/>
      <c r="P539" s="52"/>
      <c r="Q539" s="53"/>
      <c r="S539" s="53"/>
    </row>
    <row r="540" spans="14:19" x14ac:dyDescent="0.3">
      <c r="N540" s="51"/>
      <c r="O540" s="51"/>
      <c r="P540" s="52"/>
      <c r="Q540" s="53"/>
      <c r="S540" s="53"/>
    </row>
    <row r="541" spans="14:19" x14ac:dyDescent="0.3">
      <c r="N541" s="51"/>
      <c r="O541" s="51"/>
      <c r="P541" s="52"/>
      <c r="Q541" s="53"/>
      <c r="S541" s="53"/>
    </row>
    <row r="542" spans="14:19" x14ac:dyDescent="0.3">
      <c r="N542" s="51"/>
      <c r="O542" s="51"/>
      <c r="P542" s="52"/>
      <c r="Q542" s="53"/>
      <c r="S542" s="53"/>
    </row>
    <row r="543" spans="14:19" x14ac:dyDescent="0.3">
      <c r="N543" s="51"/>
      <c r="O543" s="51"/>
      <c r="P543" s="52"/>
      <c r="Q543" s="53"/>
      <c r="S543" s="53"/>
    </row>
    <row r="544" spans="14:19" x14ac:dyDescent="0.3">
      <c r="N544" s="51"/>
      <c r="O544" s="51"/>
      <c r="P544" s="52"/>
      <c r="Q544" s="53"/>
      <c r="S544" s="53"/>
    </row>
    <row r="545" spans="14:19" x14ac:dyDescent="0.3">
      <c r="N545" s="51"/>
      <c r="O545" s="51"/>
      <c r="P545" s="52"/>
      <c r="Q545" s="53"/>
      <c r="S545" s="53"/>
    </row>
    <row r="546" spans="14:19" x14ac:dyDescent="0.3">
      <c r="N546" s="51"/>
      <c r="O546" s="51"/>
      <c r="P546" s="52"/>
      <c r="Q546" s="53"/>
      <c r="S546" s="53"/>
    </row>
    <row r="547" spans="14:19" x14ac:dyDescent="0.3">
      <c r="N547" s="51"/>
      <c r="O547" s="51"/>
      <c r="P547" s="52"/>
      <c r="Q547" s="53"/>
      <c r="S547" s="53"/>
    </row>
    <row r="548" spans="14:19" x14ac:dyDescent="0.3">
      <c r="N548" s="51"/>
      <c r="O548" s="51"/>
      <c r="P548" s="52"/>
      <c r="Q548" s="53"/>
      <c r="S548" s="53"/>
    </row>
    <row r="549" spans="14:19" x14ac:dyDescent="0.3">
      <c r="N549" s="51"/>
      <c r="O549" s="51"/>
      <c r="P549" s="52"/>
      <c r="Q549" s="53"/>
      <c r="S549" s="53"/>
    </row>
    <row r="550" spans="14:19" x14ac:dyDescent="0.3">
      <c r="N550" s="51"/>
      <c r="O550" s="51"/>
      <c r="P550" s="52"/>
      <c r="Q550" s="53"/>
      <c r="S550" s="53"/>
    </row>
    <row r="551" spans="14:19" x14ac:dyDescent="0.3">
      <c r="N551" s="51"/>
      <c r="O551" s="51"/>
      <c r="P551" s="52"/>
      <c r="Q551" s="53"/>
      <c r="S551" s="53"/>
    </row>
    <row r="552" spans="14:19" x14ac:dyDescent="0.3">
      <c r="N552" s="51"/>
      <c r="O552" s="51"/>
      <c r="P552" s="52"/>
      <c r="Q552" s="53"/>
      <c r="S552" s="53"/>
    </row>
    <row r="553" spans="14:19" x14ac:dyDescent="0.3">
      <c r="N553" s="51"/>
      <c r="O553" s="51"/>
      <c r="P553" s="52"/>
      <c r="Q553" s="53"/>
      <c r="S553" s="53"/>
    </row>
    <row r="554" spans="14:19" x14ac:dyDescent="0.3">
      <c r="N554" s="51"/>
      <c r="O554" s="51"/>
      <c r="P554" s="52"/>
      <c r="Q554" s="53"/>
      <c r="S554" s="53"/>
    </row>
    <row r="555" spans="14:19" x14ac:dyDescent="0.3">
      <c r="N555" s="51"/>
      <c r="O555" s="51"/>
      <c r="P555" s="52"/>
      <c r="Q555" s="53"/>
      <c r="S555" s="53"/>
    </row>
    <row r="556" spans="14:19" x14ac:dyDescent="0.3">
      <c r="N556" s="51"/>
      <c r="O556" s="51"/>
      <c r="P556" s="52"/>
      <c r="Q556" s="53"/>
      <c r="S556" s="53"/>
    </row>
    <row r="557" spans="14:19" x14ac:dyDescent="0.3">
      <c r="N557" s="51"/>
      <c r="O557" s="51"/>
      <c r="P557" s="52"/>
      <c r="Q557" s="53"/>
      <c r="S557" s="53"/>
    </row>
    <row r="558" spans="14:19" x14ac:dyDescent="0.3">
      <c r="N558" s="51"/>
      <c r="O558" s="51"/>
      <c r="P558" s="52"/>
      <c r="Q558" s="53"/>
      <c r="S558" s="53"/>
    </row>
    <row r="559" spans="14:19" x14ac:dyDescent="0.3">
      <c r="N559" s="51"/>
      <c r="O559" s="51"/>
      <c r="P559" s="52"/>
      <c r="Q559" s="53"/>
      <c r="S559" s="53"/>
    </row>
    <row r="560" spans="14:19" x14ac:dyDescent="0.3">
      <c r="N560" s="51"/>
      <c r="O560" s="51"/>
      <c r="P560" s="52"/>
      <c r="Q560" s="53"/>
      <c r="S560" s="53"/>
    </row>
    <row r="561" spans="14:19" x14ac:dyDescent="0.3">
      <c r="N561" s="51"/>
      <c r="O561" s="51"/>
      <c r="P561" s="52"/>
      <c r="Q561" s="53"/>
      <c r="S561" s="53"/>
    </row>
    <row r="562" spans="14:19" x14ac:dyDescent="0.3">
      <c r="N562" s="51"/>
      <c r="O562" s="51"/>
      <c r="P562" s="52"/>
      <c r="Q562" s="53"/>
      <c r="S562" s="53"/>
    </row>
    <row r="563" spans="14:19" x14ac:dyDescent="0.3">
      <c r="N563" s="51"/>
      <c r="O563" s="51"/>
      <c r="P563" s="52"/>
      <c r="Q563" s="53"/>
      <c r="S563" s="53"/>
    </row>
    <row r="564" spans="14:19" x14ac:dyDescent="0.3">
      <c r="N564" s="51"/>
      <c r="O564" s="51"/>
      <c r="P564" s="52"/>
      <c r="Q564" s="53"/>
      <c r="S564" s="53"/>
    </row>
    <row r="565" spans="14:19" x14ac:dyDescent="0.3">
      <c r="N565" s="51"/>
      <c r="O565" s="51"/>
      <c r="P565" s="52"/>
      <c r="Q565" s="53"/>
      <c r="S565" s="53"/>
    </row>
    <row r="566" spans="14:19" x14ac:dyDescent="0.3">
      <c r="N566" s="51"/>
      <c r="O566" s="51"/>
      <c r="P566" s="52"/>
      <c r="Q566" s="53"/>
      <c r="S566" s="53"/>
    </row>
    <row r="567" spans="14:19" x14ac:dyDescent="0.3">
      <c r="N567" s="51"/>
      <c r="O567" s="51"/>
      <c r="P567" s="52"/>
      <c r="Q567" s="53"/>
      <c r="S567" s="53"/>
    </row>
    <row r="568" spans="14:19" x14ac:dyDescent="0.3">
      <c r="N568" s="51"/>
      <c r="O568" s="51"/>
      <c r="P568" s="52"/>
      <c r="Q568" s="53"/>
      <c r="S568" s="53"/>
    </row>
    <row r="569" spans="14:19" x14ac:dyDescent="0.3">
      <c r="N569" s="51"/>
      <c r="O569" s="51"/>
      <c r="P569" s="52"/>
      <c r="Q569" s="53"/>
      <c r="S569" s="53"/>
    </row>
    <row r="570" spans="14:19" x14ac:dyDescent="0.3">
      <c r="N570" s="51"/>
      <c r="O570" s="51"/>
      <c r="P570" s="52"/>
      <c r="Q570" s="53"/>
      <c r="S570" s="53"/>
    </row>
    <row r="571" spans="14:19" x14ac:dyDescent="0.3">
      <c r="N571" s="51"/>
      <c r="O571" s="51"/>
      <c r="P571" s="52"/>
      <c r="Q571" s="53"/>
      <c r="S571" s="53"/>
    </row>
    <row r="572" spans="14:19" x14ac:dyDescent="0.3">
      <c r="N572" s="51"/>
      <c r="O572" s="51"/>
      <c r="P572" s="52"/>
      <c r="Q572" s="53"/>
      <c r="S572" s="53"/>
    </row>
    <row r="573" spans="14:19" x14ac:dyDescent="0.3">
      <c r="N573" s="51"/>
      <c r="O573" s="51"/>
      <c r="P573" s="52"/>
      <c r="Q573" s="53"/>
      <c r="S573" s="53"/>
    </row>
    <row r="574" spans="14:19" x14ac:dyDescent="0.3">
      <c r="N574" s="51"/>
      <c r="O574" s="51"/>
      <c r="P574" s="52"/>
      <c r="Q574" s="53"/>
      <c r="S574" s="53"/>
    </row>
    <row r="575" spans="14:19" x14ac:dyDescent="0.3">
      <c r="N575" s="51"/>
      <c r="O575" s="51"/>
      <c r="P575" s="52"/>
      <c r="Q575" s="53"/>
      <c r="S575" s="53"/>
    </row>
    <row r="576" spans="14:19" x14ac:dyDescent="0.3">
      <c r="N576" s="51"/>
      <c r="O576" s="51"/>
      <c r="P576" s="52"/>
      <c r="Q576" s="53"/>
      <c r="S576" s="53"/>
    </row>
    <row r="577" spans="14:19" x14ac:dyDescent="0.3">
      <c r="N577" s="51"/>
      <c r="O577" s="51"/>
      <c r="P577" s="52"/>
      <c r="Q577" s="53"/>
      <c r="S577" s="53"/>
    </row>
    <row r="578" spans="14:19" x14ac:dyDescent="0.3">
      <c r="N578" s="51"/>
      <c r="O578" s="51"/>
      <c r="P578" s="52"/>
      <c r="Q578" s="53"/>
      <c r="S578" s="53"/>
    </row>
    <row r="579" spans="14:19" x14ac:dyDescent="0.3">
      <c r="N579" s="51"/>
      <c r="O579" s="51"/>
      <c r="P579" s="52"/>
      <c r="Q579" s="53"/>
      <c r="S579" s="53"/>
    </row>
    <row r="580" spans="14:19" x14ac:dyDescent="0.3">
      <c r="N580" s="51"/>
      <c r="O580" s="51"/>
      <c r="P580" s="52"/>
      <c r="Q580" s="53"/>
      <c r="S580" s="53"/>
    </row>
    <row r="581" spans="14:19" x14ac:dyDescent="0.3">
      <c r="N581" s="51"/>
      <c r="O581" s="51"/>
      <c r="P581" s="52"/>
      <c r="Q581" s="53"/>
      <c r="S581" s="53"/>
    </row>
    <row r="582" spans="14:19" x14ac:dyDescent="0.3">
      <c r="N582" s="51"/>
      <c r="O582" s="51"/>
      <c r="P582" s="52"/>
      <c r="Q582" s="53"/>
      <c r="S582" s="53"/>
    </row>
    <row r="583" spans="14:19" x14ac:dyDescent="0.3">
      <c r="N583" s="51"/>
      <c r="O583" s="51"/>
      <c r="P583" s="52"/>
      <c r="Q583" s="53"/>
      <c r="S583" s="53"/>
    </row>
    <row r="584" spans="14:19" x14ac:dyDescent="0.3">
      <c r="N584" s="51"/>
      <c r="O584" s="51"/>
      <c r="P584" s="52"/>
      <c r="Q584" s="53"/>
      <c r="S584" s="53"/>
    </row>
    <row r="585" spans="14:19" x14ac:dyDescent="0.3">
      <c r="N585" s="51"/>
      <c r="O585" s="51"/>
      <c r="P585" s="52"/>
      <c r="Q585" s="53"/>
      <c r="S585" s="53"/>
    </row>
    <row r="586" spans="14:19" x14ac:dyDescent="0.3">
      <c r="N586" s="51"/>
      <c r="O586" s="51"/>
      <c r="P586" s="52"/>
      <c r="Q586" s="53"/>
      <c r="S586" s="53"/>
    </row>
    <row r="587" spans="14:19" x14ac:dyDescent="0.3">
      <c r="N587" s="51"/>
      <c r="O587" s="51"/>
      <c r="P587" s="52"/>
      <c r="Q587" s="53"/>
      <c r="S587" s="53"/>
    </row>
    <row r="588" spans="14:19" x14ac:dyDescent="0.3">
      <c r="N588" s="51"/>
      <c r="O588" s="51"/>
      <c r="P588" s="52"/>
      <c r="Q588" s="53"/>
      <c r="S588" s="53"/>
    </row>
    <row r="589" spans="14:19" x14ac:dyDescent="0.3">
      <c r="N589" s="51"/>
      <c r="O589" s="51"/>
      <c r="P589" s="52"/>
      <c r="Q589" s="53"/>
      <c r="S589" s="53"/>
    </row>
    <row r="590" spans="14:19" x14ac:dyDescent="0.3">
      <c r="N590" s="51"/>
      <c r="O590" s="51"/>
      <c r="P590" s="52"/>
      <c r="Q590" s="53"/>
      <c r="S590" s="53"/>
    </row>
    <row r="591" spans="14:19" x14ac:dyDescent="0.3">
      <c r="N591" s="51"/>
      <c r="O591" s="51"/>
      <c r="P591" s="52"/>
      <c r="Q591" s="53"/>
      <c r="S591" s="53"/>
    </row>
    <row r="592" spans="14:19" x14ac:dyDescent="0.3">
      <c r="N592" s="51"/>
      <c r="O592" s="51"/>
      <c r="P592" s="52"/>
      <c r="Q592" s="53"/>
      <c r="S592" s="53"/>
    </row>
    <row r="593" spans="14:19" x14ac:dyDescent="0.3">
      <c r="N593" s="51"/>
      <c r="O593" s="51"/>
      <c r="P593" s="52"/>
      <c r="Q593" s="53"/>
      <c r="S593" s="53"/>
    </row>
    <row r="594" spans="14:19" x14ac:dyDescent="0.3">
      <c r="N594" s="51"/>
      <c r="O594" s="51"/>
      <c r="P594" s="52"/>
      <c r="Q594" s="53"/>
      <c r="S594" s="53"/>
    </row>
    <row r="595" spans="14:19" x14ac:dyDescent="0.3">
      <c r="N595" s="51"/>
      <c r="O595" s="51"/>
      <c r="P595" s="52"/>
      <c r="Q595" s="53"/>
      <c r="S595" s="53"/>
    </row>
    <row r="596" spans="14:19" x14ac:dyDescent="0.3">
      <c r="N596" s="51"/>
      <c r="O596" s="51"/>
      <c r="P596" s="52"/>
      <c r="Q596" s="53"/>
      <c r="S596" s="53"/>
    </row>
    <row r="597" spans="14:19" x14ac:dyDescent="0.3">
      <c r="N597" s="51"/>
      <c r="O597" s="51"/>
      <c r="P597" s="52"/>
      <c r="Q597" s="53"/>
      <c r="S597" s="53"/>
    </row>
    <row r="598" spans="14:19" x14ac:dyDescent="0.3">
      <c r="N598" s="51"/>
      <c r="O598" s="51"/>
      <c r="P598" s="52"/>
      <c r="Q598" s="53"/>
      <c r="S598" s="53"/>
    </row>
    <row r="599" spans="14:19" x14ac:dyDescent="0.3">
      <c r="N599" s="51"/>
      <c r="O599" s="51"/>
      <c r="P599" s="52"/>
      <c r="Q599" s="53"/>
      <c r="S599" s="53"/>
    </row>
    <row r="600" spans="14:19" x14ac:dyDescent="0.3">
      <c r="N600" s="51"/>
      <c r="O600" s="51"/>
      <c r="P600" s="52"/>
      <c r="Q600" s="53"/>
      <c r="S600" s="53"/>
    </row>
    <row r="601" spans="14:19" x14ac:dyDescent="0.3">
      <c r="N601" s="51"/>
      <c r="O601" s="51"/>
      <c r="P601" s="52"/>
      <c r="Q601" s="53"/>
      <c r="S601" s="53"/>
    </row>
    <row r="602" spans="14:19" x14ac:dyDescent="0.3">
      <c r="N602" s="51"/>
      <c r="O602" s="51"/>
      <c r="P602" s="52"/>
      <c r="Q602" s="53"/>
      <c r="S602" s="53"/>
    </row>
    <row r="603" spans="14:19" x14ac:dyDescent="0.3">
      <c r="N603" s="51"/>
      <c r="O603" s="51"/>
      <c r="P603" s="52"/>
      <c r="Q603" s="53"/>
      <c r="S603" s="53"/>
    </row>
    <row r="604" spans="14:19" x14ac:dyDescent="0.3">
      <c r="N604" s="51"/>
      <c r="O604" s="51"/>
      <c r="P604" s="52"/>
      <c r="Q604" s="53"/>
      <c r="S604" s="53"/>
    </row>
    <row r="605" spans="14:19" x14ac:dyDescent="0.3">
      <c r="N605" s="51"/>
      <c r="O605" s="51"/>
      <c r="P605" s="52"/>
      <c r="Q605" s="53"/>
      <c r="S605" s="53"/>
    </row>
    <row r="606" spans="14:19" x14ac:dyDescent="0.3">
      <c r="N606" s="51"/>
      <c r="O606" s="51"/>
      <c r="P606" s="52"/>
      <c r="Q606" s="53"/>
      <c r="S606" s="53"/>
    </row>
    <row r="607" spans="14:19" x14ac:dyDescent="0.3">
      <c r="N607" s="51"/>
      <c r="O607" s="51"/>
      <c r="P607" s="52"/>
      <c r="Q607" s="53"/>
      <c r="S607" s="53"/>
    </row>
    <row r="608" spans="14:19" x14ac:dyDescent="0.3">
      <c r="N608" s="51"/>
      <c r="O608" s="51"/>
      <c r="P608" s="52"/>
      <c r="Q608" s="53"/>
      <c r="S608" s="53"/>
    </row>
    <row r="609" spans="14:19" x14ac:dyDescent="0.3">
      <c r="N609" s="51"/>
      <c r="O609" s="51"/>
      <c r="P609" s="52"/>
      <c r="Q609" s="53"/>
      <c r="S609" s="53"/>
    </row>
    <row r="610" spans="14:19" x14ac:dyDescent="0.3">
      <c r="N610" s="51"/>
      <c r="O610" s="51"/>
      <c r="P610" s="52"/>
      <c r="Q610" s="53"/>
      <c r="S610" s="53"/>
    </row>
    <row r="611" spans="14:19" x14ac:dyDescent="0.3">
      <c r="N611" s="51"/>
      <c r="O611" s="51"/>
      <c r="P611" s="52"/>
      <c r="Q611" s="53"/>
      <c r="S611" s="53"/>
    </row>
    <row r="612" spans="14:19" x14ac:dyDescent="0.3">
      <c r="N612" s="51"/>
      <c r="O612" s="51"/>
      <c r="P612" s="52"/>
      <c r="Q612" s="53"/>
      <c r="S612" s="53"/>
    </row>
    <row r="613" spans="14:19" x14ac:dyDescent="0.3">
      <c r="N613" s="51"/>
      <c r="O613" s="51"/>
      <c r="P613" s="52"/>
      <c r="Q613" s="53"/>
      <c r="S613" s="53"/>
    </row>
    <row r="614" spans="14:19" x14ac:dyDescent="0.3">
      <c r="N614" s="51"/>
      <c r="O614" s="51"/>
      <c r="P614" s="52"/>
      <c r="Q614" s="53"/>
      <c r="S614" s="53"/>
    </row>
    <row r="615" spans="14:19" x14ac:dyDescent="0.3">
      <c r="N615" s="51"/>
      <c r="O615" s="51"/>
      <c r="P615" s="52"/>
      <c r="Q615" s="53"/>
      <c r="S615" s="53"/>
    </row>
    <row r="616" spans="14:19" x14ac:dyDescent="0.3">
      <c r="N616" s="51"/>
      <c r="O616" s="51"/>
      <c r="P616" s="52"/>
      <c r="Q616" s="53"/>
      <c r="S616" s="53"/>
    </row>
    <row r="617" spans="14:19" x14ac:dyDescent="0.3">
      <c r="N617" s="51"/>
      <c r="O617" s="51"/>
      <c r="P617" s="52"/>
      <c r="Q617" s="53"/>
      <c r="S617" s="53"/>
    </row>
    <row r="618" spans="14:19" x14ac:dyDescent="0.3">
      <c r="N618" s="51"/>
      <c r="O618" s="51"/>
      <c r="P618" s="52"/>
      <c r="Q618" s="53"/>
      <c r="S618" s="53"/>
    </row>
    <row r="619" spans="14:19" x14ac:dyDescent="0.3">
      <c r="N619" s="51"/>
      <c r="O619" s="51"/>
      <c r="P619" s="52"/>
      <c r="Q619" s="53"/>
      <c r="S619" s="53"/>
    </row>
    <row r="620" spans="14:19" x14ac:dyDescent="0.3">
      <c r="N620" s="51"/>
      <c r="O620" s="51"/>
      <c r="P620" s="52"/>
      <c r="Q620" s="53"/>
      <c r="S620" s="53"/>
    </row>
    <row r="621" spans="14:19" x14ac:dyDescent="0.3">
      <c r="N621" s="51"/>
      <c r="O621" s="51"/>
      <c r="P621" s="52"/>
      <c r="Q621" s="53"/>
      <c r="S621" s="53"/>
    </row>
    <row r="622" spans="14:19" x14ac:dyDescent="0.3">
      <c r="N622" s="51"/>
      <c r="O622" s="51"/>
      <c r="P622" s="52"/>
      <c r="Q622" s="53"/>
      <c r="S622" s="53"/>
    </row>
    <row r="623" spans="14:19" x14ac:dyDescent="0.3">
      <c r="N623" s="51"/>
      <c r="O623" s="51"/>
      <c r="P623" s="52"/>
      <c r="Q623" s="53"/>
      <c r="S623" s="53"/>
    </row>
    <row r="624" spans="14:19" x14ac:dyDescent="0.3">
      <c r="N624" s="51"/>
      <c r="O624" s="51"/>
      <c r="P624" s="52"/>
      <c r="Q624" s="53"/>
      <c r="S624" s="53"/>
    </row>
    <row r="625" spans="14:19" x14ac:dyDescent="0.3">
      <c r="N625" s="51"/>
      <c r="O625" s="51"/>
      <c r="P625" s="52"/>
      <c r="Q625" s="53"/>
      <c r="S625" s="53"/>
    </row>
    <row r="626" spans="14:19" x14ac:dyDescent="0.3">
      <c r="N626" s="51"/>
      <c r="O626" s="51"/>
      <c r="P626" s="52"/>
      <c r="Q626" s="53"/>
      <c r="S626" s="53"/>
    </row>
    <row r="627" spans="14:19" x14ac:dyDescent="0.3">
      <c r="N627" s="51"/>
      <c r="O627" s="51"/>
      <c r="P627" s="52"/>
      <c r="Q627" s="53"/>
      <c r="S627" s="53"/>
    </row>
    <row r="628" spans="14:19" x14ac:dyDescent="0.3">
      <c r="N628" s="51"/>
      <c r="O628" s="51"/>
      <c r="P628" s="52"/>
      <c r="Q628" s="53"/>
      <c r="S628" s="53"/>
    </row>
    <row r="629" spans="14:19" x14ac:dyDescent="0.3">
      <c r="N629" s="51"/>
      <c r="O629" s="51"/>
      <c r="P629" s="52"/>
      <c r="Q629" s="53"/>
      <c r="S629" s="53"/>
    </row>
    <row r="630" spans="14:19" x14ac:dyDescent="0.3">
      <c r="N630" s="51"/>
      <c r="O630" s="51"/>
      <c r="P630" s="52"/>
      <c r="Q630" s="53"/>
      <c r="S630" s="53"/>
    </row>
    <row r="631" spans="14:19" x14ac:dyDescent="0.3">
      <c r="N631" s="51"/>
      <c r="O631" s="51"/>
      <c r="P631" s="52"/>
      <c r="Q631" s="53"/>
      <c r="S631" s="53"/>
    </row>
    <row r="632" spans="14:19" x14ac:dyDescent="0.3">
      <c r="N632" s="51"/>
      <c r="O632" s="51"/>
      <c r="P632" s="52"/>
      <c r="Q632" s="53"/>
      <c r="S632" s="53"/>
    </row>
    <row r="633" spans="14:19" x14ac:dyDescent="0.3">
      <c r="N633" s="51"/>
      <c r="O633" s="51"/>
      <c r="P633" s="52"/>
      <c r="Q633" s="53"/>
      <c r="S633" s="53"/>
    </row>
    <row r="634" spans="14:19" x14ac:dyDescent="0.3">
      <c r="N634" s="51"/>
      <c r="O634" s="51"/>
      <c r="P634" s="52"/>
      <c r="Q634" s="53"/>
      <c r="S634" s="53"/>
    </row>
    <row r="635" spans="14:19" x14ac:dyDescent="0.3">
      <c r="N635" s="51"/>
      <c r="O635" s="51"/>
      <c r="P635" s="52"/>
      <c r="Q635" s="53"/>
      <c r="S635" s="53"/>
    </row>
    <row r="636" spans="14:19" x14ac:dyDescent="0.3">
      <c r="N636" s="51"/>
      <c r="O636" s="51"/>
      <c r="P636" s="52"/>
      <c r="Q636" s="53"/>
      <c r="S636" s="53"/>
    </row>
    <row r="637" spans="14:19" x14ac:dyDescent="0.3">
      <c r="N637" s="51"/>
      <c r="O637" s="51"/>
      <c r="P637" s="52"/>
      <c r="Q637" s="53"/>
      <c r="S637" s="53"/>
    </row>
    <row r="638" spans="14:19" x14ac:dyDescent="0.3">
      <c r="N638" s="51"/>
      <c r="O638" s="51"/>
      <c r="P638" s="52"/>
      <c r="Q638" s="53"/>
      <c r="S638" s="53"/>
    </row>
    <row r="639" spans="14:19" x14ac:dyDescent="0.3">
      <c r="N639" s="51"/>
      <c r="O639" s="51"/>
      <c r="P639" s="52"/>
      <c r="Q639" s="53"/>
      <c r="S639" s="53"/>
    </row>
    <row r="640" spans="14:19" x14ac:dyDescent="0.3">
      <c r="N640" s="51"/>
      <c r="O640" s="51"/>
      <c r="P640" s="52"/>
      <c r="Q640" s="53"/>
      <c r="S640" s="53"/>
    </row>
    <row r="641" spans="14:19" x14ac:dyDescent="0.3">
      <c r="N641" s="51"/>
      <c r="O641" s="51"/>
      <c r="P641" s="52"/>
      <c r="Q641" s="53"/>
      <c r="S641" s="53"/>
    </row>
    <row r="642" spans="14:19" x14ac:dyDescent="0.3">
      <c r="N642" s="51"/>
      <c r="O642" s="51"/>
      <c r="P642" s="52"/>
      <c r="Q642" s="53"/>
      <c r="S642" s="53"/>
    </row>
    <row r="643" spans="14:19" x14ac:dyDescent="0.3">
      <c r="N643" s="51"/>
      <c r="O643" s="51"/>
      <c r="P643" s="52"/>
      <c r="Q643" s="53"/>
      <c r="S643" s="53"/>
    </row>
    <row r="644" spans="14:19" x14ac:dyDescent="0.3">
      <c r="N644" s="51"/>
      <c r="O644" s="51"/>
      <c r="P644" s="52"/>
      <c r="Q644" s="53"/>
      <c r="S644" s="53"/>
    </row>
    <row r="645" spans="14:19" x14ac:dyDescent="0.3">
      <c r="N645" s="51"/>
      <c r="O645" s="51"/>
      <c r="P645" s="52"/>
      <c r="Q645" s="53"/>
      <c r="S645" s="53"/>
    </row>
    <row r="646" spans="14:19" x14ac:dyDescent="0.3">
      <c r="N646" s="51"/>
      <c r="O646" s="51"/>
      <c r="P646" s="52"/>
      <c r="Q646" s="53"/>
      <c r="S646" s="53"/>
    </row>
    <row r="647" spans="14:19" x14ac:dyDescent="0.3">
      <c r="N647" s="51"/>
      <c r="O647" s="51"/>
      <c r="P647" s="52"/>
      <c r="Q647" s="53"/>
      <c r="S647" s="53"/>
    </row>
    <row r="648" spans="14:19" x14ac:dyDescent="0.3">
      <c r="N648" s="51"/>
      <c r="O648" s="51"/>
      <c r="P648" s="52"/>
      <c r="Q648" s="53"/>
      <c r="S648" s="53"/>
    </row>
    <row r="649" spans="14:19" x14ac:dyDescent="0.3">
      <c r="N649" s="51"/>
      <c r="O649" s="51"/>
      <c r="P649" s="52"/>
      <c r="Q649" s="53"/>
      <c r="S649" s="53"/>
    </row>
    <row r="650" spans="14:19" x14ac:dyDescent="0.3">
      <c r="N650" s="51"/>
      <c r="O650" s="51"/>
      <c r="P650" s="52"/>
      <c r="Q650" s="53"/>
      <c r="S650" s="53"/>
    </row>
    <row r="651" spans="14:19" x14ac:dyDescent="0.3">
      <c r="N651" s="51"/>
      <c r="O651" s="51"/>
      <c r="P651" s="52"/>
      <c r="Q651" s="53"/>
      <c r="S651" s="53"/>
    </row>
    <row r="652" spans="14:19" x14ac:dyDescent="0.3">
      <c r="N652" s="51"/>
      <c r="O652" s="51"/>
      <c r="P652" s="52"/>
      <c r="Q652" s="53"/>
      <c r="S652" s="53"/>
    </row>
    <row r="653" spans="14:19" x14ac:dyDescent="0.3">
      <c r="N653" s="51"/>
      <c r="O653" s="51"/>
      <c r="P653" s="52"/>
      <c r="Q653" s="53"/>
      <c r="S653" s="53"/>
    </row>
    <row r="654" spans="14:19" x14ac:dyDescent="0.3">
      <c r="N654" s="51"/>
      <c r="O654" s="51"/>
      <c r="P654" s="52"/>
      <c r="Q654" s="53"/>
      <c r="S654" s="53"/>
    </row>
    <row r="655" spans="14:19" x14ac:dyDescent="0.3">
      <c r="N655" s="51"/>
      <c r="O655" s="51"/>
      <c r="P655" s="52"/>
      <c r="Q655" s="53"/>
      <c r="S655" s="53"/>
    </row>
    <row r="656" spans="14:19" x14ac:dyDescent="0.3">
      <c r="N656" s="51"/>
      <c r="O656" s="51"/>
      <c r="P656" s="52"/>
      <c r="Q656" s="53"/>
      <c r="S656" s="53"/>
    </row>
    <row r="657" spans="14:19" x14ac:dyDescent="0.3">
      <c r="N657" s="51"/>
      <c r="O657" s="51"/>
      <c r="P657" s="52"/>
      <c r="Q657" s="53"/>
      <c r="S657" s="53"/>
    </row>
    <row r="658" spans="14:19" x14ac:dyDescent="0.3">
      <c r="N658" s="51"/>
      <c r="O658" s="51"/>
      <c r="P658" s="52"/>
      <c r="Q658" s="53"/>
      <c r="S658" s="53"/>
    </row>
    <row r="659" spans="14:19" x14ac:dyDescent="0.3">
      <c r="N659" s="51"/>
      <c r="O659" s="51"/>
      <c r="P659" s="52"/>
      <c r="Q659" s="53"/>
      <c r="S659" s="53"/>
    </row>
    <row r="660" spans="14:19" x14ac:dyDescent="0.3">
      <c r="N660" s="51"/>
      <c r="O660" s="51"/>
      <c r="P660" s="52"/>
      <c r="Q660" s="53"/>
      <c r="S660" s="53"/>
    </row>
    <row r="661" spans="14:19" x14ac:dyDescent="0.3">
      <c r="N661" s="51"/>
      <c r="O661" s="51"/>
      <c r="P661" s="52"/>
      <c r="Q661" s="53"/>
      <c r="S661" s="53"/>
    </row>
    <row r="662" spans="14:19" x14ac:dyDescent="0.3">
      <c r="N662" s="51"/>
      <c r="O662" s="51"/>
      <c r="P662" s="52"/>
      <c r="Q662" s="53"/>
      <c r="S662" s="53"/>
    </row>
    <row r="663" spans="14:19" x14ac:dyDescent="0.3">
      <c r="N663" s="51"/>
      <c r="O663" s="51"/>
      <c r="P663" s="52"/>
      <c r="Q663" s="53"/>
      <c r="S663" s="53"/>
    </row>
    <row r="664" spans="14:19" x14ac:dyDescent="0.3">
      <c r="N664" s="51"/>
      <c r="O664" s="51"/>
      <c r="P664" s="52"/>
      <c r="Q664" s="53"/>
      <c r="S664" s="53"/>
    </row>
    <row r="665" spans="14:19" x14ac:dyDescent="0.3">
      <c r="N665" s="51"/>
      <c r="O665" s="51"/>
      <c r="P665" s="52"/>
      <c r="Q665" s="53"/>
      <c r="S665" s="53"/>
    </row>
    <row r="666" spans="14:19" x14ac:dyDescent="0.3">
      <c r="N666" s="51"/>
      <c r="O666" s="51"/>
      <c r="P666" s="52"/>
      <c r="Q666" s="53"/>
      <c r="S666" s="53"/>
    </row>
    <row r="667" spans="14:19" x14ac:dyDescent="0.3">
      <c r="N667" s="51"/>
      <c r="O667" s="51"/>
      <c r="P667" s="52"/>
      <c r="Q667" s="53"/>
      <c r="S667" s="53"/>
    </row>
    <row r="668" spans="14:19" x14ac:dyDescent="0.3">
      <c r="N668" s="51"/>
      <c r="O668" s="51"/>
      <c r="P668" s="52"/>
      <c r="Q668" s="53"/>
      <c r="S668" s="53"/>
    </row>
    <row r="669" spans="14:19" x14ac:dyDescent="0.3">
      <c r="N669" s="51"/>
      <c r="O669" s="51"/>
      <c r="P669" s="52"/>
      <c r="Q669" s="53"/>
      <c r="S669" s="53"/>
    </row>
    <row r="670" spans="14:19" x14ac:dyDescent="0.3">
      <c r="N670" s="51"/>
      <c r="O670" s="51"/>
      <c r="P670" s="52"/>
      <c r="Q670" s="53"/>
      <c r="S670" s="53"/>
    </row>
    <row r="671" spans="14:19" x14ac:dyDescent="0.3">
      <c r="N671" s="51"/>
      <c r="O671" s="51"/>
      <c r="P671" s="52"/>
      <c r="Q671" s="53"/>
      <c r="S671" s="53"/>
    </row>
    <row r="672" spans="14:19" x14ac:dyDescent="0.3">
      <c r="N672" s="51"/>
      <c r="O672" s="51"/>
      <c r="P672" s="52"/>
      <c r="Q672" s="53"/>
      <c r="S672" s="53"/>
    </row>
    <row r="673" spans="14:19" x14ac:dyDescent="0.3">
      <c r="N673" s="51"/>
      <c r="O673" s="51"/>
      <c r="P673" s="52"/>
      <c r="Q673" s="53"/>
      <c r="S673" s="53"/>
    </row>
    <row r="674" spans="14:19" x14ac:dyDescent="0.3">
      <c r="N674" s="51"/>
      <c r="O674" s="51"/>
      <c r="P674" s="52"/>
      <c r="Q674" s="53"/>
      <c r="S674" s="53"/>
    </row>
    <row r="675" spans="14:19" x14ac:dyDescent="0.3">
      <c r="N675" s="51"/>
      <c r="O675" s="51"/>
      <c r="P675" s="52"/>
      <c r="Q675" s="53"/>
      <c r="S675" s="53"/>
    </row>
    <row r="676" spans="14:19" x14ac:dyDescent="0.3">
      <c r="N676" s="51"/>
      <c r="O676" s="51"/>
      <c r="P676" s="52"/>
      <c r="Q676" s="53"/>
      <c r="S676" s="53"/>
    </row>
    <row r="677" spans="14:19" x14ac:dyDescent="0.3">
      <c r="N677" s="51"/>
      <c r="O677" s="51"/>
      <c r="P677" s="52"/>
      <c r="Q677" s="53"/>
      <c r="S677" s="53"/>
    </row>
    <row r="678" spans="14:19" x14ac:dyDescent="0.3">
      <c r="N678" s="51"/>
      <c r="O678" s="51"/>
      <c r="P678" s="52"/>
      <c r="Q678" s="53"/>
      <c r="S678" s="53"/>
    </row>
    <row r="679" spans="14:19" x14ac:dyDescent="0.3">
      <c r="N679" s="51"/>
      <c r="O679" s="51"/>
      <c r="P679" s="52"/>
      <c r="Q679" s="53"/>
      <c r="S679" s="53"/>
    </row>
    <row r="680" spans="14:19" x14ac:dyDescent="0.3">
      <c r="N680" s="51"/>
      <c r="O680" s="51"/>
      <c r="P680" s="52"/>
      <c r="Q680" s="53"/>
      <c r="S680" s="53"/>
    </row>
    <row r="681" spans="14:19" x14ac:dyDescent="0.3">
      <c r="N681" s="51"/>
      <c r="O681" s="51"/>
      <c r="P681" s="52"/>
      <c r="Q681" s="53"/>
      <c r="S681" s="53"/>
    </row>
    <row r="682" spans="14:19" x14ac:dyDescent="0.3">
      <c r="N682" s="51"/>
      <c r="O682" s="51"/>
      <c r="P682" s="52"/>
      <c r="Q682" s="53"/>
      <c r="S682" s="53"/>
    </row>
    <row r="683" spans="14:19" x14ac:dyDescent="0.3">
      <c r="N683" s="51"/>
      <c r="O683" s="51"/>
      <c r="P683" s="52"/>
      <c r="Q683" s="53"/>
      <c r="S683" s="53"/>
    </row>
    <row r="684" spans="14:19" x14ac:dyDescent="0.3">
      <c r="N684" s="51"/>
      <c r="O684" s="51"/>
      <c r="P684" s="52"/>
      <c r="Q684" s="53"/>
      <c r="S684" s="53"/>
    </row>
    <row r="685" spans="14:19" x14ac:dyDescent="0.3">
      <c r="N685" s="51"/>
      <c r="O685" s="51"/>
      <c r="P685" s="52"/>
      <c r="Q685" s="53"/>
      <c r="S685" s="53"/>
    </row>
    <row r="686" spans="14:19" x14ac:dyDescent="0.3">
      <c r="N686" s="51"/>
      <c r="O686" s="51"/>
      <c r="P686" s="52"/>
      <c r="Q686" s="53"/>
      <c r="S686" s="53"/>
    </row>
    <row r="687" spans="14:19" x14ac:dyDescent="0.3">
      <c r="N687" s="51"/>
      <c r="O687" s="51"/>
      <c r="P687" s="52"/>
      <c r="Q687" s="53"/>
      <c r="S687" s="53"/>
    </row>
    <row r="688" spans="14:19" x14ac:dyDescent="0.3">
      <c r="N688" s="51"/>
      <c r="O688" s="51"/>
      <c r="P688" s="52"/>
      <c r="Q688" s="53"/>
      <c r="S688" s="53"/>
    </row>
    <row r="689" spans="14:19" x14ac:dyDescent="0.3">
      <c r="N689" s="51"/>
      <c r="O689" s="51"/>
      <c r="P689" s="52"/>
      <c r="Q689" s="53"/>
      <c r="S689" s="53"/>
    </row>
    <row r="690" spans="14:19" x14ac:dyDescent="0.3">
      <c r="N690" s="51"/>
      <c r="O690" s="51"/>
      <c r="P690" s="52"/>
      <c r="Q690" s="53"/>
      <c r="S690" s="53"/>
    </row>
    <row r="691" spans="14:19" x14ac:dyDescent="0.3">
      <c r="N691" s="51"/>
      <c r="O691" s="51"/>
      <c r="P691" s="52"/>
      <c r="Q691" s="53"/>
      <c r="S691" s="53"/>
    </row>
    <row r="692" spans="14:19" x14ac:dyDescent="0.3">
      <c r="N692" s="51"/>
      <c r="O692" s="51"/>
      <c r="P692" s="52"/>
      <c r="Q692" s="53"/>
      <c r="S692" s="53"/>
    </row>
    <row r="693" spans="14:19" x14ac:dyDescent="0.3">
      <c r="N693" s="51"/>
      <c r="O693" s="51"/>
      <c r="P693" s="52"/>
      <c r="Q693" s="53"/>
      <c r="S693" s="53"/>
    </row>
    <row r="694" spans="14:19" x14ac:dyDescent="0.3">
      <c r="N694" s="51"/>
      <c r="O694" s="51"/>
      <c r="P694" s="52"/>
      <c r="Q694" s="53"/>
      <c r="S694" s="53"/>
    </row>
    <row r="695" spans="14:19" x14ac:dyDescent="0.3">
      <c r="N695" s="51"/>
      <c r="O695" s="51"/>
      <c r="P695" s="52"/>
      <c r="Q695" s="53"/>
      <c r="S695" s="53"/>
    </row>
    <row r="696" spans="14:19" x14ac:dyDescent="0.3">
      <c r="N696" s="51"/>
      <c r="O696" s="51"/>
      <c r="P696" s="52"/>
      <c r="Q696" s="53"/>
      <c r="S696" s="53"/>
    </row>
    <row r="697" spans="14:19" x14ac:dyDescent="0.3">
      <c r="N697" s="51"/>
      <c r="O697" s="51"/>
      <c r="P697" s="52"/>
      <c r="Q697" s="53"/>
      <c r="S697" s="53"/>
    </row>
    <row r="698" spans="14:19" x14ac:dyDescent="0.3">
      <c r="N698" s="51"/>
      <c r="O698" s="51"/>
      <c r="P698" s="52"/>
      <c r="Q698" s="53"/>
      <c r="S698" s="53"/>
    </row>
    <row r="699" spans="14:19" x14ac:dyDescent="0.3">
      <c r="N699" s="51"/>
      <c r="O699" s="51"/>
      <c r="P699" s="52"/>
      <c r="Q699" s="53"/>
      <c r="S699" s="53"/>
    </row>
    <row r="700" spans="14:19" x14ac:dyDescent="0.3">
      <c r="N700" s="51"/>
      <c r="O700" s="51"/>
      <c r="P700" s="52"/>
      <c r="Q700" s="53"/>
      <c r="S700" s="53"/>
    </row>
    <row r="701" spans="14:19" x14ac:dyDescent="0.3">
      <c r="N701" s="51"/>
      <c r="O701" s="51"/>
      <c r="P701" s="52"/>
      <c r="Q701" s="53"/>
      <c r="S701" s="53"/>
    </row>
    <row r="702" spans="14:19" x14ac:dyDescent="0.3">
      <c r="N702" s="51"/>
      <c r="O702" s="51"/>
      <c r="P702" s="52"/>
      <c r="Q702" s="53"/>
      <c r="S702" s="53"/>
    </row>
    <row r="703" spans="14:19" x14ac:dyDescent="0.3">
      <c r="N703" s="51"/>
      <c r="O703" s="51"/>
      <c r="P703" s="52"/>
      <c r="Q703" s="53"/>
      <c r="S703" s="53"/>
    </row>
    <row r="704" spans="14:19" x14ac:dyDescent="0.3">
      <c r="N704" s="51"/>
      <c r="O704" s="51"/>
      <c r="P704" s="52"/>
      <c r="Q704" s="53"/>
      <c r="S704" s="53"/>
    </row>
    <row r="705" spans="14:19" x14ac:dyDescent="0.3">
      <c r="N705" s="51"/>
      <c r="O705" s="51"/>
      <c r="P705" s="52"/>
      <c r="Q705" s="53"/>
      <c r="S705" s="53"/>
    </row>
    <row r="706" spans="14:19" x14ac:dyDescent="0.3">
      <c r="N706" s="51"/>
      <c r="O706" s="51"/>
      <c r="P706" s="52"/>
      <c r="Q706" s="53"/>
      <c r="S706" s="53"/>
    </row>
    <row r="707" spans="14:19" x14ac:dyDescent="0.3">
      <c r="N707" s="51"/>
      <c r="O707" s="51"/>
      <c r="P707" s="52"/>
      <c r="Q707" s="53"/>
      <c r="S707" s="53"/>
    </row>
    <row r="708" spans="14:19" x14ac:dyDescent="0.3">
      <c r="N708" s="51"/>
      <c r="O708" s="51"/>
      <c r="P708" s="52"/>
      <c r="Q708" s="53"/>
      <c r="S708" s="53"/>
    </row>
    <row r="709" spans="14:19" x14ac:dyDescent="0.3">
      <c r="N709" s="51"/>
      <c r="O709" s="51"/>
      <c r="P709" s="52"/>
      <c r="Q709" s="53"/>
      <c r="S709" s="53"/>
    </row>
    <row r="710" spans="14:19" x14ac:dyDescent="0.3">
      <c r="N710" s="51"/>
      <c r="O710" s="51"/>
      <c r="P710" s="52"/>
      <c r="Q710" s="53"/>
      <c r="S710" s="53"/>
    </row>
    <row r="711" spans="14:19" x14ac:dyDescent="0.3">
      <c r="N711" s="51"/>
      <c r="O711" s="51"/>
      <c r="P711" s="52"/>
      <c r="Q711" s="53"/>
      <c r="S711" s="53"/>
    </row>
    <row r="712" spans="14:19" x14ac:dyDescent="0.3">
      <c r="N712" s="51"/>
      <c r="O712" s="51"/>
      <c r="P712" s="52"/>
      <c r="Q712" s="53"/>
      <c r="S712" s="53"/>
    </row>
    <row r="713" spans="14:19" x14ac:dyDescent="0.3">
      <c r="N713" s="51"/>
      <c r="O713" s="51"/>
      <c r="P713" s="52"/>
      <c r="Q713" s="53"/>
      <c r="S713" s="53"/>
    </row>
    <row r="714" spans="14:19" x14ac:dyDescent="0.3">
      <c r="N714" s="51"/>
      <c r="O714" s="51"/>
      <c r="P714" s="52"/>
      <c r="Q714" s="53"/>
      <c r="S714" s="53"/>
    </row>
    <row r="715" spans="14:19" x14ac:dyDescent="0.3">
      <c r="N715" s="51"/>
      <c r="O715" s="51"/>
      <c r="P715" s="52"/>
      <c r="Q715" s="53"/>
      <c r="S715" s="53"/>
    </row>
    <row r="716" spans="14:19" x14ac:dyDescent="0.3">
      <c r="N716" s="51"/>
      <c r="O716" s="51"/>
      <c r="P716" s="52"/>
      <c r="Q716" s="53"/>
      <c r="S716" s="53"/>
    </row>
    <row r="717" spans="14:19" x14ac:dyDescent="0.3">
      <c r="N717" s="51"/>
      <c r="O717" s="51"/>
      <c r="P717" s="52"/>
      <c r="Q717" s="53"/>
      <c r="S717" s="53"/>
    </row>
    <row r="718" spans="14:19" x14ac:dyDescent="0.3">
      <c r="N718" s="51"/>
      <c r="O718" s="51"/>
      <c r="P718" s="52"/>
      <c r="Q718" s="53"/>
      <c r="S718" s="53"/>
    </row>
    <row r="719" spans="14:19" x14ac:dyDescent="0.3">
      <c r="N719" s="51"/>
      <c r="O719" s="51"/>
      <c r="P719" s="52"/>
      <c r="Q719" s="53"/>
      <c r="S719" s="53"/>
    </row>
    <row r="720" spans="14:19" x14ac:dyDescent="0.3">
      <c r="N720" s="51"/>
      <c r="O720" s="51"/>
      <c r="P720" s="52"/>
      <c r="Q720" s="53"/>
      <c r="S720" s="53"/>
    </row>
    <row r="721" spans="14:19" x14ac:dyDescent="0.3">
      <c r="N721" s="51"/>
      <c r="O721" s="51"/>
      <c r="P721" s="52"/>
      <c r="Q721" s="53"/>
      <c r="S721" s="53"/>
    </row>
    <row r="722" spans="14:19" x14ac:dyDescent="0.3">
      <c r="N722" s="51"/>
      <c r="O722" s="51"/>
      <c r="P722" s="52"/>
      <c r="Q722" s="53"/>
      <c r="S722" s="53"/>
    </row>
    <row r="723" spans="14:19" x14ac:dyDescent="0.3">
      <c r="N723" s="51"/>
      <c r="O723" s="51"/>
      <c r="P723" s="52"/>
      <c r="Q723" s="53"/>
      <c r="S723" s="53"/>
    </row>
    <row r="724" spans="14:19" x14ac:dyDescent="0.3">
      <c r="N724" s="51"/>
      <c r="O724" s="51"/>
      <c r="P724" s="52"/>
      <c r="Q724" s="53"/>
      <c r="S724" s="53"/>
    </row>
    <row r="725" spans="14:19" x14ac:dyDescent="0.3">
      <c r="N725" s="51"/>
      <c r="O725" s="51"/>
      <c r="P725" s="52"/>
      <c r="Q725" s="53"/>
      <c r="S725" s="53"/>
    </row>
    <row r="726" spans="14:19" x14ac:dyDescent="0.3">
      <c r="N726" s="51"/>
      <c r="O726" s="51"/>
      <c r="P726" s="52"/>
      <c r="Q726" s="53"/>
      <c r="S726" s="53"/>
    </row>
    <row r="727" spans="14:19" x14ac:dyDescent="0.3">
      <c r="N727" s="51"/>
      <c r="O727" s="51"/>
      <c r="P727" s="52"/>
      <c r="Q727" s="53"/>
      <c r="S727" s="53"/>
    </row>
    <row r="728" spans="14:19" x14ac:dyDescent="0.3">
      <c r="N728" s="51"/>
      <c r="O728" s="51"/>
      <c r="P728" s="52"/>
      <c r="Q728" s="53"/>
      <c r="S728" s="53"/>
    </row>
    <row r="729" spans="14:19" x14ac:dyDescent="0.3">
      <c r="N729" s="51"/>
      <c r="O729" s="51"/>
      <c r="P729" s="52"/>
      <c r="Q729" s="53"/>
      <c r="S729" s="53"/>
    </row>
    <row r="730" spans="14:19" x14ac:dyDescent="0.3">
      <c r="N730" s="51"/>
      <c r="O730" s="51"/>
      <c r="P730" s="52"/>
      <c r="Q730" s="53"/>
      <c r="S730" s="53"/>
    </row>
    <row r="731" spans="14:19" x14ac:dyDescent="0.3">
      <c r="N731" s="51"/>
      <c r="O731" s="51"/>
      <c r="P731" s="52"/>
      <c r="Q731" s="53"/>
      <c r="S731" s="53"/>
    </row>
    <row r="732" spans="14:19" x14ac:dyDescent="0.3">
      <c r="N732" s="51"/>
      <c r="O732" s="51"/>
      <c r="P732" s="52"/>
      <c r="Q732" s="53"/>
      <c r="S732" s="53"/>
    </row>
    <row r="733" spans="14:19" x14ac:dyDescent="0.3">
      <c r="N733" s="51"/>
      <c r="O733" s="51"/>
      <c r="P733" s="52"/>
      <c r="Q733" s="53"/>
      <c r="S733" s="53"/>
    </row>
  </sheetData>
  <sheetProtection algorithmName="SHA-512" hashValue="VRSmo8EXVA9il/kIpmguzCQZEtq2OSxiy75SXKoh5X60xNykwIu7vYISS46IKYdUr6Bo0Eofe7RGkm8eUvANFw==" saltValue="CiOZHIcnl62z3ggZzQ1+gg==" spinCount="100000" sheet="1" formatCells="0" formatColumns="0" formatRows="0" insertColumns="0" insertRows="0" insertHyperlinks="0" deleteColumns="0" deleteRows="0" sort="0" autoFilter="0" pivotTables="0"/>
  <autoFilter ref="A2:L245" xr:uid="{3C7C8755-22A2-4EFB-92AD-8DEB3C09027B}">
    <filterColumn colId="5">
      <filters>
        <filter val="0,04"/>
        <filter val="0,06"/>
        <filter val="0,07"/>
        <filter val="0,08"/>
        <filter val="0,09"/>
        <filter val="0,10"/>
        <filter val="0,11"/>
        <filter val="0,12"/>
        <filter val="0,13"/>
        <filter val="0,14"/>
        <filter val="0,15"/>
        <filter val="0,16"/>
        <filter val="0,17"/>
        <filter val="0,18"/>
        <filter val="0,19"/>
        <filter val="0,20"/>
        <filter val="0,21"/>
        <filter val="0,22"/>
        <filter val="0,23"/>
        <filter val="0,24"/>
        <filter val="0,25"/>
        <filter val="0,26"/>
        <filter val="0,27"/>
        <filter val="0,28"/>
        <filter val="0,29"/>
        <filter val="0,30"/>
        <filter val="0,31"/>
        <filter val="0,32"/>
        <filter val="0,33"/>
        <filter val="0,34"/>
        <filter val="0,35"/>
        <filter val="0,36"/>
        <filter val="0,37"/>
        <filter val="0,38"/>
        <filter val="0,39"/>
        <filter val="0,44"/>
        <filter val="0,45"/>
        <filter val="0,47"/>
        <filter val="0,51"/>
        <filter val="0,53"/>
        <filter val="0,59"/>
        <filter val="0,78"/>
        <filter val="0,79"/>
        <filter val="0,88"/>
        <filter val="0,90"/>
      </filters>
    </filterColumn>
    <sortState xmlns:xlrd2="http://schemas.microsoft.com/office/spreadsheetml/2017/richdata2" ref="A3:L245">
      <sortCondition ref="I2:I240"/>
    </sortState>
  </autoFilter>
  <mergeCells count="3">
    <mergeCell ref="B249:B250"/>
    <mergeCell ref="A1:K1"/>
    <mergeCell ref="O1:O2"/>
  </mergeCells>
  <conditionalFormatting sqref="I2">
    <cfRule type="containsText" dxfId="4" priority="17" operator="containsText" text="Please">
      <formula>NOT(ISERROR(SEARCH("Please",I2)))</formula>
    </cfRule>
  </conditionalFormatting>
  <conditionalFormatting sqref="I3:I245">
    <cfRule type="containsText" dxfId="3" priority="1" operator="containsText" text="В">
      <formula>NOT(ISERROR(SEARCH("В",I3)))</formula>
    </cfRule>
    <cfRule type="containsText" dxfId="2" priority="2" operator="containsText" text="А">
      <formula>NOT(ISERROR(SEARCH("А",I3)))</formula>
    </cfRule>
    <cfRule type="containsText" dxfId="1" priority="3" operator="containsText" text="С">
      <formula>NOT(ISERROR(SEARCH("С",I3)))</formula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:I6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1:I24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4:I24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">
    <cfRule type="expression" dxfId="0" priority="18">
      <formula>"&gt;0"</formula>
    </cfRule>
  </conditionalFormatting>
  <dataValidations count="1">
    <dataValidation type="custom" allowBlank="1" showInputMessage="1" showErrorMessage="1" errorTitle="ERROR" error="Order quantity must be a multiple of Sales per Unit Case (See Column G)." prompt="Order quantity must be a multiple of Sales per Unit Case (See Column G)." sqref="J3:J245" xr:uid="{B3736EBD-8D7F-40C7-A24E-DDD3EC8D7F7E}">
      <formula1>MOD(J3,G3)=0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(21 Century)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Денис Хомик</cp:lastModifiedBy>
  <dcterms:created xsi:type="dcterms:W3CDTF">2022-10-04T17:59:04Z</dcterms:created>
  <dcterms:modified xsi:type="dcterms:W3CDTF">2026-04-23T09:30:47Z</dcterms:modified>
</cp:coreProperties>
</file>