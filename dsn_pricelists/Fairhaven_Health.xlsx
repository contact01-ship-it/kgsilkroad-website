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onch\Downloads\"/>
    </mc:Choice>
  </mc:AlternateContent>
  <xr:revisionPtr revIDLastSave="0" documentId="13_ncr:1_{1774A491-4782-4DA3-A8AE-45EC7D524AB9}" xr6:coauthVersionLast="47" xr6:coauthVersionMax="47" xr10:uidLastSave="{00000000-0000-0000-0000-000000000000}"/>
  <bookViews>
    <workbookView xWindow="-108" yWindow="-108" windowWidth="23256" windowHeight="13896" firstSheet="1" activeTab="1" xr2:uid="{7B17E4C0-12F5-448E-8D52-57E219E203F4}"/>
  </bookViews>
  <sheets>
    <sheet name="Vital Nutrients (2)" sheetId="10" state="hidden" r:id="rId1"/>
    <sheet name="DSN (Fairhaven)" sheetId="11" r:id="rId2"/>
    <sheet name="Check Tabs &gt;&gt;" sheetId="9" state="hidden" r:id="rId3"/>
    <sheet name="EE FS" sheetId="6" state="hidden" r:id="rId4"/>
    <sheet name="MSRP WSP" sheetId="7" state="hidden" r:id="rId5"/>
  </sheets>
  <definedNames>
    <definedName name="_xlnm._FilterDatabase" localSheetId="1" hidden="1">'DSN (Fairhaven)'!$A$2:$J$23</definedName>
    <definedName name="_xlnm._FilterDatabase" localSheetId="0" hidden="1">'Vital Nutrients (2)'!$A$6:$AC$222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1" l="1"/>
  <c r="I22" i="11"/>
  <c r="I19" i="11"/>
  <c r="I17" i="11"/>
  <c r="I16" i="11"/>
  <c r="I5" i="11"/>
  <c r="I4" i="11"/>
  <c r="I3" i="11"/>
  <c r="L29" i="11"/>
  <c r="L20" i="11"/>
  <c r="L19" i="11"/>
  <c r="L18" i="11"/>
  <c r="L16" i="11"/>
  <c r="L11" i="11"/>
  <c r="L7" i="11"/>
  <c r="L4" i="11"/>
  <c r="L3" i="11"/>
  <c r="L24" i="11"/>
  <c r="M24" i="11"/>
  <c r="N24" i="11"/>
  <c r="O24" i="11"/>
  <c r="L25" i="11"/>
  <c r="M25" i="11"/>
  <c r="N25" i="11"/>
  <c r="O25" i="11"/>
  <c r="L26" i="11"/>
  <c r="M26" i="11"/>
  <c r="N26" i="11"/>
  <c r="O26" i="11"/>
  <c r="L27" i="11"/>
  <c r="M27" i="11"/>
  <c r="N27" i="11"/>
  <c r="O27" i="11"/>
  <c r="L28" i="11"/>
  <c r="M28" i="11"/>
  <c r="N28" i="11"/>
  <c r="O28" i="11"/>
  <c r="M29" i="11"/>
  <c r="N29" i="11"/>
  <c r="O29" i="11"/>
  <c r="Q29" i="11" s="1"/>
  <c r="L30" i="11"/>
  <c r="M30" i="11"/>
  <c r="N30" i="11"/>
  <c r="O30" i="11"/>
  <c r="Q30" i="11"/>
  <c r="L31" i="11"/>
  <c r="M31" i="11"/>
  <c r="N31" i="11"/>
  <c r="O31" i="11"/>
  <c r="I30" i="11"/>
  <c r="I29" i="11"/>
  <c r="I28" i="11"/>
  <c r="I27" i="11"/>
  <c r="I26" i="11"/>
  <c r="I25" i="11"/>
  <c r="I24" i="11"/>
  <c r="I2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3" i="11"/>
  <c r="O23" i="11"/>
  <c r="M23" i="11"/>
  <c r="L23" i="11"/>
  <c r="O22" i="11"/>
  <c r="M22" i="11"/>
  <c r="L22" i="11"/>
  <c r="O21" i="11"/>
  <c r="M21" i="11"/>
  <c r="L21" i="11"/>
  <c r="I14" i="11"/>
  <c r="O20" i="11"/>
  <c r="M20" i="11"/>
  <c r="I21" i="11"/>
  <c r="I20" i="11"/>
  <c r="I13" i="11"/>
  <c r="O19" i="11"/>
  <c r="M19" i="11"/>
  <c r="O18" i="11"/>
  <c r="M18" i="11"/>
  <c r="O17" i="11"/>
  <c r="M17" i="11"/>
  <c r="L17" i="11"/>
  <c r="I12" i="11"/>
  <c r="O16" i="11"/>
  <c r="M16" i="11"/>
  <c r="O15" i="11"/>
  <c r="M15" i="11"/>
  <c r="L15" i="11"/>
  <c r="I18" i="11"/>
  <c r="I11" i="11"/>
  <c r="O14" i="11"/>
  <c r="M14" i="11"/>
  <c r="L14" i="11"/>
  <c r="O13" i="11"/>
  <c r="M13" i="11"/>
  <c r="L13" i="11"/>
  <c r="O12" i="11"/>
  <c r="L12" i="11"/>
  <c r="O11" i="11"/>
  <c r="I15" i="11"/>
  <c r="I6" i="11"/>
  <c r="O10" i="11"/>
  <c r="M10" i="11"/>
  <c r="L10" i="11"/>
  <c r="O9" i="11"/>
  <c r="L9" i="11"/>
  <c r="I10" i="11"/>
  <c r="O8" i="11"/>
  <c r="M8" i="11"/>
  <c r="L8" i="11"/>
  <c r="I9" i="11"/>
  <c r="O7" i="11"/>
  <c r="M7" i="11"/>
  <c r="I8" i="11"/>
  <c r="I7" i="11"/>
  <c r="O6" i="11"/>
  <c r="M6" i="11"/>
  <c r="L6" i="11"/>
  <c r="O5" i="11"/>
  <c r="L5" i="11"/>
  <c r="O4" i="11"/>
  <c r="M4" i="11"/>
  <c r="O3" i="11"/>
  <c r="M3" i="11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7" i="10"/>
  <c r="Q27" i="11" l="1"/>
  <c r="Q25" i="11"/>
  <c r="Q26" i="11"/>
  <c r="Q28" i="11"/>
  <c r="Q24" i="11"/>
  <c r="Q31" i="11"/>
  <c r="J2" i="11"/>
  <c r="N2" i="11"/>
  <c r="O2" i="11"/>
  <c r="Q9" i="11"/>
  <c r="Q20" i="11"/>
  <c r="Q19" i="11"/>
  <c r="Q4" i="11"/>
  <c r="Q16" i="11"/>
  <c r="Q21" i="11"/>
  <c r="Q5" i="11"/>
  <c r="M9" i="11"/>
  <c r="Q6" i="11"/>
  <c r="Q18" i="11"/>
  <c r="Q12" i="11"/>
  <c r="Q10" i="11"/>
  <c r="Q7" i="11"/>
  <c r="Q22" i="11"/>
  <c r="Q3" i="11"/>
  <c r="Q15" i="11"/>
  <c r="Q13" i="11"/>
  <c r="Q8" i="11"/>
  <c r="Q14" i="11"/>
  <c r="Q17" i="11"/>
  <c r="Q11" i="11"/>
  <c r="Q23" i="11"/>
  <c r="AM1" i="10"/>
  <c r="M12" i="11" l="1"/>
  <c r="M11" i="11"/>
  <c r="M5" i="11"/>
  <c r="Q1" i="11"/>
  <c r="Z8" i="10"/>
  <c r="Y8" i="10" s="1"/>
  <c r="Z9" i="10"/>
  <c r="Z10" i="10"/>
  <c r="Z11" i="10"/>
  <c r="Z12" i="10"/>
  <c r="Y12" i="10" s="1"/>
  <c r="Z13" i="10"/>
  <c r="Y13" i="10" s="1"/>
  <c r="Z14" i="10"/>
  <c r="Y14" i="10" s="1"/>
  <c r="Z15" i="10"/>
  <c r="Y15" i="10" s="1"/>
  <c r="Z16" i="10"/>
  <c r="Y16" i="10" s="1"/>
  <c r="Z17" i="10"/>
  <c r="Z18" i="10"/>
  <c r="Z19" i="10"/>
  <c r="Y19" i="10" s="1"/>
  <c r="Z20" i="10"/>
  <c r="Y20" i="10" s="1"/>
  <c r="Z21" i="10"/>
  <c r="Y21" i="10" s="1"/>
  <c r="Z22" i="10"/>
  <c r="Z23" i="10"/>
  <c r="Y23" i="10" s="1"/>
  <c r="Z24" i="10"/>
  <c r="Z25" i="10"/>
  <c r="Y25" i="10" s="1"/>
  <c r="Z26" i="10"/>
  <c r="Z27" i="10"/>
  <c r="Y27" i="10" s="1"/>
  <c r="Z28" i="10"/>
  <c r="Z29" i="10"/>
  <c r="Z30" i="10"/>
  <c r="Z31" i="10"/>
  <c r="Y31" i="10" s="1"/>
  <c r="Z32" i="10"/>
  <c r="Y32" i="10" s="1"/>
  <c r="Z33" i="10"/>
  <c r="Y33" i="10" s="1"/>
  <c r="Z34" i="10"/>
  <c r="Y34" i="10" s="1"/>
  <c r="Z35" i="10"/>
  <c r="Y35" i="10" s="1"/>
  <c r="Z36" i="10"/>
  <c r="Y36" i="10" s="1"/>
  <c r="Z37" i="10"/>
  <c r="Y37" i="10" s="1"/>
  <c r="Z38" i="10"/>
  <c r="Z39" i="10"/>
  <c r="Z40" i="10"/>
  <c r="Y40" i="10" s="1"/>
  <c r="Z41" i="10"/>
  <c r="Y41" i="10" s="1"/>
  <c r="Z42" i="10"/>
  <c r="Z43" i="10"/>
  <c r="Z44" i="10"/>
  <c r="Z45" i="10"/>
  <c r="Z46" i="10"/>
  <c r="Y46" i="10" s="1"/>
  <c r="Z47" i="10"/>
  <c r="Y47" i="10" s="1"/>
  <c r="Z48" i="10"/>
  <c r="Z49" i="10"/>
  <c r="Z50" i="10"/>
  <c r="Y50" i="10" s="1"/>
  <c r="Z51" i="10"/>
  <c r="Y51" i="10" s="1"/>
  <c r="Z52" i="10"/>
  <c r="Y52" i="10" s="1"/>
  <c r="Z53" i="10"/>
  <c r="Y53" i="10" s="1"/>
  <c r="Z54" i="10"/>
  <c r="Y54" i="10" s="1"/>
  <c r="Z55" i="10"/>
  <c r="Y55" i="10" s="1"/>
  <c r="Z56" i="10"/>
  <c r="Y56" i="10" s="1"/>
  <c r="Z57" i="10"/>
  <c r="Y57" i="10" s="1"/>
  <c r="Z58" i="10"/>
  <c r="Z59" i="10"/>
  <c r="Z60" i="10"/>
  <c r="Z61" i="10"/>
  <c r="Z62" i="10"/>
  <c r="Y62" i="10" s="1"/>
  <c r="Z63" i="10"/>
  <c r="Y63" i="10" s="1"/>
  <c r="Z64" i="10"/>
  <c r="Y64" i="10" s="1"/>
  <c r="Z65" i="10"/>
  <c r="Y65" i="10" s="1"/>
  <c r="Z66" i="10"/>
  <c r="Y66" i="10" s="1"/>
  <c r="Z67" i="10"/>
  <c r="Y67" i="10" s="1"/>
  <c r="Z68" i="10"/>
  <c r="Y68" i="10" s="1"/>
  <c r="Z69" i="10"/>
  <c r="Y69" i="10" s="1"/>
  <c r="Z70" i="10"/>
  <c r="Y70" i="10" s="1"/>
  <c r="Z71" i="10"/>
  <c r="Y71" i="10" s="1"/>
  <c r="Z72" i="10"/>
  <c r="Y72" i="10" s="1"/>
  <c r="Z73" i="10"/>
  <c r="Y73" i="10" s="1"/>
  <c r="Z74" i="10"/>
  <c r="Y74" i="10" s="1"/>
  <c r="Z75" i="10"/>
  <c r="Y75" i="10" s="1"/>
  <c r="Z76" i="10"/>
  <c r="Y76" i="10" s="1"/>
  <c r="Z77" i="10"/>
  <c r="Y77" i="10" s="1"/>
  <c r="Z78" i="10"/>
  <c r="Y78" i="10" s="1"/>
  <c r="Z79" i="10"/>
  <c r="Z80" i="10"/>
  <c r="Z81" i="10"/>
  <c r="Z82" i="10"/>
  <c r="Z83" i="10"/>
  <c r="Z84" i="10"/>
  <c r="Z85" i="10"/>
  <c r="Z86" i="10"/>
  <c r="Y86" i="10" s="1"/>
  <c r="Z87" i="10"/>
  <c r="Y87" i="10" s="1"/>
  <c r="Z88" i="10"/>
  <c r="Y88" i="10" s="1"/>
  <c r="Z89" i="10"/>
  <c r="Y89" i="10" s="1"/>
  <c r="Z90" i="10"/>
  <c r="Y90" i="10" s="1"/>
  <c r="Z91" i="10"/>
  <c r="Y91" i="10" s="1"/>
  <c r="Z92" i="10"/>
  <c r="Y92" i="10" s="1"/>
  <c r="Z93" i="10"/>
  <c r="Y93" i="10" s="1"/>
  <c r="Z94" i="10"/>
  <c r="Y94" i="10" s="1"/>
  <c r="Z95" i="10"/>
  <c r="Y95" i="10" s="1"/>
  <c r="Z96" i="10"/>
  <c r="Y96" i="10" s="1"/>
  <c r="Z97" i="10"/>
  <c r="Y97" i="10" s="1"/>
  <c r="Z98" i="10"/>
  <c r="Y98" i="10" s="1"/>
  <c r="Z99" i="10"/>
  <c r="Y99" i="10" s="1"/>
  <c r="Z100" i="10"/>
  <c r="Y100" i="10" s="1"/>
  <c r="Z101" i="10"/>
  <c r="Y101" i="10" s="1"/>
  <c r="Z102" i="10"/>
  <c r="Y102" i="10" s="1"/>
  <c r="Z103" i="10"/>
  <c r="Y103" i="10" s="1"/>
  <c r="Z104" i="10"/>
  <c r="Y104" i="10" s="1"/>
  <c r="Z105" i="10"/>
  <c r="Y105" i="10" s="1"/>
  <c r="Z106" i="10"/>
  <c r="Y106" i="10" s="1"/>
  <c r="Z107" i="10"/>
  <c r="Z108" i="10"/>
  <c r="Z109" i="10"/>
  <c r="Z110" i="10"/>
  <c r="Y110" i="10" s="1"/>
  <c r="Z111" i="10"/>
  <c r="Y111" i="10" s="1"/>
  <c r="Z112" i="10"/>
  <c r="Y112" i="10" s="1"/>
  <c r="Z113" i="10"/>
  <c r="Y113" i="10" s="1"/>
  <c r="Z114" i="10"/>
  <c r="Z115" i="10"/>
  <c r="Z116" i="10"/>
  <c r="Y116" i="10" s="1"/>
  <c r="Z117" i="10"/>
  <c r="Z118" i="10"/>
  <c r="Y118" i="10" s="1"/>
  <c r="Z119" i="10"/>
  <c r="Y119" i="10" s="1"/>
  <c r="Z120" i="10"/>
  <c r="Z121" i="10"/>
  <c r="Z122" i="10"/>
  <c r="Z123" i="10"/>
  <c r="Y123" i="10" s="1"/>
  <c r="Z124" i="10"/>
  <c r="Y124" i="10" s="1"/>
  <c r="Z125" i="10"/>
  <c r="Y125" i="10" s="1"/>
  <c r="Z126" i="10"/>
  <c r="Z127" i="10"/>
  <c r="Z128" i="10"/>
  <c r="Z129" i="10"/>
  <c r="Z130" i="10"/>
  <c r="Z131" i="10"/>
  <c r="Z132" i="10"/>
  <c r="Z133" i="10"/>
  <c r="Y133" i="10" s="1"/>
  <c r="Z134" i="10"/>
  <c r="Y134" i="10" s="1"/>
  <c r="Z135" i="10"/>
  <c r="Y135" i="10" s="1"/>
  <c r="Z136" i="10"/>
  <c r="Y136" i="10" s="1"/>
  <c r="Z137" i="10"/>
  <c r="Z138" i="10"/>
  <c r="Z139" i="10"/>
  <c r="Z140" i="10"/>
  <c r="Y140" i="10" s="1"/>
  <c r="Z141" i="10"/>
  <c r="Y141" i="10" s="1"/>
  <c r="Z142" i="10"/>
  <c r="Z143" i="10"/>
  <c r="Z144" i="10"/>
  <c r="Y144" i="10" s="1"/>
  <c r="Z145" i="10"/>
  <c r="Z146" i="10"/>
  <c r="Z147" i="10"/>
  <c r="Z148" i="10"/>
  <c r="Y148" i="10" s="1"/>
  <c r="Z149" i="10"/>
  <c r="Y149" i="10" s="1"/>
  <c r="Z150" i="10"/>
  <c r="Z151" i="10"/>
  <c r="Y151" i="10" s="1"/>
  <c r="Z152" i="10"/>
  <c r="Y152" i="10" s="1"/>
  <c r="Z153" i="10"/>
  <c r="Y153" i="10" s="1"/>
  <c r="Z154" i="10"/>
  <c r="Z155" i="10"/>
  <c r="Z156" i="10"/>
  <c r="Z157" i="10"/>
  <c r="Y157" i="10" s="1"/>
  <c r="Z158" i="10"/>
  <c r="Y158" i="10" s="1"/>
  <c r="Z159" i="10"/>
  <c r="Z160" i="10"/>
  <c r="Z161" i="10"/>
  <c r="Z162" i="10"/>
  <c r="Z163" i="10"/>
  <c r="Y163" i="10" s="1"/>
  <c r="Z164" i="10"/>
  <c r="Y164" i="10" s="1"/>
  <c r="Z165" i="10"/>
  <c r="Y165" i="10" s="1"/>
  <c r="Z166" i="10"/>
  <c r="Y166" i="10" s="1"/>
  <c r="Z167" i="10"/>
  <c r="Y167" i="10" s="1"/>
  <c r="Z168" i="10"/>
  <c r="Z169" i="10"/>
  <c r="Z170" i="10"/>
  <c r="Y170" i="10" s="1"/>
  <c r="Z171" i="10"/>
  <c r="Y171" i="10" s="1"/>
  <c r="Z172" i="10"/>
  <c r="Y172" i="10" s="1"/>
  <c r="Z173" i="10"/>
  <c r="Y173" i="10" s="1"/>
  <c r="Z174" i="10"/>
  <c r="Y174" i="10" s="1"/>
  <c r="Z175" i="10"/>
  <c r="Y175" i="10" s="1"/>
  <c r="Z176" i="10"/>
  <c r="Z177" i="10"/>
  <c r="Y177" i="10" s="1"/>
  <c r="Z178" i="10"/>
  <c r="Y178" i="10" s="1"/>
  <c r="Z179" i="10"/>
  <c r="Y179" i="10" s="1"/>
  <c r="Z180" i="10"/>
  <c r="Z181" i="10"/>
  <c r="Z182" i="10"/>
  <c r="Z183" i="10"/>
  <c r="Z184" i="10"/>
  <c r="Y184" i="10" s="1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Y197" i="10" s="1"/>
  <c r="Z198" i="10"/>
  <c r="Z199" i="10"/>
  <c r="Z200" i="10"/>
  <c r="Z201" i="10"/>
  <c r="Z202" i="10"/>
  <c r="Y202" i="10" s="1"/>
  <c r="Z203" i="10"/>
  <c r="Y203" i="10" s="1"/>
  <c r="Z204" i="10"/>
  <c r="Y204" i="10" s="1"/>
  <c r="Z205" i="10"/>
  <c r="Y205" i="10" s="1"/>
  <c r="Z206" i="10"/>
  <c r="Y206" i="10" s="1"/>
  <c r="Z207" i="10"/>
  <c r="Z208" i="10"/>
  <c r="Z209" i="10"/>
  <c r="Z210" i="10"/>
  <c r="Y210" i="10" s="1"/>
  <c r="Z211" i="10"/>
  <c r="Y211" i="10" s="1"/>
  <c r="Z212" i="10"/>
  <c r="Y212" i="10" s="1"/>
  <c r="Z213" i="10"/>
  <c r="Y213" i="10" s="1"/>
  <c r="Z214" i="10"/>
  <c r="Y214" i="10" s="1"/>
  <c r="Z215" i="10"/>
  <c r="Y215" i="10" s="1"/>
  <c r="Z216" i="10"/>
  <c r="Y216" i="10" s="1"/>
  <c r="Z217" i="10"/>
  <c r="Y217" i="10" s="1"/>
  <c r="Z218" i="10"/>
  <c r="Y218" i="10" s="1"/>
  <c r="Z219" i="10"/>
  <c r="Y219" i="10" s="1"/>
  <c r="Z220" i="10"/>
  <c r="Y220" i="10" s="1"/>
  <c r="Z221" i="10"/>
  <c r="Y221" i="10" s="1"/>
  <c r="Z222" i="10"/>
  <c r="Y222" i="10" s="1"/>
  <c r="Z223" i="10"/>
  <c r="Y223" i="10" s="1"/>
  <c r="Z224" i="10"/>
  <c r="Y224" i="10" s="1"/>
  <c r="Z225" i="10"/>
  <c r="Y225" i="10" s="1"/>
  <c r="Z226" i="10"/>
  <c r="Y226" i="10" s="1"/>
  <c r="Z227" i="10"/>
  <c r="Y227" i="10" s="1"/>
  <c r="Z228" i="10"/>
  <c r="Y228" i="10" s="1"/>
  <c r="Z229" i="10"/>
  <c r="Y229" i="10" s="1"/>
  <c r="Z230" i="10"/>
  <c r="Y230" i="10" s="1"/>
  <c r="Z231" i="10"/>
  <c r="Y231" i="10" s="1"/>
  <c r="Z232" i="10"/>
  <c r="Y232" i="10" s="1"/>
  <c r="Z7" i="10"/>
  <c r="Y7" i="10" s="1"/>
  <c r="D232" i="10"/>
  <c r="I232" i="10" s="1"/>
  <c r="D231" i="10"/>
  <c r="D230" i="10"/>
  <c r="D229" i="10"/>
  <c r="I229" i="10" s="1"/>
  <c r="D228" i="10"/>
  <c r="D227" i="10"/>
  <c r="D226" i="10"/>
  <c r="D225" i="10"/>
  <c r="D224" i="10"/>
  <c r="I224" i="10" s="1"/>
  <c r="D223" i="10"/>
  <c r="I223" i="10" s="1"/>
  <c r="D222" i="10"/>
  <c r="D221" i="10"/>
  <c r="I221" i="10" s="1"/>
  <c r="D220" i="10"/>
  <c r="D219" i="10"/>
  <c r="D218" i="10"/>
  <c r="H218" i="10" s="1"/>
  <c r="D217" i="10"/>
  <c r="D216" i="10"/>
  <c r="D215" i="10"/>
  <c r="I215" i="10" s="1"/>
  <c r="D214" i="10"/>
  <c r="D213" i="10"/>
  <c r="I213" i="10" s="1"/>
  <c r="D212" i="10"/>
  <c r="D211" i="10"/>
  <c r="D210" i="10"/>
  <c r="D209" i="10"/>
  <c r="D208" i="10"/>
  <c r="I208" i="10" s="1"/>
  <c r="D207" i="10"/>
  <c r="I207" i="10" s="1"/>
  <c r="D206" i="10"/>
  <c r="D205" i="10"/>
  <c r="I205" i="10" s="1"/>
  <c r="D204" i="10"/>
  <c r="D203" i="10"/>
  <c r="D202" i="10"/>
  <c r="I202" i="10" s="1"/>
  <c r="D201" i="10"/>
  <c r="D200" i="10"/>
  <c r="D199" i="10"/>
  <c r="I199" i="10" s="1"/>
  <c r="D198" i="10"/>
  <c r="D197" i="10"/>
  <c r="I197" i="10" s="1"/>
  <c r="D196" i="10"/>
  <c r="D195" i="10"/>
  <c r="D194" i="10"/>
  <c r="D193" i="10"/>
  <c r="D192" i="10"/>
  <c r="H192" i="10" s="1"/>
  <c r="D191" i="10"/>
  <c r="I191" i="10" s="1"/>
  <c r="D190" i="10"/>
  <c r="D189" i="10"/>
  <c r="H189" i="10" s="1"/>
  <c r="D188" i="10"/>
  <c r="D187" i="10"/>
  <c r="D186" i="10"/>
  <c r="D185" i="10"/>
  <c r="D184" i="10"/>
  <c r="I184" i="10" s="1"/>
  <c r="D183" i="10"/>
  <c r="I183" i="10" s="1"/>
  <c r="D182" i="10"/>
  <c r="D181" i="10"/>
  <c r="I181" i="10" s="1"/>
  <c r="D180" i="10"/>
  <c r="D179" i="10"/>
  <c r="D178" i="10"/>
  <c r="D177" i="10"/>
  <c r="D176" i="10"/>
  <c r="I176" i="10" s="1"/>
  <c r="D175" i="10"/>
  <c r="D174" i="10"/>
  <c r="D173" i="10"/>
  <c r="H173" i="10" s="1"/>
  <c r="D172" i="10"/>
  <c r="D171" i="10"/>
  <c r="D170" i="10"/>
  <c r="D169" i="10"/>
  <c r="D168" i="10"/>
  <c r="D167" i="10"/>
  <c r="D166" i="10"/>
  <c r="D165" i="10"/>
  <c r="I165" i="10" s="1"/>
  <c r="D164" i="10"/>
  <c r="D163" i="10"/>
  <c r="D162" i="10"/>
  <c r="D161" i="10"/>
  <c r="D160" i="10"/>
  <c r="I160" i="10" s="1"/>
  <c r="D159" i="10"/>
  <c r="H159" i="10" s="1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I231" i="10"/>
  <c r="I230" i="10"/>
  <c r="H230" i="10"/>
  <c r="M230" i="10"/>
  <c r="M229" i="10"/>
  <c r="G228" i="10"/>
  <c r="O228" i="10" s="1"/>
  <c r="I227" i="10"/>
  <c r="H227" i="10"/>
  <c r="G227" i="10"/>
  <c r="O227" i="10" s="1"/>
  <c r="M226" i="10"/>
  <c r="I225" i="10"/>
  <c r="M225" i="10"/>
  <c r="G224" i="10"/>
  <c r="O224" i="10" s="1"/>
  <c r="G223" i="10"/>
  <c r="O223" i="10" s="1"/>
  <c r="O222" i="10"/>
  <c r="I222" i="10"/>
  <c r="H222" i="10"/>
  <c r="M222" i="10"/>
  <c r="O221" i="10"/>
  <c r="M221" i="10"/>
  <c r="M219" i="10"/>
  <c r="I218" i="10"/>
  <c r="G217" i="10"/>
  <c r="O217" i="10" s="1"/>
  <c r="M217" i="10"/>
  <c r="M216" i="10"/>
  <c r="I216" i="10"/>
  <c r="H216" i="10"/>
  <c r="G216" i="10"/>
  <c r="O216" i="10" s="1"/>
  <c r="M215" i="10"/>
  <c r="G215" i="10"/>
  <c r="O215" i="10" s="1"/>
  <c r="M214" i="10"/>
  <c r="I214" i="10"/>
  <c r="H214" i="10"/>
  <c r="G214" i="10"/>
  <c r="O214" i="10" s="1"/>
  <c r="H213" i="10"/>
  <c r="H212" i="10"/>
  <c r="M212" i="10"/>
  <c r="H211" i="10"/>
  <c r="M211" i="10"/>
  <c r="G209" i="10"/>
  <c r="O209" i="10" s="1"/>
  <c r="M208" i="10"/>
  <c r="G208" i="10"/>
  <c r="O208" i="10" s="1"/>
  <c r="M207" i="10"/>
  <c r="G207" i="10"/>
  <c r="O207" i="10" s="1"/>
  <c r="M206" i="10"/>
  <c r="I206" i="10"/>
  <c r="H206" i="10"/>
  <c r="G206" i="10"/>
  <c r="O206" i="10" s="1"/>
  <c r="M205" i="10"/>
  <c r="H205" i="10"/>
  <c r="G205" i="10"/>
  <c r="O205" i="10" s="1"/>
  <c r="G204" i="10"/>
  <c r="O204" i="10" s="1"/>
  <c r="M204" i="10"/>
  <c r="G203" i="10"/>
  <c r="O203" i="10" s="1"/>
  <c r="M203" i="10"/>
  <c r="M201" i="10"/>
  <c r="M200" i="10"/>
  <c r="I200" i="10"/>
  <c r="H200" i="10"/>
  <c r="G200" i="10"/>
  <c r="O200" i="10" s="1"/>
  <c r="M199" i="10"/>
  <c r="G199" i="10"/>
  <c r="O199" i="10" s="1"/>
  <c r="M198" i="10"/>
  <c r="I198" i="10"/>
  <c r="H198" i="10"/>
  <c r="G198" i="10"/>
  <c r="O198" i="10" s="1"/>
  <c r="H194" i="10"/>
  <c r="R193" i="10"/>
  <c r="M193" i="10"/>
  <c r="G193" i="10"/>
  <c r="O193" i="10" s="1"/>
  <c r="M192" i="10"/>
  <c r="I192" i="10"/>
  <c r="G192" i="10"/>
  <c r="O192" i="10" s="1"/>
  <c r="M191" i="10"/>
  <c r="G191" i="10"/>
  <c r="O191" i="10" s="1"/>
  <c r="M190" i="10"/>
  <c r="I190" i="10"/>
  <c r="H190" i="10"/>
  <c r="G190" i="10"/>
  <c r="O190" i="10" s="1"/>
  <c r="M189" i="10"/>
  <c r="I189" i="10"/>
  <c r="G189" i="10"/>
  <c r="O189" i="10" s="1"/>
  <c r="I188" i="10"/>
  <c r="G188" i="10"/>
  <c r="O188" i="10" s="1"/>
  <c r="M188" i="10"/>
  <c r="I187" i="10"/>
  <c r="M187" i="10"/>
  <c r="M185" i="10"/>
  <c r="M184" i="10"/>
  <c r="H184" i="10"/>
  <c r="G184" i="10"/>
  <c r="O184" i="10" s="1"/>
  <c r="M183" i="10"/>
  <c r="G183" i="10"/>
  <c r="O183" i="10" s="1"/>
  <c r="M182" i="10"/>
  <c r="I182" i="10"/>
  <c r="H182" i="10"/>
  <c r="G182" i="10"/>
  <c r="O182" i="10" s="1"/>
  <c r="M181" i="10"/>
  <c r="G181" i="10"/>
  <c r="O181" i="10" s="1"/>
  <c r="I180" i="10"/>
  <c r="M180" i="10"/>
  <c r="G179" i="10"/>
  <c r="O179" i="10" s="1"/>
  <c r="M179" i="10"/>
  <c r="M177" i="10"/>
  <c r="M176" i="10"/>
  <c r="G176" i="10"/>
  <c r="O176" i="10" s="1"/>
  <c r="M175" i="10"/>
  <c r="I175" i="10"/>
  <c r="G175" i="10"/>
  <c r="O175" i="10" s="1"/>
  <c r="M174" i="10"/>
  <c r="I174" i="10"/>
  <c r="H174" i="10"/>
  <c r="G174" i="10"/>
  <c r="O174" i="10" s="1"/>
  <c r="I173" i="10"/>
  <c r="I172" i="10"/>
  <c r="H171" i="10"/>
  <c r="G171" i="10"/>
  <c r="O171" i="10" s="1"/>
  <c r="M171" i="10"/>
  <c r="M169" i="10"/>
  <c r="I169" i="10"/>
  <c r="G169" i="10"/>
  <c r="O169" i="10" s="1"/>
  <c r="M168" i="10"/>
  <c r="I168" i="10"/>
  <c r="H168" i="10"/>
  <c r="G168" i="10"/>
  <c r="O168" i="10" s="1"/>
  <c r="M167" i="10"/>
  <c r="H167" i="10"/>
  <c r="G167" i="10"/>
  <c r="O167" i="10" s="1"/>
  <c r="M166" i="10"/>
  <c r="I166" i="10"/>
  <c r="H166" i="10"/>
  <c r="G166" i="10"/>
  <c r="O166" i="10" s="1"/>
  <c r="O165" i="10"/>
  <c r="M165" i="10"/>
  <c r="H165" i="10"/>
  <c r="G165" i="10"/>
  <c r="I164" i="10"/>
  <c r="I162" i="10"/>
  <c r="H162" i="10"/>
  <c r="M161" i="10"/>
  <c r="M160" i="10"/>
  <c r="H160" i="10"/>
  <c r="G160" i="10"/>
  <c r="O160" i="10" s="1"/>
  <c r="M159" i="10"/>
  <c r="I159" i="10"/>
  <c r="G159" i="10"/>
  <c r="O159" i="10" s="1"/>
  <c r="M158" i="10"/>
  <c r="I158" i="10"/>
  <c r="H158" i="10"/>
  <c r="G158" i="10"/>
  <c r="O158" i="10" s="1"/>
  <c r="I157" i="10"/>
  <c r="H157" i="10"/>
  <c r="G157" i="10"/>
  <c r="O157" i="10" s="1"/>
  <c r="M157" i="10"/>
  <c r="I156" i="10"/>
  <c r="H156" i="10"/>
  <c r="G156" i="10"/>
  <c r="O156" i="10" s="1"/>
  <c r="M156" i="10"/>
  <c r="I155" i="10"/>
  <c r="H155" i="10"/>
  <c r="M154" i="10"/>
  <c r="G154" i="10"/>
  <c r="O154" i="10" s="1"/>
  <c r="I153" i="10"/>
  <c r="M152" i="10"/>
  <c r="I152" i="10"/>
  <c r="H152" i="10"/>
  <c r="G152" i="10"/>
  <c r="O152" i="10" s="1"/>
  <c r="M151" i="10"/>
  <c r="H151" i="10"/>
  <c r="G151" i="10"/>
  <c r="O151" i="10" s="1"/>
  <c r="M150" i="10"/>
  <c r="I150" i="10"/>
  <c r="H150" i="10"/>
  <c r="G150" i="10"/>
  <c r="O150" i="10" s="1"/>
  <c r="I149" i="10"/>
  <c r="H149" i="10"/>
  <c r="I147" i="10"/>
  <c r="M146" i="10"/>
  <c r="G146" i="10"/>
  <c r="O146" i="10" s="1"/>
  <c r="M145" i="10"/>
  <c r="G145" i="10"/>
  <c r="O145" i="10" s="1"/>
  <c r="I144" i="10"/>
  <c r="H144" i="10"/>
  <c r="G144" i="10"/>
  <c r="O144" i="10" s="1"/>
  <c r="M144" i="10"/>
  <c r="M143" i="10"/>
  <c r="I143" i="10"/>
  <c r="G143" i="10"/>
  <c r="O143" i="10" s="1"/>
  <c r="M142" i="10"/>
  <c r="I142" i="10"/>
  <c r="H142" i="10"/>
  <c r="G142" i="10"/>
  <c r="O142" i="10" s="1"/>
  <c r="M141" i="10"/>
  <c r="I141" i="10"/>
  <c r="H141" i="10"/>
  <c r="G141" i="10"/>
  <c r="O141" i="10" s="1"/>
  <c r="H140" i="10"/>
  <c r="H139" i="10"/>
  <c r="M138" i="10"/>
  <c r="G138" i="10"/>
  <c r="O138" i="10" s="1"/>
  <c r="H137" i="10"/>
  <c r="I136" i="10"/>
  <c r="H136" i="10"/>
  <c r="G136" i="10"/>
  <c r="O136" i="10" s="1"/>
  <c r="M136" i="10"/>
  <c r="M135" i="10"/>
  <c r="I135" i="10"/>
  <c r="G135" i="10"/>
  <c r="O135" i="10" s="1"/>
  <c r="M134" i="10"/>
  <c r="I134" i="10"/>
  <c r="H134" i="10"/>
  <c r="G134" i="10"/>
  <c r="O134" i="10" s="1"/>
  <c r="M133" i="10"/>
  <c r="I133" i="10"/>
  <c r="H133" i="10"/>
  <c r="G133" i="10"/>
  <c r="O133" i="10" s="1"/>
  <c r="H132" i="10"/>
  <c r="G132" i="10"/>
  <c r="O132" i="10" s="1"/>
  <c r="M132" i="10"/>
  <c r="M131" i="10"/>
  <c r="G131" i="10"/>
  <c r="O131" i="10" s="1"/>
  <c r="M130" i="10"/>
  <c r="G130" i="10"/>
  <c r="O130" i="10" s="1"/>
  <c r="M129" i="10"/>
  <c r="I129" i="10"/>
  <c r="G129" i="10"/>
  <c r="O129" i="10" s="1"/>
  <c r="I128" i="10"/>
  <c r="H128" i="10"/>
  <c r="G128" i="10"/>
  <c r="O128" i="10" s="1"/>
  <c r="M128" i="10"/>
  <c r="G127" i="10"/>
  <c r="O127" i="10" s="1"/>
  <c r="M127" i="10"/>
  <c r="M126" i="10"/>
  <c r="I126" i="10"/>
  <c r="H126" i="10"/>
  <c r="G126" i="10"/>
  <c r="O126" i="10" s="1"/>
  <c r="I125" i="10"/>
  <c r="H125" i="10"/>
  <c r="G125" i="10"/>
  <c r="O125" i="10" s="1"/>
  <c r="H124" i="10"/>
  <c r="I123" i="10"/>
  <c r="M122" i="10"/>
  <c r="G122" i="10"/>
  <c r="O122" i="10" s="1"/>
  <c r="M121" i="10"/>
  <c r="G121" i="10"/>
  <c r="O121" i="10" s="1"/>
  <c r="I120" i="10"/>
  <c r="H120" i="10"/>
  <c r="G120" i="10"/>
  <c r="O120" i="10" s="1"/>
  <c r="M120" i="10"/>
  <c r="M119" i="10"/>
  <c r="H119" i="10"/>
  <c r="G119" i="10"/>
  <c r="O119" i="10" s="1"/>
  <c r="M118" i="10"/>
  <c r="I118" i="10"/>
  <c r="H118" i="10"/>
  <c r="G118" i="10"/>
  <c r="O118" i="10" s="1"/>
  <c r="I117" i="10"/>
  <c r="H117" i="10"/>
  <c r="I116" i="10"/>
  <c r="M114" i="10"/>
  <c r="G114" i="10"/>
  <c r="O114" i="10" s="1"/>
  <c r="M113" i="10"/>
  <c r="H113" i="10"/>
  <c r="G113" i="10"/>
  <c r="O113" i="10" s="1"/>
  <c r="I112" i="10"/>
  <c r="H112" i="10"/>
  <c r="G112" i="10"/>
  <c r="O112" i="10" s="1"/>
  <c r="M112" i="10"/>
  <c r="M111" i="10"/>
  <c r="G111" i="10"/>
  <c r="O111" i="10" s="1"/>
  <c r="M110" i="10"/>
  <c r="I110" i="10"/>
  <c r="H110" i="10"/>
  <c r="G110" i="10"/>
  <c r="O110" i="10" s="1"/>
  <c r="M109" i="10"/>
  <c r="I109" i="10"/>
  <c r="H109" i="10"/>
  <c r="G109" i="10"/>
  <c r="O109" i="10" s="1"/>
  <c r="I108" i="10"/>
  <c r="H108" i="10"/>
  <c r="M106" i="10"/>
  <c r="I106" i="10"/>
  <c r="H106" i="10"/>
  <c r="G106" i="10"/>
  <c r="O106" i="10" s="1"/>
  <c r="I104" i="10"/>
  <c r="H104" i="10"/>
  <c r="G104" i="10"/>
  <c r="O104" i="10" s="1"/>
  <c r="M104" i="10"/>
  <c r="M103" i="10"/>
  <c r="H103" i="10"/>
  <c r="G103" i="10"/>
  <c r="O103" i="10" s="1"/>
  <c r="M102" i="10"/>
  <c r="I102" i="10"/>
  <c r="H102" i="10"/>
  <c r="G102" i="10"/>
  <c r="O102" i="10" s="1"/>
  <c r="M101" i="10"/>
  <c r="I101" i="10"/>
  <c r="H101" i="10"/>
  <c r="G101" i="10"/>
  <c r="O101" i="10" s="1"/>
  <c r="H100" i="10"/>
  <c r="G100" i="10"/>
  <c r="O100" i="10" s="1"/>
  <c r="M100" i="10"/>
  <c r="M99" i="10"/>
  <c r="G99" i="10"/>
  <c r="O99" i="10" s="1"/>
  <c r="M98" i="10"/>
  <c r="G98" i="10"/>
  <c r="O98" i="10" s="1"/>
  <c r="G97" i="10"/>
  <c r="O97" i="10" s="1"/>
  <c r="I96" i="10"/>
  <c r="H96" i="10"/>
  <c r="G96" i="10"/>
  <c r="O96" i="10" s="1"/>
  <c r="M96" i="10"/>
  <c r="H95" i="10"/>
  <c r="G95" i="10"/>
  <c r="O95" i="10" s="1"/>
  <c r="M95" i="10"/>
  <c r="M94" i="10"/>
  <c r="I94" i="10"/>
  <c r="H94" i="10"/>
  <c r="G94" i="10"/>
  <c r="O94" i="10" s="1"/>
  <c r="I93" i="10"/>
  <c r="H93" i="10"/>
  <c r="G93" i="10"/>
  <c r="O93" i="10" s="1"/>
  <c r="I92" i="10"/>
  <c r="I91" i="10"/>
  <c r="H91" i="10"/>
  <c r="M90" i="10"/>
  <c r="G90" i="10"/>
  <c r="O90" i="10" s="1"/>
  <c r="M89" i="10"/>
  <c r="G89" i="10"/>
  <c r="O89" i="10" s="1"/>
  <c r="I88" i="10"/>
  <c r="H88" i="10"/>
  <c r="G88" i="10"/>
  <c r="O88" i="10" s="1"/>
  <c r="M88" i="10"/>
  <c r="I87" i="10"/>
  <c r="H87" i="10"/>
  <c r="G87" i="10"/>
  <c r="O87" i="10" s="1"/>
  <c r="M86" i="10"/>
  <c r="I86" i="10"/>
  <c r="H86" i="10"/>
  <c r="G86" i="10"/>
  <c r="O86" i="10" s="1"/>
  <c r="I85" i="10"/>
  <c r="H85" i="10"/>
  <c r="I84" i="10"/>
  <c r="H84" i="10"/>
  <c r="U82" i="10"/>
  <c r="M82" i="10"/>
  <c r="I82" i="10"/>
  <c r="H82" i="10"/>
  <c r="G82" i="10"/>
  <c r="O82" i="10" s="1"/>
  <c r="M81" i="10"/>
  <c r="G81" i="10"/>
  <c r="O81" i="10" s="1"/>
  <c r="I80" i="10"/>
  <c r="H80" i="10"/>
  <c r="G80" i="10"/>
  <c r="O80" i="10" s="1"/>
  <c r="M80" i="10"/>
  <c r="M79" i="10"/>
  <c r="H79" i="10"/>
  <c r="G79" i="10"/>
  <c r="O79" i="10" s="1"/>
  <c r="M78" i="10"/>
  <c r="I78" i="10"/>
  <c r="H78" i="10"/>
  <c r="G78" i="10"/>
  <c r="O78" i="10" s="1"/>
  <c r="M77" i="10"/>
  <c r="I77" i="10"/>
  <c r="H77" i="10"/>
  <c r="G77" i="10"/>
  <c r="O77" i="10" s="1"/>
  <c r="I76" i="10"/>
  <c r="I75" i="10"/>
  <c r="H75" i="10"/>
  <c r="M74" i="10"/>
  <c r="G74" i="10"/>
  <c r="O74" i="10" s="1"/>
  <c r="I73" i="10"/>
  <c r="I72" i="10"/>
  <c r="H72" i="10"/>
  <c r="G72" i="10"/>
  <c r="O72" i="10" s="1"/>
  <c r="M72" i="10"/>
  <c r="M71" i="10"/>
  <c r="G71" i="10"/>
  <c r="O71" i="10" s="1"/>
  <c r="M70" i="10"/>
  <c r="I70" i="10"/>
  <c r="H70" i="10"/>
  <c r="G70" i="10"/>
  <c r="O70" i="10" s="1"/>
  <c r="M69" i="10"/>
  <c r="I69" i="10"/>
  <c r="H69" i="10"/>
  <c r="G69" i="10"/>
  <c r="O69" i="10" s="1"/>
  <c r="H68" i="10"/>
  <c r="G68" i="10"/>
  <c r="O68" i="10" s="1"/>
  <c r="M68" i="10"/>
  <c r="M67" i="10"/>
  <c r="G67" i="10"/>
  <c r="O67" i="10" s="1"/>
  <c r="M66" i="10"/>
  <c r="G66" i="10"/>
  <c r="O66" i="10" s="1"/>
  <c r="I65" i="10"/>
  <c r="G65" i="10"/>
  <c r="O65" i="10" s="1"/>
  <c r="M65" i="10"/>
  <c r="I64" i="10"/>
  <c r="H64" i="10"/>
  <c r="G64" i="10"/>
  <c r="O64" i="10" s="1"/>
  <c r="M64" i="10"/>
  <c r="M63" i="10"/>
  <c r="I63" i="10"/>
  <c r="H63" i="10"/>
  <c r="G63" i="10"/>
  <c r="O63" i="10" s="1"/>
  <c r="M62" i="10"/>
  <c r="I62" i="10"/>
  <c r="H62" i="10"/>
  <c r="G62" i="10"/>
  <c r="O62" i="10" s="1"/>
  <c r="I61" i="10"/>
  <c r="H61" i="10"/>
  <c r="I60" i="10"/>
  <c r="H60" i="10"/>
  <c r="G59" i="10"/>
  <c r="O59" i="10" s="1"/>
  <c r="M59" i="10"/>
  <c r="M58" i="10"/>
  <c r="G58" i="10"/>
  <c r="O58" i="10" s="1"/>
  <c r="M57" i="10"/>
  <c r="G57" i="10"/>
  <c r="O57" i="10" s="1"/>
  <c r="I56" i="10"/>
  <c r="H56" i="10"/>
  <c r="I55" i="10"/>
  <c r="M54" i="10"/>
  <c r="I54" i="10"/>
  <c r="H54" i="10"/>
  <c r="G54" i="10"/>
  <c r="O54" i="10" s="1"/>
  <c r="M53" i="10"/>
  <c r="I53" i="10"/>
  <c r="H53" i="10"/>
  <c r="G53" i="10"/>
  <c r="O53" i="10" s="1"/>
  <c r="I52" i="10"/>
  <c r="I51" i="10"/>
  <c r="H51" i="10"/>
  <c r="M51" i="10"/>
  <c r="M50" i="10"/>
  <c r="G50" i="10"/>
  <c r="O50" i="10" s="1"/>
  <c r="M49" i="10"/>
  <c r="G49" i="10"/>
  <c r="O49" i="10" s="1"/>
  <c r="I48" i="10"/>
  <c r="H48" i="10"/>
  <c r="G48" i="10"/>
  <c r="O48" i="10" s="1"/>
  <c r="M48" i="10"/>
  <c r="I47" i="10"/>
  <c r="H47" i="10"/>
  <c r="M47" i="10"/>
  <c r="M46" i="10"/>
  <c r="I46" i="10"/>
  <c r="H46" i="10"/>
  <c r="G46" i="10"/>
  <c r="O46" i="10" s="1"/>
  <c r="M45" i="10"/>
  <c r="I45" i="10"/>
  <c r="H45" i="10"/>
  <c r="G45" i="10"/>
  <c r="O45" i="10" s="1"/>
  <c r="I44" i="10"/>
  <c r="H44" i="10"/>
  <c r="G44" i="10"/>
  <c r="O44" i="10" s="1"/>
  <c r="M44" i="10"/>
  <c r="M43" i="10"/>
  <c r="I43" i="10"/>
  <c r="H43" i="10"/>
  <c r="G43" i="10"/>
  <c r="O43" i="10" s="1"/>
  <c r="M42" i="10"/>
  <c r="H42" i="10"/>
  <c r="G42" i="10"/>
  <c r="O42" i="10" s="1"/>
  <c r="M41" i="10"/>
  <c r="G41" i="10"/>
  <c r="O41" i="10" s="1"/>
  <c r="I40" i="10"/>
  <c r="H40" i="10"/>
  <c r="M40" i="10"/>
  <c r="M39" i="10"/>
  <c r="I39" i="10"/>
  <c r="H39" i="10"/>
  <c r="G39" i="10"/>
  <c r="O39" i="10" s="1"/>
  <c r="M38" i="10"/>
  <c r="I38" i="10"/>
  <c r="H38" i="10"/>
  <c r="G38" i="10"/>
  <c r="O38" i="10" s="1"/>
  <c r="I37" i="10"/>
  <c r="H37" i="10"/>
  <c r="M37" i="10"/>
  <c r="H36" i="10"/>
  <c r="G36" i="10"/>
  <c r="O36" i="10" s="1"/>
  <c r="M36" i="10"/>
  <c r="M35" i="10"/>
  <c r="I35" i="10"/>
  <c r="G35" i="10"/>
  <c r="O35" i="10" s="1"/>
  <c r="M34" i="10"/>
  <c r="H34" i="10"/>
  <c r="G34" i="10"/>
  <c r="O34" i="10" s="1"/>
  <c r="M33" i="10"/>
  <c r="I32" i="10"/>
  <c r="H32" i="10"/>
  <c r="M32" i="10"/>
  <c r="M31" i="10"/>
  <c r="I31" i="10"/>
  <c r="H31" i="10"/>
  <c r="G31" i="10"/>
  <c r="O31" i="10" s="1"/>
  <c r="M30" i="10"/>
  <c r="I30" i="10"/>
  <c r="H30" i="10"/>
  <c r="G30" i="10"/>
  <c r="O30" i="10" s="1"/>
  <c r="I29" i="10"/>
  <c r="H29" i="10"/>
  <c r="G29" i="10"/>
  <c r="O29" i="10" s="1"/>
  <c r="M29" i="10"/>
  <c r="I28" i="10"/>
  <c r="G28" i="10"/>
  <c r="O28" i="10" s="1"/>
  <c r="M28" i="10"/>
  <c r="M27" i="10"/>
  <c r="I27" i="10"/>
  <c r="H27" i="10"/>
  <c r="G27" i="10"/>
  <c r="O27" i="10" s="1"/>
  <c r="M26" i="10"/>
  <c r="G26" i="10"/>
  <c r="O26" i="10" s="1"/>
  <c r="M25" i="10"/>
  <c r="G25" i="10"/>
  <c r="O25" i="10" s="1"/>
  <c r="I24" i="10"/>
  <c r="H24" i="10"/>
  <c r="M24" i="10"/>
  <c r="I23" i="10"/>
  <c r="H23" i="10"/>
  <c r="M22" i="10"/>
  <c r="I22" i="10"/>
  <c r="H22" i="10"/>
  <c r="G22" i="10"/>
  <c r="O22" i="10" s="1"/>
  <c r="M21" i="10"/>
  <c r="I21" i="10"/>
  <c r="H21" i="10"/>
  <c r="G21" i="10"/>
  <c r="O21" i="10" s="1"/>
  <c r="I20" i="10"/>
  <c r="H20" i="10"/>
  <c r="M19" i="10"/>
  <c r="I19" i="10"/>
  <c r="G19" i="10"/>
  <c r="O19" i="10" s="1"/>
  <c r="M18" i="10"/>
  <c r="I18" i="10"/>
  <c r="G18" i="10"/>
  <c r="O18" i="10" s="1"/>
  <c r="G17" i="10"/>
  <c r="O17" i="10" s="1"/>
  <c r="M17" i="10"/>
  <c r="I16" i="10"/>
  <c r="H16" i="10"/>
  <c r="G16" i="10"/>
  <c r="O16" i="10" s="1"/>
  <c r="M16" i="10"/>
  <c r="M15" i="10"/>
  <c r="I15" i="10"/>
  <c r="G15" i="10"/>
  <c r="O15" i="10" s="1"/>
  <c r="M14" i="10"/>
  <c r="I14" i="10"/>
  <c r="H14" i="10"/>
  <c r="G14" i="10"/>
  <c r="O14" i="10" s="1"/>
  <c r="I13" i="10"/>
  <c r="H13" i="10"/>
  <c r="G13" i="10"/>
  <c r="O13" i="10" s="1"/>
  <c r="M13" i="10"/>
  <c r="G12" i="10"/>
  <c r="O12" i="10" s="1"/>
  <c r="M12" i="10"/>
  <c r="M11" i="10"/>
  <c r="I11" i="10"/>
  <c r="G11" i="10"/>
  <c r="O11" i="10" s="1"/>
  <c r="M10" i="10"/>
  <c r="G10" i="10"/>
  <c r="O10" i="10" s="1"/>
  <c r="I8" i="10"/>
  <c r="H8" i="10"/>
  <c r="M8" i="10"/>
  <c r="I7" i="10"/>
  <c r="H7" i="10"/>
  <c r="M7" i="10"/>
  <c r="Y207" i="10" l="1"/>
  <c r="Y199" i="10"/>
  <c r="Y191" i="10"/>
  <c r="Y183" i="10"/>
  <c r="Y159" i="10"/>
  <c r="Y143" i="10"/>
  <c r="Y127" i="10"/>
  <c r="Y79" i="10"/>
  <c r="Y39" i="10"/>
  <c r="Y198" i="10"/>
  <c r="Y190" i="10"/>
  <c r="Y182" i="10"/>
  <c r="Y150" i="10"/>
  <c r="Y142" i="10"/>
  <c r="Y126" i="10"/>
  <c r="Y38" i="10"/>
  <c r="Y30" i="10"/>
  <c r="Y22" i="10"/>
  <c r="Y189" i="10"/>
  <c r="Y181" i="10"/>
  <c r="Y117" i="10"/>
  <c r="Y109" i="10"/>
  <c r="Y85" i="10"/>
  <c r="Y61" i="10"/>
  <c r="Y45" i="10"/>
  <c r="Y29" i="10"/>
  <c r="Y196" i="10"/>
  <c r="Y188" i="10"/>
  <c r="Y180" i="10"/>
  <c r="Y156" i="10"/>
  <c r="Y132" i="10"/>
  <c r="Y108" i="10"/>
  <c r="Y84" i="10"/>
  <c r="Y60" i="10"/>
  <c r="Y44" i="10"/>
  <c r="Y28" i="10"/>
  <c r="Y195" i="10"/>
  <c r="Y187" i="10"/>
  <c r="Y155" i="10"/>
  <c r="Y147" i="10"/>
  <c r="Y139" i="10"/>
  <c r="Y131" i="10"/>
  <c r="Y115" i="10"/>
  <c r="Y107" i="10"/>
  <c r="Y83" i="10"/>
  <c r="Y59" i="10"/>
  <c r="Y43" i="10"/>
  <c r="Y11" i="10"/>
  <c r="Y194" i="10"/>
  <c r="Y186" i="10"/>
  <c r="Y162" i="10"/>
  <c r="Y154" i="10"/>
  <c r="Y146" i="10"/>
  <c r="Y138" i="10"/>
  <c r="Y130" i="10"/>
  <c r="Y122" i="10"/>
  <c r="Y114" i="10"/>
  <c r="Y82" i="10"/>
  <c r="Y58" i="10"/>
  <c r="Y42" i="10"/>
  <c r="Y26" i="10"/>
  <c r="Y18" i="10"/>
  <c r="Y10" i="10"/>
  <c r="AA209" i="10"/>
  <c r="Y209" i="10"/>
  <c r="Y201" i="10"/>
  <c r="Y193" i="10"/>
  <c r="Y185" i="10"/>
  <c r="Y169" i="10"/>
  <c r="Y161" i="10"/>
  <c r="Y145" i="10"/>
  <c r="Y137" i="10"/>
  <c r="Y129" i="10"/>
  <c r="Y121" i="10"/>
  <c r="Y81" i="10"/>
  <c r="Y49" i="10"/>
  <c r="Y17" i="10"/>
  <c r="Y9" i="10"/>
  <c r="Y208" i="10"/>
  <c r="Y200" i="10"/>
  <c r="Y192" i="10"/>
  <c r="Y176" i="10"/>
  <c r="Y168" i="10"/>
  <c r="Y160" i="10"/>
  <c r="Y128" i="10"/>
  <c r="Y120" i="10"/>
  <c r="Y80" i="10"/>
  <c r="Y48" i="10"/>
  <c r="Y24" i="10"/>
  <c r="U26" i="10"/>
  <c r="R145" i="10"/>
  <c r="U10" i="10"/>
  <c r="R179" i="10"/>
  <c r="H202" i="10"/>
  <c r="U209" i="10"/>
  <c r="U199" i="10"/>
  <c r="R68" i="10"/>
  <c r="R67" i="10"/>
  <c r="U146" i="10"/>
  <c r="R43" i="10"/>
  <c r="H181" i="10"/>
  <c r="H221" i="10"/>
  <c r="R222" i="10"/>
  <c r="H229" i="10"/>
  <c r="H197" i="10"/>
  <c r="AA201" i="10"/>
  <c r="AA145" i="10"/>
  <c r="AK145" i="10" s="1"/>
  <c r="AA137" i="10"/>
  <c r="AK137" i="10" s="1"/>
  <c r="AA81" i="10"/>
  <c r="AA73" i="10"/>
  <c r="AA17" i="10"/>
  <c r="AA9" i="10"/>
  <c r="R50" i="10"/>
  <c r="U130" i="10"/>
  <c r="AA193" i="10"/>
  <c r="AK193" i="10" s="1"/>
  <c r="AA129" i="10"/>
  <c r="AA65" i="10"/>
  <c r="U103" i="10"/>
  <c r="U207" i="10"/>
  <c r="U193" i="10"/>
  <c r="U222" i="10"/>
  <c r="U179" i="10"/>
  <c r="AB228" i="10"/>
  <c r="AD228" i="10"/>
  <c r="AB220" i="10"/>
  <c r="AD220" i="10"/>
  <c r="AB212" i="10"/>
  <c r="AD212" i="10"/>
  <c r="AE212" i="10" s="1"/>
  <c r="AJ212" i="10" s="1"/>
  <c r="AB204" i="10"/>
  <c r="AD204" i="10"/>
  <c r="AB196" i="10"/>
  <c r="AD196" i="10"/>
  <c r="AB188" i="10"/>
  <c r="AD188" i="10"/>
  <c r="AB180" i="10"/>
  <c r="AD180" i="10"/>
  <c r="AB172" i="10"/>
  <c r="AC172" i="10" s="1"/>
  <c r="AL172" i="10" s="1"/>
  <c r="AD172" i="10"/>
  <c r="AB164" i="10"/>
  <c r="AC164" i="10" s="1"/>
  <c r="AL164" i="10" s="1"/>
  <c r="AD164" i="10"/>
  <c r="AB156" i="10"/>
  <c r="AD156" i="10"/>
  <c r="AE156" i="10" s="1"/>
  <c r="AJ156" i="10" s="1"/>
  <c r="AB148" i="10"/>
  <c r="AD148" i="10"/>
  <c r="AB140" i="10"/>
  <c r="AD140" i="10"/>
  <c r="AE140" i="10" s="1"/>
  <c r="AJ140" i="10" s="1"/>
  <c r="AB132" i="10"/>
  <c r="AC132" i="10" s="1"/>
  <c r="AL132" i="10" s="1"/>
  <c r="AD132" i="10"/>
  <c r="AE132" i="10" s="1"/>
  <c r="AJ132" i="10" s="1"/>
  <c r="AB124" i="10"/>
  <c r="AD124" i="10"/>
  <c r="AE124" i="10" s="1"/>
  <c r="AJ124" i="10" s="1"/>
  <c r="AB116" i="10"/>
  <c r="AD116" i="10"/>
  <c r="AB108" i="10"/>
  <c r="AC108" i="10" s="1"/>
  <c r="AL108" i="10" s="1"/>
  <c r="AD108" i="10"/>
  <c r="AE108" i="10" s="1"/>
  <c r="AJ108" i="10" s="1"/>
  <c r="AB100" i="10"/>
  <c r="AD100" i="10"/>
  <c r="AE100" i="10" s="1"/>
  <c r="AJ100" i="10" s="1"/>
  <c r="AB92" i="10"/>
  <c r="AD92" i="10"/>
  <c r="AB84" i="10"/>
  <c r="AD84" i="10"/>
  <c r="AE84" i="10" s="1"/>
  <c r="AJ84" i="10" s="1"/>
  <c r="AB76" i="10"/>
  <c r="AC76" i="10" s="1"/>
  <c r="AL76" i="10" s="1"/>
  <c r="AD76" i="10"/>
  <c r="AB68" i="10"/>
  <c r="AD68" i="10"/>
  <c r="AE68" i="10" s="1"/>
  <c r="AJ68" i="10" s="1"/>
  <c r="AB60" i="10"/>
  <c r="AD60" i="10"/>
  <c r="AE60" i="10" s="1"/>
  <c r="AJ60" i="10" s="1"/>
  <c r="AB52" i="10"/>
  <c r="AD52" i="10"/>
  <c r="AB44" i="10"/>
  <c r="AC44" i="10" s="1"/>
  <c r="AL44" i="10" s="1"/>
  <c r="AD44" i="10"/>
  <c r="AE44" i="10" s="1"/>
  <c r="AJ44" i="10" s="1"/>
  <c r="AB36" i="10"/>
  <c r="AC36" i="10" s="1"/>
  <c r="AL36" i="10" s="1"/>
  <c r="AD36" i="10"/>
  <c r="AE36" i="10" s="1"/>
  <c r="AJ36" i="10" s="1"/>
  <c r="AB28" i="10"/>
  <c r="AD28" i="10"/>
  <c r="AB20" i="10"/>
  <c r="AD20" i="10"/>
  <c r="AE20" i="10" s="1"/>
  <c r="AJ20" i="10" s="1"/>
  <c r="AB12" i="10"/>
  <c r="AD12" i="10"/>
  <c r="AB227" i="10"/>
  <c r="AC227" i="10" s="1"/>
  <c r="AL227" i="10" s="1"/>
  <c r="AD227" i="10"/>
  <c r="AE227" i="10" s="1"/>
  <c r="AJ227" i="10" s="1"/>
  <c r="AB219" i="10"/>
  <c r="AD219" i="10"/>
  <c r="AB211" i="10"/>
  <c r="AD211" i="10"/>
  <c r="AE211" i="10" s="1"/>
  <c r="AJ211" i="10" s="1"/>
  <c r="AB203" i="10"/>
  <c r="AD203" i="10"/>
  <c r="AB195" i="10"/>
  <c r="AD195" i="10"/>
  <c r="AB187" i="10"/>
  <c r="AD187" i="10"/>
  <c r="AB179" i="10"/>
  <c r="AD179" i="10"/>
  <c r="AB171" i="10"/>
  <c r="AD171" i="10"/>
  <c r="AE171" i="10" s="1"/>
  <c r="AJ171" i="10" s="1"/>
  <c r="AB163" i="10"/>
  <c r="AD163" i="10"/>
  <c r="AB155" i="10"/>
  <c r="AD155" i="10"/>
  <c r="AE155" i="10" s="1"/>
  <c r="AJ155" i="10" s="1"/>
  <c r="AB147" i="10"/>
  <c r="AD147" i="10"/>
  <c r="AB139" i="10"/>
  <c r="AD139" i="10"/>
  <c r="AE139" i="10" s="1"/>
  <c r="AJ139" i="10" s="1"/>
  <c r="AB131" i="10"/>
  <c r="AD131" i="10"/>
  <c r="AB123" i="10"/>
  <c r="AD123" i="10"/>
  <c r="AB115" i="10"/>
  <c r="AD115" i="10"/>
  <c r="AB107" i="10"/>
  <c r="AD107" i="10"/>
  <c r="AB99" i="10"/>
  <c r="AD99" i="10"/>
  <c r="AB91" i="10"/>
  <c r="AD91" i="10"/>
  <c r="AE91" i="10" s="1"/>
  <c r="AJ91" i="10" s="1"/>
  <c r="AB83" i="10"/>
  <c r="AD83" i="10"/>
  <c r="AB75" i="10"/>
  <c r="AC75" i="10" s="1"/>
  <c r="AL75" i="10" s="1"/>
  <c r="AD75" i="10"/>
  <c r="AE75" i="10" s="1"/>
  <c r="AJ75" i="10" s="1"/>
  <c r="AB67" i="10"/>
  <c r="AD67" i="10"/>
  <c r="AB59" i="10"/>
  <c r="AD59" i="10"/>
  <c r="AB51" i="10"/>
  <c r="AD51" i="10"/>
  <c r="AE51" i="10" s="1"/>
  <c r="AJ51" i="10" s="1"/>
  <c r="AB43" i="10"/>
  <c r="AC43" i="10" s="1"/>
  <c r="AL43" i="10" s="1"/>
  <c r="AD43" i="10"/>
  <c r="AE43" i="10" s="1"/>
  <c r="AJ43" i="10" s="1"/>
  <c r="AB35" i="10"/>
  <c r="AC35" i="10" s="1"/>
  <c r="AL35" i="10" s="1"/>
  <c r="AD35" i="10"/>
  <c r="AB27" i="10"/>
  <c r="AD27" i="10"/>
  <c r="AE27" i="10" s="1"/>
  <c r="AJ27" i="10" s="1"/>
  <c r="AB19" i="10"/>
  <c r="AD19" i="10"/>
  <c r="AB11" i="10"/>
  <c r="AC11" i="10" s="1"/>
  <c r="AL11" i="10" s="1"/>
  <c r="AD11" i="10"/>
  <c r="R72" i="10"/>
  <c r="U74" i="10"/>
  <c r="U106" i="10"/>
  <c r="R136" i="10"/>
  <c r="U138" i="10"/>
  <c r="R154" i="10"/>
  <c r="H183" i="10"/>
  <c r="H199" i="10"/>
  <c r="AB226" i="10"/>
  <c r="AD226" i="10"/>
  <c r="AB218" i="10"/>
  <c r="AD218" i="10"/>
  <c r="AE218" i="10" s="1"/>
  <c r="AJ218" i="10" s="1"/>
  <c r="AB210" i="10"/>
  <c r="AD210" i="10"/>
  <c r="AB202" i="10"/>
  <c r="AC202" i="10" s="1"/>
  <c r="AL202" i="10" s="1"/>
  <c r="AD202" i="10"/>
  <c r="AE202" i="10" s="1"/>
  <c r="AJ202" i="10" s="1"/>
  <c r="AB194" i="10"/>
  <c r="AD194" i="10"/>
  <c r="AE194" i="10" s="1"/>
  <c r="AJ194" i="10" s="1"/>
  <c r="AB186" i="10"/>
  <c r="AD186" i="10"/>
  <c r="AB178" i="10"/>
  <c r="AD178" i="10"/>
  <c r="AB170" i="10"/>
  <c r="AD170" i="10"/>
  <c r="AB162" i="10"/>
  <c r="AC162" i="10" s="1"/>
  <c r="AL162" i="10" s="1"/>
  <c r="AD162" i="10"/>
  <c r="AE162" i="10" s="1"/>
  <c r="AJ162" i="10" s="1"/>
  <c r="AB154" i="10"/>
  <c r="AD154" i="10"/>
  <c r="AB146" i="10"/>
  <c r="AD146" i="10"/>
  <c r="AB138" i="10"/>
  <c r="AD138" i="10"/>
  <c r="AB130" i="10"/>
  <c r="AD130" i="10"/>
  <c r="AB122" i="10"/>
  <c r="AD122" i="10"/>
  <c r="AB114" i="10"/>
  <c r="AD114" i="10"/>
  <c r="AB106" i="10"/>
  <c r="AC106" i="10" s="1"/>
  <c r="AL106" i="10" s="1"/>
  <c r="AD106" i="10"/>
  <c r="AE106" i="10" s="1"/>
  <c r="AJ106" i="10" s="1"/>
  <c r="AB98" i="10"/>
  <c r="AD98" i="10"/>
  <c r="AB90" i="10"/>
  <c r="AD90" i="10"/>
  <c r="AB82" i="10"/>
  <c r="AD82" i="10"/>
  <c r="AE82" i="10" s="1"/>
  <c r="AJ82" i="10" s="1"/>
  <c r="AB74" i="10"/>
  <c r="AD74" i="10"/>
  <c r="AB66" i="10"/>
  <c r="AD66" i="10"/>
  <c r="AB58" i="10"/>
  <c r="AD58" i="10"/>
  <c r="AB50" i="10"/>
  <c r="AD50" i="10"/>
  <c r="AB42" i="10"/>
  <c r="AD42" i="10"/>
  <c r="AE42" i="10" s="1"/>
  <c r="AJ42" i="10" s="1"/>
  <c r="AB34" i="10"/>
  <c r="AD34" i="10"/>
  <c r="AE34" i="10" s="1"/>
  <c r="AJ34" i="10" s="1"/>
  <c r="AB26" i="10"/>
  <c r="AD26" i="10"/>
  <c r="AB18" i="10"/>
  <c r="AD18" i="10"/>
  <c r="AB10" i="10"/>
  <c r="AD10" i="10"/>
  <c r="H176" i="10"/>
  <c r="U188" i="10"/>
  <c r="H224" i="10"/>
  <c r="H232" i="10"/>
  <c r="AB7" i="10"/>
  <c r="AD7" i="10"/>
  <c r="AE7" i="10" s="1"/>
  <c r="AJ7" i="10" s="1"/>
  <c r="AB225" i="10"/>
  <c r="AC225" i="10" s="1"/>
  <c r="AL225" i="10" s="1"/>
  <c r="AD225" i="10"/>
  <c r="AB217" i="10"/>
  <c r="AD217" i="10"/>
  <c r="AB209" i="10"/>
  <c r="AD209" i="10"/>
  <c r="AB201" i="10"/>
  <c r="AD201" i="10"/>
  <c r="AB193" i="10"/>
  <c r="AD193" i="10"/>
  <c r="AB185" i="10"/>
  <c r="AD185" i="10"/>
  <c r="AB177" i="10"/>
  <c r="AD177" i="10"/>
  <c r="AB169" i="10"/>
  <c r="AD169" i="10"/>
  <c r="AB161" i="10"/>
  <c r="AD161" i="10"/>
  <c r="AB153" i="10"/>
  <c r="AD153" i="10"/>
  <c r="AB145" i="10"/>
  <c r="AD145" i="10"/>
  <c r="AB137" i="10"/>
  <c r="AD137" i="10"/>
  <c r="AE137" i="10" s="1"/>
  <c r="AJ137" i="10" s="1"/>
  <c r="AB129" i="10"/>
  <c r="AC129" i="10" s="1"/>
  <c r="AL129" i="10" s="1"/>
  <c r="AD129" i="10"/>
  <c r="AB121" i="10"/>
  <c r="AD121" i="10"/>
  <c r="AB113" i="10"/>
  <c r="AD113" i="10"/>
  <c r="AE113" i="10" s="1"/>
  <c r="AJ113" i="10" s="1"/>
  <c r="AB105" i="10"/>
  <c r="AD105" i="10"/>
  <c r="AB97" i="10"/>
  <c r="AD97" i="10"/>
  <c r="AB89" i="10"/>
  <c r="AD89" i="10"/>
  <c r="AB81" i="10"/>
  <c r="AD81" i="10"/>
  <c r="AB73" i="10"/>
  <c r="AD73" i="10"/>
  <c r="AB65" i="10"/>
  <c r="AC65" i="10" s="1"/>
  <c r="AL65" i="10" s="1"/>
  <c r="AD65" i="10"/>
  <c r="AB57" i="10"/>
  <c r="AC57" i="10" s="1"/>
  <c r="AL57" i="10" s="1"/>
  <c r="AD57" i="10"/>
  <c r="AB49" i="10"/>
  <c r="AD49" i="10"/>
  <c r="AB41" i="10"/>
  <c r="AD41" i="10"/>
  <c r="AB33" i="10"/>
  <c r="AD33" i="10"/>
  <c r="AB25" i="10"/>
  <c r="AC25" i="10" s="1"/>
  <c r="AL25" i="10" s="1"/>
  <c r="AD25" i="10"/>
  <c r="AB17" i="10"/>
  <c r="AD17" i="10"/>
  <c r="AB9" i="10"/>
  <c r="AD9" i="10"/>
  <c r="AA185" i="10"/>
  <c r="AK185" i="10" s="1"/>
  <c r="AA121" i="10"/>
  <c r="AK121" i="10" s="1"/>
  <c r="AA57" i="10"/>
  <c r="AK57" i="10" s="1"/>
  <c r="R184" i="10"/>
  <c r="AB232" i="10"/>
  <c r="AD232" i="10"/>
  <c r="AE232" i="10" s="1"/>
  <c r="AJ232" i="10" s="1"/>
  <c r="AB224" i="10"/>
  <c r="AD224" i="10"/>
  <c r="AE224" i="10" s="1"/>
  <c r="AJ224" i="10" s="1"/>
  <c r="AB216" i="10"/>
  <c r="AC216" i="10" s="1"/>
  <c r="AL216" i="10" s="1"/>
  <c r="AD216" i="10"/>
  <c r="AE216" i="10" s="1"/>
  <c r="AJ216" i="10" s="1"/>
  <c r="AB208" i="10"/>
  <c r="AC208" i="10" s="1"/>
  <c r="AL208" i="10" s="1"/>
  <c r="AD208" i="10"/>
  <c r="AB200" i="10"/>
  <c r="AD200" i="10"/>
  <c r="AE200" i="10" s="1"/>
  <c r="AJ200" i="10" s="1"/>
  <c r="AB192" i="10"/>
  <c r="AD192" i="10"/>
  <c r="AE192" i="10" s="1"/>
  <c r="AJ192" i="10" s="1"/>
  <c r="AB184" i="10"/>
  <c r="AC184" i="10" s="1"/>
  <c r="AL184" i="10" s="1"/>
  <c r="AD184" i="10"/>
  <c r="AE184" i="10" s="1"/>
  <c r="AJ184" i="10" s="1"/>
  <c r="AB176" i="10"/>
  <c r="AC176" i="10" s="1"/>
  <c r="AL176" i="10" s="1"/>
  <c r="AD176" i="10"/>
  <c r="AE176" i="10" s="1"/>
  <c r="AJ176" i="10" s="1"/>
  <c r="AB168" i="10"/>
  <c r="AD168" i="10"/>
  <c r="AE168" i="10" s="1"/>
  <c r="AJ168" i="10" s="1"/>
  <c r="AB160" i="10"/>
  <c r="AD160" i="10"/>
  <c r="AE160" i="10" s="1"/>
  <c r="AJ160" i="10" s="1"/>
  <c r="AB152" i="10"/>
  <c r="AC152" i="10" s="1"/>
  <c r="AL152" i="10" s="1"/>
  <c r="AD152" i="10"/>
  <c r="AE152" i="10" s="1"/>
  <c r="AJ152" i="10" s="1"/>
  <c r="AB144" i="10"/>
  <c r="AD144" i="10"/>
  <c r="AE144" i="10" s="1"/>
  <c r="AJ144" i="10" s="1"/>
  <c r="AB136" i="10"/>
  <c r="AD136" i="10"/>
  <c r="AE136" i="10" s="1"/>
  <c r="AJ136" i="10" s="1"/>
  <c r="AB128" i="10"/>
  <c r="AD128" i="10"/>
  <c r="AE128" i="10" s="1"/>
  <c r="AJ128" i="10" s="1"/>
  <c r="AB120" i="10"/>
  <c r="AC120" i="10" s="1"/>
  <c r="AL120" i="10" s="1"/>
  <c r="AD120" i="10"/>
  <c r="AE120" i="10" s="1"/>
  <c r="AJ120" i="10" s="1"/>
  <c r="AB112" i="10"/>
  <c r="AC112" i="10" s="1"/>
  <c r="AL112" i="10" s="1"/>
  <c r="AD112" i="10"/>
  <c r="AE112" i="10" s="1"/>
  <c r="AJ112" i="10" s="1"/>
  <c r="AB104" i="10"/>
  <c r="AD104" i="10"/>
  <c r="AE104" i="10" s="1"/>
  <c r="AJ104" i="10" s="1"/>
  <c r="AB96" i="10"/>
  <c r="AD96" i="10"/>
  <c r="AE96" i="10" s="1"/>
  <c r="AJ96" i="10" s="1"/>
  <c r="AB88" i="10"/>
  <c r="AC88" i="10" s="1"/>
  <c r="AL88" i="10" s="1"/>
  <c r="AD88" i="10"/>
  <c r="AE88" i="10" s="1"/>
  <c r="AJ88" i="10" s="1"/>
  <c r="AB80" i="10"/>
  <c r="AC80" i="10" s="1"/>
  <c r="AL80" i="10" s="1"/>
  <c r="AD80" i="10"/>
  <c r="AE80" i="10" s="1"/>
  <c r="AJ80" i="10" s="1"/>
  <c r="AB72" i="10"/>
  <c r="AD72" i="10"/>
  <c r="AE72" i="10" s="1"/>
  <c r="AJ72" i="10" s="1"/>
  <c r="AB64" i="10"/>
  <c r="AD64" i="10"/>
  <c r="AE64" i="10" s="1"/>
  <c r="AJ64" i="10" s="1"/>
  <c r="AB56" i="10"/>
  <c r="AC56" i="10" s="1"/>
  <c r="AL56" i="10" s="1"/>
  <c r="AD56" i="10"/>
  <c r="AE56" i="10" s="1"/>
  <c r="AJ56" i="10" s="1"/>
  <c r="AB48" i="10"/>
  <c r="AC48" i="10" s="1"/>
  <c r="AL48" i="10" s="1"/>
  <c r="AD48" i="10"/>
  <c r="AE48" i="10" s="1"/>
  <c r="AJ48" i="10" s="1"/>
  <c r="AB40" i="10"/>
  <c r="AD40" i="10"/>
  <c r="AE40" i="10" s="1"/>
  <c r="AJ40" i="10" s="1"/>
  <c r="AB32" i="10"/>
  <c r="AD32" i="10"/>
  <c r="AE32" i="10" s="1"/>
  <c r="AJ32" i="10" s="1"/>
  <c r="AB24" i="10"/>
  <c r="AC24" i="10" s="1"/>
  <c r="AL24" i="10" s="1"/>
  <c r="AD24" i="10"/>
  <c r="AE24" i="10" s="1"/>
  <c r="AJ24" i="10" s="1"/>
  <c r="AB16" i="10"/>
  <c r="AC16" i="10" s="1"/>
  <c r="AL16" i="10" s="1"/>
  <c r="AD16" i="10"/>
  <c r="AE16" i="10" s="1"/>
  <c r="AJ16" i="10" s="1"/>
  <c r="AB8" i="10"/>
  <c r="AD8" i="10"/>
  <c r="AE8" i="10" s="1"/>
  <c r="AJ8" i="10" s="1"/>
  <c r="AA177" i="10"/>
  <c r="AA113" i="10"/>
  <c r="AK113" i="10" s="1"/>
  <c r="AA49" i="10"/>
  <c r="AK49" i="10" s="1"/>
  <c r="U49" i="10"/>
  <c r="U62" i="10"/>
  <c r="U12" i="10"/>
  <c r="U42" i="10"/>
  <c r="R45" i="10"/>
  <c r="U175" i="10"/>
  <c r="AB231" i="10"/>
  <c r="AC231" i="10" s="1"/>
  <c r="AL231" i="10" s="1"/>
  <c r="AD231" i="10"/>
  <c r="AB223" i="10"/>
  <c r="AC223" i="10" s="1"/>
  <c r="AL223" i="10" s="1"/>
  <c r="AD223" i="10"/>
  <c r="AB215" i="10"/>
  <c r="AC215" i="10" s="1"/>
  <c r="AL215" i="10" s="1"/>
  <c r="AD215" i="10"/>
  <c r="AB207" i="10"/>
  <c r="AC207" i="10" s="1"/>
  <c r="AL207" i="10" s="1"/>
  <c r="AD207" i="10"/>
  <c r="AB199" i="10"/>
  <c r="AC199" i="10" s="1"/>
  <c r="AL199" i="10" s="1"/>
  <c r="AD199" i="10"/>
  <c r="AB191" i="10"/>
  <c r="AC191" i="10" s="1"/>
  <c r="AL191" i="10" s="1"/>
  <c r="AD191" i="10"/>
  <c r="AB183" i="10"/>
  <c r="AC183" i="10" s="1"/>
  <c r="AL183" i="10" s="1"/>
  <c r="AD183" i="10"/>
  <c r="AB175" i="10"/>
  <c r="AC175" i="10" s="1"/>
  <c r="AL175" i="10" s="1"/>
  <c r="AD175" i="10"/>
  <c r="AB167" i="10"/>
  <c r="AD167" i="10"/>
  <c r="AE167" i="10" s="1"/>
  <c r="AJ167" i="10" s="1"/>
  <c r="AB159" i="10"/>
  <c r="AC159" i="10" s="1"/>
  <c r="AL159" i="10" s="1"/>
  <c r="AD159" i="10"/>
  <c r="AE159" i="10" s="1"/>
  <c r="AJ159" i="10" s="1"/>
  <c r="AB151" i="10"/>
  <c r="AD151" i="10"/>
  <c r="AE151" i="10" s="1"/>
  <c r="AJ151" i="10" s="1"/>
  <c r="AB143" i="10"/>
  <c r="AC143" i="10" s="1"/>
  <c r="AL143" i="10" s="1"/>
  <c r="AD143" i="10"/>
  <c r="AB135" i="10"/>
  <c r="AC135" i="10" s="1"/>
  <c r="AL135" i="10" s="1"/>
  <c r="AD135" i="10"/>
  <c r="AB127" i="10"/>
  <c r="AD127" i="10"/>
  <c r="AB119" i="10"/>
  <c r="AD119" i="10"/>
  <c r="AE119" i="10" s="1"/>
  <c r="AJ119" i="10" s="1"/>
  <c r="AB111" i="10"/>
  <c r="AD111" i="10"/>
  <c r="AB103" i="10"/>
  <c r="AD103" i="10"/>
  <c r="AE103" i="10" s="1"/>
  <c r="AJ103" i="10" s="1"/>
  <c r="AB95" i="10"/>
  <c r="AD95" i="10"/>
  <c r="AE95" i="10" s="1"/>
  <c r="AJ95" i="10" s="1"/>
  <c r="AB87" i="10"/>
  <c r="AC87" i="10" s="1"/>
  <c r="AL87" i="10" s="1"/>
  <c r="AD87" i="10"/>
  <c r="AE87" i="10" s="1"/>
  <c r="AJ87" i="10" s="1"/>
  <c r="AB79" i="10"/>
  <c r="AD79" i="10"/>
  <c r="AE79" i="10" s="1"/>
  <c r="AJ79" i="10" s="1"/>
  <c r="AB71" i="10"/>
  <c r="AD71" i="10"/>
  <c r="AB63" i="10"/>
  <c r="AD63" i="10"/>
  <c r="AE63" i="10" s="1"/>
  <c r="AJ63" i="10" s="1"/>
  <c r="AB55" i="10"/>
  <c r="AC55" i="10" s="1"/>
  <c r="AL55" i="10" s="1"/>
  <c r="AD55" i="10"/>
  <c r="AB47" i="10"/>
  <c r="AC47" i="10" s="1"/>
  <c r="AL47" i="10" s="1"/>
  <c r="AD47" i="10"/>
  <c r="AE47" i="10" s="1"/>
  <c r="AJ47" i="10" s="1"/>
  <c r="AB39" i="10"/>
  <c r="AC39" i="10" s="1"/>
  <c r="AL39" i="10" s="1"/>
  <c r="AD39" i="10"/>
  <c r="AE39" i="10" s="1"/>
  <c r="AJ39" i="10" s="1"/>
  <c r="AB31" i="10"/>
  <c r="AD31" i="10"/>
  <c r="AE31" i="10" s="1"/>
  <c r="AJ31" i="10" s="1"/>
  <c r="AB23" i="10"/>
  <c r="AC23" i="10" s="1"/>
  <c r="AL23" i="10" s="1"/>
  <c r="AD23" i="10"/>
  <c r="AE23" i="10" s="1"/>
  <c r="AJ23" i="10" s="1"/>
  <c r="AB15" i="10"/>
  <c r="AC15" i="10" s="1"/>
  <c r="AL15" i="10" s="1"/>
  <c r="AD15" i="10"/>
  <c r="AA7" i="10"/>
  <c r="AK7" i="10" s="1"/>
  <c r="AA169" i="10"/>
  <c r="AK169" i="10" s="1"/>
  <c r="AA105" i="10"/>
  <c r="AK105" i="10" s="1"/>
  <c r="AA41" i="10"/>
  <c r="AK41" i="10" s="1"/>
  <c r="U29" i="10"/>
  <c r="U53" i="10"/>
  <c r="U58" i="10"/>
  <c r="R95" i="10"/>
  <c r="U17" i="10"/>
  <c r="R19" i="10"/>
  <c r="R35" i="10"/>
  <c r="R41" i="10"/>
  <c r="U90" i="10"/>
  <c r="U94" i="10"/>
  <c r="H208" i="10"/>
  <c r="R221" i="10"/>
  <c r="AB230" i="10"/>
  <c r="AC230" i="10" s="1"/>
  <c r="AL230" i="10" s="1"/>
  <c r="AD230" i="10"/>
  <c r="AE230" i="10" s="1"/>
  <c r="AJ230" i="10" s="1"/>
  <c r="AB222" i="10"/>
  <c r="AD222" i="10"/>
  <c r="AE222" i="10" s="1"/>
  <c r="AJ222" i="10" s="1"/>
  <c r="AB214" i="10"/>
  <c r="AD214" i="10"/>
  <c r="AE214" i="10" s="1"/>
  <c r="AJ214" i="10" s="1"/>
  <c r="AB206" i="10"/>
  <c r="AC206" i="10" s="1"/>
  <c r="AL206" i="10" s="1"/>
  <c r="AD206" i="10"/>
  <c r="AE206" i="10" s="1"/>
  <c r="AJ206" i="10" s="1"/>
  <c r="AB198" i="10"/>
  <c r="AD198" i="10"/>
  <c r="AE198" i="10" s="1"/>
  <c r="AJ198" i="10" s="1"/>
  <c r="AB190" i="10"/>
  <c r="AC190" i="10" s="1"/>
  <c r="AL190" i="10" s="1"/>
  <c r="AD190" i="10"/>
  <c r="AE190" i="10" s="1"/>
  <c r="AJ190" i="10" s="1"/>
  <c r="AB182" i="10"/>
  <c r="AC182" i="10" s="1"/>
  <c r="AL182" i="10" s="1"/>
  <c r="AD182" i="10"/>
  <c r="AE182" i="10" s="1"/>
  <c r="AJ182" i="10" s="1"/>
  <c r="AB174" i="10"/>
  <c r="AC174" i="10" s="1"/>
  <c r="AL174" i="10" s="1"/>
  <c r="AD174" i="10"/>
  <c r="AE174" i="10" s="1"/>
  <c r="AJ174" i="10" s="1"/>
  <c r="AB166" i="10"/>
  <c r="AC166" i="10" s="1"/>
  <c r="AL166" i="10" s="1"/>
  <c r="AD166" i="10"/>
  <c r="AE166" i="10" s="1"/>
  <c r="AJ166" i="10" s="1"/>
  <c r="AB158" i="10"/>
  <c r="AC158" i="10" s="1"/>
  <c r="AL158" i="10" s="1"/>
  <c r="AD158" i="10"/>
  <c r="AE158" i="10" s="1"/>
  <c r="AJ158" i="10" s="1"/>
  <c r="AB150" i="10"/>
  <c r="AC150" i="10" s="1"/>
  <c r="AL150" i="10" s="1"/>
  <c r="AD150" i="10"/>
  <c r="AE150" i="10" s="1"/>
  <c r="AJ150" i="10" s="1"/>
  <c r="AB142" i="10"/>
  <c r="AC142" i="10" s="1"/>
  <c r="AL142" i="10" s="1"/>
  <c r="AD142" i="10"/>
  <c r="AE142" i="10" s="1"/>
  <c r="AJ142" i="10" s="1"/>
  <c r="AB134" i="10"/>
  <c r="AD134" i="10"/>
  <c r="AE134" i="10" s="1"/>
  <c r="AJ134" i="10" s="1"/>
  <c r="AB126" i="10"/>
  <c r="AD126" i="10"/>
  <c r="AE126" i="10" s="1"/>
  <c r="AJ126" i="10" s="1"/>
  <c r="AB118" i="10"/>
  <c r="AD118" i="10"/>
  <c r="AE118" i="10" s="1"/>
  <c r="AJ118" i="10" s="1"/>
  <c r="AB110" i="10"/>
  <c r="AC110" i="10" s="1"/>
  <c r="AL110" i="10" s="1"/>
  <c r="AD110" i="10"/>
  <c r="AE110" i="10" s="1"/>
  <c r="AJ110" i="10" s="1"/>
  <c r="AB102" i="10"/>
  <c r="AC102" i="10" s="1"/>
  <c r="AL102" i="10" s="1"/>
  <c r="AD102" i="10"/>
  <c r="AE102" i="10" s="1"/>
  <c r="AJ102" i="10" s="1"/>
  <c r="AB94" i="10"/>
  <c r="AC94" i="10" s="1"/>
  <c r="AL94" i="10" s="1"/>
  <c r="AD94" i="10"/>
  <c r="AE94" i="10" s="1"/>
  <c r="AJ94" i="10" s="1"/>
  <c r="AB86" i="10"/>
  <c r="AC86" i="10" s="1"/>
  <c r="AL86" i="10" s="1"/>
  <c r="AD86" i="10"/>
  <c r="AE86" i="10" s="1"/>
  <c r="AJ86" i="10" s="1"/>
  <c r="AB78" i="10"/>
  <c r="AC78" i="10" s="1"/>
  <c r="AL78" i="10" s="1"/>
  <c r="AD78" i="10"/>
  <c r="AE78" i="10" s="1"/>
  <c r="AJ78" i="10" s="1"/>
  <c r="AB70" i="10"/>
  <c r="AD70" i="10"/>
  <c r="AE70" i="10" s="1"/>
  <c r="AJ70" i="10" s="1"/>
  <c r="AB62" i="10"/>
  <c r="AC62" i="10" s="1"/>
  <c r="AL62" i="10" s="1"/>
  <c r="AD62" i="10"/>
  <c r="AE62" i="10" s="1"/>
  <c r="AJ62" i="10" s="1"/>
  <c r="AB54" i="10"/>
  <c r="AC54" i="10" s="1"/>
  <c r="AL54" i="10" s="1"/>
  <c r="AD54" i="10"/>
  <c r="AE54" i="10" s="1"/>
  <c r="AJ54" i="10" s="1"/>
  <c r="AB46" i="10"/>
  <c r="AC46" i="10" s="1"/>
  <c r="AL46" i="10" s="1"/>
  <c r="AD46" i="10"/>
  <c r="AE46" i="10" s="1"/>
  <c r="AJ46" i="10" s="1"/>
  <c r="AB38" i="10"/>
  <c r="AC38" i="10" s="1"/>
  <c r="AL38" i="10" s="1"/>
  <c r="AD38" i="10"/>
  <c r="AE38" i="10" s="1"/>
  <c r="AJ38" i="10" s="1"/>
  <c r="AB30" i="10"/>
  <c r="AD30" i="10"/>
  <c r="AE30" i="10" s="1"/>
  <c r="AJ30" i="10" s="1"/>
  <c r="AB22" i="10"/>
  <c r="AC22" i="10" s="1"/>
  <c r="AL22" i="10" s="1"/>
  <c r="AD22" i="10"/>
  <c r="AE22" i="10" s="1"/>
  <c r="AJ22" i="10" s="1"/>
  <c r="AB14" i="10"/>
  <c r="AC14" i="10" s="1"/>
  <c r="AL14" i="10" s="1"/>
  <c r="AD14" i="10"/>
  <c r="AE14" i="10" s="1"/>
  <c r="AJ14" i="10" s="1"/>
  <c r="AA225" i="10"/>
  <c r="AK225" i="10" s="1"/>
  <c r="AA161" i="10"/>
  <c r="AK161" i="10" s="1"/>
  <c r="AA97" i="10"/>
  <c r="AK97" i="10" s="1"/>
  <c r="AA33" i="10"/>
  <c r="AK33" i="10" s="1"/>
  <c r="U221" i="10"/>
  <c r="AB229" i="10"/>
  <c r="AC229" i="10" s="1"/>
  <c r="AL229" i="10" s="1"/>
  <c r="AD229" i="10"/>
  <c r="AE229" i="10" s="1"/>
  <c r="AJ229" i="10" s="1"/>
  <c r="AB221" i="10"/>
  <c r="AC221" i="10" s="1"/>
  <c r="AL221" i="10" s="1"/>
  <c r="AD221" i="10"/>
  <c r="AB213" i="10"/>
  <c r="AC213" i="10" s="1"/>
  <c r="AL213" i="10" s="1"/>
  <c r="AD213" i="10"/>
  <c r="AE213" i="10" s="1"/>
  <c r="AJ213" i="10" s="1"/>
  <c r="AB205" i="10"/>
  <c r="AC205" i="10" s="1"/>
  <c r="AL205" i="10" s="1"/>
  <c r="AD205" i="10"/>
  <c r="AE205" i="10" s="1"/>
  <c r="AJ205" i="10" s="1"/>
  <c r="AB197" i="10"/>
  <c r="AD197" i="10"/>
  <c r="AE197" i="10" s="1"/>
  <c r="AJ197" i="10" s="1"/>
  <c r="AB189" i="10"/>
  <c r="AC189" i="10" s="1"/>
  <c r="AL189" i="10" s="1"/>
  <c r="AD189" i="10"/>
  <c r="AE189" i="10" s="1"/>
  <c r="AJ189" i="10" s="1"/>
  <c r="AB181" i="10"/>
  <c r="AC181" i="10" s="1"/>
  <c r="AL181" i="10" s="1"/>
  <c r="AD181" i="10"/>
  <c r="AE181" i="10" s="1"/>
  <c r="AJ181" i="10" s="1"/>
  <c r="AB173" i="10"/>
  <c r="AD173" i="10"/>
  <c r="AE173" i="10" s="1"/>
  <c r="AJ173" i="10" s="1"/>
  <c r="AB165" i="10"/>
  <c r="AC165" i="10" s="1"/>
  <c r="AL165" i="10" s="1"/>
  <c r="AD165" i="10"/>
  <c r="AE165" i="10" s="1"/>
  <c r="AJ165" i="10" s="1"/>
  <c r="AB157" i="10"/>
  <c r="AD157" i="10"/>
  <c r="AE157" i="10" s="1"/>
  <c r="AJ157" i="10" s="1"/>
  <c r="AB149" i="10"/>
  <c r="AC149" i="10" s="1"/>
  <c r="AL149" i="10" s="1"/>
  <c r="AD149" i="10"/>
  <c r="AE149" i="10" s="1"/>
  <c r="AJ149" i="10" s="1"/>
  <c r="AB141" i="10"/>
  <c r="AC141" i="10" s="1"/>
  <c r="AL141" i="10" s="1"/>
  <c r="AD141" i="10"/>
  <c r="AE141" i="10" s="1"/>
  <c r="AJ141" i="10" s="1"/>
  <c r="AB133" i="10"/>
  <c r="AC133" i="10" s="1"/>
  <c r="AL133" i="10" s="1"/>
  <c r="AD133" i="10"/>
  <c r="AE133" i="10" s="1"/>
  <c r="AJ133" i="10" s="1"/>
  <c r="AB125" i="10"/>
  <c r="AD125" i="10"/>
  <c r="AE125" i="10" s="1"/>
  <c r="AJ125" i="10" s="1"/>
  <c r="AB117" i="10"/>
  <c r="AC117" i="10" s="1"/>
  <c r="AL117" i="10" s="1"/>
  <c r="AD117" i="10"/>
  <c r="AE117" i="10" s="1"/>
  <c r="AJ117" i="10" s="1"/>
  <c r="AB109" i="10"/>
  <c r="AC109" i="10" s="1"/>
  <c r="AL109" i="10" s="1"/>
  <c r="AD109" i="10"/>
  <c r="AE109" i="10" s="1"/>
  <c r="AJ109" i="10" s="1"/>
  <c r="AB101" i="10"/>
  <c r="AC101" i="10" s="1"/>
  <c r="AL101" i="10" s="1"/>
  <c r="AD101" i="10"/>
  <c r="AE101" i="10" s="1"/>
  <c r="AJ101" i="10" s="1"/>
  <c r="AB93" i="10"/>
  <c r="AD93" i="10"/>
  <c r="AE93" i="10" s="1"/>
  <c r="AJ93" i="10" s="1"/>
  <c r="AB85" i="10"/>
  <c r="AC85" i="10" s="1"/>
  <c r="AL85" i="10" s="1"/>
  <c r="AD85" i="10"/>
  <c r="AE85" i="10" s="1"/>
  <c r="AJ85" i="10" s="1"/>
  <c r="AB77" i="10"/>
  <c r="AC77" i="10" s="1"/>
  <c r="AL77" i="10" s="1"/>
  <c r="AD77" i="10"/>
  <c r="AE77" i="10" s="1"/>
  <c r="AJ77" i="10" s="1"/>
  <c r="AB69" i="10"/>
  <c r="AC69" i="10" s="1"/>
  <c r="AL69" i="10" s="1"/>
  <c r="AD69" i="10"/>
  <c r="AE69" i="10" s="1"/>
  <c r="AJ69" i="10" s="1"/>
  <c r="AB61" i="10"/>
  <c r="AC61" i="10" s="1"/>
  <c r="AL61" i="10" s="1"/>
  <c r="AD61" i="10"/>
  <c r="AE61" i="10" s="1"/>
  <c r="AJ61" i="10" s="1"/>
  <c r="AB53" i="10"/>
  <c r="AC53" i="10" s="1"/>
  <c r="AL53" i="10" s="1"/>
  <c r="AD53" i="10"/>
  <c r="AE53" i="10" s="1"/>
  <c r="AJ53" i="10" s="1"/>
  <c r="AB45" i="10"/>
  <c r="AC45" i="10" s="1"/>
  <c r="AL45" i="10" s="1"/>
  <c r="AD45" i="10"/>
  <c r="AE45" i="10" s="1"/>
  <c r="AJ45" i="10" s="1"/>
  <c r="AB37" i="10"/>
  <c r="AC37" i="10" s="1"/>
  <c r="AL37" i="10" s="1"/>
  <c r="AD37" i="10"/>
  <c r="AE37" i="10" s="1"/>
  <c r="AJ37" i="10" s="1"/>
  <c r="AB29" i="10"/>
  <c r="AC29" i="10" s="1"/>
  <c r="AL29" i="10" s="1"/>
  <c r="AD29" i="10"/>
  <c r="AE29" i="10" s="1"/>
  <c r="AJ29" i="10" s="1"/>
  <c r="AB21" i="10"/>
  <c r="AC21" i="10" s="1"/>
  <c r="AL21" i="10" s="1"/>
  <c r="AD21" i="10"/>
  <c r="AE21" i="10" s="1"/>
  <c r="AJ21" i="10" s="1"/>
  <c r="AB13" i="10"/>
  <c r="AC13" i="10" s="1"/>
  <c r="AL13" i="10" s="1"/>
  <c r="AD13" i="10"/>
  <c r="AE13" i="10" s="1"/>
  <c r="AJ13" i="10" s="1"/>
  <c r="AA217" i="10"/>
  <c r="AK217" i="10" s="1"/>
  <c r="AA153" i="10"/>
  <c r="AK153" i="10" s="1"/>
  <c r="AA89" i="10"/>
  <c r="AA25" i="10"/>
  <c r="AK25" i="10" s="1"/>
  <c r="I12" i="10"/>
  <c r="H28" i="10"/>
  <c r="I36" i="10"/>
  <c r="H52" i="10"/>
  <c r="I68" i="10"/>
  <c r="H76" i="10"/>
  <c r="H92" i="10"/>
  <c r="I100" i="10"/>
  <c r="H116" i="10"/>
  <c r="I124" i="10"/>
  <c r="AC124" i="10" s="1"/>
  <c r="AL124" i="10" s="1"/>
  <c r="I132" i="10"/>
  <c r="I140" i="10"/>
  <c r="H148" i="10"/>
  <c r="AC63" i="10"/>
  <c r="AL63" i="10" s="1"/>
  <c r="AC31" i="10"/>
  <c r="AL31" i="10" s="1"/>
  <c r="AK209" i="10"/>
  <c r="AK201" i="10"/>
  <c r="AK177" i="10"/>
  <c r="AK129" i="10"/>
  <c r="AK89" i="10"/>
  <c r="AK81" i="10"/>
  <c r="AK73" i="10"/>
  <c r="AK65" i="10"/>
  <c r="AK17" i="10"/>
  <c r="AK9" i="10"/>
  <c r="R192" i="10"/>
  <c r="I212" i="10"/>
  <c r="AC212" i="10" s="1"/>
  <c r="AL212" i="10" s="1"/>
  <c r="AC222" i="10"/>
  <c r="AL222" i="10" s="1"/>
  <c r="AC214" i="10"/>
  <c r="AL214" i="10" s="1"/>
  <c r="AC198" i="10"/>
  <c r="AL198" i="10" s="1"/>
  <c r="AC134" i="10"/>
  <c r="AL134" i="10" s="1"/>
  <c r="AC126" i="10"/>
  <c r="AL126" i="10" s="1"/>
  <c r="AC118" i="10"/>
  <c r="AL118" i="10" s="1"/>
  <c r="AC70" i="10"/>
  <c r="AL70" i="10" s="1"/>
  <c r="AC30" i="10"/>
  <c r="AL30" i="10" s="1"/>
  <c r="AA232" i="10"/>
  <c r="AA224" i="10"/>
  <c r="AA216" i="10"/>
  <c r="AA208" i="10"/>
  <c r="AA200" i="10"/>
  <c r="AA192" i="10"/>
  <c r="AA184" i="10"/>
  <c r="AA176" i="10"/>
  <c r="AA168" i="10"/>
  <c r="AA160" i="10"/>
  <c r="AA152" i="10"/>
  <c r="AA144" i="10"/>
  <c r="AA136" i="10"/>
  <c r="AA128" i="10"/>
  <c r="AA120" i="10"/>
  <c r="AA112" i="10"/>
  <c r="AA104" i="10"/>
  <c r="AA96" i="10"/>
  <c r="AA88" i="10"/>
  <c r="AA80" i="10"/>
  <c r="AA72" i="10"/>
  <c r="AA64" i="10"/>
  <c r="AA56" i="10"/>
  <c r="AA48" i="10"/>
  <c r="AA40" i="10"/>
  <c r="AA32" i="10"/>
  <c r="AA24" i="10"/>
  <c r="AA16" i="10"/>
  <c r="AA8" i="10"/>
  <c r="U21" i="10"/>
  <c r="R104" i="10"/>
  <c r="U114" i="10"/>
  <c r="R171" i="10"/>
  <c r="U191" i="10"/>
  <c r="AC197" i="10"/>
  <c r="AL197" i="10" s="1"/>
  <c r="AC173" i="10"/>
  <c r="AL173" i="10" s="1"/>
  <c r="AC157" i="10"/>
  <c r="AL157" i="10" s="1"/>
  <c r="AC125" i="10"/>
  <c r="AL125" i="10" s="1"/>
  <c r="AC93" i="10"/>
  <c r="AL93" i="10" s="1"/>
  <c r="AA231" i="10"/>
  <c r="AA223" i="10"/>
  <c r="AA215" i="10"/>
  <c r="AA207" i="10"/>
  <c r="AA199" i="10"/>
  <c r="AA191" i="10"/>
  <c r="AA183" i="10"/>
  <c r="AA175" i="10"/>
  <c r="AA167" i="10"/>
  <c r="AA159" i="10"/>
  <c r="AA151" i="10"/>
  <c r="AA143" i="10"/>
  <c r="AA135" i="10"/>
  <c r="AA127" i="10"/>
  <c r="AA119" i="10"/>
  <c r="AA111" i="10"/>
  <c r="AA103" i="10"/>
  <c r="AA95" i="10"/>
  <c r="AA87" i="10"/>
  <c r="AA79" i="10"/>
  <c r="AA71" i="10"/>
  <c r="AA63" i="10"/>
  <c r="AA55" i="10"/>
  <c r="AA47" i="10"/>
  <c r="AA39" i="10"/>
  <c r="AA31" i="10"/>
  <c r="AA23" i="10"/>
  <c r="AA15" i="10"/>
  <c r="H164" i="10"/>
  <c r="U171" i="10"/>
  <c r="U183" i="10"/>
  <c r="U184" i="10"/>
  <c r="H204" i="10"/>
  <c r="U217" i="10"/>
  <c r="H15" i="10"/>
  <c r="H55" i="10"/>
  <c r="I71" i="10"/>
  <c r="I79" i="10"/>
  <c r="I95" i="10"/>
  <c r="I103" i="10"/>
  <c r="I111" i="10"/>
  <c r="I119" i="10"/>
  <c r="I127" i="10"/>
  <c r="AC127" i="10" s="1"/>
  <c r="AL127" i="10" s="1"/>
  <c r="H135" i="10"/>
  <c r="H143" i="10"/>
  <c r="I151" i="10"/>
  <c r="AC151" i="10" s="1"/>
  <c r="AL151" i="10" s="1"/>
  <c r="I167" i="10"/>
  <c r="H175" i="10"/>
  <c r="H191" i="10"/>
  <c r="H207" i="10"/>
  <c r="H215" i="10"/>
  <c r="H223" i="10"/>
  <c r="H231" i="10"/>
  <c r="AC188" i="10"/>
  <c r="AL188" i="10" s="1"/>
  <c r="AC180" i="10"/>
  <c r="AL180" i="10" s="1"/>
  <c r="AC156" i="10"/>
  <c r="AL156" i="10" s="1"/>
  <c r="AC116" i="10"/>
  <c r="AL116" i="10" s="1"/>
  <c r="AC92" i="10"/>
  <c r="AL92" i="10" s="1"/>
  <c r="AC84" i="10"/>
  <c r="AL84" i="10" s="1"/>
  <c r="AC60" i="10"/>
  <c r="AL60" i="10" s="1"/>
  <c r="AC52" i="10"/>
  <c r="AL52" i="10" s="1"/>
  <c r="AC28" i="10"/>
  <c r="AL28" i="10" s="1"/>
  <c r="AC20" i="10"/>
  <c r="AL20" i="10" s="1"/>
  <c r="AA230" i="10"/>
  <c r="AA222" i="10"/>
  <c r="AA214" i="10"/>
  <c r="AA206" i="10"/>
  <c r="AA198" i="10"/>
  <c r="AA190" i="10"/>
  <c r="AA182" i="10"/>
  <c r="AA174" i="10"/>
  <c r="AA166" i="10"/>
  <c r="AA158" i="10"/>
  <c r="AA150" i="10"/>
  <c r="AA142" i="10"/>
  <c r="AA134" i="10"/>
  <c r="AA126" i="10"/>
  <c r="AA118" i="10"/>
  <c r="AA110" i="10"/>
  <c r="AA102" i="10"/>
  <c r="AA94" i="10"/>
  <c r="AA86" i="10"/>
  <c r="AA78" i="10"/>
  <c r="AA70" i="10"/>
  <c r="AA62" i="10"/>
  <c r="AA54" i="10"/>
  <c r="AA46" i="10"/>
  <c r="AA38" i="10"/>
  <c r="AA30" i="10"/>
  <c r="AA22" i="10"/>
  <c r="AA14" i="10"/>
  <c r="H172" i="10"/>
  <c r="H196" i="10"/>
  <c r="I204" i="10"/>
  <c r="H228" i="10"/>
  <c r="AC187" i="10"/>
  <c r="AL187" i="10" s="1"/>
  <c r="AC155" i="10"/>
  <c r="AL155" i="10" s="1"/>
  <c r="AC147" i="10"/>
  <c r="AL147" i="10" s="1"/>
  <c r="AC123" i="10"/>
  <c r="AL123" i="10" s="1"/>
  <c r="AC91" i="10"/>
  <c r="AL91" i="10" s="1"/>
  <c r="AC51" i="10"/>
  <c r="AL51" i="10" s="1"/>
  <c r="AC27" i="10"/>
  <c r="AL27" i="10" s="1"/>
  <c r="AC19" i="10"/>
  <c r="AL19" i="10" s="1"/>
  <c r="AA229" i="10"/>
  <c r="AA221" i="10"/>
  <c r="AA213" i="10"/>
  <c r="AA205" i="10"/>
  <c r="AA197" i="10"/>
  <c r="AA189" i="10"/>
  <c r="AA181" i="10"/>
  <c r="AA173" i="10"/>
  <c r="AA165" i="10"/>
  <c r="AA157" i="10"/>
  <c r="AA149" i="10"/>
  <c r="AA141" i="10"/>
  <c r="AA133" i="10"/>
  <c r="AA125" i="10"/>
  <c r="AA117" i="10"/>
  <c r="AA109" i="10"/>
  <c r="AA101" i="10"/>
  <c r="AA93" i="10"/>
  <c r="AA85" i="10"/>
  <c r="AA77" i="10"/>
  <c r="AA69" i="10"/>
  <c r="AA61" i="10"/>
  <c r="AA53" i="10"/>
  <c r="AA45" i="10"/>
  <c r="AA37" i="10"/>
  <c r="AA29" i="10"/>
  <c r="AA21" i="10"/>
  <c r="AA13" i="10"/>
  <c r="U16" i="10"/>
  <c r="U142" i="10"/>
  <c r="U70" i="10"/>
  <c r="R15" i="10"/>
  <c r="R59" i="10"/>
  <c r="R99" i="10"/>
  <c r="R113" i="10"/>
  <c r="R119" i="10"/>
  <c r="R135" i="10"/>
  <c r="R156" i="10"/>
  <c r="I196" i="10"/>
  <c r="H220" i="10"/>
  <c r="I228" i="10"/>
  <c r="AC228" i="10" s="1"/>
  <c r="AL228" i="10" s="1"/>
  <c r="H9" i="10"/>
  <c r="H17" i="10"/>
  <c r="I25" i="10"/>
  <c r="I33" i="10"/>
  <c r="H41" i="10"/>
  <c r="I49" i="10"/>
  <c r="AC49" i="10" s="1"/>
  <c r="AL49" i="10" s="1"/>
  <c r="I57" i="10"/>
  <c r="H65" i="10"/>
  <c r="H73" i="10"/>
  <c r="I81" i="10"/>
  <c r="AC81" i="10" s="1"/>
  <c r="AL81" i="10" s="1"/>
  <c r="I89" i="10"/>
  <c r="I97" i="10"/>
  <c r="H105" i="10"/>
  <c r="I113" i="10"/>
  <c r="AC113" i="10" s="1"/>
  <c r="AL113" i="10" s="1"/>
  <c r="H121" i="10"/>
  <c r="H129" i="10"/>
  <c r="I137" i="10"/>
  <c r="AC137" i="10" s="1"/>
  <c r="AL137" i="10" s="1"/>
  <c r="H145" i="10"/>
  <c r="H153" i="10"/>
  <c r="I161" i="10"/>
  <c r="H169" i="10"/>
  <c r="H177" i="10"/>
  <c r="I185" i="10"/>
  <c r="AC185" i="10" s="1"/>
  <c r="AL185" i="10" s="1"/>
  <c r="I193" i="10"/>
  <c r="I201" i="10"/>
  <c r="AC201" i="10" s="1"/>
  <c r="AL201" i="10" s="1"/>
  <c r="H209" i="10"/>
  <c r="I217" i="10"/>
  <c r="H225" i="10"/>
  <c r="AC218" i="10"/>
  <c r="AL218" i="10" s="1"/>
  <c r="AC82" i="10"/>
  <c r="AL82" i="10" s="1"/>
  <c r="AC18" i="10"/>
  <c r="AL18" i="10" s="1"/>
  <c r="AA228" i="10"/>
  <c r="AA220" i="10"/>
  <c r="AA212" i="10"/>
  <c r="AA204" i="10"/>
  <c r="AA196" i="10"/>
  <c r="AA188" i="10"/>
  <c r="AA180" i="10"/>
  <c r="AA172" i="10"/>
  <c r="AA164" i="10"/>
  <c r="AA156" i="10"/>
  <c r="AA148" i="10"/>
  <c r="AA140" i="10"/>
  <c r="AA132" i="10"/>
  <c r="AA124" i="10"/>
  <c r="AA116" i="10"/>
  <c r="AA108" i="10"/>
  <c r="AA100" i="10"/>
  <c r="AA92" i="10"/>
  <c r="AA84" i="10"/>
  <c r="AA76" i="10"/>
  <c r="AA68" i="10"/>
  <c r="AA60" i="10"/>
  <c r="AA52" i="10"/>
  <c r="AA44" i="10"/>
  <c r="AA36" i="10"/>
  <c r="AA28" i="10"/>
  <c r="AA20" i="10"/>
  <c r="AA12" i="10"/>
  <c r="R38" i="10"/>
  <c r="U80" i="10"/>
  <c r="R87" i="10"/>
  <c r="R103" i="10"/>
  <c r="U132" i="10"/>
  <c r="U30" i="10"/>
  <c r="U38" i="10"/>
  <c r="R64" i="10"/>
  <c r="U46" i="10"/>
  <c r="U50" i="10"/>
  <c r="U59" i="10"/>
  <c r="R63" i="10"/>
  <c r="U104" i="10"/>
  <c r="U127" i="10"/>
  <c r="R132" i="10"/>
  <c r="I220" i="10"/>
  <c r="AC220" i="10" s="1"/>
  <c r="AL220" i="10" s="1"/>
  <c r="R227" i="10"/>
  <c r="I10" i="10"/>
  <c r="H18" i="10"/>
  <c r="H26" i="10"/>
  <c r="I34" i="10"/>
  <c r="I42" i="10"/>
  <c r="H50" i="10"/>
  <c r="I58" i="10"/>
  <c r="AC58" i="10" s="1"/>
  <c r="AL58" i="10" s="1"/>
  <c r="I66" i="10"/>
  <c r="I74" i="10"/>
  <c r="H90" i="10"/>
  <c r="I98" i="10"/>
  <c r="AC98" i="10" s="1"/>
  <c r="AL98" i="10" s="1"/>
  <c r="I114" i="10"/>
  <c r="AC114" i="10" s="1"/>
  <c r="AL114" i="10" s="1"/>
  <c r="I122" i="10"/>
  <c r="AC122" i="10" s="1"/>
  <c r="AL122" i="10" s="1"/>
  <c r="I130" i="10"/>
  <c r="I138" i="10"/>
  <c r="H146" i="10"/>
  <c r="I154" i="10"/>
  <c r="AC154" i="10" s="1"/>
  <c r="AL154" i="10" s="1"/>
  <c r="I170" i="10"/>
  <c r="I178" i="10"/>
  <c r="AC178" i="10" s="1"/>
  <c r="AL178" i="10" s="1"/>
  <c r="I186" i="10"/>
  <c r="AC186" i="10" s="1"/>
  <c r="AL186" i="10" s="1"/>
  <c r="I194" i="10"/>
  <c r="I210" i="10"/>
  <c r="AC210" i="10" s="1"/>
  <c r="AL210" i="10" s="1"/>
  <c r="I226" i="10"/>
  <c r="AC7" i="10"/>
  <c r="AL7" i="10" s="1"/>
  <c r="AC169" i="10"/>
  <c r="AL169" i="10" s="1"/>
  <c r="AC153" i="10"/>
  <c r="AL153" i="10" s="1"/>
  <c r="AC89" i="10"/>
  <c r="AL89" i="10" s="1"/>
  <c r="AC73" i="10"/>
  <c r="AL73" i="10" s="1"/>
  <c r="AA227" i="10"/>
  <c r="AA219" i="10"/>
  <c r="AA211" i="10"/>
  <c r="AA203" i="10"/>
  <c r="AA195" i="10"/>
  <c r="AA187" i="10"/>
  <c r="AA179" i="10"/>
  <c r="AA171" i="10"/>
  <c r="AA163" i="10"/>
  <c r="AA155" i="10"/>
  <c r="AA147" i="10"/>
  <c r="AA139" i="10"/>
  <c r="AA131" i="10"/>
  <c r="AA123" i="10"/>
  <c r="AA115" i="10"/>
  <c r="AA107" i="10"/>
  <c r="AA99" i="10"/>
  <c r="AA91" i="10"/>
  <c r="AA83" i="10"/>
  <c r="AA75" i="10"/>
  <c r="AA67" i="10"/>
  <c r="AA59" i="10"/>
  <c r="AA51" i="10"/>
  <c r="AA43" i="10"/>
  <c r="AA35" i="10"/>
  <c r="AA27" i="10"/>
  <c r="AA19" i="10"/>
  <c r="AA11" i="10"/>
  <c r="H180" i="10"/>
  <c r="H188" i="10"/>
  <c r="R209" i="10"/>
  <c r="H11" i="10"/>
  <c r="H19" i="10"/>
  <c r="H35" i="10"/>
  <c r="I59" i="10"/>
  <c r="AC59" i="10" s="1"/>
  <c r="AL59" i="10" s="1"/>
  <c r="H67" i="10"/>
  <c r="I83" i="10"/>
  <c r="AC83" i="10" s="1"/>
  <c r="AL83" i="10" s="1"/>
  <c r="I99" i="10"/>
  <c r="I107" i="10"/>
  <c r="I115" i="10"/>
  <c r="AC115" i="10" s="1"/>
  <c r="AL115" i="10" s="1"/>
  <c r="H123" i="10"/>
  <c r="I131" i="10"/>
  <c r="I139" i="10"/>
  <c r="H147" i="10"/>
  <c r="I163" i="10"/>
  <c r="AC163" i="10" s="1"/>
  <c r="AL163" i="10" s="1"/>
  <c r="I171" i="10"/>
  <c r="H179" i="10"/>
  <c r="H187" i="10"/>
  <c r="I195" i="10"/>
  <c r="I203" i="10"/>
  <c r="I211" i="10"/>
  <c r="AC211" i="10" s="1"/>
  <c r="AL211" i="10" s="1"/>
  <c r="I219" i="10"/>
  <c r="AC219" i="10" s="1"/>
  <c r="AL219" i="10" s="1"/>
  <c r="AC232" i="10"/>
  <c r="AL232" i="10" s="1"/>
  <c r="AC224" i="10"/>
  <c r="AL224" i="10" s="1"/>
  <c r="AC200" i="10"/>
  <c r="AL200" i="10" s="1"/>
  <c r="AC192" i="10"/>
  <c r="AL192" i="10" s="1"/>
  <c r="AC168" i="10"/>
  <c r="AL168" i="10" s="1"/>
  <c r="AC160" i="10"/>
  <c r="AL160" i="10" s="1"/>
  <c r="AC144" i="10"/>
  <c r="AL144" i="10" s="1"/>
  <c r="AC136" i="10"/>
  <c r="AL136" i="10" s="1"/>
  <c r="AC128" i="10"/>
  <c r="AL128" i="10" s="1"/>
  <c r="AC104" i="10"/>
  <c r="AL104" i="10" s="1"/>
  <c r="AC96" i="10"/>
  <c r="AL96" i="10" s="1"/>
  <c r="AC72" i="10"/>
  <c r="AL72" i="10" s="1"/>
  <c r="AC64" i="10"/>
  <c r="AL64" i="10" s="1"/>
  <c r="AC40" i="10"/>
  <c r="AL40" i="10" s="1"/>
  <c r="AC32" i="10"/>
  <c r="AL32" i="10" s="1"/>
  <c r="AC8" i="10"/>
  <c r="AL8" i="10" s="1"/>
  <c r="AA226" i="10"/>
  <c r="AA218" i="10"/>
  <c r="AA210" i="10"/>
  <c r="AA202" i="10"/>
  <c r="AA194" i="10"/>
  <c r="AA186" i="10"/>
  <c r="AA178" i="10"/>
  <c r="AA170" i="10"/>
  <c r="AA162" i="10"/>
  <c r="AA154" i="10"/>
  <c r="AA146" i="10"/>
  <c r="AA138" i="10"/>
  <c r="AA130" i="10"/>
  <c r="AA122" i="10"/>
  <c r="AA114" i="10"/>
  <c r="AA106" i="10"/>
  <c r="AA98" i="10"/>
  <c r="AA90" i="10"/>
  <c r="AA82" i="10"/>
  <c r="AA74" i="10"/>
  <c r="AA66" i="10"/>
  <c r="AA58" i="10"/>
  <c r="AA50" i="10"/>
  <c r="AA42" i="10"/>
  <c r="AA34" i="10"/>
  <c r="AA26" i="10"/>
  <c r="AA18" i="10"/>
  <c r="AA10" i="10"/>
  <c r="U34" i="10"/>
  <c r="U126" i="10"/>
  <c r="U78" i="10"/>
  <c r="R93" i="10"/>
  <c r="U14" i="10"/>
  <c r="R25" i="10"/>
  <c r="R27" i="10"/>
  <c r="R31" i="10"/>
  <c r="U66" i="10"/>
  <c r="R81" i="10"/>
  <c r="U98" i="10"/>
  <c r="U102" i="10"/>
  <c r="U118" i="10"/>
  <c r="R131" i="10"/>
  <c r="U134" i="10"/>
  <c r="U144" i="10"/>
  <c r="U44" i="10"/>
  <c r="U122" i="10"/>
  <c r="U159" i="10"/>
  <c r="R11" i="10"/>
  <c r="U22" i="10"/>
  <c r="R30" i="10"/>
  <c r="R36" i="10"/>
  <c r="U68" i="10"/>
  <c r="R71" i="10"/>
  <c r="U100" i="10"/>
  <c r="U110" i="10"/>
  <c r="U112" i="10"/>
  <c r="R125" i="10"/>
  <c r="U169" i="10"/>
  <c r="U215" i="10"/>
  <c r="U86" i="10"/>
  <c r="R127" i="10"/>
  <c r="H97" i="10"/>
  <c r="I9" i="10"/>
  <c r="AC9" i="10" s="1"/>
  <c r="AL9" i="10" s="1"/>
  <c r="H122" i="10"/>
  <c r="I177" i="10"/>
  <c r="AC177" i="10" s="1"/>
  <c r="AL177" i="10" s="1"/>
  <c r="I209" i="10"/>
  <c r="AC209" i="10" s="1"/>
  <c r="AL209" i="10" s="1"/>
  <c r="I26" i="10"/>
  <c r="AC26" i="10" s="1"/>
  <c r="AL26" i="10" s="1"/>
  <c r="I50" i="10"/>
  <c r="AC50" i="10" s="1"/>
  <c r="AL50" i="10" s="1"/>
  <c r="H115" i="10"/>
  <c r="I146" i="10"/>
  <c r="AC146" i="10" s="1"/>
  <c r="AL146" i="10" s="1"/>
  <c r="H12" i="10"/>
  <c r="H25" i="10"/>
  <c r="H33" i="10"/>
  <c r="I41" i="10"/>
  <c r="AC41" i="10" s="1"/>
  <c r="AL41" i="10" s="1"/>
  <c r="H49" i="10"/>
  <c r="H59" i="10"/>
  <c r="H66" i="10"/>
  <c r="I67" i="10"/>
  <c r="H71" i="10"/>
  <c r="H74" i="10"/>
  <c r="H89" i="10"/>
  <c r="I90" i="10"/>
  <c r="AC90" i="10" s="1"/>
  <c r="AL90" i="10" s="1"/>
  <c r="H99" i="10"/>
  <c r="I105" i="10"/>
  <c r="AC105" i="10" s="1"/>
  <c r="AL105" i="10" s="1"/>
  <c r="H111" i="10"/>
  <c r="I121" i="10"/>
  <c r="H127" i="10"/>
  <c r="H131" i="10"/>
  <c r="I145" i="10"/>
  <c r="AC145" i="10" s="1"/>
  <c r="AL145" i="10" s="1"/>
  <c r="I148" i="10"/>
  <c r="AC148" i="10" s="1"/>
  <c r="AL148" i="10" s="1"/>
  <c r="H154" i="10"/>
  <c r="H161" i="10"/>
  <c r="H163" i="10"/>
  <c r="H170" i="10"/>
  <c r="I179" i="10"/>
  <c r="AC179" i="10" s="1"/>
  <c r="AL179" i="10" s="1"/>
  <c r="H193" i="10"/>
  <c r="H201" i="10"/>
  <c r="H217" i="10"/>
  <c r="H226" i="10"/>
  <c r="H81" i="10"/>
  <c r="H186" i="10"/>
  <c r="I17" i="10"/>
  <c r="AC17" i="10" s="1"/>
  <c r="AL17" i="10" s="1"/>
  <c r="H58" i="10"/>
  <c r="H107" i="10"/>
  <c r="H130" i="10"/>
  <c r="H138" i="10"/>
  <c r="H178" i="10"/>
  <c r="H195" i="10"/>
  <c r="H210" i="10"/>
  <c r="H219" i="10"/>
  <c r="H10" i="10"/>
  <c r="H57" i="10"/>
  <c r="H83" i="10"/>
  <c r="H98" i="10"/>
  <c r="H114" i="10"/>
  <c r="H185" i="10"/>
  <c r="H203" i="10"/>
  <c r="U39" i="10"/>
  <c r="R39" i="10"/>
  <c r="U18" i="10"/>
  <c r="R18" i="10"/>
  <c r="R205" i="10"/>
  <c r="R48" i="10"/>
  <c r="U48" i="10"/>
  <c r="R109" i="10"/>
  <c r="R57" i="10"/>
  <c r="U67" i="10"/>
  <c r="R89" i="10"/>
  <c r="U119" i="10"/>
  <c r="U156" i="10"/>
  <c r="R200" i="10"/>
  <c r="R208" i="10"/>
  <c r="R224" i="10"/>
  <c r="U228" i="10"/>
  <c r="R158" i="10"/>
  <c r="R121" i="10"/>
  <c r="R150" i="10"/>
  <c r="U150" i="10"/>
  <c r="R228" i="10"/>
  <c r="R14" i="10"/>
  <c r="U36" i="10"/>
  <c r="U41" i="10"/>
  <c r="U57" i="10"/>
  <c r="R88" i="10"/>
  <c r="U131" i="10"/>
  <c r="R169" i="10"/>
  <c r="R175" i="10"/>
  <c r="R182" i="10"/>
  <c r="U200" i="10"/>
  <c r="U208" i="10"/>
  <c r="U224" i="10"/>
  <c r="R203" i="10"/>
  <c r="R13" i="10"/>
  <c r="R22" i="10"/>
  <c r="R26" i="10"/>
  <c r="R34" i="10"/>
  <c r="U35" i="10"/>
  <c r="U72" i="10"/>
  <c r="R77" i="10"/>
  <c r="R181" i="10"/>
  <c r="R207" i="10"/>
  <c r="R216" i="10"/>
  <c r="R223" i="10"/>
  <c r="U141" i="10"/>
  <c r="R120" i="10"/>
  <c r="R214" i="10"/>
  <c r="U109" i="10"/>
  <c r="U13" i="10"/>
  <c r="R21" i="10"/>
  <c r="R53" i="10"/>
  <c r="U77" i="10"/>
  <c r="U99" i="10"/>
  <c r="U136" i="10"/>
  <c r="R141" i="10"/>
  <c r="R152" i="10"/>
  <c r="R174" i="10"/>
  <c r="R198" i="10"/>
  <c r="R206" i="10"/>
  <c r="U216" i="10"/>
  <c r="G85" i="10"/>
  <c r="O85" i="10" s="1"/>
  <c r="R85" i="10" s="1"/>
  <c r="M85" i="10"/>
  <c r="M87" i="10"/>
  <c r="M97" i="10"/>
  <c r="R100" i="10"/>
  <c r="M164" i="10"/>
  <c r="G164" i="10"/>
  <c r="O164" i="10" s="1"/>
  <c r="U164" i="10" s="1"/>
  <c r="G173" i="10"/>
  <c r="O173" i="10" s="1"/>
  <c r="R173" i="10" s="1"/>
  <c r="M173" i="10"/>
  <c r="R16" i="10"/>
  <c r="R17" i="10"/>
  <c r="M55" i="10"/>
  <c r="G55" i="10"/>
  <c r="O55" i="10" s="1"/>
  <c r="R55" i="10" s="1"/>
  <c r="M61" i="10"/>
  <c r="G61" i="10"/>
  <c r="O61" i="10" s="1"/>
  <c r="R61" i="10" s="1"/>
  <c r="G91" i="10"/>
  <c r="O91" i="10" s="1"/>
  <c r="M91" i="10"/>
  <c r="R97" i="10"/>
  <c r="U111" i="10"/>
  <c r="R111" i="10"/>
  <c r="M116" i="10"/>
  <c r="G116" i="10"/>
  <c r="O116" i="10" s="1"/>
  <c r="R116" i="10" s="1"/>
  <c r="R128" i="10"/>
  <c r="R204" i="10"/>
  <c r="G7" i="10"/>
  <c r="O7" i="10" s="1"/>
  <c r="R7" i="10" s="1"/>
  <c r="R12" i="10"/>
  <c r="R29" i="10"/>
  <c r="G37" i="10"/>
  <c r="O37" i="10" s="1"/>
  <c r="U37" i="10" s="1"/>
  <c r="R46" i="10"/>
  <c r="M60" i="10"/>
  <c r="G60" i="10"/>
  <c r="O60" i="10" s="1"/>
  <c r="R65" i="10"/>
  <c r="U71" i="10"/>
  <c r="U79" i="10"/>
  <c r="R79" i="10"/>
  <c r="U87" i="10"/>
  <c r="U128" i="10"/>
  <c r="M147" i="10"/>
  <c r="G147" i="10"/>
  <c r="O147" i="10" s="1"/>
  <c r="R147" i="10" s="1"/>
  <c r="G8" i="10"/>
  <c r="O8" i="10" s="1"/>
  <c r="R8" i="10" s="1"/>
  <c r="U19" i="10"/>
  <c r="M23" i="10"/>
  <c r="G23" i="10"/>
  <c r="O23" i="10" s="1"/>
  <c r="R23" i="10" s="1"/>
  <c r="R54" i="10"/>
  <c r="U54" i="10"/>
  <c r="U65" i="10"/>
  <c r="M84" i="10"/>
  <c r="G84" i="10"/>
  <c r="O84" i="10" s="1"/>
  <c r="R84" i="10" s="1"/>
  <c r="R96" i="10"/>
  <c r="G139" i="10"/>
  <c r="O139" i="10" s="1"/>
  <c r="M139" i="10"/>
  <c r="M155" i="10"/>
  <c r="G155" i="10"/>
  <c r="O155" i="10" s="1"/>
  <c r="R155" i="10" s="1"/>
  <c r="R157" i="10"/>
  <c r="M163" i="10"/>
  <c r="G163" i="10"/>
  <c r="O163" i="10" s="1"/>
  <c r="U163" i="10" s="1"/>
  <c r="M172" i="10"/>
  <c r="G172" i="10"/>
  <c r="O172" i="10" s="1"/>
  <c r="R172" i="10" s="1"/>
  <c r="G197" i="10"/>
  <c r="O197" i="10" s="1"/>
  <c r="U197" i="10" s="1"/>
  <c r="M197" i="10"/>
  <c r="R10" i="10"/>
  <c r="U15" i="10"/>
  <c r="R28" i="10"/>
  <c r="R44" i="10"/>
  <c r="U45" i="10"/>
  <c r="U64" i="10"/>
  <c r="U96" i="10"/>
  <c r="M115" i="10"/>
  <c r="G115" i="10"/>
  <c r="O115" i="10" s="1"/>
  <c r="R115" i="10" s="1"/>
  <c r="M124" i="10"/>
  <c r="G124" i="10"/>
  <c r="O124" i="10" s="1"/>
  <c r="R124" i="10" s="1"/>
  <c r="M125" i="10"/>
  <c r="M149" i="10"/>
  <c r="G149" i="10"/>
  <c r="O149" i="10" s="1"/>
  <c r="U149" i="10" s="1"/>
  <c r="U157" i="10"/>
  <c r="M9" i="10"/>
  <c r="G9" i="10"/>
  <c r="O9" i="10" s="1"/>
  <c r="U9" i="10" s="1"/>
  <c r="U11" i="10"/>
  <c r="U28" i="10"/>
  <c r="U31" i="10"/>
  <c r="U95" i="10"/>
  <c r="G107" i="10"/>
  <c r="O107" i="10" s="1"/>
  <c r="M107" i="10"/>
  <c r="U27" i="10"/>
  <c r="R42" i="10"/>
  <c r="G47" i="10"/>
  <c r="O47" i="10" s="1"/>
  <c r="M56" i="10"/>
  <c r="G56" i="10"/>
  <c r="O56" i="10" s="1"/>
  <c r="U56" i="10" s="1"/>
  <c r="R62" i="10"/>
  <c r="U63" i="10"/>
  <c r="G75" i="10"/>
  <c r="O75" i="10" s="1"/>
  <c r="M75" i="10"/>
  <c r="M83" i="10"/>
  <c r="G83" i="10"/>
  <c r="O83" i="10" s="1"/>
  <c r="R83" i="10" s="1"/>
  <c r="M92" i="10"/>
  <c r="G92" i="10"/>
  <c r="O92" i="10" s="1"/>
  <c r="R92" i="10" s="1"/>
  <c r="M93" i="10"/>
  <c r="G117" i="10"/>
  <c r="O117" i="10" s="1"/>
  <c r="R117" i="10" s="1"/>
  <c r="M117" i="10"/>
  <c r="M196" i="10"/>
  <c r="G196" i="10"/>
  <c r="O196" i="10" s="1"/>
  <c r="U196" i="10" s="1"/>
  <c r="G123" i="10"/>
  <c r="O123" i="10" s="1"/>
  <c r="M123" i="10"/>
  <c r="R129" i="10"/>
  <c r="U135" i="10"/>
  <c r="U143" i="10"/>
  <c r="R143" i="10"/>
  <c r="M148" i="10"/>
  <c r="G148" i="10"/>
  <c r="O148" i="10" s="1"/>
  <c r="R148" i="10" s="1"/>
  <c r="R149" i="10"/>
  <c r="G153" i="10"/>
  <c r="O153" i="10" s="1"/>
  <c r="U153" i="10" s="1"/>
  <c r="M153" i="10"/>
  <c r="R167" i="10"/>
  <c r="R126" i="10"/>
  <c r="R183" i="10"/>
  <c r="R74" i="10"/>
  <c r="R86" i="10"/>
  <c r="R106" i="10"/>
  <c r="R118" i="10"/>
  <c r="R138" i="10"/>
  <c r="R159" i="10"/>
  <c r="U160" i="10"/>
  <c r="G162" i="10"/>
  <c r="O162" i="10" s="1"/>
  <c r="R162" i="10" s="1"/>
  <c r="M162" i="10"/>
  <c r="G186" i="10"/>
  <c r="O186" i="10" s="1"/>
  <c r="R186" i="10" s="1"/>
  <c r="M186" i="10"/>
  <c r="R190" i="10"/>
  <c r="U204" i="10"/>
  <c r="G210" i="10"/>
  <c r="O210" i="10" s="1"/>
  <c r="R210" i="10" s="1"/>
  <c r="M210" i="10"/>
  <c r="R94" i="10"/>
  <c r="R165" i="10"/>
  <c r="G177" i="10"/>
  <c r="O177" i="10" s="1"/>
  <c r="U177" i="10" s="1"/>
  <c r="G187" i="10"/>
  <c r="O187" i="10" s="1"/>
  <c r="U187" i="10" s="1"/>
  <c r="R199" i="10"/>
  <c r="G202" i="10"/>
  <c r="O202" i="10" s="1"/>
  <c r="R202" i="10" s="1"/>
  <c r="M202" i="10"/>
  <c r="G40" i="10"/>
  <c r="O40" i="10" s="1"/>
  <c r="U40" i="10" s="1"/>
  <c r="U43" i="10"/>
  <c r="G51" i="10"/>
  <c r="O51" i="10" s="1"/>
  <c r="R51" i="10" s="1"/>
  <c r="M52" i="10"/>
  <c r="G52" i="10"/>
  <c r="O52" i="10" s="1"/>
  <c r="U52" i="10" s="1"/>
  <c r="R66" i="10"/>
  <c r="R69" i="10"/>
  <c r="R80" i="10"/>
  <c r="U85" i="10"/>
  <c r="R90" i="10"/>
  <c r="U93" i="10"/>
  <c r="R98" i="10"/>
  <c r="R101" i="10"/>
  <c r="R112" i="10"/>
  <c r="U117" i="10"/>
  <c r="R122" i="10"/>
  <c r="U125" i="10"/>
  <c r="R130" i="10"/>
  <c r="R133" i="10"/>
  <c r="R144" i="10"/>
  <c r="R151" i="10"/>
  <c r="U181" i="10"/>
  <c r="G185" i="10"/>
  <c r="O185" i="10" s="1"/>
  <c r="U185" i="10" s="1"/>
  <c r="R188" i="10"/>
  <c r="R189" i="10"/>
  <c r="G201" i="10"/>
  <c r="O201" i="10" s="1"/>
  <c r="U201" i="10" s="1"/>
  <c r="U203" i="10"/>
  <c r="R217" i="10"/>
  <c r="R166" i="10"/>
  <c r="G178" i="10"/>
  <c r="O178" i="10" s="1"/>
  <c r="R178" i="10" s="1"/>
  <c r="M178" i="10"/>
  <c r="U25" i="10"/>
  <c r="R160" i="10"/>
  <c r="G24" i="10"/>
  <c r="O24" i="10" s="1"/>
  <c r="R24" i="10" s="1"/>
  <c r="M20" i="10"/>
  <c r="G20" i="10"/>
  <c r="O20" i="10" s="1"/>
  <c r="U20" i="10" s="1"/>
  <c r="G32" i="10"/>
  <c r="O32" i="10" s="1"/>
  <c r="R32" i="10" s="1"/>
  <c r="G33" i="10"/>
  <c r="O33" i="10" s="1"/>
  <c r="R33" i="10" s="1"/>
  <c r="R58" i="10"/>
  <c r="R78" i="10"/>
  <c r="U81" i="10"/>
  <c r="U88" i="10"/>
  <c r="U97" i="10"/>
  <c r="R110" i="10"/>
  <c r="U113" i="10"/>
  <c r="U120" i="10"/>
  <c r="U129" i="10"/>
  <c r="R142" i="10"/>
  <c r="U145" i="10"/>
  <c r="U151" i="10"/>
  <c r="U152" i="10"/>
  <c r="U154" i="10"/>
  <c r="U158" i="10"/>
  <c r="G161" i="10"/>
  <c r="O161" i="10" s="1"/>
  <c r="U161" i="10" s="1"/>
  <c r="U189" i="10"/>
  <c r="M209" i="10"/>
  <c r="M213" i="10"/>
  <c r="G213" i="10"/>
  <c r="O213" i="10" s="1"/>
  <c r="U213" i="10" s="1"/>
  <c r="G219" i="10"/>
  <c r="O219" i="10" s="1"/>
  <c r="U219" i="10" s="1"/>
  <c r="R49" i="10"/>
  <c r="G73" i="10"/>
  <c r="O73" i="10" s="1"/>
  <c r="U73" i="10" s="1"/>
  <c r="M73" i="10"/>
  <c r="M76" i="10"/>
  <c r="G76" i="10"/>
  <c r="O76" i="10" s="1"/>
  <c r="U76" i="10" s="1"/>
  <c r="G105" i="10"/>
  <c r="O105" i="10" s="1"/>
  <c r="R105" i="10" s="1"/>
  <c r="M105" i="10"/>
  <c r="M108" i="10"/>
  <c r="G108" i="10"/>
  <c r="O108" i="10" s="1"/>
  <c r="U108" i="10" s="1"/>
  <c r="G137" i="10"/>
  <c r="O137" i="10" s="1"/>
  <c r="U137" i="10" s="1"/>
  <c r="M137" i="10"/>
  <c r="M140" i="10"/>
  <c r="G140" i="10"/>
  <c r="O140" i="10" s="1"/>
  <c r="U140" i="10" s="1"/>
  <c r="U162" i="10"/>
  <c r="R168" i="10"/>
  <c r="G212" i="10"/>
  <c r="O212" i="10" s="1"/>
  <c r="R212" i="10" s="1"/>
  <c r="U168" i="10"/>
  <c r="U176" i="10"/>
  <c r="M195" i="10"/>
  <c r="G195" i="10"/>
  <c r="O195" i="10" s="1"/>
  <c r="R195" i="10" s="1"/>
  <c r="G211" i="10"/>
  <c r="O211" i="10" s="1"/>
  <c r="U211" i="10" s="1"/>
  <c r="R70" i="10"/>
  <c r="U89" i="10"/>
  <c r="R102" i="10"/>
  <c r="U121" i="10"/>
  <c r="R134" i="10"/>
  <c r="U167" i="10"/>
  <c r="G170" i="10"/>
  <c r="O170" i="10" s="1"/>
  <c r="R170" i="10" s="1"/>
  <c r="M170" i="10"/>
  <c r="R191" i="10"/>
  <c r="U192" i="10"/>
  <c r="U205" i="10"/>
  <c r="R215" i="10"/>
  <c r="G218" i="10"/>
  <c r="O218" i="10" s="1"/>
  <c r="R218" i="10" s="1"/>
  <c r="M218" i="10"/>
  <c r="U69" i="10"/>
  <c r="R82" i="10"/>
  <c r="U101" i="10"/>
  <c r="R114" i="10"/>
  <c r="U133" i="10"/>
  <c r="R146" i="10"/>
  <c r="U165" i="10"/>
  <c r="R176" i="10"/>
  <c r="G180" i="10"/>
  <c r="O180" i="10" s="1"/>
  <c r="U180" i="10" s="1"/>
  <c r="G194" i="10"/>
  <c r="O194" i="10" s="1"/>
  <c r="R194" i="10" s="1"/>
  <c r="M194" i="10"/>
  <c r="M220" i="10"/>
  <c r="G220" i="10"/>
  <c r="O220" i="10" s="1"/>
  <c r="U223" i="10"/>
  <c r="U227" i="10"/>
  <c r="G232" i="10"/>
  <c r="O232" i="10" s="1"/>
  <c r="U232" i="10" s="1"/>
  <c r="M232" i="10"/>
  <c r="U166" i="10"/>
  <c r="U174" i="10"/>
  <c r="U182" i="10"/>
  <c r="U190" i="10"/>
  <c r="U198" i="10"/>
  <c r="U206" i="10"/>
  <c r="U214" i="10"/>
  <c r="G225" i="10"/>
  <c r="O225" i="10" s="1"/>
  <c r="U225" i="10" s="1"/>
  <c r="G226" i="10"/>
  <c r="O226" i="10" s="1"/>
  <c r="R226" i="10" s="1"/>
  <c r="G229" i="10"/>
  <c r="O229" i="10" s="1"/>
  <c r="U229" i="10" s="1"/>
  <c r="G230" i="10"/>
  <c r="O230" i="10" s="1"/>
  <c r="R230" i="10" s="1"/>
  <c r="M231" i="10"/>
  <c r="G231" i="10"/>
  <c r="O231" i="10" s="1"/>
  <c r="R231" i="10" s="1"/>
  <c r="R219" i="10"/>
  <c r="M223" i="10"/>
  <c r="M224" i="10"/>
  <c r="M227" i="10"/>
  <c r="M228" i="10"/>
  <c r="AC79" i="10" l="1"/>
  <c r="AL79" i="10" s="1"/>
  <c r="AC196" i="10"/>
  <c r="AL196" i="10" s="1"/>
  <c r="AC131" i="10"/>
  <c r="AL131" i="10" s="1"/>
  <c r="AC66" i="10"/>
  <c r="AL66" i="10" s="1"/>
  <c r="AE199" i="10"/>
  <c r="AJ199" i="10" s="1"/>
  <c r="AC195" i="10"/>
  <c r="AL195" i="10" s="1"/>
  <c r="AC226" i="10"/>
  <c r="AL226" i="10" s="1"/>
  <c r="AC119" i="10"/>
  <c r="AL119" i="10" s="1"/>
  <c r="AC100" i="10"/>
  <c r="AL100" i="10" s="1"/>
  <c r="AC121" i="10"/>
  <c r="AL121" i="10" s="1"/>
  <c r="AC67" i="10"/>
  <c r="AL67" i="10" s="1"/>
  <c r="AC130" i="10"/>
  <c r="AL130" i="10" s="1"/>
  <c r="AC217" i="10"/>
  <c r="AL217" i="10" s="1"/>
  <c r="R187" i="10"/>
  <c r="AC194" i="10"/>
  <c r="AL194" i="10" s="1"/>
  <c r="AC99" i="10"/>
  <c r="AL99" i="10" s="1"/>
  <c r="AC34" i="10"/>
  <c r="AL34" i="10" s="1"/>
  <c r="AC95" i="10"/>
  <c r="AL95" i="10" s="1"/>
  <c r="AC68" i="10"/>
  <c r="AL68" i="10" s="1"/>
  <c r="AE221" i="10"/>
  <c r="AJ221" i="10" s="1"/>
  <c r="R185" i="10"/>
  <c r="AC111" i="10"/>
  <c r="AL111" i="10" s="1"/>
  <c r="R177" i="10"/>
  <c r="AC103" i="10"/>
  <c r="AL103" i="10" s="1"/>
  <c r="U147" i="10"/>
  <c r="AC167" i="10"/>
  <c r="AL167" i="10" s="1"/>
  <c r="U172" i="10"/>
  <c r="U186" i="10"/>
  <c r="AC71" i="10"/>
  <c r="AL71" i="10" s="1"/>
  <c r="AE71" i="10"/>
  <c r="AJ71" i="10" s="1"/>
  <c r="AE135" i="10"/>
  <c r="AJ135" i="10" s="1"/>
  <c r="AC33" i="10"/>
  <c r="AL33" i="10" s="1"/>
  <c r="AC97" i="10"/>
  <c r="AL97" i="10" s="1"/>
  <c r="AC161" i="10"/>
  <c r="AL161" i="10" s="1"/>
  <c r="AC193" i="10"/>
  <c r="AL193" i="10" s="1"/>
  <c r="AC42" i="10"/>
  <c r="AL42" i="10" s="1"/>
  <c r="AC170" i="10"/>
  <c r="AL170" i="10" s="1"/>
  <c r="AC12" i="10"/>
  <c r="AL12" i="10" s="1"/>
  <c r="AC203" i="10"/>
  <c r="AL203" i="10" s="1"/>
  <c r="AE9" i="10"/>
  <c r="AJ9" i="10" s="1"/>
  <c r="AE41" i="10"/>
  <c r="AJ41" i="10" s="1"/>
  <c r="AE73" i="10"/>
  <c r="AJ73" i="10" s="1"/>
  <c r="AE105" i="10"/>
  <c r="AJ105" i="10" s="1"/>
  <c r="AE169" i="10"/>
  <c r="AJ169" i="10" s="1"/>
  <c r="AE201" i="10"/>
  <c r="AJ201" i="10" s="1"/>
  <c r="AE18" i="10"/>
  <c r="AJ18" i="10" s="1"/>
  <c r="AE50" i="10"/>
  <c r="AJ50" i="10" s="1"/>
  <c r="AE114" i="10"/>
  <c r="AJ114" i="10" s="1"/>
  <c r="AE146" i="10"/>
  <c r="AJ146" i="10" s="1"/>
  <c r="AE178" i="10"/>
  <c r="AJ178" i="10" s="1"/>
  <c r="AE210" i="10"/>
  <c r="AJ210" i="10" s="1"/>
  <c r="AE19" i="10"/>
  <c r="AJ19" i="10" s="1"/>
  <c r="AE83" i="10"/>
  <c r="AJ83" i="10" s="1"/>
  <c r="AE115" i="10"/>
  <c r="AJ115" i="10" s="1"/>
  <c r="AE147" i="10"/>
  <c r="AJ147" i="10" s="1"/>
  <c r="AE179" i="10"/>
  <c r="AJ179" i="10" s="1"/>
  <c r="AE52" i="10"/>
  <c r="AJ52" i="10" s="1"/>
  <c r="AE116" i="10"/>
  <c r="AJ116" i="10" s="1"/>
  <c r="AE148" i="10"/>
  <c r="AJ148" i="10" s="1"/>
  <c r="AE180" i="10"/>
  <c r="AJ180" i="10" s="1"/>
  <c r="U155" i="10"/>
  <c r="U116" i="10"/>
  <c r="AE15" i="10"/>
  <c r="AJ15" i="10" s="1"/>
  <c r="AE111" i="10"/>
  <c r="AJ111" i="10" s="1"/>
  <c r="AE143" i="10"/>
  <c r="AJ143" i="10" s="1"/>
  <c r="AE175" i="10"/>
  <c r="AJ175" i="10" s="1"/>
  <c r="AE207" i="10"/>
  <c r="AJ207" i="10" s="1"/>
  <c r="AC107" i="10"/>
  <c r="AL107" i="10" s="1"/>
  <c r="AC74" i="10"/>
  <c r="AL74" i="10" s="1"/>
  <c r="AC10" i="10"/>
  <c r="AL10" i="10" s="1"/>
  <c r="AC204" i="10"/>
  <c r="AL204" i="10" s="1"/>
  <c r="AE17" i="10"/>
  <c r="AJ17" i="10" s="1"/>
  <c r="AE49" i="10"/>
  <c r="AJ49" i="10" s="1"/>
  <c r="AE81" i="10"/>
  <c r="AJ81" i="10" s="1"/>
  <c r="AE145" i="10"/>
  <c r="AJ145" i="10" s="1"/>
  <c r="AE177" i="10"/>
  <c r="AJ177" i="10" s="1"/>
  <c r="AE209" i="10"/>
  <c r="AJ209" i="10" s="1"/>
  <c r="AE26" i="10"/>
  <c r="AJ26" i="10" s="1"/>
  <c r="AE58" i="10"/>
  <c r="AJ58" i="10" s="1"/>
  <c r="AE90" i="10"/>
  <c r="AJ90" i="10" s="1"/>
  <c r="AE122" i="10"/>
  <c r="AJ122" i="10" s="1"/>
  <c r="AE154" i="10"/>
  <c r="AJ154" i="10" s="1"/>
  <c r="AE186" i="10"/>
  <c r="AJ186" i="10" s="1"/>
  <c r="AE59" i="10"/>
  <c r="AJ59" i="10" s="1"/>
  <c r="AE123" i="10"/>
  <c r="AJ123" i="10" s="1"/>
  <c r="AE187" i="10"/>
  <c r="AJ187" i="10" s="1"/>
  <c r="AE219" i="10"/>
  <c r="AJ219" i="10" s="1"/>
  <c r="AE28" i="10"/>
  <c r="AJ28" i="10" s="1"/>
  <c r="AE92" i="10"/>
  <c r="AJ92" i="10" s="1"/>
  <c r="AE188" i="10"/>
  <c r="AJ188" i="10" s="1"/>
  <c r="AE220" i="10"/>
  <c r="AJ220" i="10" s="1"/>
  <c r="AE231" i="10"/>
  <c r="AJ231" i="10" s="1"/>
  <c r="AC171" i="10"/>
  <c r="AL171" i="10" s="1"/>
  <c r="AE55" i="10"/>
  <c r="AJ55" i="10" s="1"/>
  <c r="AE183" i="10"/>
  <c r="AJ183" i="10" s="1"/>
  <c r="AE215" i="10"/>
  <c r="AJ215" i="10" s="1"/>
  <c r="AC138" i="10"/>
  <c r="AL138" i="10" s="1"/>
  <c r="AC140" i="10"/>
  <c r="AL140" i="10" s="1"/>
  <c r="AE208" i="10"/>
  <c r="AJ208" i="10" s="1"/>
  <c r="AE25" i="10"/>
  <c r="AJ25" i="10" s="1"/>
  <c r="AE57" i="10"/>
  <c r="AJ57" i="10" s="1"/>
  <c r="AE89" i="10"/>
  <c r="AJ89" i="10" s="1"/>
  <c r="AE121" i="10"/>
  <c r="AJ121" i="10" s="1"/>
  <c r="AE153" i="10"/>
  <c r="AJ153" i="10" s="1"/>
  <c r="AE185" i="10"/>
  <c r="AJ185" i="10" s="1"/>
  <c r="AE217" i="10"/>
  <c r="AJ217" i="10" s="1"/>
  <c r="AE66" i="10"/>
  <c r="AJ66" i="10" s="1"/>
  <c r="AE98" i="10"/>
  <c r="AJ98" i="10" s="1"/>
  <c r="AE130" i="10"/>
  <c r="AJ130" i="10" s="1"/>
  <c r="AE226" i="10"/>
  <c r="AJ226" i="10" s="1"/>
  <c r="AE35" i="10"/>
  <c r="AJ35" i="10" s="1"/>
  <c r="AE67" i="10"/>
  <c r="AJ67" i="10" s="1"/>
  <c r="AE99" i="10"/>
  <c r="AJ99" i="10" s="1"/>
  <c r="AE131" i="10"/>
  <c r="AJ131" i="10" s="1"/>
  <c r="AE163" i="10"/>
  <c r="AJ163" i="10" s="1"/>
  <c r="AE195" i="10"/>
  <c r="AJ195" i="10" s="1"/>
  <c r="AE164" i="10"/>
  <c r="AJ164" i="10" s="1"/>
  <c r="AE196" i="10"/>
  <c r="AJ196" i="10" s="1"/>
  <c r="AE228" i="10"/>
  <c r="AJ228" i="10" s="1"/>
  <c r="R197" i="10"/>
  <c r="AE127" i="10"/>
  <c r="AJ127" i="10" s="1"/>
  <c r="AE191" i="10"/>
  <c r="AJ191" i="10" s="1"/>
  <c r="AE223" i="10"/>
  <c r="AJ223" i="10" s="1"/>
  <c r="AC139" i="10"/>
  <c r="AL139" i="10" s="1"/>
  <c r="AE33" i="10"/>
  <c r="AJ33" i="10" s="1"/>
  <c r="AE65" i="10"/>
  <c r="AJ65" i="10" s="1"/>
  <c r="AE97" i="10"/>
  <c r="AJ97" i="10" s="1"/>
  <c r="AE129" i="10"/>
  <c r="AJ129" i="10" s="1"/>
  <c r="AE161" i="10"/>
  <c r="AJ161" i="10" s="1"/>
  <c r="AE193" i="10"/>
  <c r="AJ193" i="10" s="1"/>
  <c r="AE225" i="10"/>
  <c r="AJ225" i="10" s="1"/>
  <c r="AE10" i="10"/>
  <c r="AJ10" i="10" s="1"/>
  <c r="AE74" i="10"/>
  <c r="AJ74" i="10" s="1"/>
  <c r="AE138" i="10"/>
  <c r="AJ138" i="10" s="1"/>
  <c r="AE170" i="10"/>
  <c r="AJ170" i="10" s="1"/>
  <c r="AE11" i="10"/>
  <c r="AJ11" i="10" s="1"/>
  <c r="AE107" i="10"/>
  <c r="AJ107" i="10" s="1"/>
  <c r="AE203" i="10"/>
  <c r="AJ203" i="10" s="1"/>
  <c r="AE12" i="10"/>
  <c r="AJ12" i="10" s="1"/>
  <c r="AE76" i="10"/>
  <c r="AJ76" i="10" s="1"/>
  <c r="AE172" i="10"/>
  <c r="AJ172" i="10" s="1"/>
  <c r="AE204" i="10"/>
  <c r="AJ204" i="10" s="1"/>
  <c r="AK126" i="10"/>
  <c r="AK66" i="10"/>
  <c r="AK130" i="10"/>
  <c r="AK194" i="10"/>
  <c r="AK19" i="10"/>
  <c r="AK83" i="10"/>
  <c r="AK147" i="10"/>
  <c r="AK211" i="10"/>
  <c r="AK20" i="10"/>
  <c r="AK84" i="10"/>
  <c r="AK148" i="10"/>
  <c r="AK212" i="10"/>
  <c r="AK45" i="10"/>
  <c r="AK109" i="10"/>
  <c r="AK173" i="10"/>
  <c r="AK14" i="10"/>
  <c r="AK78" i="10"/>
  <c r="AK142" i="10"/>
  <c r="AK206" i="10"/>
  <c r="AK47" i="10"/>
  <c r="AK111" i="10"/>
  <c r="AK175" i="10"/>
  <c r="AK64" i="10"/>
  <c r="AK128" i="10"/>
  <c r="AK192" i="10"/>
  <c r="AK131" i="10"/>
  <c r="AK190" i="10"/>
  <c r="AK223" i="10"/>
  <c r="AK203" i="10"/>
  <c r="AK76" i="10"/>
  <c r="R201" i="10"/>
  <c r="R52" i="10"/>
  <c r="AK10" i="10"/>
  <c r="AK74" i="10"/>
  <c r="AK138" i="10"/>
  <c r="AK202" i="10"/>
  <c r="AK27" i="10"/>
  <c r="AK91" i="10"/>
  <c r="AK155" i="10"/>
  <c r="AK219" i="10"/>
  <c r="AK28" i="10"/>
  <c r="AK92" i="10"/>
  <c r="AK156" i="10"/>
  <c r="AK220" i="10"/>
  <c r="AK53" i="10"/>
  <c r="AK117" i="10"/>
  <c r="AK181" i="10"/>
  <c r="AK22" i="10"/>
  <c r="AK86" i="10"/>
  <c r="AK150" i="10"/>
  <c r="AK214" i="10"/>
  <c r="AK55" i="10"/>
  <c r="AK119" i="10"/>
  <c r="AK183" i="10"/>
  <c r="AK8" i="10"/>
  <c r="AK72" i="10"/>
  <c r="AK136" i="10"/>
  <c r="AK200" i="10"/>
  <c r="AK50" i="10"/>
  <c r="AK68" i="10"/>
  <c r="AK95" i="10"/>
  <c r="AK112" i="10"/>
  <c r="AK75" i="10"/>
  <c r="AK204" i="10"/>
  <c r="AK101" i="10"/>
  <c r="AK134" i="10"/>
  <c r="AK198" i="10"/>
  <c r="AK39" i="10"/>
  <c r="AK231" i="10"/>
  <c r="R137" i="10"/>
  <c r="AK18" i="10"/>
  <c r="AK82" i="10"/>
  <c r="AK146" i="10"/>
  <c r="AK210" i="10"/>
  <c r="AK35" i="10"/>
  <c r="AK99" i="10"/>
  <c r="AK163" i="10"/>
  <c r="AK227" i="10"/>
  <c r="AK36" i="10"/>
  <c r="AK100" i="10"/>
  <c r="AK164" i="10"/>
  <c r="AK228" i="10"/>
  <c r="AK61" i="10"/>
  <c r="AK125" i="10"/>
  <c r="AK189" i="10"/>
  <c r="AK30" i="10"/>
  <c r="AK94" i="10"/>
  <c r="AK158" i="10"/>
  <c r="AK222" i="10"/>
  <c r="AK63" i="10"/>
  <c r="AK127" i="10"/>
  <c r="AK191" i="10"/>
  <c r="AK16" i="10"/>
  <c r="AK80" i="10"/>
  <c r="AK144" i="10"/>
  <c r="AK208" i="10"/>
  <c r="AK178" i="10"/>
  <c r="AK29" i="10"/>
  <c r="AK157" i="10"/>
  <c r="AK159" i="10"/>
  <c r="AK186" i="10"/>
  <c r="AK11" i="10"/>
  <c r="AK12" i="10"/>
  <c r="AK165" i="10"/>
  <c r="AK184" i="10"/>
  <c r="U148" i="10"/>
  <c r="U115" i="10"/>
  <c r="AK26" i="10"/>
  <c r="AK90" i="10"/>
  <c r="AK154" i="10"/>
  <c r="AK218" i="10"/>
  <c r="AK43" i="10"/>
  <c r="AK107" i="10"/>
  <c r="AK171" i="10"/>
  <c r="AK44" i="10"/>
  <c r="AK108" i="10"/>
  <c r="AK172" i="10"/>
  <c r="AK69" i="10"/>
  <c r="AK133" i="10"/>
  <c r="AK197" i="10"/>
  <c r="AK38" i="10"/>
  <c r="AK102" i="10"/>
  <c r="AK166" i="10"/>
  <c r="AK230" i="10"/>
  <c r="AK71" i="10"/>
  <c r="AK135" i="10"/>
  <c r="AK199" i="10"/>
  <c r="AK24" i="10"/>
  <c r="AK88" i="10"/>
  <c r="AK152" i="10"/>
  <c r="AK216" i="10"/>
  <c r="AK67" i="10"/>
  <c r="AK196" i="10"/>
  <c r="AK93" i="10"/>
  <c r="AK221" i="10"/>
  <c r="AK62" i="10"/>
  <c r="AK31" i="10"/>
  <c r="AK122" i="10"/>
  <c r="AK120" i="10"/>
  <c r="AK34" i="10"/>
  <c r="AK98" i="10"/>
  <c r="AK162" i="10"/>
  <c r="AK226" i="10"/>
  <c r="AK51" i="10"/>
  <c r="AK115" i="10"/>
  <c r="AK179" i="10"/>
  <c r="AK52" i="10"/>
  <c r="AK116" i="10"/>
  <c r="AK180" i="10"/>
  <c r="AK13" i="10"/>
  <c r="AK77" i="10"/>
  <c r="AK141" i="10"/>
  <c r="AK205" i="10"/>
  <c r="AK46" i="10"/>
  <c r="AK110" i="10"/>
  <c r="AK174" i="10"/>
  <c r="AK15" i="10"/>
  <c r="AK79" i="10"/>
  <c r="AK143" i="10"/>
  <c r="AK207" i="10"/>
  <c r="AK32" i="10"/>
  <c r="AK96" i="10"/>
  <c r="AK160" i="10"/>
  <c r="AK224" i="10"/>
  <c r="AK114" i="10"/>
  <c r="AK195" i="10"/>
  <c r="AK132" i="10"/>
  <c r="AK48" i="10"/>
  <c r="AK176" i="10"/>
  <c r="AK58" i="10"/>
  <c r="AK139" i="10"/>
  <c r="AK140" i="10"/>
  <c r="AK37" i="10"/>
  <c r="AK229" i="10"/>
  <c r="AK70" i="10"/>
  <c r="AK103" i="10"/>
  <c r="AK167" i="10"/>
  <c r="AK56" i="10"/>
  <c r="AK42" i="10"/>
  <c r="AK106" i="10"/>
  <c r="AK170" i="10"/>
  <c r="AK59" i="10"/>
  <c r="AK123" i="10"/>
  <c r="AK187" i="10"/>
  <c r="AK60" i="10"/>
  <c r="AK124" i="10"/>
  <c r="AK188" i="10"/>
  <c r="AK21" i="10"/>
  <c r="AK85" i="10"/>
  <c r="AK149" i="10"/>
  <c r="AK213" i="10"/>
  <c r="AK54" i="10"/>
  <c r="AK118" i="10"/>
  <c r="AK182" i="10"/>
  <c r="AK23" i="10"/>
  <c r="AK87" i="10"/>
  <c r="AK151" i="10"/>
  <c r="AK215" i="10"/>
  <c r="AK40" i="10"/>
  <c r="AK104" i="10"/>
  <c r="AK168" i="10"/>
  <c r="AK232" i="10"/>
  <c r="U178" i="10"/>
  <c r="R73" i="10"/>
  <c r="R161" i="10"/>
  <c r="R225" i="10"/>
  <c r="U55" i="10"/>
  <c r="R211" i="10"/>
  <c r="R37" i="10"/>
  <c r="R20" i="10"/>
  <c r="U212" i="10"/>
  <c r="U202" i="10"/>
  <c r="U61" i="10"/>
  <c r="R108" i="10"/>
  <c r="R163" i="10"/>
  <c r="U24" i="10"/>
  <c r="R229" i="10"/>
  <c r="R153" i="10"/>
  <c r="R213" i="10"/>
  <c r="U195" i="10"/>
  <c r="R180" i="10"/>
  <c r="R60" i="10"/>
  <c r="U60" i="10"/>
  <c r="U33" i="10"/>
  <c r="U231" i="10"/>
  <c r="U173" i="10"/>
  <c r="U170" i="10"/>
  <c r="U92" i="10"/>
  <c r="R196" i="10"/>
  <c r="R91" i="10"/>
  <c r="U91" i="10"/>
  <c r="U124" i="10"/>
  <c r="R9" i="10"/>
  <c r="R220" i="10"/>
  <c r="U220" i="10"/>
  <c r="R232" i="10"/>
  <c r="U218" i="10"/>
  <c r="R123" i="10"/>
  <c r="U123" i="10"/>
  <c r="U47" i="10"/>
  <c r="R47" i="10"/>
  <c r="U83" i="10"/>
  <c r="U7" i="10"/>
  <c r="R75" i="10"/>
  <c r="U75" i="10"/>
  <c r="U105" i="10"/>
  <c r="U230" i="10"/>
  <c r="U194" i="10"/>
  <c r="U226" i="10"/>
  <c r="U84" i="10"/>
  <c r="U51" i="10"/>
  <c r="R56" i="10"/>
  <c r="U210" i="10"/>
  <c r="U23" i="10"/>
  <c r="R140" i="10"/>
  <c r="R76" i="10"/>
  <c r="R40" i="10"/>
  <c r="R107" i="10"/>
  <c r="U107" i="10"/>
  <c r="R164" i="10"/>
  <c r="R139" i="10"/>
  <c r="U139" i="10"/>
  <c r="U32" i="10"/>
  <c r="U8" i="10"/>
  <c r="AL5" i="10" l="1"/>
  <c r="AL2" i="10" s="1"/>
  <c r="AK5" i="10"/>
  <c r="AK2" i="10" s="1"/>
  <c r="AJ5" i="10"/>
  <c r="R6" i="10"/>
  <c r="U6" i="10"/>
  <c r="AJ2" i="10" l="1"/>
  <c r="AM5" i="10"/>
  <c r="AM2" i="10" s="1"/>
  <c r="R5" i="10" l="1"/>
  <c r="R4" i="10"/>
  <c r="U5" i="10"/>
  <c r="U4" i="10"/>
  <c r="V4" i="10" l="1"/>
  <c r="V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G3" authorId="0" shapeId="0" xr:uid="{742B6C5E-57C3-4906-A8C5-9677987808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G4" authorId="0" shapeId="0" xr:uid="{A5097F67-9722-40F1-93F2-B42E85DB600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G5" authorId="0" shapeId="0" xr:uid="{3B89C93D-529D-4035-9116-3A0D22C6258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G6" authorId="0" shapeId="0" xr:uid="{3ED10739-7CEB-481E-BA55-7323635AEAF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G7" authorId="0" shapeId="0" xr:uid="{151455E9-0D19-41EA-86AD-B8C27156CB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8" authorId="0" shapeId="0" xr:uid="{D6C854D0-97C0-46DD-A917-AB09C30EED5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9" authorId="0" shapeId="0" xr:uid="{63780F4B-04A1-48AB-B08D-63F0C6D9932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10" authorId="0" shapeId="0" xr:uid="{6A506714-184C-41C6-9D1F-88C2EDA5C71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11" authorId="0" shapeId="0" xr:uid="{19D7F312-4D46-4398-811E-67633850274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12" authorId="0" shapeId="0" xr:uid="{3CC2DFC9-693F-4F53-9777-E1EC1DF27D4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13" authorId="0" shapeId="0" xr:uid="{D3B8B893-C286-435C-8B4A-3D10EBB35DC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G14" authorId="0" shapeId="0" xr:uid="{20CBEAC3-18D4-484F-B3FD-040C1E61B52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<sst xmlns="http://schemas.openxmlformats.org/spreadsheetml/2006/main" count="3318" uniqueCount="1914">
  <si>
    <t>Natural Partners - 25% off Wholesale Price (Emerson &amp; Fullscript)</t>
  </si>
  <si>
    <t>Jan/Feb '25</t>
  </si>
  <si>
    <t>Effective 2/15/2025</t>
  </si>
  <si>
    <t>VN + HB + FHH:</t>
  </si>
  <si>
    <t>VN + HB:</t>
  </si>
  <si>
    <t>UPC Code</t>
  </si>
  <si>
    <t>SKU</t>
  </si>
  <si>
    <t>Description</t>
  </si>
  <si>
    <t>MSRP</t>
  </si>
  <si>
    <t>Wholesale</t>
  </si>
  <si>
    <t>Natural Partners</t>
  </si>
  <si>
    <t>Pattern</t>
  </si>
  <si>
    <t>iHerb</t>
  </si>
  <si>
    <t>EE/FS FY25</t>
  </si>
  <si>
    <t>Amazon</t>
  </si>
  <si>
    <t>DTC</t>
  </si>
  <si>
    <t>VN5HTP</t>
  </si>
  <si>
    <t>5HTP 50mg, 60ct</t>
  </si>
  <si>
    <t>VN5HTP2</t>
  </si>
  <si>
    <t>5HTP 100mg, 60ct</t>
  </si>
  <si>
    <t>VNADR</t>
  </si>
  <si>
    <t>Adrenal Support, 60ct</t>
  </si>
  <si>
    <t>VNADR2</t>
  </si>
  <si>
    <t>Adrenal Support, 120ct</t>
  </si>
  <si>
    <t>VNADR240</t>
  </si>
  <si>
    <t>Adrenal Support, 240ct</t>
  </si>
  <si>
    <t>VNAG</t>
  </si>
  <si>
    <t>American Ginseng Extract, 100ct</t>
  </si>
  <si>
    <t>VNAGCA</t>
  </si>
  <si>
    <t>American Ginseng #100</t>
  </si>
  <si>
    <t>VNAL3</t>
  </si>
  <si>
    <t>Alpha Lipoic Acid, 60ct</t>
  </si>
  <si>
    <t>VNALC</t>
  </si>
  <si>
    <t>Acetyl L-Carnitine 500mg, 60ct</t>
  </si>
  <si>
    <t>VNALCP</t>
  </si>
  <si>
    <t>Acetyl L-Carnitine Powder</t>
  </si>
  <si>
    <t>VNALL</t>
  </si>
  <si>
    <t>Aller-C®, 100ct</t>
  </si>
  <si>
    <t>VNALL2</t>
  </si>
  <si>
    <t>Aller-C®, 200ct</t>
  </si>
  <si>
    <t>VNARA</t>
  </si>
  <si>
    <t>Arabinogalactan Powder</t>
  </si>
  <si>
    <t>VNAS</t>
  </si>
  <si>
    <t>Astragalus Root Extract, 90ct</t>
  </si>
  <si>
    <t>VNBC</t>
  </si>
  <si>
    <t>Natural Beta Carotene, 90ct</t>
  </si>
  <si>
    <t>VNBCQ120</t>
  </si>
  <si>
    <t>BCQ®, 120ct</t>
  </si>
  <si>
    <t>VNBCQ120CA</t>
  </si>
  <si>
    <t>VNBCQ240</t>
  </si>
  <si>
    <t>BCQ®, 240ct</t>
  </si>
  <si>
    <t>VNBCQ240CA</t>
  </si>
  <si>
    <t>VNBCQ60</t>
  </si>
  <si>
    <t>BCQ®, 60ct</t>
  </si>
  <si>
    <t>VNBCQ60CA</t>
  </si>
  <si>
    <t>VNBER</t>
  </si>
  <si>
    <t>Berberine 200mg, 60ct</t>
  </si>
  <si>
    <t>VNBER5</t>
  </si>
  <si>
    <t>Berberine 500mg, 60ct</t>
  </si>
  <si>
    <t>VNBET</t>
  </si>
  <si>
    <t>Betaine HCL &amp; Pepsin, 225ct</t>
  </si>
  <si>
    <t>VNBIO120</t>
  </si>
  <si>
    <t>Biotin 5mg, 120ct</t>
  </si>
  <si>
    <t>VNBKCO</t>
  </si>
  <si>
    <t>Black Cohosh, 60ct</t>
  </si>
  <si>
    <t>VNBO</t>
  </si>
  <si>
    <t>Borage Oil 1000mg, 60ct</t>
  </si>
  <si>
    <t>VNBOS</t>
  </si>
  <si>
    <t>Boswellia Extract 400mg, 90ct</t>
  </si>
  <si>
    <t>VNBR</t>
  </si>
  <si>
    <t>Bromelain, 60ct</t>
  </si>
  <si>
    <t>VNBRA</t>
  </si>
  <si>
    <t>Vital Brain Powder</t>
  </si>
  <si>
    <t>VNBRAL</t>
  </si>
  <si>
    <t>Vital Brain Powder Lemon Flavor</t>
  </si>
  <si>
    <t>VNBSS</t>
  </si>
  <si>
    <t>Blood Sugar Support, 60ct</t>
  </si>
  <si>
    <t>VNBSS2</t>
  </si>
  <si>
    <t>Blood Sugar Support, 120ct</t>
  </si>
  <si>
    <t>VNBSS2CA</t>
  </si>
  <si>
    <t>VNBSSCA</t>
  </si>
  <si>
    <t>VNBX</t>
  </si>
  <si>
    <t>B-Complex, 60ct</t>
  </si>
  <si>
    <t>VNBX120</t>
  </si>
  <si>
    <t>B-Complex, 120ct</t>
  </si>
  <si>
    <t>VNBX240</t>
  </si>
  <si>
    <t>B-Complex, 240ct</t>
  </si>
  <si>
    <t>VNBXB6</t>
  </si>
  <si>
    <t>B6 + B Complex, 60ct</t>
  </si>
  <si>
    <t>VNCA</t>
  </si>
  <si>
    <t>Tension Ease®, 60ct</t>
  </si>
  <si>
    <t>VNCAR</t>
  </si>
  <si>
    <t>Carnitine 500mg, 60ct</t>
  </si>
  <si>
    <t>VNCB30</t>
  </si>
  <si>
    <t>Cortisol Balance, 30ct</t>
  </si>
  <si>
    <t>VNCB90</t>
  </si>
  <si>
    <t>Cortisol Balance, 90ct</t>
  </si>
  <si>
    <t>VNCBUF</t>
  </si>
  <si>
    <t>Buffered C 500mg, 220ct</t>
  </si>
  <si>
    <t>VNCCM</t>
  </si>
  <si>
    <t>Calcium (citrate/malate), 100ct</t>
  </si>
  <si>
    <t>VNCEL</t>
  </si>
  <si>
    <t>Cellulose Fiber 375gm</t>
  </si>
  <si>
    <t>VNCH</t>
  </si>
  <si>
    <t>Chromium (polynicotinate), 90ct</t>
  </si>
  <si>
    <t>VNCHO</t>
  </si>
  <si>
    <t>Choline, 120ct</t>
  </si>
  <si>
    <t>VNCIT</t>
  </si>
  <si>
    <t>Citicoline, 60ct</t>
  </si>
  <si>
    <t>VNCM2</t>
  </si>
  <si>
    <t>Calcium &amp; Magnesium, 100ct</t>
  </si>
  <si>
    <t>VNCO</t>
  </si>
  <si>
    <t>Marine Collagen Powder</t>
  </si>
  <si>
    <t>VNCQ100</t>
  </si>
  <si>
    <t>Coenzyme Q10 100mg, 60ct</t>
  </si>
  <si>
    <t>VNCQ200</t>
  </si>
  <si>
    <t>Coenzyme Q10 200mg, 60ct</t>
  </si>
  <si>
    <t>VNCQ300</t>
  </si>
  <si>
    <t>Coenzyme Q10 300mg, 30ct</t>
  </si>
  <si>
    <t>VNCQU</t>
  </si>
  <si>
    <t>Ubiquinol CoQ10 100mg, 60ct</t>
  </si>
  <si>
    <t>VNCUR700</t>
  </si>
  <si>
    <t>Curcumin Extract 700mg, 60ct</t>
  </si>
  <si>
    <t>VNCURPH</t>
  </si>
  <si>
    <t>Curcumin Phytosome 578</t>
  </si>
  <si>
    <t>VNDGL</t>
  </si>
  <si>
    <t>DGL Powder 4oz.</t>
  </si>
  <si>
    <t>VNDHEA10</t>
  </si>
  <si>
    <t>DHEA 10mg, 60ct</t>
  </si>
  <si>
    <t>VNDHEA25</t>
  </si>
  <si>
    <t>DHEA 25mg, 60ct</t>
  </si>
  <si>
    <t>VNDHEA50</t>
  </si>
  <si>
    <t>DHEA 50mg, 60ct</t>
  </si>
  <si>
    <t>VNDHEA7</t>
  </si>
  <si>
    <t>7-Keto DHEA 100mg, 60ct</t>
  </si>
  <si>
    <t>VNDP</t>
  </si>
  <si>
    <t>d-Pinitol 600mg #60 (PCOS)</t>
  </si>
  <si>
    <t>VNDTX</t>
  </si>
  <si>
    <t>Detox Formula, 60ct</t>
  </si>
  <si>
    <t>VNDTX2</t>
  </si>
  <si>
    <t>Detox Formula, 120ct</t>
  </si>
  <si>
    <t>VNEB</t>
  </si>
  <si>
    <t>Hormone Balance, 120ct</t>
  </si>
  <si>
    <t>VNEC</t>
  </si>
  <si>
    <t>Echinacea Extract, 60ct</t>
  </si>
  <si>
    <t>VNEP2</t>
  </si>
  <si>
    <t>Energy Plus, 120ct</t>
  </si>
  <si>
    <t>VNEPO</t>
  </si>
  <si>
    <t>Evening Primrose Oil 500mg, 100ct</t>
  </si>
  <si>
    <t>VNEPO2</t>
  </si>
  <si>
    <t>Evening Primrose Oil 500mg, 250ct</t>
  </si>
  <si>
    <t>VNFBL</t>
  </si>
  <si>
    <t>Whole Fiber Fusion</t>
  </si>
  <si>
    <t>VNFLO</t>
  </si>
  <si>
    <t>Flax Oil, 100ct</t>
  </si>
  <si>
    <t>VNFO2</t>
  </si>
  <si>
    <t>Ultra Pure® Fish Oil 350, 200ct</t>
  </si>
  <si>
    <t>VNFO430</t>
  </si>
  <si>
    <t>Ultra Pure® Fish Oil 800, 90ct</t>
  </si>
  <si>
    <t>VNFODHA</t>
  </si>
  <si>
    <t>Ultra Pure® Fish Oil 675 High DHA, 90ct</t>
  </si>
  <si>
    <t>VNFOHP</t>
  </si>
  <si>
    <t>Ultra Pure® Fish Oil 700, 120ct</t>
  </si>
  <si>
    <t>VNFOHP60</t>
  </si>
  <si>
    <t>Ultra Pure® Fish Oil 700, 60ct</t>
  </si>
  <si>
    <t>VNFONLEC</t>
  </si>
  <si>
    <t>Ultra Pure® Fish Oil 700 ENTERIC, 90ct</t>
  </si>
  <si>
    <t>VNFOTG</t>
  </si>
  <si>
    <t>VNGIP</t>
  </si>
  <si>
    <t>GI Repair Powder</t>
  </si>
  <si>
    <t>VNGIR</t>
  </si>
  <si>
    <t>GI Repair Nutrients, 120ct</t>
  </si>
  <si>
    <t>VNGL8</t>
  </si>
  <si>
    <t>Glutamine, 100ct</t>
  </si>
  <si>
    <t>VNGLP</t>
  </si>
  <si>
    <t>Glutamine Powder 8oz. (225g)</t>
  </si>
  <si>
    <t>VNGLP16</t>
  </si>
  <si>
    <t>Glutamine Powder 16oz. (450g)</t>
  </si>
  <si>
    <t>VNGLY</t>
  </si>
  <si>
    <t>Glycine Powder 250 grams</t>
  </si>
  <si>
    <t>VNGR</t>
  </si>
  <si>
    <t>Grape Seed Extract 100mg, 90ct</t>
  </si>
  <si>
    <t>VNGS750</t>
  </si>
  <si>
    <t>Glucosamine Sulfate 750mg #120</t>
  </si>
  <si>
    <t>VNGSCH120</t>
  </si>
  <si>
    <t>Glucosamine &amp; Chondroitin, 120ct</t>
  </si>
  <si>
    <t>VNGT2</t>
  </si>
  <si>
    <t>Green Tea Extract, 120ct</t>
  </si>
  <si>
    <t>VNGUG</t>
  </si>
  <si>
    <t>Guggul E &amp; Z Extract, 60ct</t>
  </si>
  <si>
    <t>VNHB</t>
  </si>
  <si>
    <t>Herbal Biotic, 60ct</t>
  </si>
  <si>
    <t>VNHB120</t>
  </si>
  <si>
    <t>Herbal Biotic, 120ct</t>
  </si>
  <si>
    <t>VNHTX</t>
  </si>
  <si>
    <t>Digest Ease (Formerly Heartburn Tx)</t>
  </si>
  <si>
    <t>VNHY</t>
  </si>
  <si>
    <t>St. John's Wort, 90ct</t>
  </si>
  <si>
    <t>VNIC</t>
  </si>
  <si>
    <t>Iron Plus C, 100ct</t>
  </si>
  <si>
    <t>VNINP</t>
  </si>
  <si>
    <t>Inositol Powder</t>
  </si>
  <si>
    <t>VNIP</t>
  </si>
  <si>
    <t>Ipriflavone, 90ct</t>
  </si>
  <si>
    <t>VNIS</t>
  </si>
  <si>
    <t>Immune Support, 60ct</t>
  </si>
  <si>
    <t>VNISCA</t>
  </si>
  <si>
    <t>Immune Support Formula #60</t>
  </si>
  <si>
    <t>VNLFO8</t>
  </si>
  <si>
    <t>Ultra Pure® Fish Oil 2600</t>
  </si>
  <si>
    <t>VNLFOCL</t>
  </si>
  <si>
    <t>Ultra Pure® Cod Liver Oil</t>
  </si>
  <si>
    <t>VNLFORS</t>
  </si>
  <si>
    <t>Ultra Pure® Fish Oil 1400</t>
  </si>
  <si>
    <t>VNLI</t>
  </si>
  <si>
    <t>Licorice Extract 400mg, 90ct</t>
  </si>
  <si>
    <t>VNLIV</t>
  </si>
  <si>
    <t>Liver Support, 60ct</t>
  </si>
  <si>
    <t>VNLIV120</t>
  </si>
  <si>
    <t>Liver Support, 120ct</t>
  </si>
  <si>
    <t>VNLIV2</t>
  </si>
  <si>
    <t>Liver Support II #60</t>
  </si>
  <si>
    <t>VNLTH20</t>
  </si>
  <si>
    <t>Lithium 20mg, 90ct</t>
  </si>
  <si>
    <t>VNLTH5</t>
  </si>
  <si>
    <t>Lithium 5mg, 90ct</t>
  </si>
  <si>
    <t>VNLY</t>
  </si>
  <si>
    <t>Lysine 500mg, 100ct</t>
  </si>
  <si>
    <t>VNM5</t>
  </si>
  <si>
    <t>Multi-Nutrients 5 (without Boron, Copper &amp; Iron), 120ct</t>
  </si>
  <si>
    <t>VNMAN</t>
  </si>
  <si>
    <t>Mannose Powder</t>
  </si>
  <si>
    <t>VNMAN2</t>
  </si>
  <si>
    <t>VNMC</t>
  </si>
  <si>
    <t>Magnesium Citrate 150mg, 100ct</t>
  </si>
  <si>
    <t>VNMC200</t>
  </si>
  <si>
    <t>Magnesium Citrate 150mg, 200ct</t>
  </si>
  <si>
    <t>VNME</t>
  </si>
  <si>
    <t>Minimal &amp; Essential®, 90ct</t>
  </si>
  <si>
    <t>VNME10</t>
  </si>
  <si>
    <t>Melatonin 10mg, 60ct</t>
  </si>
  <si>
    <t>VNME20</t>
  </si>
  <si>
    <t>Melatonin 20mg, 60ct</t>
  </si>
  <si>
    <t>VNME3</t>
  </si>
  <si>
    <t>Melatonin 3mg, 60ct</t>
  </si>
  <si>
    <t>VNMEE</t>
  </si>
  <si>
    <t>Minimal &amp; Essential®, 180ct</t>
  </si>
  <si>
    <t>VNMG</t>
  </si>
  <si>
    <t>Magnesium Glycinate + Malate 120mg, 100ct</t>
  </si>
  <si>
    <t>VNMG200</t>
  </si>
  <si>
    <t>Magnesium Glycinate + Malate 120mg, 200ct</t>
  </si>
  <si>
    <t>VNMI</t>
  </si>
  <si>
    <t>Multi-Nutrients (with Iron &amp; Iodine), 180ct</t>
  </si>
  <si>
    <t>VNMII</t>
  </si>
  <si>
    <t>Multi-Nutrients 2 (with Copper &amp; without Iron), 180ct</t>
  </si>
  <si>
    <t>VNMIII</t>
  </si>
  <si>
    <t>Multi-Nutrients 3 (without Copper &amp; Iron), 180ct</t>
  </si>
  <si>
    <t>VNMIV</t>
  </si>
  <si>
    <t>Multi-Nutrients 4 (with Copper &amp; Iron), 180ct</t>
  </si>
  <si>
    <t>VNMM</t>
  </si>
  <si>
    <t>Multi-Minerals (without Coppper &amp; Iron), 120ct</t>
  </si>
  <si>
    <t>VNMS2</t>
  </si>
  <si>
    <t>Menopause Support, 120ct</t>
  </si>
  <si>
    <t>VNMSM</t>
  </si>
  <si>
    <t>MSM 1000mg, 240ct</t>
  </si>
  <si>
    <t>VNMT</t>
  </si>
  <si>
    <t>Milk Thistle Extract, 60ct</t>
  </si>
  <si>
    <t>VNMV</t>
  </si>
  <si>
    <t>Multi-Nutrients (without Iron &amp; Iodine), 180ct</t>
  </si>
  <si>
    <t>VNNAC</t>
  </si>
  <si>
    <t>NAC (N-Acetyl-Cysteine) 600mg, 100ct</t>
  </si>
  <si>
    <t>VNNAC200</t>
  </si>
  <si>
    <t>NAC (N-Acetyl Cysteine) 600mg, 200ct</t>
  </si>
  <si>
    <t>VNNIA</t>
  </si>
  <si>
    <t>Niacin 500mg, 90ct</t>
  </si>
  <si>
    <t>VNON180</t>
  </si>
  <si>
    <t>Osteo-Nutrients, 180ct</t>
  </si>
  <si>
    <t>VNONE30</t>
  </si>
  <si>
    <t>Once Daily Multivitamin, 30ct</t>
  </si>
  <si>
    <t>VNONE60</t>
  </si>
  <si>
    <t>Once Daily Multivitamin, 60ct</t>
  </si>
  <si>
    <t>VNONII</t>
  </si>
  <si>
    <t>Osteo-Nutrients II, 240ct</t>
  </si>
  <si>
    <t>VNP5P</t>
  </si>
  <si>
    <t>Pyridoxal 5-Phosphate, 90ct</t>
  </si>
  <si>
    <t>VNPE</t>
  </si>
  <si>
    <t>Pancreatic Enzymes 500mg, 90ct</t>
  </si>
  <si>
    <t>VNPE180</t>
  </si>
  <si>
    <t>Pancreatic Enzymes 500mg, 180ct</t>
  </si>
  <si>
    <t>VNPEA</t>
  </si>
  <si>
    <t>ProVeg Pea Protein Vanilla</t>
  </si>
  <si>
    <t>VNPEACA</t>
  </si>
  <si>
    <t>CA ONLY- ProVeg Pea Protein Va</t>
  </si>
  <si>
    <t>VNPEV</t>
  </si>
  <si>
    <t>Pancreatic Enzymes (Vegan), 90ct</t>
  </si>
  <si>
    <t>VNPH</t>
  </si>
  <si>
    <t>Prostate Health Tx™, 90ct</t>
  </si>
  <si>
    <t>VNPMS</t>
  </si>
  <si>
    <t>PMS Support, 60ct</t>
  </si>
  <si>
    <t>VNPMSCA</t>
  </si>
  <si>
    <t>CA ONLY- PMS Support #60</t>
  </si>
  <si>
    <t>VNPNM</t>
  </si>
  <si>
    <t>Prenatal Multi-Nutrients, 180ct</t>
  </si>
  <si>
    <t>VNPOB</t>
  </si>
  <si>
    <t>Pancreatin &amp; Ox Bile Extract, 60ct</t>
  </si>
  <si>
    <t>VNPOB120</t>
  </si>
  <si>
    <t>Pancreatin &amp; Ox Bile Extract, 120ct</t>
  </si>
  <si>
    <t>VNPRG</t>
  </si>
  <si>
    <t>Pregnenolone 10mg, 60ct</t>
  </si>
  <si>
    <t>VNPS</t>
  </si>
  <si>
    <t>Phosphatidylserine 150mg, 60ct</t>
  </si>
  <si>
    <t>VNQU</t>
  </si>
  <si>
    <t>Quercetin, 100ct</t>
  </si>
  <si>
    <t>VNQU200</t>
  </si>
  <si>
    <t>Quercetin, 200ct</t>
  </si>
  <si>
    <t>VNRES</t>
  </si>
  <si>
    <t>Resveratrol, 60ct</t>
  </si>
  <si>
    <t>VNRES120</t>
  </si>
  <si>
    <t>Resveratrol, 120ct</t>
  </si>
  <si>
    <t>VNRG2</t>
  </si>
  <si>
    <t>Glutathione, 100ct</t>
  </si>
  <si>
    <t>VNRHO</t>
  </si>
  <si>
    <t>Rhodiola Rosea, 60ct</t>
  </si>
  <si>
    <t>VNRHO2</t>
  </si>
  <si>
    <t>Rhodiola Rosea, 120ct</t>
  </si>
  <si>
    <t>VNRL</t>
  </si>
  <si>
    <t>R-Lipoic Acid, 60ct</t>
  </si>
  <si>
    <t>VNRMCA</t>
  </si>
  <si>
    <t>Reishi Mushroom 500mg #60 - CA SKU</t>
  </si>
  <si>
    <t>VNRS30</t>
  </si>
  <si>
    <t>Sleep + Recover, 30ct</t>
  </si>
  <si>
    <t>VNRS90</t>
  </si>
  <si>
    <t>Sleep + Recover, 90ct</t>
  </si>
  <si>
    <t>VNSA</t>
  </si>
  <si>
    <t>Sleep Aid, 60ct</t>
  </si>
  <si>
    <t>VNSC</t>
  </si>
  <si>
    <t>Schisandra Extract, 90ct</t>
  </si>
  <si>
    <t>VNSE</t>
  </si>
  <si>
    <t>Selenium, 90ct</t>
  </si>
  <si>
    <t>VNSLP</t>
  </si>
  <si>
    <t>Slippery Elm Powder</t>
  </si>
  <si>
    <t>VNSLPCA</t>
  </si>
  <si>
    <t>CA ONLY-Slippery Elm Powder175</t>
  </si>
  <si>
    <t>VNSO</t>
  </si>
  <si>
    <t>Genistein, 60ct</t>
  </si>
  <si>
    <t>VNSP</t>
  </si>
  <si>
    <t>Saw Palmetto Pygeum Nettle Root, 60ct</t>
  </si>
  <si>
    <t>VNSTR</t>
  </si>
  <si>
    <t>Strontium (citrate), 90ct</t>
  </si>
  <si>
    <t>VNTAU1</t>
  </si>
  <si>
    <t>Taurine, 120ct</t>
  </si>
  <si>
    <t>VNTB</t>
  </si>
  <si>
    <t>Tyrosine &amp; B Vitamins, 100ct</t>
  </si>
  <si>
    <t>VNTHEA</t>
  </si>
  <si>
    <t>L-Theanine 200mg, 60ct</t>
  </si>
  <si>
    <t>VNTHEA120</t>
  </si>
  <si>
    <t>L-Theanine 200mg, 120ct</t>
  </si>
  <si>
    <t>VNTM</t>
  </si>
  <si>
    <t>Triple Magnesium Complex, 90ct</t>
  </si>
  <si>
    <t>VNTM180</t>
  </si>
  <si>
    <t>Triple Magnesium Complex, 180ct</t>
  </si>
  <si>
    <t>VNVA25</t>
  </si>
  <si>
    <t>Vitamin A 25,000IU, 100ct</t>
  </si>
  <si>
    <t>VNVB12F</t>
  </si>
  <si>
    <t>B12 / Methyl Folate, 100ct</t>
  </si>
  <si>
    <t>VNVB12F200</t>
  </si>
  <si>
    <t>B12 / Methyl Folate, 200ct</t>
  </si>
  <si>
    <t>VNVB12M</t>
  </si>
  <si>
    <t>Vitamin B12 Methylcobalamin, 100ct</t>
  </si>
  <si>
    <t>VNVB6100</t>
  </si>
  <si>
    <t>Vitamin B6 100mg, 100ct</t>
  </si>
  <si>
    <t>VNVC120V</t>
  </si>
  <si>
    <t>Vitamin C, 120ct</t>
  </si>
  <si>
    <t>VNVC220V</t>
  </si>
  <si>
    <t>Vitamin C, 220ct</t>
  </si>
  <si>
    <t>VNVCBIO</t>
  </si>
  <si>
    <t>Vitamin C (with Bioflavonoids), 100ct</t>
  </si>
  <si>
    <t>VNVCBIO2</t>
  </si>
  <si>
    <t>Vitamin C (with Bioflavonoids), 220ct</t>
  </si>
  <si>
    <t>VNVD10</t>
  </si>
  <si>
    <t>Vitamin D3 10,000IU, 60ct</t>
  </si>
  <si>
    <t>VNVD2</t>
  </si>
  <si>
    <t>Vitamin D3 2000IU, 90ct</t>
  </si>
  <si>
    <t>VNVD5</t>
  </si>
  <si>
    <t>Vitamin D3 5000IU, 90ct</t>
  </si>
  <si>
    <t>VNVD5180</t>
  </si>
  <si>
    <t>Vitamin D3 5000IU, 180ct</t>
  </si>
  <si>
    <t>VNVEMIX</t>
  </si>
  <si>
    <t>Vitamin E (with Mixed Tocopherols), 100ct</t>
  </si>
  <si>
    <t>VNVK2</t>
  </si>
  <si>
    <t>K2-7, 60ct</t>
  </si>
  <si>
    <t>VNVK2D</t>
  </si>
  <si>
    <t>Vitamin D3 + K2 (Formerly K2-7+D3), 60ct</t>
  </si>
  <si>
    <t>VNVK2D120</t>
  </si>
  <si>
    <t>Vitamin D3 + K2 (Formerly K2-7+D3), 120ct</t>
  </si>
  <si>
    <t>VNVO</t>
  </si>
  <si>
    <t>Vegan Omega SPM+, 90ct</t>
  </si>
  <si>
    <t>VNVRC</t>
  </si>
  <si>
    <t>ViraCon, 60ct</t>
  </si>
  <si>
    <t>VNVRC120</t>
  </si>
  <si>
    <t>ViraCon, 120ct</t>
  </si>
  <si>
    <t>VNVRC120CA</t>
  </si>
  <si>
    <t>VNVRCCA</t>
  </si>
  <si>
    <t>Viracon #60</t>
  </si>
  <si>
    <t>VNVTX</t>
  </si>
  <si>
    <t>Vitex 750mg, 120ct</t>
  </si>
  <si>
    <t>VNZI</t>
  </si>
  <si>
    <t>Zinc (Citrate), 90ct</t>
  </si>
  <si>
    <t>VNZI180</t>
  </si>
  <si>
    <t>Zinc (Citrate), 180ct</t>
  </si>
  <si>
    <t>VNSP120</t>
  </si>
  <si>
    <t>Saw Palmetto Pygeum Nettle Root, 120ct</t>
  </si>
  <si>
    <t>VNAC</t>
  </si>
  <si>
    <t>Acidophilus/Bifido/FOS #60</t>
  </si>
  <si>
    <t>VNARG</t>
  </si>
  <si>
    <t>Arginine 750mg #120</t>
  </si>
  <si>
    <t>VNBCA</t>
  </si>
  <si>
    <t>VN BCAA CAPS #180</t>
  </si>
  <si>
    <t>VNBKCU</t>
  </si>
  <si>
    <t>Black Currant Oil 500mg #100</t>
  </si>
  <si>
    <t>VNBO2</t>
  </si>
  <si>
    <t>Borage Oil 1000mg #180</t>
  </si>
  <si>
    <t>VNCF</t>
  </si>
  <si>
    <t>Coleus Forskohlii #60</t>
  </si>
  <si>
    <t>VNCQ60</t>
  </si>
  <si>
    <t>Coenzyme Q10 60mg #60</t>
  </si>
  <si>
    <t>VNFL</t>
  </si>
  <si>
    <t>Flax Lignan #60</t>
  </si>
  <si>
    <t>VNGI</t>
  </si>
  <si>
    <t>Ginkgo Extract 50:1 80mg #90</t>
  </si>
  <si>
    <t>VNHA</t>
  </si>
  <si>
    <t>Hawthorne Extract #60</t>
  </si>
  <si>
    <t>VNKA</t>
  </si>
  <si>
    <t>Kava Kava 30% 250mg #60</t>
  </si>
  <si>
    <t>VNLTH2030</t>
  </si>
  <si>
    <t>Lithium (orotate) 20mg, 30ct</t>
  </si>
  <si>
    <t>VNVA10</t>
  </si>
  <si>
    <t>Vitamin A 10,000iu #100</t>
  </si>
  <si>
    <t>VNCLR</t>
  </si>
  <si>
    <t>Vital Clear</t>
  </si>
  <si>
    <t>VNCLRCA</t>
  </si>
  <si>
    <t>Vital Clear - CA SKU</t>
  </si>
  <si>
    <t>VNCMC</t>
  </si>
  <si>
    <t>Cal/Mag Citrate #100</t>
  </si>
  <si>
    <t>VNES</t>
  </si>
  <si>
    <t>E Succinate VEG 400iu #100</t>
  </si>
  <si>
    <t>VNMCP</t>
  </si>
  <si>
    <t>Modified Citrus Pectin 360g</t>
  </si>
  <si>
    <t>VNMCPCA</t>
  </si>
  <si>
    <t>Modified Citrus Pectin 360g - CA SKU</t>
  </si>
  <si>
    <t>VNRM</t>
  </si>
  <si>
    <t>Reishi Mushroom 500mg #60</t>
  </si>
  <si>
    <t>VNTHEA30</t>
  </si>
  <si>
    <t>L- Theanine 200mg, 30ct</t>
  </si>
  <si>
    <t>VNWP5</t>
  </si>
  <si>
    <t>WHEY PROTEIN POWDER 92%</t>
  </si>
  <si>
    <t>VNWPV</t>
  </si>
  <si>
    <t>Whey Protein Vanilla 900g</t>
  </si>
  <si>
    <t>AEGCCM</t>
  </si>
  <si>
    <t>AEGCQ100</t>
  </si>
  <si>
    <t>Apo E Gene Coenzyme Q10 100mg #60</t>
  </si>
  <si>
    <t>AEGFOHP60</t>
  </si>
  <si>
    <t>APOE 3 Omega 3</t>
  </si>
  <si>
    <t>AEGLI</t>
  </si>
  <si>
    <t>Apo E Gene Licorice Extract 400mg #90</t>
  </si>
  <si>
    <t>AEGMEE</t>
  </si>
  <si>
    <t>Apo E Gene Minimal &amp; Essential #180</t>
  </si>
  <si>
    <t>ANLI</t>
  </si>
  <si>
    <t>Licorice Root Extract</t>
  </si>
  <si>
    <t>CNAG2</t>
  </si>
  <si>
    <t>American Ginseng 250mg</t>
  </si>
  <si>
    <t>CNAL3</t>
  </si>
  <si>
    <t>Alpha Lipoic Acid 300mg</t>
  </si>
  <si>
    <t>CNALC</t>
  </si>
  <si>
    <t>Acetyl L Carnitine 500mg</t>
  </si>
  <si>
    <t>CNAS</t>
  </si>
  <si>
    <t>Astragalus Extract</t>
  </si>
  <si>
    <t>CNBCQ120</t>
  </si>
  <si>
    <t>Boswellia, Bromelain, Curcumin, Quercetin</t>
  </si>
  <si>
    <t>CNBOS</t>
  </si>
  <si>
    <t>Boswellia Extract 400mg</t>
  </si>
  <si>
    <t>CNBR</t>
  </si>
  <si>
    <t xml:space="preserve">Bromelain </t>
  </si>
  <si>
    <t>CNBSS2</t>
  </si>
  <si>
    <t>Blood Sugar Support</t>
  </si>
  <si>
    <t>CNBX</t>
  </si>
  <si>
    <t>Vitamin B Plus</t>
  </si>
  <si>
    <t>CNBXB6</t>
  </si>
  <si>
    <t>B6 + B-Complex</t>
  </si>
  <si>
    <t>CNCAR</t>
  </si>
  <si>
    <t>L-Carnitine</t>
  </si>
  <si>
    <t>CNCQ100</t>
  </si>
  <si>
    <t>CoQMax 100mg</t>
  </si>
  <si>
    <t>CNCQ200</t>
  </si>
  <si>
    <t>CoQMax 200mg</t>
  </si>
  <si>
    <t>CNCUR700</t>
  </si>
  <si>
    <t>Curcumin Pro 700mg</t>
  </si>
  <si>
    <t>CNEPA2</t>
  </si>
  <si>
    <t>EPAmax</t>
  </si>
  <si>
    <t>CNEPA2EC</t>
  </si>
  <si>
    <t>Omega-3 Max EC</t>
  </si>
  <si>
    <t>CNGLP</t>
  </si>
  <si>
    <t>L-Glutamine Powder 8oz</t>
  </si>
  <si>
    <t>CNGLP16</t>
  </si>
  <si>
    <t>L-Glutamine Powder 16oz</t>
  </si>
  <si>
    <t>CNGS750</t>
  </si>
  <si>
    <t>Glucosamine Sulfate 750mg</t>
  </si>
  <si>
    <t>CNGSCH120</t>
  </si>
  <si>
    <t>Joint Complex Pro</t>
  </si>
  <si>
    <t>CNGT2</t>
  </si>
  <si>
    <t>Green Tea Extract</t>
  </si>
  <si>
    <t>CNIMM</t>
  </si>
  <si>
    <t>Immunomax</t>
  </si>
  <si>
    <t>CNINP</t>
  </si>
  <si>
    <t>CNMC</t>
  </si>
  <si>
    <t>Magnesium Citrate</t>
  </si>
  <si>
    <t>CNME10</t>
  </si>
  <si>
    <t>Melatonin 10mg</t>
  </si>
  <si>
    <t>CNME2</t>
  </si>
  <si>
    <t>Daily Vitas Pro 90ct</t>
  </si>
  <si>
    <t>CNME20</t>
  </si>
  <si>
    <t>Melatonin 20mg</t>
  </si>
  <si>
    <t>CNME3</t>
  </si>
  <si>
    <t>Melatonin 3mg</t>
  </si>
  <si>
    <t>CNMEE2</t>
  </si>
  <si>
    <t>Daily Vitas Pro 180ct</t>
  </si>
  <si>
    <t>CNMG</t>
  </si>
  <si>
    <t>Magnesium Chelated Glycinate/Malate</t>
  </si>
  <si>
    <t>CNMTP</t>
  </si>
  <si>
    <t>Milk Thistle Pro</t>
  </si>
  <si>
    <t>CNMV</t>
  </si>
  <si>
    <t>Multi-Nutrients</t>
  </si>
  <si>
    <t>CNON180</t>
  </si>
  <si>
    <t>Cal-Mag Plus</t>
  </si>
  <si>
    <t>CNONII</t>
  </si>
  <si>
    <t>Osteo Nutrients Pro</t>
  </si>
  <si>
    <t>CNRM</t>
  </si>
  <si>
    <t>Reishi Extract</t>
  </si>
  <si>
    <t>CNSP</t>
  </si>
  <si>
    <t>Prostamax</t>
  </si>
  <si>
    <t>CNVB6100</t>
  </si>
  <si>
    <t>Vitamin B6 100mg</t>
  </si>
  <si>
    <t>CNVC220V</t>
  </si>
  <si>
    <t>Vitamin C Veg Caps</t>
  </si>
  <si>
    <t>CNVD10</t>
  </si>
  <si>
    <t>Vitamin D 10,000iu</t>
  </si>
  <si>
    <t>CNVD2</t>
  </si>
  <si>
    <t>Vitamin D 2000iu</t>
  </si>
  <si>
    <t>CNVD5</t>
  </si>
  <si>
    <t>Vitamin D 5000iu</t>
  </si>
  <si>
    <t>CNVEMIX</t>
  </si>
  <si>
    <t>Vitamin E (Natural) With Mixed Tocopherols</t>
  </si>
  <si>
    <t>CNWP5</t>
  </si>
  <si>
    <t>Whey Pure Protein Unflavored</t>
  </si>
  <si>
    <t>CNWPC</t>
  </si>
  <si>
    <t>CNWPV5</t>
  </si>
  <si>
    <t>Whey Pure Protein Natural Vanilla</t>
  </si>
  <si>
    <t>CNZI</t>
  </si>
  <si>
    <t>Zinc (Citrate)</t>
  </si>
  <si>
    <t>CWCGIP</t>
  </si>
  <si>
    <t>DAD</t>
  </si>
  <si>
    <t xml:space="preserve">Stractan </t>
  </si>
  <si>
    <t>DADB12B2</t>
  </si>
  <si>
    <t>Vitamin B12-B2</t>
  </si>
  <si>
    <t>DADBO</t>
  </si>
  <si>
    <t>Borage Oil</t>
  </si>
  <si>
    <t>DADBSS</t>
  </si>
  <si>
    <t>Chromium Complex</t>
  </si>
  <si>
    <t>DADCLR</t>
  </si>
  <si>
    <t>Detox Vitamin Support Powder</t>
  </si>
  <si>
    <t>DADCO</t>
  </si>
  <si>
    <t>Collagen Powder</t>
  </si>
  <si>
    <t>DADGIP</t>
  </si>
  <si>
    <t>DADIGA</t>
  </si>
  <si>
    <t>Digestive for Type A</t>
  </si>
  <si>
    <t>DADLFOCL</t>
  </si>
  <si>
    <t>Cod Liver Oil</t>
  </si>
  <si>
    <t>DADMA</t>
  </si>
  <si>
    <t>Formula A</t>
  </si>
  <si>
    <t>DADMCP</t>
  </si>
  <si>
    <t>MCP Powder</t>
  </si>
  <si>
    <t>DADME3</t>
  </si>
  <si>
    <t>DADMO</t>
  </si>
  <si>
    <t>Formula O</t>
  </si>
  <si>
    <t>DADMV</t>
  </si>
  <si>
    <t>Formula B</t>
  </si>
  <si>
    <t>DADONII</t>
  </si>
  <si>
    <t>Bone Support 240ct</t>
  </si>
  <si>
    <t>DADPS</t>
  </si>
  <si>
    <t>Phosphatidylserine</t>
  </si>
  <si>
    <t>DADQU</t>
  </si>
  <si>
    <t>Quercetin</t>
  </si>
  <si>
    <t>DADR160</t>
  </si>
  <si>
    <t>Adrenal</t>
  </si>
  <si>
    <t>DADVB6100</t>
  </si>
  <si>
    <t>DADWPV</t>
  </si>
  <si>
    <t>Vanilla Whey Powder</t>
  </si>
  <si>
    <t>DALC</t>
  </si>
  <si>
    <t>Acetyl L-Carnitine 500mg</t>
  </si>
  <si>
    <t>DPSY</t>
  </si>
  <si>
    <t>Psyllium Powder</t>
  </si>
  <si>
    <t>DVEMIX</t>
  </si>
  <si>
    <t>Vitamin E</t>
  </si>
  <si>
    <t>EIBET</t>
  </si>
  <si>
    <t>Betaine HCI Pepsin Gentian Root Extract</t>
  </si>
  <si>
    <t>GNADR2</t>
  </si>
  <si>
    <t>Maximum Adrenals 120ct</t>
  </si>
  <si>
    <t>GNBER</t>
  </si>
  <si>
    <t>Balanced Berberine</t>
  </si>
  <si>
    <t>GNDHEA7</t>
  </si>
  <si>
    <t xml:space="preserve">Metabolize Me </t>
  </si>
  <si>
    <t>GNMG</t>
  </si>
  <si>
    <t>Magnesium Breakthrough 100ct</t>
  </si>
  <si>
    <t>GNVB12F</t>
  </si>
  <si>
    <t>B 12 Methyl with Folate</t>
  </si>
  <si>
    <t>GNVCBIO</t>
  </si>
  <si>
    <t>Bio Complex C</t>
  </si>
  <si>
    <t>HALC</t>
  </si>
  <si>
    <t>Acetyl L-Carnitine</t>
  </si>
  <si>
    <t>HARA</t>
  </si>
  <si>
    <t>HBX120</t>
  </si>
  <si>
    <t>B-Complex</t>
  </si>
  <si>
    <t>HCCM</t>
  </si>
  <si>
    <t>Calcium Citrate/Malate 150mg</t>
  </si>
  <si>
    <t>HCO</t>
  </si>
  <si>
    <t>Collagen Hydrolysate</t>
  </si>
  <si>
    <t>HDBIOA</t>
  </si>
  <si>
    <t>Digestive BioPhenotype A</t>
  </si>
  <si>
    <t>HEAPOC</t>
  </si>
  <si>
    <t>Policosanol 20mg</t>
  </si>
  <si>
    <t>HELC</t>
  </si>
  <si>
    <t>ElectrolyteC</t>
  </si>
  <si>
    <t>HFB</t>
  </si>
  <si>
    <t>SoluFiber Blend</t>
  </si>
  <si>
    <t>HFOCL</t>
  </si>
  <si>
    <t>Norwegian Cod Liver Oil</t>
  </si>
  <si>
    <t>HGI</t>
  </si>
  <si>
    <t>Ginkgo</t>
  </si>
  <si>
    <t>HGLP</t>
  </si>
  <si>
    <t>Glutamine Powder</t>
  </si>
  <si>
    <t>HHB120</t>
  </si>
  <si>
    <t>LonicerA Plus 120ct</t>
  </si>
  <si>
    <t>HHY</t>
  </si>
  <si>
    <t>Hypericum</t>
  </si>
  <si>
    <t>HIP</t>
  </si>
  <si>
    <t>Ipriflavone</t>
  </si>
  <si>
    <t>HMA</t>
  </si>
  <si>
    <t>Multi BioPhenotype A</t>
  </si>
  <si>
    <t>HME20</t>
  </si>
  <si>
    <t>HMF</t>
  </si>
  <si>
    <t>Multi BioPhenotype F</t>
  </si>
  <si>
    <t>HMV</t>
  </si>
  <si>
    <t>MultiVite</t>
  </si>
  <si>
    <t>HMYO</t>
  </si>
  <si>
    <t>MyoSed</t>
  </si>
  <si>
    <t>HOS</t>
  </si>
  <si>
    <t>OsteoSustain</t>
  </si>
  <si>
    <t>HPEA</t>
  </si>
  <si>
    <t>Pea Protein Powder</t>
  </si>
  <si>
    <t>HRES</t>
  </si>
  <si>
    <t>Resveratrol-250</t>
  </si>
  <si>
    <t>HRHO5</t>
  </si>
  <si>
    <t>Rhodiola 500mg</t>
  </si>
  <si>
    <t>HSLP</t>
  </si>
  <si>
    <t>Ulmus Powder</t>
  </si>
  <si>
    <t>HSOY</t>
  </si>
  <si>
    <t>Soy Protein Powder</t>
  </si>
  <si>
    <t>HSP</t>
  </si>
  <si>
    <t>ProstaNourish</t>
  </si>
  <si>
    <t>HVB12M</t>
  </si>
  <si>
    <t>Vitamin B12 1000mcg</t>
  </si>
  <si>
    <t>HWP5</t>
  </si>
  <si>
    <t>Whey Protein 92%</t>
  </si>
  <si>
    <t>IHPVD2</t>
  </si>
  <si>
    <t>Vitamin D3 2,000iu</t>
  </si>
  <si>
    <t>JFVTX</t>
  </si>
  <si>
    <t>Chaste Tree Berry</t>
  </si>
  <si>
    <t>JSTM</t>
  </si>
  <si>
    <t>Essential Tri-Mag</t>
  </si>
  <si>
    <t>LFOHP</t>
  </si>
  <si>
    <t>Supreme Omega 3</t>
  </si>
  <si>
    <t>LPEA</t>
  </si>
  <si>
    <t>Pro Veg</t>
  </si>
  <si>
    <t>LTM</t>
  </si>
  <si>
    <t>Triple Magnesium</t>
  </si>
  <si>
    <t>LWP5</t>
  </si>
  <si>
    <t>Pro Whey</t>
  </si>
  <si>
    <t>MMMAN</t>
  </si>
  <si>
    <t>Mannose</t>
  </si>
  <si>
    <t>MMSTR</t>
  </si>
  <si>
    <t>Strontium</t>
  </si>
  <si>
    <t>MMTB</t>
  </si>
  <si>
    <t>Tyrosine</t>
  </si>
  <si>
    <t>MMTM</t>
  </si>
  <si>
    <t>Triple Mag</t>
  </si>
  <si>
    <t>MRFADR2</t>
  </si>
  <si>
    <t>Adrenal Support Complete</t>
  </si>
  <si>
    <t>MRFQU</t>
  </si>
  <si>
    <t>MRFRES</t>
  </si>
  <si>
    <t>Resveratrol</t>
  </si>
  <si>
    <t>MRVC120V</t>
  </si>
  <si>
    <t>Vitamin C 1000mg</t>
  </si>
  <si>
    <t>NATGIR</t>
  </si>
  <si>
    <t>Gut Nutrients</t>
  </si>
  <si>
    <t>NATMG</t>
  </si>
  <si>
    <t>Mag Absorb</t>
  </si>
  <si>
    <t>NATONII</t>
  </si>
  <si>
    <t>Osteo Strength</t>
  </si>
  <si>
    <t>NATSTR</t>
  </si>
  <si>
    <t>Strontium Boost</t>
  </si>
  <si>
    <t>NATTM</t>
  </si>
  <si>
    <t>Mag Regulate</t>
  </si>
  <si>
    <t>NCCA</t>
  </si>
  <si>
    <t>Stress-Ease</t>
  </si>
  <si>
    <t>NCSA</t>
  </si>
  <si>
    <t>Sleep Aide</t>
  </si>
  <si>
    <t>NCTM</t>
  </si>
  <si>
    <t>NMBET</t>
  </si>
  <si>
    <t>GastricZyme</t>
  </si>
  <si>
    <t>NMBO</t>
  </si>
  <si>
    <t>NMBX</t>
  </si>
  <si>
    <t>NMDHEA10</t>
  </si>
  <si>
    <t>DHEA Micronized 10mg</t>
  </si>
  <si>
    <t>NMMC</t>
  </si>
  <si>
    <t>NMPE</t>
  </si>
  <si>
    <t>PanAbsorb</t>
  </si>
  <si>
    <t>NMPEA</t>
  </si>
  <si>
    <t>Organic Pea Protein</t>
  </si>
  <si>
    <t>OZCLR</t>
  </si>
  <si>
    <t>Detox Clear</t>
  </si>
  <si>
    <t>OZLIV2</t>
  </si>
  <si>
    <t>Detox Liver Support</t>
  </si>
  <si>
    <t>OZME20</t>
  </si>
  <si>
    <t>PMALL</t>
  </si>
  <si>
    <t>Aller-C #100</t>
  </si>
  <si>
    <t>PMBCQ120</t>
  </si>
  <si>
    <t>PMBCQ60</t>
  </si>
  <si>
    <t>RDBCQ120</t>
  </si>
  <si>
    <t>InflamGuard</t>
  </si>
  <si>
    <t>RDBET</t>
  </si>
  <si>
    <t>Protein Digest</t>
  </si>
  <si>
    <t>RNDTX</t>
  </si>
  <si>
    <t>Magic Bullet For Anytime You Drink</t>
  </si>
  <si>
    <t>SNWBSS2</t>
  </si>
  <si>
    <t>SNWHB120</t>
  </si>
  <si>
    <t>Herbal Biotic</t>
  </si>
  <si>
    <t>SNWLIV120</t>
  </si>
  <si>
    <t>Liver Support</t>
  </si>
  <si>
    <t>SNWMS2</t>
  </si>
  <si>
    <t>Menopause Support</t>
  </si>
  <si>
    <t>SNWVCBIO</t>
  </si>
  <si>
    <t>Vitamin C with Bioflavanoids</t>
  </si>
  <si>
    <t>SNWVRC120</t>
  </si>
  <si>
    <t>ViraCon</t>
  </si>
  <si>
    <t>SUTCEL</t>
  </si>
  <si>
    <t>Cellulose Fiber</t>
  </si>
  <si>
    <t>SUTQU</t>
  </si>
  <si>
    <t>SUTRES</t>
  </si>
  <si>
    <t>Epi Resvero-Active</t>
  </si>
  <si>
    <t>SWAC</t>
  </si>
  <si>
    <t>Acidophilus/Bifidobacter/FOS</t>
  </si>
  <si>
    <t>SWAL3</t>
  </si>
  <si>
    <t>Lipoic Acid 300mg</t>
  </si>
  <si>
    <t>SWALL</t>
  </si>
  <si>
    <t>Aller-C</t>
  </si>
  <si>
    <t>SWAS</t>
  </si>
  <si>
    <t>Astragalus Rot Extrakt</t>
  </si>
  <si>
    <t>SWBCQ120</t>
  </si>
  <si>
    <t>BCQ 120ct</t>
  </si>
  <si>
    <t>SWBER</t>
  </si>
  <si>
    <t>Berberine 200mg</t>
  </si>
  <si>
    <t>SWBX</t>
  </si>
  <si>
    <t>SWBXB6</t>
  </si>
  <si>
    <t>B6 + B Kolmplex</t>
  </si>
  <si>
    <t>SWCBUF</t>
  </si>
  <si>
    <t>Buffered C</t>
  </si>
  <si>
    <t>SWCCM</t>
  </si>
  <si>
    <t>Kalcium (Citrat/Malat) 150mg</t>
  </si>
  <si>
    <t>SWCIT</t>
  </si>
  <si>
    <t>Citicoline</t>
  </si>
  <si>
    <t>SWCLR</t>
  </si>
  <si>
    <t>SWCQ100</t>
  </si>
  <si>
    <t>CoEnzyme Q10 100mg</t>
  </si>
  <si>
    <t>SWEP2</t>
  </si>
  <si>
    <t>Energy Plus</t>
  </si>
  <si>
    <t>SWFBL</t>
  </si>
  <si>
    <t>SWFONLEC</t>
  </si>
  <si>
    <t>Fish Oil 700 Enteric</t>
  </si>
  <si>
    <t>SWGIP</t>
  </si>
  <si>
    <t>GI Powder</t>
  </si>
  <si>
    <t>SWGLY</t>
  </si>
  <si>
    <t>Glycine Powder</t>
  </si>
  <si>
    <t>SWHTX</t>
  </si>
  <si>
    <t>Heartburn TX</t>
  </si>
  <si>
    <t>SWJE2</t>
  </si>
  <si>
    <t>Joint Ease 2.0</t>
  </si>
  <si>
    <t>SWME</t>
  </si>
  <si>
    <t>Minimal Och Essentiell</t>
  </si>
  <si>
    <t>SWMG</t>
  </si>
  <si>
    <t>Magnesium (Glycinat/Malat) 120mg</t>
  </si>
  <si>
    <t>SWMI</t>
  </si>
  <si>
    <t>Multi-Nutrients (med järn och jod)</t>
  </si>
  <si>
    <t>SWMII</t>
  </si>
  <si>
    <t xml:space="preserve">Multi-Nutrients 2 </t>
  </si>
  <si>
    <t>SWMM</t>
  </si>
  <si>
    <t>Multi-Mineraler</t>
  </si>
  <si>
    <t>SWMV</t>
  </si>
  <si>
    <t>Multi-Nutrients (Innehåller inte järn eller jod)</t>
  </si>
  <si>
    <t>SWPEA</t>
  </si>
  <si>
    <t>ProVeg Ekologiskt ärtprotein</t>
  </si>
  <si>
    <t>SWPS</t>
  </si>
  <si>
    <t>SWRES</t>
  </si>
  <si>
    <t>SWTB</t>
  </si>
  <si>
    <t>Tyrosin Och B Vitaminer</t>
  </si>
  <si>
    <t>SWTHEA</t>
  </si>
  <si>
    <t>L-Theanine 200mg</t>
  </si>
  <si>
    <t>SWTM</t>
  </si>
  <si>
    <t>SWVK2D</t>
  </si>
  <si>
    <t>K2-7  + D3</t>
  </si>
  <si>
    <t>TLALL</t>
  </si>
  <si>
    <t>Histamine Support</t>
  </si>
  <si>
    <t>TLMII</t>
  </si>
  <si>
    <t>TryHealth 2</t>
  </si>
  <si>
    <t>TLMIII</t>
  </si>
  <si>
    <t>TryHealth 3</t>
  </si>
  <si>
    <t>TLMIV</t>
  </si>
  <si>
    <t>TryHealth 1</t>
  </si>
  <si>
    <t>TLVRC120</t>
  </si>
  <si>
    <t>ElVira</t>
  </si>
  <si>
    <t>TWNIA</t>
  </si>
  <si>
    <t>No Flush Niacin 500mg</t>
  </si>
  <si>
    <t>TWVA10</t>
  </si>
  <si>
    <t>Natural Vitamin A 10,000iu</t>
  </si>
  <si>
    <t>WWBX</t>
  </si>
  <si>
    <t>WWCCM</t>
  </si>
  <si>
    <t>Calcium (Citrate/Malate) 150mg</t>
  </si>
  <si>
    <t>WWFONLEC</t>
  </si>
  <si>
    <t>Fish Oil 2400mg</t>
  </si>
  <si>
    <t>WWIC</t>
  </si>
  <si>
    <t>Iron Plus C 20mg/200mg</t>
  </si>
  <si>
    <t>WWVD5</t>
  </si>
  <si>
    <t>Vitamin D3 5000iu</t>
  </si>
  <si>
    <t>YNNI</t>
  </si>
  <si>
    <t>Niacinamide 750mg</t>
  </si>
  <si>
    <t>AEGALC</t>
  </si>
  <si>
    <t>AEGBX</t>
  </si>
  <si>
    <t>AEGCUR700</t>
  </si>
  <si>
    <t>AEGFO430</t>
  </si>
  <si>
    <t>AEGFODHA</t>
  </si>
  <si>
    <t>AEGM5</t>
  </si>
  <si>
    <t>AEGMC</t>
  </si>
  <si>
    <t>AEGME</t>
  </si>
  <si>
    <t>AEGMT</t>
  </si>
  <si>
    <t>AEGNIA</t>
  </si>
  <si>
    <t>AEGONE60</t>
  </si>
  <si>
    <t>AEGVD5</t>
  </si>
  <si>
    <t>AEGVK2</t>
  </si>
  <si>
    <t>AEGZI</t>
  </si>
  <si>
    <t>AFCO</t>
  </si>
  <si>
    <t>AFVK2</t>
  </si>
  <si>
    <t>ANLIP</t>
  </si>
  <si>
    <t>ANQU</t>
  </si>
  <si>
    <t>BFL</t>
  </si>
  <si>
    <t>BICO</t>
  </si>
  <si>
    <t>BICQU</t>
  </si>
  <si>
    <t>BIGR</t>
  </si>
  <si>
    <t>BIGT2</t>
  </si>
  <si>
    <t>BION180</t>
  </si>
  <si>
    <t>BLFORS</t>
  </si>
  <si>
    <t>CHSFOHP</t>
  </si>
  <si>
    <t>CHSLFO8</t>
  </si>
  <si>
    <t>CNAC</t>
  </si>
  <si>
    <t>CNDTX2</t>
  </si>
  <si>
    <t>CNWPV</t>
  </si>
  <si>
    <t>DAD3</t>
  </si>
  <si>
    <t>DADBOS</t>
  </si>
  <si>
    <t>DADTX2</t>
  </si>
  <si>
    <t>DNCA</t>
  </si>
  <si>
    <t>DNDTX</t>
  </si>
  <si>
    <t>DNMG</t>
  </si>
  <si>
    <t>DNSA</t>
  </si>
  <si>
    <t>EIFOTG</t>
  </si>
  <si>
    <t>EIMT</t>
  </si>
  <si>
    <t>EIPOB</t>
  </si>
  <si>
    <t>EIQU</t>
  </si>
  <si>
    <t>EIVA10</t>
  </si>
  <si>
    <t>EIVA25</t>
  </si>
  <si>
    <t>FEWPV</t>
  </si>
  <si>
    <t>GNBCQ60</t>
  </si>
  <si>
    <t>GNBSS</t>
  </si>
  <si>
    <t>GNIS</t>
  </si>
  <si>
    <t>GNLIV</t>
  </si>
  <si>
    <t>GNVC120V</t>
  </si>
  <si>
    <t>HADR2</t>
  </si>
  <si>
    <t>HBCQ120</t>
  </si>
  <si>
    <t>HCUR700</t>
  </si>
  <si>
    <t>HGS750</t>
  </si>
  <si>
    <t>HINP</t>
  </si>
  <si>
    <t>HLTH5</t>
  </si>
  <si>
    <t>HMT</t>
  </si>
  <si>
    <t>HNIA</t>
  </si>
  <si>
    <t>HQU</t>
  </si>
  <si>
    <t>HSO</t>
  </si>
  <si>
    <t>LONII</t>
  </si>
  <si>
    <t>LWPV</t>
  </si>
  <si>
    <t>MMADR2</t>
  </si>
  <si>
    <t>MMALL2</t>
  </si>
  <si>
    <t>MMARA</t>
  </si>
  <si>
    <t>MMBER</t>
  </si>
  <si>
    <t>MMBXB6</t>
  </si>
  <si>
    <t>MMGLP</t>
  </si>
  <si>
    <t>MMGLP16</t>
  </si>
  <si>
    <t>MMGSCH120</t>
  </si>
  <si>
    <t>MMLIV2</t>
  </si>
  <si>
    <t>MMMG</t>
  </si>
  <si>
    <t>MMONII</t>
  </si>
  <si>
    <t>MMVA10</t>
  </si>
  <si>
    <t>MMVD2</t>
  </si>
  <si>
    <t>MMVD5</t>
  </si>
  <si>
    <t>MMVRC</t>
  </si>
  <si>
    <t>MMVTX</t>
  </si>
  <si>
    <t>MRFCO</t>
  </si>
  <si>
    <t>MRFMCP</t>
  </si>
  <si>
    <t>MRGLP</t>
  </si>
  <si>
    <t>NATM</t>
  </si>
  <si>
    <t>NATPS</t>
  </si>
  <si>
    <t>NCCEL</t>
  </si>
  <si>
    <t>NCMS2</t>
  </si>
  <si>
    <t>NCPEA</t>
  </si>
  <si>
    <t>NCPMS</t>
  </si>
  <si>
    <t>NCWPV</t>
  </si>
  <si>
    <t>NMDHEA25</t>
  </si>
  <si>
    <t>NMFOTG</t>
  </si>
  <si>
    <t>NMMG</t>
  </si>
  <si>
    <t>OFCLR</t>
  </si>
  <si>
    <t>OFWPV</t>
  </si>
  <si>
    <t>OZFBL</t>
  </si>
  <si>
    <t>PMGIR</t>
  </si>
  <si>
    <t>PMQU</t>
  </si>
  <si>
    <t>RIVBX</t>
  </si>
  <si>
    <t>RIVCCM</t>
  </si>
  <si>
    <t>RIVIC</t>
  </si>
  <si>
    <t>RIVME3</t>
  </si>
  <si>
    <t>RIVMG</t>
  </si>
  <si>
    <t>TWNIAE</t>
  </si>
  <si>
    <t>UGNVC120V</t>
  </si>
  <si>
    <t>WWME3</t>
  </si>
  <si>
    <t>WWMG</t>
  </si>
  <si>
    <t>50% off MSRP</t>
  </si>
  <si>
    <t>Current</t>
  </si>
  <si>
    <t>FY24</t>
  </si>
  <si>
    <t>current WSP x2</t>
  </si>
  <si>
    <t>Old WSP</t>
  </si>
  <si>
    <t>Old EE/FS</t>
  </si>
  <si>
    <t>EE/FS Mar-25-Dec-25</t>
  </si>
  <si>
    <t>FHPROMEN</t>
  </si>
  <si>
    <t>FHPROWOMEN</t>
  </si>
  <si>
    <t>FHCYCLEBOOST</t>
  </si>
  <si>
    <t>FHFERTILAIDMEN-AMZ</t>
  </si>
  <si>
    <t>FertilAid for Men</t>
  </si>
  <si>
    <t>FHFERTILAIDMEN-NG</t>
  </si>
  <si>
    <t>FHFERTILAIDMEN-US</t>
  </si>
  <si>
    <t>FHFERTILAIDWOMEN-AMZ</t>
  </si>
  <si>
    <t>FertilAid for Women</t>
  </si>
  <si>
    <t>FHFERTILAIDWOMEN-NG</t>
  </si>
  <si>
    <t>FHFERTILAIDWOMEN-US</t>
  </si>
  <si>
    <t>FHOVABOOST-AMZ</t>
  </si>
  <si>
    <t>Ovaboost - Amazon Label</t>
  </si>
  <si>
    <t>FHOVABOOST-NG</t>
  </si>
  <si>
    <t>Ovaboost for Women NAFDAC</t>
  </si>
  <si>
    <t>FHOVABOOST-US</t>
  </si>
  <si>
    <t>FHASBFP4010</t>
  </si>
  <si>
    <t>FHMILKIESMAGNET</t>
  </si>
  <si>
    <t>Milkies Magnets</t>
  </si>
  <si>
    <t>FHMYODCHIRO</t>
  </si>
  <si>
    <t>Myo + D-Chiro Inositol, 120ct</t>
  </si>
  <si>
    <t>FHMYODCHIRO240</t>
  </si>
  <si>
    <t>Myo + D-Chiro Inositol, 240ct</t>
  </si>
  <si>
    <t>FHFERTILECM</t>
  </si>
  <si>
    <t>FertileCM®, 90ct</t>
  </si>
  <si>
    <t>FHMYOFOLATE</t>
  </si>
  <si>
    <t>Myo-Folate®</t>
  </si>
  <si>
    <t>FHCOUNTBOOST-NG</t>
  </si>
  <si>
    <t>CountBoost for Men NAFDAC</t>
  </si>
  <si>
    <t>FHCOUNTBOOST-US</t>
  </si>
  <si>
    <t>CountBoost®, 60ct</t>
  </si>
  <si>
    <t>FHMOTILITYBOOST-NG</t>
  </si>
  <si>
    <t>MotilityBoost for Men</t>
  </si>
  <si>
    <t>FHMOTILITYBOOST-US</t>
  </si>
  <si>
    <t>MotilityBoost®, 60ct</t>
  </si>
  <si>
    <t>FHMYOINOSITOL</t>
  </si>
  <si>
    <t>Myo-Inositol, 120ct</t>
  </si>
  <si>
    <t>FHMYOINOSITOL240</t>
  </si>
  <si>
    <t>Myo-Inositol, 240ct</t>
  </si>
  <si>
    <t>FHBABYDANCE40GAPP</t>
  </si>
  <si>
    <t>BabyDance™ (10 applicators)</t>
  </si>
  <si>
    <t>FHCOQ10</t>
  </si>
  <si>
    <t>CoQ10, 60ct</t>
  </si>
  <si>
    <t>FHFERTILITEA</t>
  </si>
  <si>
    <t>FertiliTea®</t>
  </si>
  <si>
    <t>FHMKPOSTNATAL</t>
  </si>
  <si>
    <t>Nursing Postnatal Breastfeeding Supplement</t>
  </si>
  <si>
    <t>FHPPOMEGA3</t>
  </si>
  <si>
    <t>PeaPod Omega-3</t>
  </si>
  <si>
    <t>FHPPPRENATAL</t>
  </si>
  <si>
    <t>FHBABYDANCE40GEXT</t>
  </si>
  <si>
    <t>BabyDance™ (no applicators)</t>
  </si>
  <si>
    <t>FHISOFRESHPROBIOTIC</t>
  </si>
  <si>
    <t>IsoFresh™ Vaginal Probiotic, 30ct</t>
  </si>
  <si>
    <t>FHPPCALMAG</t>
  </si>
  <si>
    <t>Calcium + Magnesium, 60ct</t>
  </si>
  <si>
    <t>FHMKFENUGREEK</t>
  </si>
  <si>
    <t>MilkiesFenugreek for Breastfeeding Mothers</t>
  </si>
  <si>
    <t>FHOTS</t>
  </si>
  <si>
    <t>BFP Ovulation Test Strip</t>
  </si>
  <si>
    <t>FHPTS</t>
  </si>
  <si>
    <t>BFP Pregnancy Test Strip</t>
  </si>
  <si>
    <t>FHPROMPROW-KIT</t>
  </si>
  <si>
    <t>FH PRO Value Pack for Women and Men</t>
  </si>
  <si>
    <t>FHASFERTILAIDWOMEN-3</t>
  </si>
  <si>
    <t>FertilAid For Women: 3 Pack</t>
  </si>
  <si>
    <t>FHFAWOVBFCM-KIT</t>
  </si>
  <si>
    <t>TTC Boost Bundle for Her</t>
  </si>
  <si>
    <t>FHASFAMCBMB</t>
  </si>
  <si>
    <t>FertilAid for Men + CountBoost + MotilityBost: Value Pack</t>
  </si>
  <si>
    <t>FHFAMCBMB-KIT</t>
  </si>
  <si>
    <t>Male Fertility Supplement Starter Pack</t>
  </si>
  <si>
    <t>FHASFAWOVB</t>
  </si>
  <si>
    <t>FertilAid for Women + OvaBoost: Value Pack</t>
  </si>
  <si>
    <t>FHASFERTILAIDWOMEN-2</t>
  </si>
  <si>
    <t>FertilAid For Women: 2 Pack</t>
  </si>
  <si>
    <t>FHFAMFAW-KIT</t>
  </si>
  <si>
    <t>FertilAid Value Pack for Women and Men</t>
  </si>
  <si>
    <t>FHASFAMMB</t>
  </si>
  <si>
    <t>FertilAid For Men + MotilityBoost: Value Pack</t>
  </si>
  <si>
    <t>FHASFAMCB</t>
  </si>
  <si>
    <t>FertilAid for Men + CountBoost: Value Pack</t>
  </si>
  <si>
    <t>FHOTS50PTS15-KIT</t>
  </si>
  <si>
    <t>Super TTC Test Strip Pack (50 OTS, 15 PTS)</t>
  </si>
  <si>
    <t>Prenatal Multivitamin Essentials, 60ct</t>
  </si>
  <si>
    <t>FHMENOPAUSERELIEF30</t>
  </si>
  <si>
    <t>Complete Menopause Relief, 30ct</t>
  </si>
  <si>
    <t>FHMILKPRODUCTION30</t>
  </si>
  <si>
    <t>Complete Lactation Support, 30ct</t>
  </si>
  <si>
    <t>FHPOSTNATALMULTI60</t>
  </si>
  <si>
    <t>Postnatal Multivitamin Essentials, 60ct</t>
  </si>
  <si>
    <t>FHMENOPAUSEMULTI30</t>
  </si>
  <si>
    <t>Menopause Multivitamin Essentials, 30ct</t>
  </si>
  <si>
    <t>FHONE30</t>
  </si>
  <si>
    <t>Women’s Multivitamin Essentials, 30ct</t>
  </si>
  <si>
    <t>FHFERTILAIDMEN-CANADA</t>
  </si>
  <si>
    <t>FHFERTILEDETOX</t>
  </si>
  <si>
    <t>FertileDetox - Fertility Prep for Women &amp; Men</t>
  </si>
  <si>
    <t>FHBABYDANCE6COUNT-SP</t>
  </si>
  <si>
    <t>BabyDance Fertility Lubricant For TTC Couples</t>
  </si>
  <si>
    <t>FHBABYDANCE6COUNT-US</t>
  </si>
  <si>
    <t>FHBABYITGEL</t>
  </si>
  <si>
    <t>BabyIt Perineal Massage and Postpartum Recovery Gel</t>
  </si>
  <si>
    <t>FHBALANCEBLEND</t>
  </si>
  <si>
    <t>Balance Blend</t>
  </si>
  <si>
    <t>FHISOFRESHGEL</t>
  </si>
  <si>
    <t>IsoFresh Gel</t>
  </si>
  <si>
    <t>FHPPPREGEASE</t>
  </si>
  <si>
    <t>PeaPod PregEase</t>
  </si>
  <si>
    <t>FHPROPROBIOTICMEN</t>
  </si>
  <si>
    <t>FH PRObiotic for Men</t>
  </si>
  <si>
    <t>FHSAGEGEL</t>
  </si>
  <si>
    <t>Sage Personal Moisturizer and Lubricant</t>
  </si>
  <si>
    <t>FHMKNURSINGTIMETEA</t>
  </si>
  <si>
    <t>Milkies Nursing Time Tea</t>
  </si>
  <si>
    <t>FHPPPREGNANCYTEA</t>
  </si>
  <si>
    <t>PeaPod Tea-for-Two Pregnancy Tea</t>
  </si>
  <si>
    <t>FHMKNIPPLEBALM</t>
  </si>
  <si>
    <t>Milkies Nipple Nurture Balm</t>
  </si>
  <si>
    <t>FHMKWASHCLOTHS</t>
  </si>
  <si>
    <t>Milkies Soft Cloths</t>
  </si>
  <si>
    <t>FHBABYDANCE3GTUBE</t>
  </si>
  <si>
    <t>- None -</t>
  </si>
  <si>
    <t>FHBUNDLECOLLECTIONCUP-10</t>
  </si>
  <si>
    <t>Collection Cup 40mL (10 Pack)</t>
  </si>
  <si>
    <t>FHLITTLEBUNDLECOMPLETE-KIT</t>
  </si>
  <si>
    <t>Little Bundle Complete</t>
  </si>
  <si>
    <t>CPFHASOVACUEWIRELESSSENSORV</t>
  </si>
  <si>
    <t>OvaCue Wireless Vaginal Sensor</t>
  </si>
  <si>
    <t>CPFHASOVACUEWIRELESSSENSORO</t>
  </si>
  <si>
    <t>OvaCue Wireless Oral Sensor</t>
  </si>
  <si>
    <t>FHMALECOMPLETE-KIT</t>
  </si>
  <si>
    <t>Male Fertility Complete Kit</t>
  </si>
  <si>
    <t>FHPROESSENTIALS-KIT</t>
  </si>
  <si>
    <t>FH PRO Daily Essentials Bundle</t>
  </si>
  <si>
    <t>FHMIDWIFESAMPLE-KIT</t>
  </si>
  <si>
    <t>Midwife Sample Bundle</t>
  </si>
  <si>
    <t>FHMKSAMPLEBUNDLE-KIT</t>
  </si>
  <si>
    <t>Milkies Sample Bundle</t>
  </si>
  <si>
    <t>FHPPCOMPLETE-KIT</t>
  </si>
  <si>
    <t>PeaPod Complete Value Pack</t>
  </si>
  <si>
    <t>FHPPPN1PPO1-KIT</t>
  </si>
  <si>
    <t>PeaPod Prenatal &amp; Omega-3 Bundle</t>
  </si>
  <si>
    <t>FHPPPN1PPCM2-KIT</t>
  </si>
  <si>
    <t>PeaPod Prenatal &amp; Cal-Mag Bundle</t>
  </si>
  <si>
    <t>FHIFGELIFPRO-KIT</t>
  </si>
  <si>
    <t>IsoFresh Balance Bacteria Bundle</t>
  </si>
  <si>
    <t>FHMKFREEZE</t>
  </si>
  <si>
    <t>Milkies Freeze</t>
  </si>
  <si>
    <t>FHMKMILKSAVER</t>
  </si>
  <si>
    <t>Milkies Milk-Saver</t>
  </si>
  <si>
    <t>FHMKMILKSAVER-AMZ</t>
  </si>
  <si>
    <t>Milkies Milk-Saver with Amazon labels</t>
  </si>
  <si>
    <t>FHASMKMILKTRAYS</t>
  </si>
  <si>
    <t>Milkies Milk trays</t>
  </si>
  <si>
    <t>FHDHEA50</t>
  </si>
  <si>
    <t xml:space="preserve">DHEA - 60 Capsule Bottle </t>
  </si>
  <si>
    <t>FHMKMILKSAVERGO</t>
  </si>
  <si>
    <t>Milkies Milk-Saver on-the-Go</t>
  </si>
  <si>
    <t>FHMKNURSINGBLEND</t>
  </si>
  <si>
    <t>Nursing Blend Breastfeeding Supplement</t>
  </si>
  <si>
    <t>FHPROOMEGA3</t>
  </si>
  <si>
    <t>FHVIRILITEA</t>
  </si>
  <si>
    <t>ViriliTea: Male Fertility Tea</t>
  </si>
  <si>
    <t>FHNAC</t>
  </si>
  <si>
    <t>NAC, 500mg Tablets, 90 Count</t>
  </si>
  <si>
    <t>FHMACA</t>
  </si>
  <si>
    <t>Organic Maca for Fertility</t>
  </si>
  <si>
    <t>FHMKNURSINGPADS</t>
  </si>
  <si>
    <t>Milkies Softies Nursing Pads</t>
  </si>
  <si>
    <t>FHMKMILKBAGS</t>
  </si>
  <si>
    <t>Milkies Breast Milk Storage Bags (box of 50)</t>
  </si>
  <si>
    <t>FHOMT</t>
  </si>
  <si>
    <t>Ovulation Test - Midstream</t>
  </si>
  <si>
    <t>FHPMT</t>
  </si>
  <si>
    <t>Pregnancy Test - Midstream</t>
  </si>
  <si>
    <t>FHOTS30PTS10-KIT</t>
  </si>
  <si>
    <t>BFP Big Bundle (30 Ovulation &amp; 10 Pregnancy)</t>
  </si>
  <si>
    <t>FHOTS15PTS5-KIT</t>
  </si>
  <si>
    <t>BFP Little Bundle (15 Ovulation &amp; 5 Pregnancy)</t>
  </si>
  <si>
    <t>FHPROCOMPLETE-KIT</t>
  </si>
  <si>
    <t>FH PRO Complete Kit</t>
  </si>
  <si>
    <t>FHFAWOVBMYO-KIT</t>
  </si>
  <si>
    <t>Hormone Balance Bundle</t>
  </si>
  <si>
    <t>FHOMT25PMT10-KIT</t>
  </si>
  <si>
    <t>Deluxe Midstream Pack (25 Ovulation &amp; 10 Pregnancy)</t>
  </si>
  <si>
    <t>FHFAWFCM-KIT</t>
  </si>
  <si>
    <t>Little Bundle Starter Pack</t>
  </si>
  <si>
    <t>FHOVBMYO-KIT</t>
  </si>
  <si>
    <t>Ovarian Health Supplements Bundle</t>
  </si>
  <si>
    <t>FHMKSAVEANDSTORE-KIT</t>
  </si>
  <si>
    <t>Milkies Save &amp; Store Bundle</t>
  </si>
  <si>
    <t>FHMKSAVERTRAY-KIT</t>
  </si>
  <si>
    <t>Milkies "Save Every Last Drop" Bundle - Milk-Saver &amp; Tray</t>
  </si>
  <si>
    <t>FHMKSTORAGEBUNDLE-KIT</t>
  </si>
  <si>
    <t>Milkies Milk Storage Bundle – Freeze &amp; Bags</t>
  </si>
  <si>
    <t>FHOMT15PMT5-KIT</t>
  </si>
  <si>
    <t>BFP Midstream Test Little Bundle (15 OMT, 5 PMT)</t>
  </si>
  <si>
    <t>HBP1530</t>
  </si>
  <si>
    <t>HBP1560</t>
  </si>
  <si>
    <t>HBADV30</t>
  </si>
  <si>
    <t>HBADV60</t>
  </si>
  <si>
    <t>HBPREPRO30</t>
  </si>
  <si>
    <t>HBPREPRO60</t>
  </si>
  <si>
    <t>HBPP375</t>
  </si>
  <si>
    <t>HBWOM30</t>
  </si>
  <si>
    <t>HBWOM60</t>
  </si>
  <si>
    <t>HBKIDS60</t>
  </si>
  <si>
    <t>HBBIF60</t>
  </si>
  <si>
    <t>HBMEN30</t>
  </si>
  <si>
    <t>HBMEN60</t>
  </si>
  <si>
    <t>HBMOMS30</t>
  </si>
  <si>
    <t>HBPETS60</t>
  </si>
  <si>
    <t>HBIBS30</t>
  </si>
  <si>
    <t>HBDENT45</t>
  </si>
  <si>
    <t>HBDENT90</t>
  </si>
  <si>
    <t>HBENT45</t>
  </si>
  <si>
    <t>HBBB60</t>
  </si>
  <si>
    <t>HBIMM60</t>
  </si>
  <si>
    <t>HBGLUC60</t>
  </si>
  <si>
    <t>HBGBX60</t>
  </si>
  <si>
    <t>HBTP4</t>
  </si>
  <si>
    <t>BFCAPSADEK</t>
  </si>
  <si>
    <t>BFCAPSADEK270</t>
  </si>
  <si>
    <t>BFCAPSADEK270-PLBB</t>
  </si>
  <si>
    <t>BFCAPSADEK270-PLCP</t>
  </si>
  <si>
    <t>BFCAPSADEK-PLBB</t>
  </si>
  <si>
    <t>BFCAPSADEK-PLCP</t>
  </si>
  <si>
    <t>BFCAPSB50</t>
  </si>
  <si>
    <t>BFCAPSB50-PLPW</t>
  </si>
  <si>
    <t>BFCAPSBIOTIN5000</t>
  </si>
  <si>
    <t>BFCAPSBIOTIN5000-PLMM</t>
  </si>
  <si>
    <t>BFCAPSBJS60</t>
  </si>
  <si>
    <t>BFCAPSDIGESTIVE</t>
  </si>
  <si>
    <t>BFCAPSDIGESTIVE-PLBB</t>
  </si>
  <si>
    <t>BFCAPSDIGESTIVE-PLCP</t>
  </si>
  <si>
    <t>BFCAPSSTRESS</t>
  </si>
  <si>
    <t>BFCAPSSLEEP</t>
  </si>
  <si>
    <t>BFCAPSENERGY</t>
  </si>
  <si>
    <t>Energy Support</t>
  </si>
  <si>
    <t>BFCAPSHSNR</t>
  </si>
  <si>
    <t>BFCAPSHSNR120</t>
  </si>
  <si>
    <t>BFCAPSHSNR-PLBB</t>
  </si>
  <si>
    <t>BFCAPSHSNR-PLCP</t>
  </si>
  <si>
    <t>BFCAPSHSNR-PLNS</t>
  </si>
  <si>
    <t>BFCAPSHSNR-PLPW</t>
  </si>
  <si>
    <t>BFCAPSIRON30</t>
  </si>
  <si>
    <t>BFCAPSIRON30-PLBB</t>
  </si>
  <si>
    <t>BFCAPSIRON30-PLCP</t>
  </si>
  <si>
    <t>BFCAPSIRON30-PLMM</t>
  </si>
  <si>
    <t>BFCAPSIRON30-PLSL</t>
  </si>
  <si>
    <t>BFCAPSIRON90</t>
  </si>
  <si>
    <t>BFCAPSIRON90-PLBB</t>
  </si>
  <si>
    <t>BFCAPSIRON90-PLCP</t>
  </si>
  <si>
    <t>BFCAPSIRON90-PLNS</t>
  </si>
  <si>
    <t>BFCAPSIRON90-PLPW</t>
  </si>
  <si>
    <t>BFCAPSIRON90-PLSL</t>
  </si>
  <si>
    <t>BFCAPSIRONC45</t>
  </si>
  <si>
    <t>BFCAPSIRONC60</t>
  </si>
  <si>
    <t>BFCAPSMULTI180</t>
  </si>
  <si>
    <t>BFCAPSMULTI180-PLPW</t>
  </si>
  <si>
    <t>BFCAPSMULTI60</t>
  </si>
  <si>
    <t>BFCAPSMULTI60-BRAZIL</t>
  </si>
  <si>
    <t>BFCAPSMULTI60-PLCP</t>
  </si>
  <si>
    <t>BFCAPSMULTI60-PLSL</t>
  </si>
  <si>
    <t>BFCAPSMULTIMEN30</t>
  </si>
  <si>
    <t>BFCAPSMULTIMEN90</t>
  </si>
  <si>
    <t>BFCAPSMULTIWOMEN30</t>
  </si>
  <si>
    <t>BFCAPSMULTIWOMEN90</t>
  </si>
  <si>
    <t>BFCAPSPROBIOTIC</t>
  </si>
  <si>
    <t>BFMELTVITD-LEMON</t>
  </si>
  <si>
    <t>BFCAPSVITA</t>
  </si>
  <si>
    <t>Vitamin A</t>
  </si>
  <si>
    <t>BFCAPSVITA-PLBB</t>
  </si>
  <si>
    <t>BFCAPSVITB1</t>
  </si>
  <si>
    <t>BFCAPSVITB1-PLBB</t>
  </si>
  <si>
    <t>BFCAPSVITD</t>
  </si>
  <si>
    <t>BFCAPSVITD-PLBB</t>
  </si>
  <si>
    <t>BFCAPSVITD-PLCP</t>
  </si>
  <si>
    <t>BFCAPSVITD-PLPW</t>
  </si>
  <si>
    <t>BFCAPSVITD-PLSL</t>
  </si>
  <si>
    <t>BFCAPSZINC</t>
  </si>
  <si>
    <t>BFCAPSZINC-PLBB</t>
  </si>
  <si>
    <t>BFCHEWADEK</t>
  </si>
  <si>
    <t>BFCHEWADEK-CA</t>
  </si>
  <si>
    <t>ADEK - CA Label</t>
  </si>
  <si>
    <t>BFCHEWADEK-PLBB</t>
  </si>
  <si>
    <t>BFCHEWADEK-PLCP</t>
  </si>
  <si>
    <t>BFCHEWADEK-PLPW</t>
  </si>
  <si>
    <t>BFCHEW-CHERRY</t>
  </si>
  <si>
    <t>BFCHEW-CHERRY-CA</t>
  </si>
  <si>
    <t>Wild Cherry Complete Chew - CA Label</t>
  </si>
  <si>
    <t>BFCHEW-CHERRY-PLCP</t>
  </si>
  <si>
    <t>BFCHEWK-MIXEDBERRY</t>
  </si>
  <si>
    <t>BFCHEWK-MIXEDBERRY-CA</t>
  </si>
  <si>
    <t>BFCHEW-LEMON-BRAZIL</t>
  </si>
  <si>
    <t>BFCHEW-MIXEDBERRY</t>
  </si>
  <si>
    <t>BFCHEW-MIXEDBERRY-BRAZIL</t>
  </si>
  <si>
    <t>BFCHEW-MIXEDBERRY-CA</t>
  </si>
  <si>
    <t>Mixed Berry Complete - CA Label</t>
  </si>
  <si>
    <t>BFCHEW-MIXEDBERRY-PLBB</t>
  </si>
  <si>
    <t>BFCHEW-MIXEDBERRY-PLCP</t>
  </si>
  <si>
    <t>BFCHEW-ORANGE</t>
  </si>
  <si>
    <t>BFCHEW-ORANGE-BRAZIL</t>
  </si>
  <si>
    <t>BFCHEW-ORANGE-CA</t>
  </si>
  <si>
    <t>Orange Complete Chew - CA Label</t>
  </si>
  <si>
    <t>BFCHEW-ORANGE-PLCP</t>
  </si>
  <si>
    <t>BFCHEW-ORANGE-PLPW</t>
  </si>
  <si>
    <t>BFCHEW-STRAWBERRY</t>
  </si>
  <si>
    <t>BFCHEW-STRAWBERRY-BRAZIL</t>
  </si>
  <si>
    <t>BFCHEW-STRAWBERRY-CA</t>
  </si>
  <si>
    <t>Strawberry Complete Chew - CA Labl</t>
  </si>
  <si>
    <t>BFCHEW-STRAWBERRY-PLBB</t>
  </si>
  <si>
    <t>BFCHEW-STRAWBERRY-PLCP</t>
  </si>
  <si>
    <t>BFCHEW-STRAWBERRY-PLNS</t>
  </si>
  <si>
    <t>BFCHEW-STRAWBERRY-PLPW</t>
  </si>
  <si>
    <t>BFCHEW-TROPICAL</t>
  </si>
  <si>
    <t>BFCHEW-TROPICAL-BRAZIL</t>
  </si>
  <si>
    <t>BFCHEW-TROPICAL-CA</t>
  </si>
  <si>
    <t>Tropical Complete Chewable -CA Label</t>
  </si>
  <si>
    <t>BFCHEW-TROPICAL-PLBB</t>
  </si>
  <si>
    <t>BFCHEW-TROPICAL-PLCP</t>
  </si>
  <si>
    <t>BFCHEW-TROPICAL-PLNS</t>
  </si>
  <si>
    <t>BFKITBAGS</t>
  </si>
  <si>
    <t>BFPROT- STRAWBANANA-21S-PLDFW</t>
  </si>
  <si>
    <t/>
  </si>
  <si>
    <t>BFPROT- STRAWBERRY-21S-PLDFW</t>
  </si>
  <si>
    <t>BFPROT-CAPP-21S</t>
  </si>
  <si>
    <t>BFPROT-CAPP-21S-CA</t>
  </si>
  <si>
    <t>Cappuccino Tub - CA Label</t>
  </si>
  <si>
    <t>BFPROT-CAPP-21S-PLCP</t>
  </si>
  <si>
    <t>BFPROT-CAPP-21S-PLDFW</t>
  </si>
  <si>
    <t>BFPROT-CAPP-21S-PLSL</t>
  </si>
  <si>
    <t>BFPROT-CARAMEL-21S</t>
  </si>
  <si>
    <t>BFPROT-CARAMEL-21S-CA</t>
  </si>
  <si>
    <t>BFPROT-CARAMEL-21S-PLCP</t>
  </si>
  <si>
    <t>BFPROT-CARAMEL-21S-PLDFW</t>
  </si>
  <si>
    <t>BFPROT-CARAMEL-21S-PLMM</t>
  </si>
  <si>
    <t>BFPROT-CHICSOUP-21S</t>
  </si>
  <si>
    <t>BFPROT-CHICSOUP-21S-CA</t>
  </si>
  <si>
    <t>Chicken Soup Protein Tubs - CA Label</t>
  </si>
  <si>
    <t>BFPROT-CHICSOUP-21S-PLDFW</t>
  </si>
  <si>
    <t>BFPROT-CHOC-21S</t>
  </si>
  <si>
    <t>BFPROT-CHOC-21S-CA</t>
  </si>
  <si>
    <t>Chocolate Tub - CA Label</t>
  </si>
  <si>
    <t>BFPROT-CHOC-21S-PLBB</t>
  </si>
  <si>
    <t>BFPROT-CHOC-21S-PLCP</t>
  </si>
  <si>
    <t>BFPROT-CHOC-21S-PLDFW</t>
  </si>
  <si>
    <t>BFPROT-CHOC-21S-PLMM</t>
  </si>
  <si>
    <t>BFPROT-CHOC-21S-PLSL</t>
  </si>
  <si>
    <t>BFPROT-CHOCNUT-21S</t>
  </si>
  <si>
    <t>BFPROT-CHOCNUT-21S-CA</t>
  </si>
  <si>
    <t>Chocolate Peanut Butter Tubs - CA Label</t>
  </si>
  <si>
    <t>BFPROT-CHOCNUT-21S-PLCP</t>
  </si>
  <si>
    <t>BFPROT-CHOCNUT-21S-PLDFW</t>
  </si>
  <si>
    <t>BFPROTCOLLAGEN-CHOC-30S</t>
  </si>
  <si>
    <t>BFPROTCOLLAGEN-CHOC-30S-PLDFW</t>
  </si>
  <si>
    <t>BFPROTCOLLAGEN-STRAWBANANA-30S</t>
  </si>
  <si>
    <t>BFPROTCOLLAGEN-STRAWBANANA-30S-PLDFW</t>
  </si>
  <si>
    <t>BFPROTCOLLAGEN-UNFL-30S</t>
  </si>
  <si>
    <t>BFPROTCOLLAGEN-UNFL-30S-PLDFW</t>
  </si>
  <si>
    <t>BFPROTCOLLAGEN-UNFL-30S-PLNS</t>
  </si>
  <si>
    <t>BFPROT-ORANGE-21S</t>
  </si>
  <si>
    <t>Orange Cream Tubs</t>
  </si>
  <si>
    <t>BFPROT-ORANGE-21S-CA</t>
  </si>
  <si>
    <t>Orange Cream Tubs - CA Label</t>
  </si>
  <si>
    <t>BFPROT-ORANGE-21S-PLBB</t>
  </si>
  <si>
    <t>BFPROT-ORANGE-21S-PLCP</t>
  </si>
  <si>
    <t>BFPROT-ORANGE-21S-PLDFW</t>
  </si>
  <si>
    <t>BFPROT-ORANGE-21S-PLMM</t>
  </si>
  <si>
    <t>BFPROT-STRAWBANANA-21S</t>
  </si>
  <si>
    <t>BFPROT-STRAWBANANA-21S-CA</t>
  </si>
  <si>
    <t>Strawberry Banana Protein Tub - CA</t>
  </si>
  <si>
    <t>BFPROT-STRAWBANANA-21S-PLCP</t>
  </si>
  <si>
    <t>BFPROT-STRAWBERRY-21S</t>
  </si>
  <si>
    <t>BFPROT-STRAWBERRY-21S-CA</t>
  </si>
  <si>
    <t>Strawberry Protein Tub - CA Label</t>
  </si>
  <si>
    <t>BFPROT-STRAWBERRY-21S-PLBB</t>
  </si>
  <si>
    <t>BFPROT-STRAWBERRY-21S-PLCP</t>
  </si>
  <si>
    <t>BFPROT-STRAWBERRY-21S-PLMM</t>
  </si>
  <si>
    <t>BFPROT-STRAWBERRY-21S-PLSL</t>
  </si>
  <si>
    <t>BFPROT-UNFL-21S</t>
  </si>
  <si>
    <t>BFPROT-UNFL-21S-CA</t>
  </si>
  <si>
    <t>Unflavored Tubs - CA Label</t>
  </si>
  <si>
    <t>BFPROT-UNFL-21S-PLBB</t>
  </si>
  <si>
    <t>BFPROT-UNFL-21S-PLDFW</t>
  </si>
  <si>
    <t>BFPROT-VAN-21S</t>
  </si>
  <si>
    <t>BFPROT-VAN-21S-CA</t>
  </si>
  <si>
    <t>Vanilla Tub - CA Label</t>
  </si>
  <si>
    <t>BFPROT-VAN-21S-PLBB</t>
  </si>
  <si>
    <t>BFPROT-VAN-21S-PLCP</t>
  </si>
  <si>
    <t>BFPROT-VAN-21S-PLDFW</t>
  </si>
  <si>
    <t>BFPROT-VAN-21S-PLMM</t>
  </si>
  <si>
    <t>BFPROT-VAN-21S-PLSL</t>
  </si>
  <si>
    <t>BFSOFTCALCIUM-CARAMEL</t>
  </si>
  <si>
    <t>BFSOFTCALCIUM-CRANGRAPE</t>
  </si>
  <si>
    <t>BFSOFTCALCIUM-FRUITPUNCH</t>
  </si>
  <si>
    <t>BFSOFTCALCIUM-STRAWBERRY</t>
  </si>
  <si>
    <t>BFSOFTCALCIUM-VAN</t>
  </si>
  <si>
    <t>BFSOFTIRON-CHERRY</t>
  </si>
  <si>
    <t>BFSOFTIRON-CHERRY-PLBB</t>
  </si>
  <si>
    <t>BFSOFTIRON-CHERRY-PLPW</t>
  </si>
  <si>
    <t>BFSOFTIRON-CHERRY-PLSL</t>
  </si>
  <si>
    <t>BFSOFTIRON-GRAPE</t>
  </si>
  <si>
    <t>BFSOFTIRON-GRAPE-PLBB</t>
  </si>
  <si>
    <t>BFSOFTIRON-WATERMELON</t>
  </si>
  <si>
    <t>BFSOFTMULTI-CHERRYPINEAPPLE</t>
  </si>
  <si>
    <t>BFSOFTMULTI-MIXEDBERRY</t>
  </si>
  <si>
    <t>BFSOFTMULTI-TROPICAL</t>
  </si>
  <si>
    <t>BFSOFTMULTI-WATERMELON</t>
  </si>
  <si>
    <t>BFSOFTPROBIOTIC</t>
  </si>
  <si>
    <t>BFSOFTPROBIOTIC-GRAPE</t>
  </si>
  <si>
    <t>BFSUB12-CHERRY-PLBB</t>
  </si>
  <si>
    <t>BFSUBB12-CHERRY</t>
  </si>
  <si>
    <t>BFSUBB12-CHERRY-PLNS</t>
  </si>
  <si>
    <t>BFSUBB12-CHERRY-PLPW</t>
  </si>
  <si>
    <t>BFSUBB12-GRAPE</t>
  </si>
  <si>
    <t>FLSOFTIRON-CHERRY</t>
  </si>
  <si>
    <t>Fusion Lifestyle Cherry Iron Soft Chews</t>
  </si>
  <si>
    <t>FLSOFTIRON-GRAPE</t>
  </si>
  <si>
    <t>Fusion Lifestyle Grape Iron Soft Chews</t>
  </si>
  <si>
    <t>FLSOFTIRON-WATERMELON</t>
  </si>
  <si>
    <t>BFBUNDLECAPSADEK-12</t>
  </si>
  <si>
    <t>BFBUNDLECAPSADEK270-4</t>
  </si>
  <si>
    <t>BFBUNDLECAPSADEK-6</t>
  </si>
  <si>
    <t>BFBUNDLECAPSBIOTIN5000-3</t>
  </si>
  <si>
    <t>BFBUNDLECAPSIRON90-4</t>
  </si>
  <si>
    <t>BFBUNDLECAPSIRON90-4-AMZ</t>
  </si>
  <si>
    <t>BFBUNDLECAPSMULTI180-4</t>
  </si>
  <si>
    <t>BFBUNDLECAPSMULTI180-4-AMZ</t>
  </si>
  <si>
    <t>BFBUNDLECAPSPROBIOTIC-3</t>
  </si>
  <si>
    <t>BFBUNDLECAPSZINC-3</t>
  </si>
  <si>
    <t>BFBUNDLECHEWADEK-12</t>
  </si>
  <si>
    <t>BFBUNDLECHEWADEK-12-CA</t>
  </si>
  <si>
    <t>BFBUNDLECHEWADEK-6</t>
  </si>
  <si>
    <t>BFBUNDLECHEWADEK-6-CA</t>
  </si>
  <si>
    <t>BFBUNDLECHEW-CHERRY-12</t>
  </si>
  <si>
    <t>BFBUNDLECHEW-CHERRY-6</t>
  </si>
  <si>
    <t>BFBUNDLECHEW-CHERRY-6-CA</t>
  </si>
  <si>
    <t>BFBUNDLECHEW-MIXEDBERRY-12</t>
  </si>
  <si>
    <t>BFBUNDLECHEW-MIXEDBERRY-12-CA</t>
  </si>
  <si>
    <t>BFBUNDLECHEW-MIXEDBERRY-6</t>
  </si>
  <si>
    <t>BFBUNDLECHEW-MIXEDBERRY-6-CA</t>
  </si>
  <si>
    <t>BFBUNDLECHEW-ORANGE-12</t>
  </si>
  <si>
    <t>BFBUNDLECHEW-ORANGE-12-CA</t>
  </si>
  <si>
    <t>BFBUNDLECHEW-ORANGE-6</t>
  </si>
  <si>
    <t>BFBUNDLECHEW-ORANGE-6-CA</t>
  </si>
  <si>
    <t>BFBUNDLECHEW-STRAWBERRY-12</t>
  </si>
  <si>
    <t>BFBUNDLECHEW-STRAWBERRY-6</t>
  </si>
  <si>
    <t>BFBUNDLECHEW-STRAWBERRY-6-CA</t>
  </si>
  <si>
    <t>BFBUNDLECHEW-TROPICAL-12</t>
  </si>
  <si>
    <t>BFBUNDLECHEW-TROPICAL-12-CA</t>
  </si>
  <si>
    <t>BFBUNDLECHEW-TROPICAL-6</t>
  </si>
  <si>
    <t>BFBUNDLECHEW-TROPICAL-6-CA</t>
  </si>
  <si>
    <t>BFBUNDLECHEW-VARIETY-12</t>
  </si>
  <si>
    <t>BFBUNDLECHEW-VARIETY-12-CA</t>
  </si>
  <si>
    <t>BFBUNDLECHEW-VARIETY-6</t>
  </si>
  <si>
    <t>BFBUNDLELIVER</t>
  </si>
  <si>
    <t>BFBUNDLEMBSPACK1</t>
  </si>
  <si>
    <t>BFBUNDLEMBSPACK2</t>
  </si>
  <si>
    <t>BFBUNDLEMBSPACK3</t>
  </si>
  <si>
    <t>BFBUNDLEMBSPACK4</t>
  </si>
  <si>
    <t>BFBUNDLEMBSPACK5</t>
  </si>
  <si>
    <t>BFBUNDLEMBSPACK6</t>
  </si>
  <si>
    <t>BFBUNDLEMBSPACK7</t>
  </si>
  <si>
    <t>BFBUNDLEPROTPKT-VARIETY-10</t>
  </si>
  <si>
    <t>BFBUNDLEPROTPKT-VARIETY-9</t>
  </si>
  <si>
    <t>BFBUNDLESOFTCALCIUM-FRUITPUNCH-3</t>
  </si>
  <si>
    <t>BFBUNDLESOFTCALCIUM-STRAWBERRY-3</t>
  </si>
  <si>
    <t>BFBUNDLESOFTCALCIUM-VAN-3</t>
  </si>
  <si>
    <t>BFBUNDLESOFTCALCIUM-VARIETY-2</t>
  </si>
  <si>
    <t>BFBUNDLESOFTCALCIUM-VARIETY-3</t>
  </si>
  <si>
    <t>BFBUNDLESOFTCALCIUM-VARIETY-4</t>
  </si>
  <si>
    <t>BFBUNDLESOFTIRON-VARIETY-2</t>
  </si>
  <si>
    <t>BFBUNDLESOFTMULTI-CHERRYPINEAPPLE-12</t>
  </si>
  <si>
    <t>BFBUNDLESOFTMULTI-CHERRYPINEAPPLE-6</t>
  </si>
  <si>
    <t>BFBUNDLESOFTMULTI-MIXEDBERRY-12</t>
  </si>
  <si>
    <t>BFBUNDLESOFTMULTI-MIXEDBERRY-6</t>
  </si>
  <si>
    <t>BFBUNDLESOFTMULTI-TROPICAL-12</t>
  </si>
  <si>
    <t>BFBUNDLESOFTMULTI-TROPICAL-6</t>
  </si>
  <si>
    <t>BFBUNDLESOFTMULTI-VARIETY-4</t>
  </si>
  <si>
    <t>BFBUNDLESOFTMULTI-WATERMELON-12</t>
  </si>
  <si>
    <t>BFBUNDLESOFTMULTI-WATERMELON-3</t>
  </si>
  <si>
    <t>BFBUNDLESOFTMULTI-WATERMELON-6</t>
  </si>
  <si>
    <t>BFPROTPKT-CAPP</t>
  </si>
  <si>
    <t>BFPROTPKT-CAPP-CA</t>
  </si>
  <si>
    <t>Cappuccino Protein Packets- CA</t>
  </si>
  <si>
    <t>BFPROTPKT-CARAMEL</t>
  </si>
  <si>
    <t>BFPROTPKT-CARAMEL-CA</t>
  </si>
  <si>
    <t>Caramel Protein Packets- CA</t>
  </si>
  <si>
    <t>BFPROTPKT-CHICSOUP</t>
  </si>
  <si>
    <t>BFPROTPKT-CHICSOUP-CA</t>
  </si>
  <si>
    <t>Chicken Soup Protein Packets- CA</t>
  </si>
  <si>
    <t>BFPROTPKT-CHOC</t>
  </si>
  <si>
    <t>BFPROTPKT-CHOC-CA</t>
  </si>
  <si>
    <t>Chocolate Protein Packets- CA</t>
  </si>
  <si>
    <t>BFPROTPKT-CHOCNUT</t>
  </si>
  <si>
    <t>BFPROTPKT-CHOCNUT-CA</t>
  </si>
  <si>
    <t>Chocolate Peanut Butter Packets- CA</t>
  </si>
  <si>
    <t>BFPROTPKT-ORANGE</t>
  </si>
  <si>
    <t>BFPROTPKT-ORANGE-CA</t>
  </si>
  <si>
    <t>Orange Cream Packets- CA</t>
  </si>
  <si>
    <t>BFPROTPKT-STRAWBANANA</t>
  </si>
  <si>
    <t>BFPROTPKT-STRAWBANANA-CA</t>
  </si>
  <si>
    <t>Strawberry Banana Protein Packet- CA</t>
  </si>
  <si>
    <t>BFPROTPKT-STRAWBERRY</t>
  </si>
  <si>
    <t>BFPROTPKT-STRAWBERRY-CA</t>
  </si>
  <si>
    <t>Strawberry Protein Packets- CA</t>
  </si>
  <si>
    <t>BFPROTPKT-UNFL</t>
  </si>
  <si>
    <t>BFPROTPKT-UNFL-CA</t>
  </si>
  <si>
    <t>Unflavored Packets- CA</t>
  </si>
  <si>
    <t>BFPROTPKT-VAN</t>
  </si>
  <si>
    <t>BFPROTPKT-VAN-CA</t>
  </si>
  <si>
    <t>Vanilla Protein Packets- CA</t>
  </si>
  <si>
    <t>BFCHEWCALCIUM-ORANGE</t>
  </si>
  <si>
    <t>UNBCHOCPBMINI</t>
  </si>
  <si>
    <t>UNJBEEFHERBCNT</t>
  </si>
  <si>
    <t>UNJBEEFHERBSTK</t>
  </si>
  <si>
    <t>UNJCHKNSOUPCNT</t>
  </si>
  <si>
    <t>UNJCHKNSOUPSTK</t>
  </si>
  <si>
    <t>UNJCHOCSPLDRCNT</t>
  </si>
  <si>
    <t>UNJCHOCSPLDRSTK</t>
  </si>
  <si>
    <t>UNJFRONIONCNT</t>
  </si>
  <si>
    <t>UNJFRONIONSTK</t>
  </si>
  <si>
    <t>UNJKITCHENTHERM</t>
  </si>
  <si>
    <t>Unjury Kitchen Thermometer</t>
  </si>
  <si>
    <t>UNJMUGO</t>
  </si>
  <si>
    <t>UNJRECBOOK</t>
  </si>
  <si>
    <t>UNJSAVRYSTKPCKSAMPLE-KIT</t>
  </si>
  <si>
    <t>Savory Stick Pack Sample Kit</t>
  </si>
  <si>
    <t>UNJSHKBTL-24Z</t>
  </si>
  <si>
    <t>UNJSTRWSRBTCNT</t>
  </si>
  <si>
    <t>UNJSTRWSRBTSTK</t>
  </si>
  <si>
    <t>UNJUNFLVCNT</t>
  </si>
  <si>
    <t>UNJUNFLVRSTK</t>
  </si>
  <si>
    <t>UNJVANILLACNT</t>
  </si>
  <si>
    <t>UNJVANILLASTK</t>
  </si>
  <si>
    <t>UNMARTCHOCCNT</t>
  </si>
  <si>
    <t>UNMCHICKSOUPCNT</t>
  </si>
  <si>
    <t>UNMVANILLACNT</t>
  </si>
  <si>
    <t>UNOBARCHEWCAPBNDL-KIT</t>
  </si>
  <si>
    <t>OPURITY® Bariatric Vitamin BUNDLE with 45mg Iron</t>
  </si>
  <si>
    <t>UNOBARCHEWIRON30CT</t>
  </si>
  <si>
    <t>UNOPUBYPSLVCHW2-KIT</t>
  </si>
  <si>
    <t xml:space="preserve">OPURITY® Bariatric Multivitamin With Iron Chewable Supplements (90 Day Supply) _x000D_
 _x000D_
</t>
  </si>
  <si>
    <t>UNPCHOCCNT</t>
  </si>
  <si>
    <t>UNPUNFLVCNT</t>
  </si>
  <si>
    <t>UNRRICHCHOC</t>
  </si>
  <si>
    <t>UNRRICHCHOC12C-KIT</t>
  </si>
  <si>
    <t>UNRSTARTER-KIT</t>
  </si>
  <si>
    <t xml:space="preserve">UNJURY® Protein Shakes - Ready To Drink (2 Pack) _x000D_
</t>
  </si>
  <si>
    <t>UNRVANILLA</t>
  </si>
  <si>
    <t>UNRVANILLA12C-KIT</t>
  </si>
  <si>
    <t>UNBACKONTRACKVANILLA-KIT</t>
  </si>
  <si>
    <t>UNBACKONTRACKCHOC-KIT</t>
  </si>
  <si>
    <t>UNOB12</t>
  </si>
  <si>
    <t>UNOPUIRNPLCCHW</t>
  </si>
  <si>
    <t>UNOVD</t>
  </si>
  <si>
    <t>UNJCHERRYCOLASTK</t>
  </si>
  <si>
    <t>UNJMUGW</t>
  </si>
  <si>
    <t>UNOCITRATE</t>
  </si>
  <si>
    <t>UNOPUBARMMSNIR</t>
  </si>
  <si>
    <t>VNAG-CA</t>
  </si>
  <si>
    <t>VNBCQ120-CA</t>
  </si>
  <si>
    <t>VNBCQ240-CA</t>
  </si>
  <si>
    <t>VNBCQ60-CA</t>
  </si>
  <si>
    <t>VNBSS2-CA</t>
  </si>
  <si>
    <t>VNBSS-CA</t>
  </si>
  <si>
    <t>VNCLR-CA</t>
  </si>
  <si>
    <t>VNIS-CA</t>
  </si>
  <si>
    <t>VNMCP-CA</t>
  </si>
  <si>
    <t>VNPEA-CA</t>
  </si>
  <si>
    <t>VNPLAB</t>
  </si>
  <si>
    <t>VNPMS-CA</t>
  </si>
  <si>
    <t>VNRM-CA</t>
  </si>
  <si>
    <t>VNSLP-CA</t>
  </si>
  <si>
    <t>VNVRC120-CA</t>
  </si>
  <si>
    <t>VNVRC-CA</t>
  </si>
  <si>
    <t>5HTP 50mg #60</t>
  </si>
  <si>
    <t>5HTP 100mg #60</t>
  </si>
  <si>
    <t>Adrenal Support #60</t>
  </si>
  <si>
    <t>Adrenal Support #120</t>
  </si>
  <si>
    <t>Adrenal Support #240</t>
  </si>
  <si>
    <t>American Ginseng #100 - CA SKU</t>
  </si>
  <si>
    <t>Alpha Lipoic Acid 300mg #60</t>
  </si>
  <si>
    <t>Acetyl L-Carnitine 500mg Veg</t>
  </si>
  <si>
    <t>Acetyl L-Carnitine Powder 100g</t>
  </si>
  <si>
    <t>Aller-C #200</t>
  </si>
  <si>
    <t>Arabinogalactan Powder 300g</t>
  </si>
  <si>
    <t>Astragalus Extract 300mg #90</t>
  </si>
  <si>
    <t>Beta Carotene #90</t>
  </si>
  <si>
    <t>BCQ #120</t>
  </si>
  <si>
    <t>BCQ #120 - CA SKU</t>
  </si>
  <si>
    <t>BCQ #240</t>
  </si>
  <si>
    <t>BCQ #240 - CA SKU</t>
  </si>
  <si>
    <t>BCQ #60</t>
  </si>
  <si>
    <t>BCQ #60 - CA SKU</t>
  </si>
  <si>
    <t>Berberine 200mg VEG #60</t>
  </si>
  <si>
    <t>Berberine HCL 500mg</t>
  </si>
  <si>
    <t>Betaine Pepsin Gentian #225</t>
  </si>
  <si>
    <t>Biotin 5mg #120</t>
  </si>
  <si>
    <t>Black Cohosh 250mg #60</t>
  </si>
  <si>
    <t>Borage Oil 1000mg #60</t>
  </si>
  <si>
    <t>Boswellia Extract 400mg #90</t>
  </si>
  <si>
    <t>Bromelain 375mg #60</t>
  </si>
  <si>
    <t>Brain Powder   150g</t>
  </si>
  <si>
    <t>Brain Powder Lemon Flavor 180g</t>
  </si>
  <si>
    <t>Blood Sugar Support VEG #60</t>
  </si>
  <si>
    <t>Blood Sugar Support VEG #120</t>
  </si>
  <si>
    <t>Blood Sugar Support VEG #120 - CA SKU</t>
  </si>
  <si>
    <t>Blood Sugar Support VEG #60 - CA SKU</t>
  </si>
  <si>
    <t>B-Complex #60</t>
  </si>
  <si>
    <t>B-Complex #120</t>
  </si>
  <si>
    <t>B-Complex 240ct</t>
  </si>
  <si>
    <t>B6 + B-Complex #60</t>
  </si>
  <si>
    <t>Tension Ease with Ashwagandha</t>
  </si>
  <si>
    <t>Carnitine 500mg #60</t>
  </si>
  <si>
    <t>Cortisol Balance</t>
  </si>
  <si>
    <t xml:space="preserve">Cortisol Balance </t>
  </si>
  <si>
    <t>Buffered C 500mg #220</t>
  </si>
  <si>
    <t>Calcium Cit/Mal 150mg #100</t>
  </si>
  <si>
    <t>Cellulose Fiber 375g</t>
  </si>
  <si>
    <t>Chromium (Poly) 200mcg #90</t>
  </si>
  <si>
    <t>CHOLINE 550mg per 2 caps</t>
  </si>
  <si>
    <t>Citicoline 250mg</t>
  </si>
  <si>
    <t>Calcium225/Magnesium 75</t>
  </si>
  <si>
    <t>Marine Collagen Powder 300g</t>
  </si>
  <si>
    <t>Coenzyme Q10 100mg #60</t>
  </si>
  <si>
    <t>Coenzyme Q10 200mg #60</t>
  </si>
  <si>
    <t>CoEnzyme Q10 300mg #30</t>
  </si>
  <si>
    <t>UBIQUINOL CoQ100mg #60 SG Caps</t>
  </si>
  <si>
    <t>Curcumin Extract 700mg VEG #60</t>
  </si>
  <si>
    <t>DGL Powder 120g</t>
  </si>
  <si>
    <t>DHEA 10mg #60</t>
  </si>
  <si>
    <t>DHEA 25mg #60</t>
  </si>
  <si>
    <t>DHEA 50mg #60</t>
  </si>
  <si>
    <t>7-Keto DHEA 100mg #60</t>
  </si>
  <si>
    <t>Detox Formula #60</t>
  </si>
  <si>
    <t>Detox Formula #120</t>
  </si>
  <si>
    <t>Estrogen Balance #120 NEW FORM</t>
  </si>
  <si>
    <t>Echinacea 500mg #60</t>
  </si>
  <si>
    <t>Energy Plus #120</t>
  </si>
  <si>
    <t>Evening Primrose 500mg #100</t>
  </si>
  <si>
    <t>Evening Primrose 500mg #250</t>
  </si>
  <si>
    <t>Fiber Blend Powder 260 g</t>
  </si>
  <si>
    <t>Flax Oil Caps 1000mg #100</t>
  </si>
  <si>
    <t>Fish Oil 1g 180/120  #200</t>
  </si>
  <si>
    <t>Fish Oil 430/290 90#</t>
  </si>
  <si>
    <t>Fish Oil DHA 500/EPA125 90#</t>
  </si>
  <si>
    <t>Fish Oil HP 360/240 #120</t>
  </si>
  <si>
    <t>Fish Oil HP 360/240 #60</t>
  </si>
  <si>
    <t>Fish Oil 360/240 ENTERIC NOLEM</t>
  </si>
  <si>
    <t>Fish Oil 430/290 TG 90#</t>
  </si>
  <si>
    <t>GI Repair Powder 201g</t>
  </si>
  <si>
    <t>GI Repair Nutrients #120</t>
  </si>
  <si>
    <t>Glutamine 850mg #100</t>
  </si>
  <si>
    <t>Glutamine Powder 225g</t>
  </si>
  <si>
    <t>Glutamine Powder 450g</t>
  </si>
  <si>
    <t>Glycine Powder 250g</t>
  </si>
  <si>
    <t>Grape Seed Extract 100mg #90</t>
  </si>
  <si>
    <t>Glucosamine &amp; Chondroitin #120</t>
  </si>
  <si>
    <t>GS/CS #120</t>
  </si>
  <si>
    <t>Green Tea Extract #120</t>
  </si>
  <si>
    <t>Guggul E &amp; Z  99% #60</t>
  </si>
  <si>
    <t>Herbal Biotic #60</t>
  </si>
  <si>
    <t>Herbal Biotic #120</t>
  </si>
  <si>
    <t>Heartburn Tx</t>
  </si>
  <si>
    <t xml:space="preserve">St. John's Wart EX 0.3% 600mg #90 </t>
  </si>
  <si>
    <t>Iron Plus C #100</t>
  </si>
  <si>
    <t>Inositol Powder 225g</t>
  </si>
  <si>
    <t>Ipriflavone 300mg #90</t>
  </si>
  <si>
    <t>Immune Support Formula #60 - CA SKU</t>
  </si>
  <si>
    <t>Liquid Fish Oil 8oz.</t>
  </si>
  <si>
    <t>LIQUID FISH OIL COD LIVER 200M</t>
  </si>
  <si>
    <t>Liquid Fish Oil RS 200ml</t>
  </si>
  <si>
    <t>Licorice Extract 400mg #90</t>
  </si>
  <si>
    <t>Liver Support #60</t>
  </si>
  <si>
    <t>Liver Support #120</t>
  </si>
  <si>
    <t>Lithium (orotate) 20mg, 90ct</t>
  </si>
  <si>
    <t>Lithium (orotate) 5mg #90</t>
  </si>
  <si>
    <t>Lysine 500mg #100</t>
  </si>
  <si>
    <t>Multi-Nutrients V #120</t>
  </si>
  <si>
    <t>Mannose Powder 50g</t>
  </si>
  <si>
    <t>Mannose Powder 100g</t>
  </si>
  <si>
    <t>Magnesium Citrate 150mg #100</t>
  </si>
  <si>
    <t>Magnesium Citrate 200ct</t>
  </si>
  <si>
    <t>Minimal &amp; Essential #90</t>
  </si>
  <si>
    <t>Melatonin 10mg #60</t>
  </si>
  <si>
    <t>Melatonin 20mg #60</t>
  </si>
  <si>
    <t>Melatonin 3mg #60</t>
  </si>
  <si>
    <t>Minimal &amp; Essential #180</t>
  </si>
  <si>
    <t>Mag (glycinate) 120mg #100</t>
  </si>
  <si>
    <t>Mag (glycinate) 120mg #200</t>
  </si>
  <si>
    <t>Multi Nutrients Iron/Iodine</t>
  </si>
  <si>
    <t>Multi-Nutrients  II #180</t>
  </si>
  <si>
    <t>Multi Nutrients III #180</t>
  </si>
  <si>
    <t>Multi-Nutrients IV  #180</t>
  </si>
  <si>
    <t>Multi Minerals #120</t>
  </si>
  <si>
    <t>Menopause Support #120</t>
  </si>
  <si>
    <t>MSM 1000mg #240</t>
  </si>
  <si>
    <t>Milk Thistle Silymarin 80% #60</t>
  </si>
  <si>
    <t>Multi-Nutrients VEG #180</t>
  </si>
  <si>
    <t>N-Acetyl Cysteine 600mg #100</t>
  </si>
  <si>
    <t>N-Acetyl Cysteine 600mg #200</t>
  </si>
  <si>
    <t>Niacin Time Release #90</t>
  </si>
  <si>
    <t>Osteo-Nutrients #180</t>
  </si>
  <si>
    <t>Once Daily Multivitamin #30</t>
  </si>
  <si>
    <t>Once Daily Multivitamin #60</t>
  </si>
  <si>
    <t>Osteo Nutrients II #240</t>
  </si>
  <si>
    <t>Pyridoxal 5 Phosphate 50mg #90</t>
  </si>
  <si>
    <t>Pancreatic Enzymes 1000mg #90</t>
  </si>
  <si>
    <t>Pancreatic Enzymes 500mg #90</t>
  </si>
  <si>
    <t>Pancreatic Enzymes 500mg #180</t>
  </si>
  <si>
    <t>Pea Protein Vanilla 524g</t>
  </si>
  <si>
    <t>Pea Protein Vanilla 524g - CA SKU</t>
  </si>
  <si>
    <t xml:space="preserve">Pancreatic Enzymes (Vegan) _x000D_
</t>
  </si>
  <si>
    <t>Prostate Health TX #90</t>
  </si>
  <si>
    <t>PMS Support #60</t>
  </si>
  <si>
    <t>PMS Support #60 - CA SKU</t>
  </si>
  <si>
    <t>PreNatal Multi  #180</t>
  </si>
  <si>
    <t>Pancreatin &amp; Ox Bile #60</t>
  </si>
  <si>
    <t xml:space="preserve">Pancreatin &amp; Ox Bile 120ct
</t>
  </si>
  <si>
    <t>Pregnenolone 10mg #60</t>
  </si>
  <si>
    <t>Phosphatidylserine 150mg Softg</t>
  </si>
  <si>
    <t>Quercetin 250mg #100</t>
  </si>
  <si>
    <t>Quercetin 250mg #200</t>
  </si>
  <si>
    <t>Resveratrol 500mg</t>
  </si>
  <si>
    <t>Resveratrol 120ct</t>
  </si>
  <si>
    <t>Reduced Glutathione 200mg #100</t>
  </si>
  <si>
    <t>Rhodiola Extract 3% 200mg #60</t>
  </si>
  <si>
    <t>Rhodiola 3% 200mg VEG #120</t>
  </si>
  <si>
    <t>R-Lipoic Acid 200mg #60</t>
  </si>
  <si>
    <t>R-Lipoic Acid 100mg #60</t>
  </si>
  <si>
    <t xml:space="preserve">Restorative Sleep 30ct _x000D_
</t>
  </si>
  <si>
    <t xml:space="preserve">Restorative Sleep 90ct _x000D_
</t>
  </si>
  <si>
    <t>Sleep Aid #60</t>
  </si>
  <si>
    <t>Schisandra 1000mg VEG #90</t>
  </si>
  <si>
    <t>Schisandra 500mg VEG #90</t>
  </si>
  <si>
    <t>Selenium 200mcg #90</t>
  </si>
  <si>
    <t>Slippery Elm Powder 175g</t>
  </si>
  <si>
    <t>Slippery Elm Powder 175g - CA SKU</t>
  </si>
  <si>
    <t>Genistein 125mg</t>
  </si>
  <si>
    <t>Saw Palmetto / Pygeum #60</t>
  </si>
  <si>
    <t>Strontium (citrate) 227mg #90</t>
  </si>
  <si>
    <t>Taurine 1000mg   #120</t>
  </si>
  <si>
    <t>Tyrosine &amp; B-Complex #100</t>
  </si>
  <si>
    <t>L- Theanine 200mg #60</t>
  </si>
  <si>
    <t>L- Theanine 200mg #120</t>
  </si>
  <si>
    <t>Triple Magnesium #90</t>
  </si>
  <si>
    <t>Triple Magnesium #180</t>
  </si>
  <si>
    <t>Vitamin A 25,000iu #100</t>
  </si>
  <si>
    <t>Vitamin B12 Folate #100</t>
  </si>
  <si>
    <t>B12 &amp; Methylfolate 200ct</t>
  </si>
  <si>
    <t>Vit. B12 METHYLCOBALAMIN #100</t>
  </si>
  <si>
    <t>Vitamin B6 100mg #100</t>
  </si>
  <si>
    <t>Vitamin C 1000mg #120 VEG</t>
  </si>
  <si>
    <t>Vitamin C 1gm VEG  #220</t>
  </si>
  <si>
    <t>Vitamin C Bioflavanoids #100</t>
  </si>
  <si>
    <t>Vitamin C Bioflavonoids #220</t>
  </si>
  <si>
    <t>Vitamin D 10,000iu. VEG #60</t>
  </si>
  <si>
    <t>Vitamin D 2000iu #90</t>
  </si>
  <si>
    <t>Vitamin D 5000iu. VEG #90</t>
  </si>
  <si>
    <t>Vitamin D 5000iu. VEG #180</t>
  </si>
  <si>
    <t>Vitamin E 400iu Mixed #100</t>
  </si>
  <si>
    <t>Vitamin K2-7   VEG #60</t>
  </si>
  <si>
    <t>Vitamin K2-7 D 2000iu. VEG #60</t>
  </si>
  <si>
    <t>K2-7  + D3 120ct</t>
  </si>
  <si>
    <t>Vegan Omega+</t>
  </si>
  <si>
    <t>Viracon #120</t>
  </si>
  <si>
    <t>Viracon #120 - CA SKU</t>
  </si>
  <si>
    <t>Viracon #60 - CA SKU</t>
  </si>
  <si>
    <t>Vitex #120</t>
  </si>
  <si>
    <t>Zinc (Citrate) 30mg #90</t>
  </si>
  <si>
    <t>Zinc (Citrate) 180ct</t>
  </si>
  <si>
    <t>Apo E Gene Calcium Cit/Mal 150mg #100</t>
  </si>
  <si>
    <t>FH Pro for Men</t>
  </si>
  <si>
    <t>FH Pro for Women</t>
  </si>
  <si>
    <t>CycleBoost - Myo-Dchiro 180 Serving Tub</t>
  </si>
  <si>
    <t>Ovaboost for Women</t>
  </si>
  <si>
    <t>Milkies Freeze (Amazon)</t>
  </si>
  <si>
    <t>Myo + d-chiro</t>
  </si>
  <si>
    <t>FertileCM Cervical Mucus Enhancer</t>
  </si>
  <si>
    <t>Myo-Folate (Drinkable Fertility Supplement)</t>
  </si>
  <si>
    <t>CountBoost for Men</t>
  </si>
  <si>
    <t>MotilityBoost For Men</t>
  </si>
  <si>
    <t>Myo-Inositol</t>
  </si>
  <si>
    <t>Myo-Inositol 240ct</t>
  </si>
  <si>
    <t>BabyDance Fertility Lubricant, 40g Tube, 10 Applicators</t>
  </si>
  <si>
    <t>CoEnzyme Q10 for Fertility</t>
  </si>
  <si>
    <t>FertiliTea</t>
  </si>
  <si>
    <t>Pregnancy Plus Prenatal Vitamin</t>
  </si>
  <si>
    <t>FH Pro Omega-3</t>
  </si>
  <si>
    <t>BabyDance Fertility Lubricant, 40g Tube, External Use, Flip-Top Cap</t>
  </si>
  <si>
    <t>IsoFresh Probiotic</t>
  </si>
  <si>
    <t>PeaPod CalMag</t>
  </si>
  <si>
    <t>PRO-15 (30ct)</t>
  </si>
  <si>
    <t>PRO-15 (60ct)</t>
  </si>
  <si>
    <t>Pro-15 Adv (30ct)</t>
  </si>
  <si>
    <t>Pro-15 Adv (60ct)</t>
  </si>
  <si>
    <t>Pre-Pro (30ct)</t>
  </si>
  <si>
    <t>Pre-Pro (60ct)</t>
  </si>
  <si>
    <t>Prebiotic Powder</t>
  </si>
  <si>
    <t>Pro-Women (30ct)</t>
  </si>
  <si>
    <t>Pro-Women (60ct)</t>
  </si>
  <si>
    <t>PRO-Kids (60ct)</t>
  </si>
  <si>
    <t>PRO-50+ (60ct)</t>
  </si>
  <si>
    <t>Pro-Men (30ct)</t>
  </si>
  <si>
    <t>Pro-Men (60ct)</t>
  </si>
  <si>
    <t>PRO-Natal (Pro-Moms) (30ct)</t>
  </si>
  <si>
    <t>PRO-Pets (60ct)</t>
  </si>
  <si>
    <t>PRO-IBS Support</t>
  </si>
  <si>
    <t>PRO-Dental (45ct)</t>
  </si>
  <si>
    <t>PRO-Dental (90ct)</t>
  </si>
  <si>
    <t>PRO-Kids ENT (45ct)</t>
  </si>
  <si>
    <t xml:space="preserve">PRO-Lean (Better Body) (60 ct) </t>
  </si>
  <si>
    <t>Pro-Gut Integrity (60ct)</t>
  </si>
  <si>
    <t>PRO-Glucose (Sugar) Balance (60ct)</t>
  </si>
  <si>
    <t>PRO-Mood (60ct)</t>
  </si>
  <si>
    <t>Toothpaste (SM 4oz)</t>
  </si>
  <si>
    <t>ADEK Capsule 1 Month</t>
  </si>
  <si>
    <t>B-50 Complex</t>
  </si>
  <si>
    <t>Biotin 5000</t>
  </si>
  <si>
    <t xml:space="preserve">Bone &amp; Joint Support 60 count </t>
  </si>
  <si>
    <t>Digestive Support</t>
  </si>
  <si>
    <t xml:space="preserve">Stress Relief Support </t>
  </si>
  <si>
    <t xml:space="preserve">Sleep Support </t>
  </si>
  <si>
    <t>Hair, Skin &amp; Nails Rejuvenator</t>
  </si>
  <si>
    <t>Hair, Skin &amp; Nails Rejuvenator 120ct</t>
  </si>
  <si>
    <t>Capsules with Iron 30 Day</t>
  </si>
  <si>
    <t>90 Day capsules with iron</t>
  </si>
  <si>
    <t>Multivitamin Capsules 180 Count</t>
  </si>
  <si>
    <t>Multivitamin Capsule</t>
  </si>
  <si>
    <t xml:space="preserve">PLSL Multivitamin 60 caps _x000D_
 _x000D_
 _x000D_
</t>
  </si>
  <si>
    <t>One Per Day Men’s Multivitamin Capsule, 30ct</t>
  </si>
  <si>
    <t>One Per Day Men’s Multivitamin Capsule, 90ct</t>
  </si>
  <si>
    <t>One Per Day Women’s Multivitamin Capsule, 30ct</t>
  </si>
  <si>
    <t>One Per Day Women’s Multivitamin Capsule, 90ct</t>
  </si>
  <si>
    <t>Probiotic Capsule</t>
  </si>
  <si>
    <t xml:space="preserve">Lemon Citrus Vitamin D Quick Melt </t>
  </si>
  <si>
    <t>Vitamin B1</t>
  </si>
  <si>
    <t>Vitamin D 5000IU</t>
  </si>
  <si>
    <t>Zinc &amp; Copper</t>
  </si>
  <si>
    <t>ADEK Complete Chewable</t>
  </si>
  <si>
    <t>Wild Cherry Complete Chewables</t>
  </si>
  <si>
    <t>Mixed Berry Complete Chewable</t>
  </si>
  <si>
    <t>Orange Cream Complete Chewable</t>
  </si>
  <si>
    <t>Strawberry Complete Chewables</t>
  </si>
  <si>
    <t>Tropical Complete Chewables</t>
  </si>
  <si>
    <t>Cappuccino Protein Tubs</t>
  </si>
  <si>
    <t>Chicken Soup Protein Tubs</t>
  </si>
  <si>
    <t>Chocolate Protein Tubs</t>
  </si>
  <si>
    <t>Chocolate Peanut Butter Tubs</t>
  </si>
  <si>
    <t>Strawberry Banana Protein Tub</t>
  </si>
  <si>
    <t>Strawberry Protein Tubs</t>
  </si>
  <si>
    <t>Unflavored Tubs</t>
  </si>
  <si>
    <t>Vanilla Protein Tubs</t>
  </si>
  <si>
    <t>Caramel Calcium Soft Chews</t>
  </si>
  <si>
    <t>Cran-Grape Calcium Soft Chews</t>
  </si>
  <si>
    <t>Fruit Punch Calcium Soft Chews</t>
  </si>
  <si>
    <t>Strawberry Blast Calcium Soft Chews</t>
  </si>
  <si>
    <t>Vanilla Creme Calcium Soft Chews</t>
  </si>
  <si>
    <t>Cherry Iron Soft Chews</t>
  </si>
  <si>
    <t>Grape Iron Soft Chews</t>
  </si>
  <si>
    <t>Watermelon Iron Soft Chews</t>
  </si>
  <si>
    <t>Cherry Pineapple Soft Chews</t>
  </si>
  <si>
    <t>Mixed Berry Soft Chews</t>
  </si>
  <si>
    <t>Tropical Fruit Soft Chews</t>
  </si>
  <si>
    <t>Watermelon Multi Soft Chews</t>
  </si>
  <si>
    <t>Probiotic Soft Chews</t>
  </si>
  <si>
    <t>Probiotic Soft Chews Grape</t>
  </si>
  <si>
    <t>Sublingual B12 Cherry</t>
  </si>
  <si>
    <t>Sublingual B12 Grape</t>
  </si>
  <si>
    <t>Cappuccino Protein Packets</t>
  </si>
  <si>
    <t>Caramel Protein Packets</t>
  </si>
  <si>
    <t>Chicken Soup Protein Packets</t>
  </si>
  <si>
    <t>Chocolate Protein Packets</t>
  </si>
  <si>
    <t>Chocolate Peanut Butter Packets</t>
  </si>
  <si>
    <t>Strawberry Banana Protein Packet</t>
  </si>
  <si>
    <t>Strawberry Protein Packets</t>
  </si>
  <si>
    <t>Unflavored Packets</t>
  </si>
  <si>
    <t>Vanilla Protein Packets</t>
  </si>
  <si>
    <t>UNJURY® Chocolate Peanut Butter Mini Protein Bars (15 Count Bag)</t>
  </si>
  <si>
    <t>Beef &amp; Herb High Whey Protein Powder Drink Mix</t>
  </si>
  <si>
    <t>Beef &amp; Herb Tasing Sample</t>
  </si>
  <si>
    <t>UNJURY® Cherry Cola Whey Protein Powder Drink Mix - Sample</t>
  </si>
  <si>
    <t>UNJURY® Chicken Soup Flavor Whey Protein Powder Beverage Mix</t>
  </si>
  <si>
    <t>UNJURY® Chicken Soup Flavor Whey Protein Powder Beverage Mix - Tasting Sample</t>
  </si>
  <si>
    <t>Chocolate Splendor Whey Protein Powder Drink Mix</t>
  </si>
  <si>
    <t>Splendor Tasting Sample</t>
  </si>
  <si>
    <t>UNJURY® French Onion Soup Whey Protein Powder Drink Mix</t>
  </si>
  <si>
    <t>UNJURY® French Onion Soup Whey Protein Powder Drink Mix - Sample</t>
  </si>
  <si>
    <t>UNJMOONBEAMCNT</t>
  </si>
  <si>
    <t>Moonbeam Mist Whey Protein Powder Drink Mix</t>
  </si>
  <si>
    <t>UNJMOONBEAMSTK</t>
  </si>
  <si>
    <t>Moonbeam Mist Tasting Sample</t>
  </si>
  <si>
    <t xml:space="preserve">Orange Mugs _x000D_
</t>
  </si>
  <si>
    <t xml:space="preserve">White Mugs _x000D_
</t>
  </si>
  <si>
    <t>UNJURY® TASTE SUCCESS Protein Recipe Book</t>
  </si>
  <si>
    <t>UNJROOTBEERSTK</t>
  </si>
  <si>
    <t>UNJURY® Root Beer Whey Protein Powder Drink Mix - Sample</t>
  </si>
  <si>
    <t>UNJURY® Shaker Bottle 24oz</t>
  </si>
  <si>
    <t>UNJURY® Strawberry Sorbet Whey Protein Powder Drink Mix</t>
  </si>
  <si>
    <t>UNJURY® Strawberry Sorbet Whey Protein Powder Drink Mix - Sample</t>
  </si>
  <si>
    <t>UNJURY® Unflavored Whey Protein Powder Drink Mix</t>
  </si>
  <si>
    <t>UNJURY® Unflavored Whey Protein Powder Drink Mix - Sample</t>
  </si>
  <si>
    <t>UNJURY® Vanilla Whey Protein Powder Drink Mix</t>
  </si>
  <si>
    <t>UNJURY® Vanilla Whey Protein Powder Drink Mix - Sample</t>
  </si>
  <si>
    <t>UNJURY® Chocolate Protein-Centric Meal Replacement</t>
  </si>
  <si>
    <t>UNJURY® Martha's Chicken Soup Protein-Centric Meal Replacement</t>
  </si>
  <si>
    <t>UNJURY® French Vanilla Protein-Centric Meal Replacement</t>
  </si>
  <si>
    <t>OPURITY® Vitamin B-12 + Folic Acid Supplements (90-day Supply)</t>
  </si>
  <si>
    <t>OPURITY® Bariatric Multivitamin With Iron Chewable Supplements (30 Day Supply)</t>
  </si>
  <si>
    <t>OPURITY® Calcium-Citrate Plus - Chewable Supplements (31-day Supply)</t>
  </si>
  <si>
    <t>OPURITY® Bariatric Multivitamin No Iron Capsule Supplements (90 Day Supply)</t>
  </si>
  <si>
    <t>OPURITY® Iron Plus Vitamin C Chewable Supplements (90-day Supply)</t>
  </si>
  <si>
    <t>OPURITY® Vitamin D3 Supplements (90-day Supply)</t>
  </si>
  <si>
    <t>UNPBANNUTCNT</t>
  </si>
  <si>
    <t>PLANTED™ Vegan Banana Nut High Protein Powder Drink Mix</t>
  </si>
  <si>
    <t>PLANTED™ Vegan Chocolate High Protein Powder Drink Mix</t>
  </si>
  <si>
    <t>UNPCINDNTCNT</t>
  </si>
  <si>
    <t>PLANTED™ Vegan Cinnamon Donut High Protein Powder Drink Mix</t>
  </si>
  <si>
    <t>PLANTED™ Vegan Unflavored High Protein Powder Drink Mix</t>
  </si>
  <si>
    <t>UNJURY® RTD Rich Chocolate High Protein Shake</t>
  </si>
  <si>
    <t xml:space="preserve">UNJURY® RTD Rich Chocolate Protein Shake (12 pack) _x000D_
 _x000D_
 _x000D_
</t>
  </si>
  <si>
    <t>UNJURY® RTD Vanilla Protein Shake</t>
  </si>
  <si>
    <t xml:space="preserve">UNJURY® Vanilla Protein Shake - Ready To Drink (12 pack) _x000D_
 _x000D_
</t>
  </si>
  <si>
    <t>UNJURY® Back on Track Vanilla Kit</t>
  </si>
  <si>
    <t>UNJURY® Back on Track</t>
  </si>
  <si>
    <t>UPC</t>
  </si>
  <si>
    <t>Order</t>
  </si>
  <si>
    <t>Total</t>
  </si>
  <si>
    <r>
      <rPr>
        <b/>
        <sz val="9"/>
        <color rgb="FFFF0000"/>
        <rFont val="Aptos Narrow"/>
        <family val="2"/>
        <scheme val="minor"/>
      </rPr>
      <t>Importantly!</t>
    </r>
    <r>
      <rPr>
        <sz val="9"/>
        <color theme="1"/>
        <rFont val="Aptos Narrow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</si>
  <si>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Price</t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</si>
  <si>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</si>
  <si>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</si>
  <si>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</si>
  <si>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</si>
  <si>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</si>
  <si>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Weight, kg</t>
  </si>
  <si>
    <t>Case</t>
  </si>
  <si>
    <t>FHPRENATALMULTI60</t>
  </si>
  <si>
    <t>Unіt Freight Cost</t>
  </si>
  <si>
    <t>unit, key</t>
  </si>
  <si>
    <t>Logistic Price</t>
  </si>
  <si>
    <t>Landed Cost</t>
  </si>
  <si>
    <t>RATING</t>
  </si>
  <si>
    <t>А</t>
  </si>
  <si>
    <t>В</t>
  </si>
  <si>
    <t>С</t>
  </si>
  <si>
    <t>FHMYOPLUS120</t>
  </si>
  <si>
    <t>FHPMSRELIEF30</t>
  </si>
  <si>
    <t>Myo + D-Chiro Inositol Powder</t>
  </si>
  <si>
    <t>FertilAid Multivitamin for Men, 90ct</t>
  </si>
  <si>
    <t>FertilAid Multivitamin for Women, 90ct</t>
  </si>
  <si>
    <t>PQQ+ Myo + D-Chiro Inositol, 120 count</t>
  </si>
  <si>
    <t>OvaBoost, 120ct</t>
  </si>
  <si>
    <t>Multi-symptom PMS Relief 30ct</t>
  </si>
  <si>
    <t>FH PRO Fertility Multivitamin for Men, 180ct</t>
  </si>
  <si>
    <t>FH PRO Fertility Multivitamin for Women, 180ct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</si>
</sst>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_);\(&quot;$&quot;#,##0\)"/>
    <numFmt numFmtId="165" formatCode="&quot;$&quot;#,##0.00_);\(&quot;$&quot;#,##0.00\)"/>
    <numFmt numFmtId="166" formatCode="_(* #,##0.00_);_(* \(#,##0.00\);_(* &quot;-&quot;??_);_(@_)"/>
    <numFmt numFmtId="167" formatCode="&quot;$&quot;#,##0.00"/>
    <numFmt numFmtId="168" formatCode="0%_);\(0%\);\-\-_)"/>
    <numFmt numFmtId="169" formatCode="_(* #,##0_);_(* \(#,##0\);_(* &quot;-&quot;??_);_(@_)"/>
    <numFmt numFmtId="170" formatCode="&quot;$&quot;#,##0.00_);\(&quot;$&quot;#,##0.00\);\-\-_)"/>
    <numFmt numFmtId="171" formatCode="0.0%"/>
    <numFmt numFmtId="172" formatCode="_-[$$-1009]* #,##0.00_-;\-[$$-1009]* #,##0.00_-;_-[$$-1009]* &quot;-&quot;??_-;_-@_-"/>
    <numFmt numFmtId="173" formatCode="_-[$$-409]* #,##0.00_ ;_-[$$-409]* \-#,##0.00\ ;_-[$$-409]* &quot;-&quot;??_ ;_-@_ "/>
    <numFmt numFmtId="174" formatCode="[$$-409]#,##0.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u val="singleAccounting"/>
      <sz val="12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262626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u val="singleAccounting"/>
      <sz val="9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b/>
      <u val="singleAccounting"/>
      <sz val="12"/>
      <color rgb="FFFF0000"/>
      <name val="Aptos Narrow"/>
      <family val="2"/>
      <scheme val="minor"/>
    </font>
    <font>
      <sz val="8"/>
      <name val="Arial"/>
      <family val="2"/>
    </font>
    <font>
      <b/>
      <sz val="12"/>
      <color theme="9" tint="-0.249977111117893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Aptos Narrow"/>
      <family val="2"/>
      <charset val="204"/>
      <scheme val="minor"/>
    </font>
    <font>
      <b/>
      <sz val="12"/>
      <name val="Calibri"/>
      <family val="2"/>
      <charset val="204"/>
    </font>
    <font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charset val="204"/>
      <scheme val="minor"/>
    </font>
    <font>
      <b/>
      <sz val="12"/>
      <color rgb="FFFF0000"/>
      <name val="Calibri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167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8" fillId="0" borderId="0" xfId="0" applyFont="1"/>
    <xf numFmtId="168" fontId="11" fillId="0" borderId="0" xfId="2" applyNumberFormat="1" applyFont="1" applyFill="1" applyAlignment="1">
      <alignment horizontal="center"/>
    </xf>
    <xf numFmtId="165" fontId="4" fillId="0" borderId="0" xfId="0" applyNumberFormat="1" applyFont="1"/>
    <xf numFmtId="165" fontId="5" fillId="0" borderId="0" xfId="0" applyNumberFormat="1" applyFont="1"/>
    <xf numFmtId="166" fontId="4" fillId="0" borderId="0" xfId="1" applyFont="1"/>
    <xf numFmtId="168" fontId="12" fillId="2" borderId="0" xfId="2" applyNumberFormat="1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2" fillId="3" borderId="0" xfId="0" applyFont="1" applyFill="1"/>
    <xf numFmtId="167" fontId="2" fillId="3" borderId="0" xfId="0" applyNumberFormat="1" applyFont="1" applyFill="1"/>
    <xf numFmtId="0" fontId="4" fillId="3" borderId="0" xfId="0" applyFont="1" applyFill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Continuous"/>
    </xf>
    <xf numFmtId="165" fontId="15" fillId="0" borderId="0" xfId="0" applyNumberFormat="1" applyFont="1"/>
    <xf numFmtId="9" fontId="0" fillId="0" borderId="0" xfId="2" applyFont="1"/>
    <xf numFmtId="165" fontId="8" fillId="0" borderId="0" xfId="0" applyNumberFormat="1" applyFont="1"/>
    <xf numFmtId="0" fontId="4" fillId="0" borderId="0" xfId="0" applyFont="1" applyAlignment="1">
      <alignment horizontal="left"/>
    </xf>
    <xf numFmtId="0" fontId="16" fillId="0" borderId="0" xfId="0" applyFont="1" applyAlignment="1">
      <alignment horizontal="centerContinuous"/>
    </xf>
    <xf numFmtId="9" fontId="8" fillId="0" borderId="0" xfId="2" applyFont="1"/>
    <xf numFmtId="167" fontId="7" fillId="0" borderId="0" xfId="0" applyNumberFormat="1" applyFont="1"/>
    <xf numFmtId="0" fontId="9" fillId="0" borderId="0" xfId="0" applyFont="1" applyAlignment="1">
      <alignment horizontal="left"/>
    </xf>
    <xf numFmtId="0" fontId="4" fillId="0" borderId="0" xfId="0" quotePrefix="1" applyFont="1"/>
    <xf numFmtId="0" fontId="4" fillId="4" borderId="0" xfId="0" applyFont="1" applyFill="1"/>
    <xf numFmtId="0" fontId="5" fillId="4" borderId="0" xfId="0" applyFont="1" applyFill="1"/>
    <xf numFmtId="164" fontId="3" fillId="0" borderId="0" xfId="0" applyNumberFormat="1" applyFont="1" applyAlignment="1">
      <alignment horizontal="center"/>
    </xf>
    <xf numFmtId="164" fontId="5" fillId="0" borderId="0" xfId="0" applyNumberFormat="1" applyFont="1"/>
    <xf numFmtId="169" fontId="7" fillId="0" borderId="0" xfId="1" applyNumberFormat="1" applyFont="1"/>
    <xf numFmtId="0" fontId="3" fillId="0" borderId="0" xfId="0" applyFont="1" applyAlignment="1">
      <alignment horizontal="right"/>
    </xf>
    <xf numFmtId="164" fontId="18" fillId="0" borderId="1" xfId="0" applyNumberFormat="1" applyFont="1" applyBorder="1" applyAlignment="1">
      <alignment horizontal="center"/>
    </xf>
    <xf numFmtId="164" fontId="18" fillId="2" borderId="1" xfId="0" applyNumberFormat="1" applyFont="1" applyFill="1" applyBorder="1" applyAlignment="1">
      <alignment horizontal="center"/>
    </xf>
    <xf numFmtId="164" fontId="4" fillId="0" borderId="0" xfId="0" applyNumberFormat="1" applyFont="1"/>
    <xf numFmtId="164" fontId="10" fillId="0" borderId="0" xfId="1" applyNumberFormat="1" applyFont="1" applyAlignment="1">
      <alignment horizontal="center"/>
    </xf>
    <xf numFmtId="9" fontId="4" fillId="0" borderId="0" xfId="0" applyNumberFormat="1" applyFont="1"/>
    <xf numFmtId="170" fontId="5" fillId="0" borderId="0" xfId="0" applyNumberFormat="1" applyFont="1"/>
    <xf numFmtId="9" fontId="5" fillId="0" borderId="0" xfId="2" applyFont="1"/>
    <xf numFmtId="164" fontId="12" fillId="0" borderId="0" xfId="0" applyNumberFormat="1" applyFont="1" applyAlignment="1">
      <alignment horizontal="center"/>
    </xf>
    <xf numFmtId="171" fontId="4" fillId="0" borderId="0" xfId="2" applyNumberFormat="1" applyFont="1"/>
    <xf numFmtId="165" fontId="5" fillId="4" borderId="0" xfId="0" applyNumberFormat="1" applyFont="1" applyFill="1"/>
    <xf numFmtId="164" fontId="5" fillId="0" borderId="0" xfId="1" applyNumberFormat="1" applyFont="1"/>
    <xf numFmtId="0" fontId="4" fillId="0" borderId="0" xfId="0" applyFont="1" applyAlignment="1">
      <alignment vertical="center" wrapText="1"/>
    </xf>
    <xf numFmtId="172" fontId="10" fillId="4" borderId="14" xfId="0" applyNumberFormat="1" applyFont="1" applyFill="1" applyBorder="1" applyAlignment="1">
      <alignment horizontal="centerContinuous" vertical="center" wrapText="1"/>
    </xf>
    <xf numFmtId="1" fontId="0" fillId="0" borderId="3" xfId="0" applyNumberFormat="1" applyBorder="1"/>
    <xf numFmtId="0" fontId="24" fillId="0" borderId="1" xfId="0" applyFont="1" applyBorder="1"/>
    <xf numFmtId="165" fontId="25" fillId="0" borderId="8" xfId="0" applyNumberFormat="1" applyFont="1" applyBorder="1"/>
    <xf numFmtId="1" fontId="0" fillId="0" borderId="4" xfId="0" applyNumberFormat="1" applyBorder="1"/>
    <xf numFmtId="0" fontId="24" fillId="0" borderId="5" xfId="0" applyFont="1" applyBorder="1"/>
    <xf numFmtId="165" fontId="25" fillId="0" borderId="9" xfId="0" applyNumberFormat="1" applyFont="1" applyBorder="1"/>
    <xf numFmtId="0" fontId="26" fillId="0" borderId="1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 vertical="center"/>
      <protection hidden="1"/>
    </xf>
    <xf numFmtId="0" fontId="22" fillId="0" borderId="11" xfId="0" applyFont="1" applyBorder="1" applyAlignment="1" applyProtection="1">
      <alignment horizontal="center" vertical="center"/>
      <protection hidden="1"/>
    </xf>
    <xf numFmtId="0" fontId="22" fillId="0" borderId="16" xfId="0" applyFont="1" applyBorder="1" applyAlignment="1" applyProtection="1">
      <alignment horizontal="center" vertical="center"/>
      <protection hidden="1"/>
    </xf>
    <xf numFmtId="0" fontId="22" fillId="0" borderId="10" xfId="0" applyFont="1" applyBorder="1" applyAlignment="1" applyProtection="1">
      <alignment horizontal="center" vertical="center"/>
      <protection hidden="1"/>
    </xf>
    <xf numFmtId="0" fontId="22" fillId="0" borderId="12" xfId="0" applyFont="1" applyBorder="1" applyAlignment="1" applyProtection="1">
      <alignment horizontal="center" vertical="center"/>
      <protection hidden="1"/>
    </xf>
    <xf numFmtId="0" fontId="24" fillId="0" borderId="6" xfId="0" applyFont="1" applyBorder="1"/>
    <xf numFmtId="0" fontId="27" fillId="0" borderId="0" xfId="0" applyFont="1" applyProtection="1">
      <protection hidden="1"/>
    </xf>
    <xf numFmtId="0" fontId="22" fillId="0" borderId="0" xfId="0" applyFont="1" applyAlignment="1" applyProtection="1">
      <alignment horizontal="center" vertical="center"/>
      <protection hidden="1"/>
    </xf>
    <xf numFmtId="165" fontId="25" fillId="0" borderId="17" xfId="0" applyNumberFormat="1" applyFont="1" applyBorder="1"/>
    <xf numFmtId="165" fontId="25" fillId="0" borderId="18" xfId="0" applyNumberFormat="1" applyFont="1" applyBorder="1"/>
    <xf numFmtId="0" fontId="24" fillId="0" borderId="1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6" fillId="0" borderId="20" xfId="0" applyFont="1" applyBorder="1" applyAlignment="1" applyProtection="1">
      <alignment horizontal="center"/>
      <protection locked="0"/>
    </xf>
    <xf numFmtId="0" fontId="24" fillId="0" borderId="7" xfId="0" applyFont="1" applyBorder="1"/>
    <xf numFmtId="14" fontId="28" fillId="5" borderId="2" xfId="0" applyNumberFormat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173" fontId="21" fillId="5" borderId="2" xfId="0" applyNumberFormat="1" applyFont="1" applyFill="1" applyBorder="1" applyAlignment="1" applyProtection="1">
      <alignment horizontal="center" vertical="center" wrapText="1" readingOrder="1"/>
      <protection hidden="1"/>
    </xf>
    <xf numFmtId="174" fontId="28" fillId="5" borderId="2" xfId="0" applyNumberFormat="1" applyFont="1" applyFill="1" applyBorder="1" applyAlignment="1">
      <alignment horizontal="center" vertical="center"/>
    </xf>
    <xf numFmtId="0" fontId="29" fillId="6" borderId="2" xfId="0" applyFont="1" applyFill="1" applyBorder="1" applyAlignment="1" applyProtection="1">
      <alignment horizontal="center" vertical="center" wrapText="1" readingOrder="1"/>
      <protection locked="0"/>
    </xf>
    <xf numFmtId="4" fontId="28" fillId="6" borderId="20" xfId="0" applyNumberFormat="1" applyFont="1" applyFill="1" applyBorder="1" applyAlignment="1">
      <alignment horizontal="center" vertical="center"/>
    </xf>
    <xf numFmtId="173" fontId="21" fillId="0" borderId="0" xfId="0" applyNumberFormat="1" applyFont="1" applyAlignment="1" applyProtection="1">
      <alignment vertical="center" wrapText="1" readingOrder="1"/>
      <protection hidden="1"/>
    </xf>
    <xf numFmtId="0" fontId="28" fillId="7" borderId="2" xfId="0" applyFont="1" applyFill="1" applyBorder="1" applyAlignment="1">
      <alignment horizontal="center" vertical="center" wrapText="1"/>
    </xf>
    <xf numFmtId="4" fontId="2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4" fontId="28" fillId="0" borderId="0" xfId="0" applyNumberFormat="1" applyFont="1" applyAlignment="1">
      <alignment horizontal="center" vertical="center"/>
    </xf>
    <xf numFmtId="0" fontId="28" fillId="0" borderId="24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1" fontId="0" fillId="0" borderId="25" xfId="0" applyNumberFormat="1" applyBorder="1"/>
    <xf numFmtId="0" fontId="24" fillId="0" borderId="26" xfId="0" applyFont="1" applyBorder="1"/>
    <xf numFmtId="0" fontId="24" fillId="0" borderId="27" xfId="0" applyFont="1" applyBorder="1"/>
    <xf numFmtId="165" fontId="25" fillId="0" borderId="28" xfId="0" applyNumberFormat="1" applyFont="1" applyBorder="1"/>
    <xf numFmtId="165" fontId="25" fillId="0" borderId="21" xfId="0" applyNumberFormat="1" applyFont="1" applyBorder="1"/>
    <xf numFmtId="0" fontId="19" fillId="4" borderId="29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173" fontId="30" fillId="8" borderId="31" xfId="0" applyNumberFormat="1" applyFont="1" applyFill="1" applyBorder="1" applyAlignment="1" applyProtection="1">
      <alignment horizontal="center" vertical="center" readingOrder="1"/>
      <protection hidden="1"/>
    </xf>
    <xf numFmtId="0" fontId="21" fillId="4" borderId="2" xfId="0" applyFont="1" applyFill="1" applyBorder="1" applyAlignment="1">
      <alignment horizontal="center" vertical="center" wrapText="1"/>
    </xf>
    <xf numFmtId="4" fontId="24" fillId="0" borderId="21" xfId="0" applyNumberFormat="1" applyFont="1" applyBorder="1" applyAlignment="1">
      <alignment horizontal="center"/>
    </xf>
    <xf numFmtId="4" fontId="24" fillId="0" borderId="8" xfId="0" applyNumberFormat="1" applyFont="1" applyBorder="1" applyAlignment="1">
      <alignment horizontal="center"/>
    </xf>
    <xf numFmtId="4" fontId="24" fillId="0" borderId="9" xfId="0" applyNumberFormat="1" applyFont="1" applyBorder="1" applyAlignment="1">
      <alignment horizontal="center"/>
    </xf>
    <xf numFmtId="0" fontId="10" fillId="4" borderId="14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27" fillId="0" borderId="2" xfId="0" applyFont="1" applyBorder="1" applyAlignment="1" applyProtection="1">
      <alignment horizontal="center" vertical="center"/>
      <protection hidden="1"/>
    </xf>
    <xf numFmtId="14" fontId="3" fillId="0" borderId="0" xfId="0" quotePrefix="1" applyNumberFormat="1" applyFont="1" applyAlignment="1">
      <alignment horizontal="center" vertical="center"/>
    </xf>
    <xf numFmtId="0" fontId="22" fillId="0" borderId="15" xfId="0" applyFont="1" applyBorder="1" applyAlignment="1">
      <alignment horizontal="left" wrapText="1"/>
    </xf>
    <xf numFmtId="14" fontId="28" fillId="5" borderId="19" xfId="0" applyNumberFormat="1" applyFont="1" applyFill="1" applyBorder="1" applyAlignment="1">
      <alignment horizontal="center" vertical="center" wrapText="1"/>
    </xf>
    <xf numFmtId="14" fontId="28" fillId="5" borderId="20" xfId="0" applyNumberFormat="1" applyFont="1" applyFill="1" applyBorder="1" applyAlignment="1">
      <alignment horizontal="center" vertical="center" wrapText="1"/>
    </xf>
  </cellXfs>
  <cellStyles count="7">
    <cellStyle name="Comma 2" xfId="6" xr:uid="{E97BBFB1-40E1-42D8-ABB4-3F5D21398343}"/>
    <cellStyle name="Normal 3" xfId="3" xr:uid="{8D971DD2-663F-4ABF-87A7-D7A684DCC25D}"/>
    <cellStyle name="Normal 4" xfId="4" xr:uid="{7C574768-5794-4D44-9C0D-619FBF625120}"/>
    <cellStyle name="Percent 3" xfId="5" xr:uid="{6D3A6F86-AFB2-432C-B812-BF80923DFBA1}"/>
    <cellStyle name="Відсотковий" xfId="2" builtinId="5"/>
    <cellStyle name="Звичайний" xfId="0" builtinId="0"/>
    <cellStyle name="Фінансовий" xfId="1" builtinId="3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591185</xdr:colOff>
      <xdr:row>4</xdr:row>
      <xdr:rowOff>18415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2275C-B223-409C-8BF8-3DCEDB32E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4538"/>
        <a:stretch/>
      </xdr:blipFill>
      <xdr:spPr>
        <a:xfrm>
          <a:off x="0" y="0"/>
          <a:ext cx="1779905" cy="810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388540</xdr:colOff>
      <xdr:row>0</xdr:row>
      <xdr:rowOff>63649</xdr:rowOff>
    </xdr:from>
    <xdr:to>
      <xdr:col>6</xdr:col>
      <xdr:colOff>464819</xdr:colOff>
      <xdr:row>0</xdr:row>
      <xdr:rowOff>792480</xdr:rowOff>
    </xdr:to>
    <xdr:pic>
      <xdr:nvPicPr>
        <xdr:cNvPr id="2" name="Рисунок 1" descr="Fairhaven Health Affiliate Program | Start Earning 10% - 20% Commissions">
          <a:extLst>
            <a:ext uri="{FF2B5EF4-FFF2-40B4-BE49-F238E27FC236}">
              <a16:creationId xmlns:a16="http://schemas.microsoft.com/office/drawing/2014/main" id="{C850C312-41CC-4F4D-BC65-EA92058E3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200" y="63649"/>
          <a:ext cx="2126059" cy="728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C67B-1218-49EF-A0F1-79BFCFE06F29}">
  <sheetPr>
    <tabColor rgb="FFFFFF00"/>
  </sheetPr>
  <dimension ref="A1:AM553"/>
  <sheetViews>
    <sheetView zoomScale="60" zoomScaleNormal="60" workbookViewId="0">
      <pane xSplit="3" ySplit="6" topLeftCell="D7" activePane="bottomRight" state="frozen"/>
      <selection pane="topRight" activeCell="E229" sqref="E229"/>
      <selection pane="bottomLeft" activeCell="E229" sqref="E229"/>
      <selection pane="bottomRight" activeCell="D7" sqref="D7"/>
    </sheetView>
  </sheetViews>
  <sheetFormatPr defaultColWidth="9.109375" defaultRowHeight="15.6" x14ac:dyDescent="0.3"/>
  <cols>
    <col min="1" max="1" width="17.33203125" style="4" bestFit="1" customWidth="1"/>
    <col min="2" max="2" width="13.33203125" style="4" bestFit="1" customWidth="1"/>
    <col min="3" max="3" width="35.5546875" style="4" bestFit="1" customWidth="1"/>
    <col min="4" max="4" width="9.6640625" style="4" bestFit="1" customWidth="1"/>
    <col min="5" max="5" width="10.6640625" style="4" bestFit="1" customWidth="1"/>
    <col min="6" max="6" width="9.109375" style="4"/>
    <col min="7" max="7" width="23.44140625" style="4" bestFit="1" customWidth="1"/>
    <col min="8" max="9" width="9.109375" style="4"/>
    <col min="10" max="10" width="14.109375" style="4" bestFit="1" customWidth="1"/>
    <col min="11" max="11" width="15" style="9" bestFit="1" customWidth="1"/>
    <col min="12" max="12" width="9" style="4" bestFit="1" customWidth="1"/>
    <col min="13" max="13" width="9.109375" style="4"/>
    <col min="14" max="14" width="10.33203125" style="4" bestFit="1" customWidth="1"/>
    <col min="15" max="16" width="9.109375" style="4"/>
    <col min="17" max="19" width="11.6640625" style="4" bestFit="1" customWidth="1"/>
    <col min="20" max="20" width="21" style="4" bestFit="1" customWidth="1"/>
    <col min="21" max="21" width="11.33203125" style="4" bestFit="1" customWidth="1"/>
    <col min="22" max="22" width="13" style="4" bestFit="1" customWidth="1"/>
    <col min="23" max="25" width="13" style="4" customWidth="1"/>
    <col min="26" max="35" width="9.109375" style="4"/>
    <col min="36" max="36" width="13" style="4" bestFit="1" customWidth="1"/>
    <col min="37" max="38" width="11.88671875" style="4" bestFit="1" customWidth="1"/>
    <col min="39" max="39" width="13" style="4" bestFit="1" customWidth="1"/>
    <col min="40" max="16384" width="9.109375" style="4"/>
  </cols>
  <sheetData>
    <row r="1" spans="1:39" x14ac:dyDescent="0.3">
      <c r="G1" s="17" t="s">
        <v>0</v>
      </c>
      <c r="Q1" s="3"/>
      <c r="R1" s="3"/>
      <c r="S1" s="3"/>
      <c r="T1" s="3"/>
      <c r="AJ1" s="48">
        <v>21659222.424140364</v>
      </c>
      <c r="AK1" s="48">
        <v>3470378.1893103733</v>
      </c>
      <c r="AL1" s="48">
        <v>2315878.38</v>
      </c>
      <c r="AM1" s="43">
        <f>SUM(AJ1:AL1)</f>
        <v>27445478.993450735</v>
      </c>
    </row>
    <row r="2" spans="1:39" x14ac:dyDescent="0.3">
      <c r="Q2" s="3"/>
      <c r="R2" s="3"/>
      <c r="S2" s="3"/>
      <c r="T2" s="3"/>
      <c r="AJ2" s="49" t="e">
        <f>+AJ5/AJ1</f>
        <v>#REF!</v>
      </c>
      <c r="AK2" s="49" t="e">
        <f t="shared" ref="AK2:AM2" si="0">+AK5/AK1</f>
        <v>#REF!</v>
      </c>
      <c r="AL2" s="49" t="e">
        <f t="shared" si="0"/>
        <v>#REF!</v>
      </c>
      <c r="AM2" s="49" t="e">
        <f t="shared" si="0"/>
        <v>#REF!</v>
      </c>
    </row>
    <row r="3" spans="1:39" x14ac:dyDescent="0.3">
      <c r="Q3" s="3"/>
      <c r="R3" s="3"/>
      <c r="S3" s="3"/>
      <c r="T3" s="3"/>
      <c r="V3" s="44" t="s">
        <v>1</v>
      </c>
      <c r="W3" s="44"/>
      <c r="X3" s="44"/>
      <c r="Y3" s="44"/>
    </row>
    <row r="4" spans="1:39" x14ac:dyDescent="0.3">
      <c r="D4" s="14" t="s">
        <v>2</v>
      </c>
      <c r="E4" s="15"/>
      <c r="F4" s="15"/>
      <c r="G4" s="15"/>
      <c r="H4" s="15"/>
      <c r="I4" s="15"/>
      <c r="Q4" s="40" t="s">
        <v>3</v>
      </c>
      <c r="R4" s="42" t="e">
        <f>+#REF!+'Vital Nutrients (2)'!R6+#REF!</f>
        <v>#REF!</v>
      </c>
      <c r="S4" s="3"/>
      <c r="T4" s="40" t="s">
        <v>3</v>
      </c>
      <c r="U4" s="42" t="e">
        <f>+#REF!+'Vital Nutrients (2)'!U6+#REF!</f>
        <v>#REF!</v>
      </c>
      <c r="V4" s="43" t="e">
        <f>R4-U4</f>
        <v>#REF!</v>
      </c>
      <c r="W4" s="43"/>
      <c r="X4" s="43"/>
      <c r="Y4" s="43"/>
    </row>
    <row r="5" spans="1:39" ht="17.399999999999999" x14ac:dyDescent="0.45">
      <c r="D5" s="7"/>
      <c r="E5" s="7" t="s">
        <v>948</v>
      </c>
      <c r="G5" s="10">
        <v>0.25</v>
      </c>
      <c r="H5" s="10">
        <v>0.41</v>
      </c>
      <c r="I5" s="10">
        <v>0.45</v>
      </c>
      <c r="L5" s="3" t="s">
        <v>949</v>
      </c>
      <c r="Q5" s="40" t="s">
        <v>4</v>
      </c>
      <c r="R5" s="41" t="e">
        <f>+#REF!+'Vital Nutrients (2)'!R6</f>
        <v>#REF!</v>
      </c>
      <c r="S5" s="18"/>
      <c r="T5" s="40" t="s">
        <v>4</v>
      </c>
      <c r="U5" s="41" t="e">
        <f>+#REF!+'Vital Nutrients (2)'!U6</f>
        <v>#REF!</v>
      </c>
      <c r="V5" s="43" t="e">
        <f>R5-U5</f>
        <v>#REF!</v>
      </c>
      <c r="W5" s="43"/>
      <c r="X5" s="16" t="s">
        <v>950</v>
      </c>
      <c r="Y5" s="43"/>
      <c r="Z5" s="4" t="s">
        <v>951</v>
      </c>
      <c r="AB5" s="10">
        <v>0.45</v>
      </c>
      <c r="AD5" s="10">
        <v>0.41</v>
      </c>
      <c r="AJ5" s="37" t="e">
        <f>SUM(AJ8:AJ233)</f>
        <v>#REF!</v>
      </c>
      <c r="AK5" s="37" t="e">
        <f t="shared" ref="AK5:AL5" si="1">SUM(AK8:AK233)</f>
        <v>#REF!</v>
      </c>
      <c r="AL5" s="37" t="e">
        <f t="shared" si="1"/>
        <v>#REF!</v>
      </c>
      <c r="AM5" s="43" t="e">
        <f>SUM(AJ5:AL5)</f>
        <v>#REF!</v>
      </c>
    </row>
    <row r="6" spans="1:39" ht="17.399999999999999" x14ac:dyDescent="0.45">
      <c r="A6" s="8" t="s">
        <v>5</v>
      </c>
      <c r="B6" s="8" t="s">
        <v>6</v>
      </c>
      <c r="C6" s="8" t="s">
        <v>7</v>
      </c>
      <c r="D6" s="7" t="s">
        <v>8</v>
      </c>
      <c r="E6" s="7" t="s">
        <v>9</v>
      </c>
      <c r="G6" s="7" t="s">
        <v>10</v>
      </c>
      <c r="H6" s="7" t="s">
        <v>11</v>
      </c>
      <c r="I6" s="7" t="s">
        <v>12</v>
      </c>
      <c r="K6" s="30"/>
      <c r="L6" s="7" t="s">
        <v>952</v>
      </c>
      <c r="N6" s="7" t="s">
        <v>953</v>
      </c>
      <c r="Q6" s="16" t="s">
        <v>13</v>
      </c>
      <c r="R6" s="37">
        <f>SUM(R7:R232)</f>
        <v>-428999.40258448239</v>
      </c>
      <c r="S6" s="16"/>
      <c r="T6" s="16" t="s">
        <v>954</v>
      </c>
      <c r="U6" s="37">
        <f>SUM(U7:U232)</f>
        <v>-370565.5699969636</v>
      </c>
      <c r="V6" s="16"/>
      <c r="W6" s="16"/>
      <c r="X6" s="7" t="s">
        <v>8</v>
      </c>
      <c r="Y6" s="45"/>
      <c r="Z6" s="7" t="s">
        <v>8</v>
      </c>
      <c r="AB6" s="7" t="s">
        <v>12</v>
      </c>
      <c r="AD6" s="7" t="s">
        <v>11</v>
      </c>
      <c r="AJ6" s="16" t="s">
        <v>14</v>
      </c>
      <c r="AK6" s="16" t="s">
        <v>15</v>
      </c>
      <c r="AL6" s="16" t="s">
        <v>12</v>
      </c>
    </row>
    <row r="7" spans="1:39" x14ac:dyDescent="0.3">
      <c r="A7" s="4">
        <v>693465100110</v>
      </c>
      <c r="B7" s="5" t="s">
        <v>16</v>
      </c>
      <c r="C7" s="5" t="s">
        <v>17</v>
      </c>
      <c r="D7" s="12">
        <f>+E7*2</f>
        <v>34.9</v>
      </c>
      <c r="E7" s="12">
        <v>17.45</v>
      </c>
      <c r="F7" s="47">
        <f>+E7/D7-1</f>
        <v>-0.5</v>
      </c>
      <c r="G7" s="12">
        <f>ROUND($E7*(1-G$5),2)</f>
        <v>13.09</v>
      </c>
      <c r="H7" s="12">
        <f>ROUND($D7*(1-H$5),2)</f>
        <v>20.59</v>
      </c>
      <c r="I7" s="12">
        <f>ROUND($D7*(1-I$5),2)</f>
        <v>19.2</v>
      </c>
      <c r="L7" s="46">
        <v>17.899999999999999</v>
      </c>
      <c r="M7" s="46">
        <f>+E7-L7</f>
        <v>-0.44999999999999929</v>
      </c>
      <c r="N7" s="46">
        <v>13.43</v>
      </c>
      <c r="O7" s="46">
        <f>+G7-N7</f>
        <v>-0.33999999999999986</v>
      </c>
      <c r="P7" s="46"/>
      <c r="Q7" s="39">
        <v>1334.2683920481959</v>
      </c>
      <c r="R7" s="38">
        <f>+Q7*$O7</f>
        <v>-453.65125329638641</v>
      </c>
      <c r="S7" s="47"/>
      <c r="T7" s="39">
        <v>1166.2683920481959</v>
      </c>
      <c r="U7" s="38">
        <f>+T7*$O7</f>
        <v>-396.53125329638641</v>
      </c>
      <c r="V7" s="51"/>
      <c r="W7" s="51"/>
      <c r="X7" s="46">
        <v>34.9</v>
      </c>
      <c r="Y7" s="47">
        <f>IFERROR(Z7/X7-1,0)</f>
        <v>2.5787965616045794E-2</v>
      </c>
      <c r="Z7" s="46">
        <f t="shared" ref="Z7:Z70" si="2">+L7*2</f>
        <v>35.799999999999997</v>
      </c>
      <c r="AA7" s="12">
        <f t="shared" ref="AA7:AA70" si="3">+Z7-D7</f>
        <v>0.89999999999999858</v>
      </c>
      <c r="AB7" s="12">
        <f t="shared" ref="AB7:AB70" si="4">ROUND($Z7*(1-AB$5),2)</f>
        <v>19.690000000000001</v>
      </c>
      <c r="AC7" s="12">
        <f t="shared" ref="AC7:AC70" si="5">+AB7-I7</f>
        <v>0.49000000000000199</v>
      </c>
      <c r="AD7" s="12">
        <f t="shared" ref="AD7:AD70" si="6">ROUND($Z7*(1-AD$5),2)</f>
        <v>21.12</v>
      </c>
      <c r="AE7" s="12">
        <f t="shared" ref="AE7:AE70" si="7">+AD7-H7</f>
        <v>0.53000000000000114</v>
      </c>
      <c r="AF7" s="12"/>
      <c r="AJ7" s="11" t="e">
        <f>+#REF!*$AE7</f>
        <v>#REF!</v>
      </c>
      <c r="AK7" s="11" t="e">
        <f>+#REF!*$AA7</f>
        <v>#REF!</v>
      </c>
      <c r="AL7" s="11" t="e">
        <f>+#REF!*$AC7</f>
        <v>#REF!</v>
      </c>
    </row>
    <row r="8" spans="1:39" ht="15.6" customHeight="1" x14ac:dyDescent="0.3">
      <c r="A8" s="4">
        <v>693465110119</v>
      </c>
      <c r="B8" s="5" t="s">
        <v>18</v>
      </c>
      <c r="C8" s="5" t="s">
        <v>19</v>
      </c>
      <c r="D8" s="12">
        <f t="shared" ref="D8:D71" si="8">+E8*2</f>
        <v>47.9</v>
      </c>
      <c r="E8" s="12">
        <v>23.95</v>
      </c>
      <c r="F8" s="47">
        <f t="shared" ref="F8:F71" si="9">+E8/D8-1</f>
        <v>-0.5</v>
      </c>
      <c r="G8" s="12">
        <f t="shared" ref="G8:G71" si="10">ROUND($E8*(1-G$5),2)</f>
        <v>17.96</v>
      </c>
      <c r="H8" s="12">
        <f t="shared" ref="H8:I68" si="11">ROUND($D8*(1-H$5),2)</f>
        <v>28.26</v>
      </c>
      <c r="I8" s="12">
        <f t="shared" si="11"/>
        <v>26.35</v>
      </c>
      <c r="L8" s="46">
        <v>23.9</v>
      </c>
      <c r="M8" s="46">
        <f t="shared" ref="M8:M71" si="12">+E8-L8</f>
        <v>5.0000000000000711E-2</v>
      </c>
      <c r="N8" s="46">
        <v>17.93</v>
      </c>
      <c r="O8" s="46">
        <f t="shared" ref="O8:O71" si="13">+G8-N8</f>
        <v>3.0000000000001137E-2</v>
      </c>
      <c r="P8" s="46"/>
      <c r="Q8" s="39">
        <v>3830.589393364236</v>
      </c>
      <c r="R8" s="38">
        <f t="shared" ref="R8:R71" si="14">+Q8*O8</f>
        <v>114.91768180093143</v>
      </c>
      <c r="S8" s="47"/>
      <c r="T8" s="39">
        <v>3278.5893933642355</v>
      </c>
      <c r="U8" s="38">
        <f t="shared" ref="U8:U71" si="15">+T8*$O8</f>
        <v>98.357681800930791</v>
      </c>
      <c r="V8" s="51"/>
      <c r="W8" s="51"/>
      <c r="X8" s="46">
        <v>47.9</v>
      </c>
      <c r="Y8" s="47">
        <f t="shared" ref="Y8:Y71" si="16">IFERROR(Z8/X8-1,0)</f>
        <v>-2.0876826722338038E-3</v>
      </c>
      <c r="Z8" s="46">
        <f t="shared" si="2"/>
        <v>47.8</v>
      </c>
      <c r="AA8" s="12">
        <f t="shared" si="3"/>
        <v>-0.10000000000000142</v>
      </c>
      <c r="AB8" s="12">
        <f t="shared" si="4"/>
        <v>26.29</v>
      </c>
      <c r="AC8" s="12">
        <f t="shared" si="5"/>
        <v>-6.0000000000002274E-2</v>
      </c>
      <c r="AD8" s="12">
        <f t="shared" si="6"/>
        <v>28.2</v>
      </c>
      <c r="AE8" s="12">
        <f t="shared" si="7"/>
        <v>-6.0000000000002274E-2</v>
      </c>
      <c r="AF8" s="12"/>
      <c r="AJ8" s="11" t="e">
        <f>+#REF!*$AE8</f>
        <v>#REF!</v>
      </c>
      <c r="AK8" s="11" t="e">
        <f>+#REF!*$AA8</f>
        <v>#REF!</v>
      </c>
      <c r="AL8" s="11" t="e">
        <f>+#REF!*$AC8</f>
        <v>#REF!</v>
      </c>
    </row>
    <row r="9" spans="1:39" x14ac:dyDescent="0.3">
      <c r="A9" s="4">
        <v>693465423110</v>
      </c>
      <c r="B9" s="5" t="s">
        <v>20</v>
      </c>
      <c r="C9" s="5" t="s">
        <v>21</v>
      </c>
      <c r="D9" s="12">
        <f t="shared" si="8"/>
        <v>29.9</v>
      </c>
      <c r="E9" s="12">
        <v>14.95</v>
      </c>
      <c r="F9" s="47">
        <f t="shared" si="9"/>
        <v>-0.5</v>
      </c>
      <c r="G9" s="12">
        <f t="shared" si="10"/>
        <v>11.21</v>
      </c>
      <c r="H9" s="12">
        <f t="shared" si="11"/>
        <v>17.64</v>
      </c>
      <c r="I9" s="12">
        <f t="shared" si="11"/>
        <v>16.45</v>
      </c>
      <c r="L9" s="46">
        <v>15.9</v>
      </c>
      <c r="M9" s="46">
        <f t="shared" si="12"/>
        <v>-0.95000000000000107</v>
      </c>
      <c r="N9" s="46">
        <v>11.93</v>
      </c>
      <c r="O9" s="46">
        <f t="shared" si="13"/>
        <v>-0.71999999999999886</v>
      </c>
      <c r="P9" s="46"/>
      <c r="Q9" s="39">
        <v>9839.2563642029891</v>
      </c>
      <c r="R9" s="38">
        <f t="shared" si="14"/>
        <v>-7084.2645822261411</v>
      </c>
      <c r="S9" s="47"/>
      <c r="T9" s="39">
        <v>8591.2563642029909</v>
      </c>
      <c r="U9" s="38">
        <f t="shared" si="15"/>
        <v>-6185.7045822261434</v>
      </c>
      <c r="V9" s="51"/>
      <c r="W9" s="51"/>
      <c r="X9" s="46">
        <v>29.9</v>
      </c>
      <c r="Y9" s="47">
        <f t="shared" si="16"/>
        <v>6.3545150501672421E-2</v>
      </c>
      <c r="Z9" s="46">
        <f t="shared" si="2"/>
        <v>31.8</v>
      </c>
      <c r="AA9" s="12">
        <f t="shared" si="3"/>
        <v>1.9000000000000021</v>
      </c>
      <c r="AB9" s="12">
        <f t="shared" si="4"/>
        <v>17.489999999999998</v>
      </c>
      <c r="AC9" s="12">
        <f t="shared" si="5"/>
        <v>1.0399999999999991</v>
      </c>
      <c r="AD9" s="12">
        <f t="shared" si="6"/>
        <v>18.760000000000002</v>
      </c>
      <c r="AE9" s="12">
        <f t="shared" si="7"/>
        <v>1.120000000000001</v>
      </c>
      <c r="AF9" s="12"/>
      <c r="AJ9" s="11" t="e">
        <f>+#REF!*$AE9</f>
        <v>#REF!</v>
      </c>
      <c r="AK9" s="11" t="e">
        <f>+#REF!*$AA9</f>
        <v>#REF!</v>
      </c>
      <c r="AL9" s="11" t="e">
        <f>+#REF!*$AC9</f>
        <v>#REF!</v>
      </c>
    </row>
    <row r="10" spans="1:39" x14ac:dyDescent="0.3">
      <c r="A10" s="4">
        <v>693465423219</v>
      </c>
      <c r="B10" s="5" t="s">
        <v>22</v>
      </c>
      <c r="C10" s="5" t="s">
        <v>23</v>
      </c>
      <c r="D10" s="12">
        <f t="shared" si="8"/>
        <v>56.9</v>
      </c>
      <c r="E10" s="12">
        <v>28.45</v>
      </c>
      <c r="F10" s="47">
        <f t="shared" si="9"/>
        <v>-0.5</v>
      </c>
      <c r="G10" s="12">
        <f t="shared" si="10"/>
        <v>21.34</v>
      </c>
      <c r="H10" s="12">
        <f t="shared" si="11"/>
        <v>33.57</v>
      </c>
      <c r="I10" s="12">
        <f t="shared" si="11"/>
        <v>31.3</v>
      </c>
      <c r="L10" s="46">
        <v>29.9</v>
      </c>
      <c r="M10" s="46">
        <f t="shared" si="12"/>
        <v>-1.4499999999999993</v>
      </c>
      <c r="N10" s="46">
        <v>22.43</v>
      </c>
      <c r="O10" s="46">
        <f t="shared" si="13"/>
        <v>-1.0899999999999999</v>
      </c>
      <c r="P10" s="46"/>
      <c r="Q10" s="39">
        <v>18114.056194638604</v>
      </c>
      <c r="R10" s="38">
        <f t="shared" si="14"/>
        <v>-19744.321252156074</v>
      </c>
      <c r="S10" s="47"/>
      <c r="T10" s="39">
        <v>15594.056194638602</v>
      </c>
      <c r="U10" s="38">
        <f t="shared" si="15"/>
        <v>-16997.521252156075</v>
      </c>
      <c r="V10" s="51"/>
      <c r="W10" s="51"/>
      <c r="X10" s="46">
        <v>56.9</v>
      </c>
      <c r="Y10" s="47">
        <f t="shared" si="16"/>
        <v>5.0966608084358489E-2</v>
      </c>
      <c r="Z10" s="46">
        <f t="shared" si="2"/>
        <v>59.8</v>
      </c>
      <c r="AA10" s="12">
        <f t="shared" si="3"/>
        <v>2.8999999999999986</v>
      </c>
      <c r="AB10" s="12">
        <f t="shared" si="4"/>
        <v>32.89</v>
      </c>
      <c r="AC10" s="12">
        <f t="shared" si="5"/>
        <v>1.5899999999999999</v>
      </c>
      <c r="AD10" s="12">
        <f t="shared" si="6"/>
        <v>35.28</v>
      </c>
      <c r="AE10" s="12">
        <f t="shared" si="7"/>
        <v>1.7100000000000009</v>
      </c>
      <c r="AF10" s="12"/>
      <c r="AJ10" s="11" t="e">
        <f>+#REF!*$AE10</f>
        <v>#REF!</v>
      </c>
      <c r="AK10" s="11" t="e">
        <f>+#REF!*$AA10</f>
        <v>#REF!</v>
      </c>
      <c r="AL10" s="11" t="e">
        <f>+#REF!*$AC10</f>
        <v>#REF!</v>
      </c>
    </row>
    <row r="11" spans="1:39" x14ac:dyDescent="0.3">
      <c r="A11" s="4">
        <v>693465423318</v>
      </c>
      <c r="B11" s="5" t="s">
        <v>24</v>
      </c>
      <c r="C11" s="5" t="s">
        <v>25</v>
      </c>
      <c r="D11" s="12">
        <f t="shared" si="8"/>
        <v>103.9</v>
      </c>
      <c r="E11" s="12">
        <v>51.95</v>
      </c>
      <c r="F11" s="47">
        <f t="shared" si="9"/>
        <v>-0.5</v>
      </c>
      <c r="G11" s="12">
        <f t="shared" si="10"/>
        <v>38.96</v>
      </c>
      <c r="H11" s="12">
        <f t="shared" si="11"/>
        <v>61.3</v>
      </c>
      <c r="I11" s="12">
        <f t="shared" si="11"/>
        <v>57.15</v>
      </c>
      <c r="L11" s="46">
        <v>50.9</v>
      </c>
      <c r="M11" s="46">
        <f t="shared" si="12"/>
        <v>1.0500000000000043</v>
      </c>
      <c r="N11" s="46">
        <v>38.18</v>
      </c>
      <c r="O11" s="46">
        <f t="shared" si="13"/>
        <v>0.78000000000000114</v>
      </c>
      <c r="P11" s="46"/>
      <c r="Q11" s="39">
        <v>5053.6959483271667</v>
      </c>
      <c r="R11" s="38">
        <f t="shared" si="14"/>
        <v>3941.8828396951958</v>
      </c>
      <c r="S11" s="47"/>
      <c r="T11" s="39">
        <v>4273.6959483271667</v>
      </c>
      <c r="U11" s="38">
        <f t="shared" si="15"/>
        <v>3333.4828396951948</v>
      </c>
      <c r="V11" s="51"/>
      <c r="W11" s="51"/>
      <c r="X11" s="46">
        <v>99.9</v>
      </c>
      <c r="Y11" s="47">
        <f t="shared" si="16"/>
        <v>1.9019019019018923E-2</v>
      </c>
      <c r="Z11" s="46">
        <f t="shared" si="2"/>
        <v>101.8</v>
      </c>
      <c r="AA11" s="12">
        <f t="shared" si="3"/>
        <v>-2.1000000000000085</v>
      </c>
      <c r="AB11" s="12">
        <f t="shared" si="4"/>
        <v>55.99</v>
      </c>
      <c r="AC11" s="12">
        <f t="shared" si="5"/>
        <v>-1.1599999999999966</v>
      </c>
      <c r="AD11" s="12">
        <f t="shared" si="6"/>
        <v>60.06</v>
      </c>
      <c r="AE11" s="12">
        <f t="shared" si="7"/>
        <v>-1.2399999999999949</v>
      </c>
      <c r="AF11" s="12"/>
      <c r="AJ11" s="11" t="e">
        <f>+#REF!*$AE11</f>
        <v>#REF!</v>
      </c>
      <c r="AK11" s="11" t="e">
        <f>+#REF!*$AA11</f>
        <v>#REF!</v>
      </c>
      <c r="AL11" s="11" t="e">
        <f>+#REF!*$AC11</f>
        <v>#REF!</v>
      </c>
    </row>
    <row r="12" spans="1:39" x14ac:dyDescent="0.3">
      <c r="A12" s="4">
        <v>693465200117</v>
      </c>
      <c r="B12" s="5" t="s">
        <v>26</v>
      </c>
      <c r="C12" s="5" t="s">
        <v>27</v>
      </c>
      <c r="D12" s="12">
        <f t="shared" si="8"/>
        <v>26.9</v>
      </c>
      <c r="E12" s="12">
        <v>13.45</v>
      </c>
      <c r="F12" s="47">
        <f t="shared" si="9"/>
        <v>-0.5</v>
      </c>
      <c r="G12" s="12">
        <f t="shared" si="10"/>
        <v>10.09</v>
      </c>
      <c r="H12" s="12">
        <f t="shared" si="11"/>
        <v>15.87</v>
      </c>
      <c r="I12" s="12">
        <f t="shared" si="11"/>
        <v>14.8</v>
      </c>
      <c r="L12" s="46">
        <v>13.9</v>
      </c>
      <c r="M12" s="46">
        <f t="shared" si="12"/>
        <v>-0.45000000000000107</v>
      </c>
      <c r="N12" s="46">
        <v>10.43</v>
      </c>
      <c r="O12" s="46">
        <f t="shared" si="13"/>
        <v>-0.33999999999999986</v>
      </c>
      <c r="P12" s="46"/>
      <c r="Q12" s="39">
        <v>1593.0789139017647</v>
      </c>
      <c r="R12" s="38">
        <f t="shared" si="14"/>
        <v>-541.64683072659977</v>
      </c>
      <c r="S12" s="47"/>
      <c r="T12" s="39">
        <v>1353.0789139017647</v>
      </c>
      <c r="U12" s="38">
        <f t="shared" si="15"/>
        <v>-460.04683072659981</v>
      </c>
      <c r="V12" s="51"/>
      <c r="W12" s="51"/>
      <c r="X12" s="46">
        <v>26.9</v>
      </c>
      <c r="Y12" s="47">
        <f t="shared" si="16"/>
        <v>3.3457249070631967E-2</v>
      </c>
      <c r="Z12" s="46">
        <f t="shared" si="2"/>
        <v>27.8</v>
      </c>
      <c r="AA12" s="12">
        <f t="shared" si="3"/>
        <v>0.90000000000000213</v>
      </c>
      <c r="AB12" s="12">
        <f t="shared" si="4"/>
        <v>15.29</v>
      </c>
      <c r="AC12" s="12">
        <f t="shared" si="5"/>
        <v>0.48999999999999844</v>
      </c>
      <c r="AD12" s="12">
        <f t="shared" si="6"/>
        <v>16.399999999999999</v>
      </c>
      <c r="AE12" s="12">
        <f t="shared" si="7"/>
        <v>0.52999999999999936</v>
      </c>
      <c r="AF12" s="12"/>
      <c r="AJ12" s="11" t="e">
        <f>+#REF!*$AE12</f>
        <v>#REF!</v>
      </c>
      <c r="AK12" s="11" t="e">
        <f>+#REF!*$AA12</f>
        <v>#REF!</v>
      </c>
      <c r="AL12" s="11" t="e">
        <f>+#REF!*$AC12</f>
        <v>#REF!</v>
      </c>
    </row>
    <row r="13" spans="1:39" x14ac:dyDescent="0.3">
      <c r="B13" s="5" t="s">
        <v>28</v>
      </c>
      <c r="C13" s="5" t="s">
        <v>29</v>
      </c>
      <c r="D13" s="12">
        <f t="shared" si="8"/>
        <v>26.9</v>
      </c>
      <c r="E13" s="12">
        <v>13.45</v>
      </c>
      <c r="F13" s="47">
        <f t="shared" si="9"/>
        <v>-0.5</v>
      </c>
      <c r="G13" s="12">
        <f t="shared" si="10"/>
        <v>10.09</v>
      </c>
      <c r="H13" s="12">
        <f t="shared" si="11"/>
        <v>15.87</v>
      </c>
      <c r="I13" s="12">
        <f t="shared" si="11"/>
        <v>14.8</v>
      </c>
      <c r="L13" s="46">
        <v>13.9</v>
      </c>
      <c r="M13" s="46">
        <f t="shared" si="12"/>
        <v>-0.45000000000000107</v>
      </c>
      <c r="N13" s="46">
        <v>10.43</v>
      </c>
      <c r="O13" s="46">
        <f t="shared" si="13"/>
        <v>-0.33999999999999986</v>
      </c>
      <c r="P13" s="46"/>
      <c r="Q13" s="39">
        <v>251.51315231696077</v>
      </c>
      <c r="R13" s="38">
        <f t="shared" si="14"/>
        <v>-85.514471787766624</v>
      </c>
      <c r="S13" s="47"/>
      <c r="T13" s="39">
        <v>215.51315231696077</v>
      </c>
      <c r="U13" s="38">
        <f t="shared" si="15"/>
        <v>-73.274471787766629</v>
      </c>
      <c r="V13" s="51"/>
      <c r="W13" s="51"/>
      <c r="X13" s="46">
        <v>26.9</v>
      </c>
      <c r="Y13" s="47">
        <f t="shared" si="16"/>
        <v>3.3457249070631967E-2</v>
      </c>
      <c r="Z13" s="46">
        <f t="shared" si="2"/>
        <v>27.8</v>
      </c>
      <c r="AA13" s="12">
        <f t="shared" si="3"/>
        <v>0.90000000000000213</v>
      </c>
      <c r="AB13" s="12">
        <f t="shared" si="4"/>
        <v>15.29</v>
      </c>
      <c r="AC13" s="12">
        <f t="shared" si="5"/>
        <v>0.48999999999999844</v>
      </c>
      <c r="AD13" s="12">
        <f t="shared" si="6"/>
        <v>16.399999999999999</v>
      </c>
      <c r="AE13" s="12">
        <f t="shared" si="7"/>
        <v>0.52999999999999936</v>
      </c>
      <c r="AF13" s="12"/>
      <c r="AJ13" s="11" t="e">
        <f>+#REF!*$AE13</f>
        <v>#REF!</v>
      </c>
      <c r="AK13" s="11" t="e">
        <f>+#REF!*$AA13</f>
        <v>#REF!</v>
      </c>
      <c r="AL13" s="11" t="e">
        <f>+#REF!*$AC13</f>
        <v>#REF!</v>
      </c>
    </row>
    <row r="14" spans="1:39" x14ac:dyDescent="0.3">
      <c r="A14" s="4">
        <v>693465420119</v>
      </c>
      <c r="B14" s="5" t="s">
        <v>30</v>
      </c>
      <c r="C14" s="5" t="s">
        <v>31</v>
      </c>
      <c r="D14" s="12">
        <f t="shared" si="8"/>
        <v>48.9</v>
      </c>
      <c r="E14" s="12">
        <v>24.45</v>
      </c>
      <c r="F14" s="47">
        <f t="shared" si="9"/>
        <v>-0.5</v>
      </c>
      <c r="G14" s="12">
        <f t="shared" si="10"/>
        <v>18.34</v>
      </c>
      <c r="H14" s="12">
        <f t="shared" si="11"/>
        <v>28.85</v>
      </c>
      <c r="I14" s="12">
        <f t="shared" si="11"/>
        <v>26.9</v>
      </c>
      <c r="L14" s="46">
        <v>24.9</v>
      </c>
      <c r="M14" s="46">
        <f t="shared" si="12"/>
        <v>-0.44999999999999929</v>
      </c>
      <c r="N14" s="46">
        <v>18.68</v>
      </c>
      <c r="O14" s="46">
        <f t="shared" si="13"/>
        <v>-0.33999999999999986</v>
      </c>
      <c r="P14" s="46"/>
      <c r="Q14" s="39">
        <v>1891.0512728405979</v>
      </c>
      <c r="R14" s="38">
        <f t="shared" si="14"/>
        <v>-642.95743276580299</v>
      </c>
      <c r="S14" s="47"/>
      <c r="T14" s="39">
        <v>1711.0512728405977</v>
      </c>
      <c r="U14" s="38">
        <f t="shared" si="15"/>
        <v>-581.75743276580295</v>
      </c>
      <c r="V14" s="51"/>
      <c r="W14" s="51"/>
      <c r="X14" s="46">
        <v>48.9</v>
      </c>
      <c r="Y14" s="47">
        <f t="shared" si="16"/>
        <v>1.8404907975460016E-2</v>
      </c>
      <c r="Z14" s="46">
        <f t="shared" si="2"/>
        <v>49.8</v>
      </c>
      <c r="AA14" s="12">
        <f t="shared" si="3"/>
        <v>0.89999999999999858</v>
      </c>
      <c r="AB14" s="12">
        <f t="shared" si="4"/>
        <v>27.39</v>
      </c>
      <c r="AC14" s="12">
        <f t="shared" si="5"/>
        <v>0.49000000000000199</v>
      </c>
      <c r="AD14" s="12">
        <f t="shared" si="6"/>
        <v>29.38</v>
      </c>
      <c r="AE14" s="12">
        <f t="shared" si="7"/>
        <v>0.52999999999999758</v>
      </c>
      <c r="AF14" s="12"/>
      <c r="AJ14" s="11" t="e">
        <f>+#REF!*$AE14</f>
        <v>#REF!</v>
      </c>
      <c r="AK14" s="11" t="e">
        <f>+#REF!*$AA14</f>
        <v>#REF!</v>
      </c>
      <c r="AL14" s="11" t="e">
        <f>+#REF!*$AC14</f>
        <v>#REF!</v>
      </c>
    </row>
    <row r="15" spans="1:39" x14ac:dyDescent="0.3">
      <c r="A15" s="4">
        <v>693465115114</v>
      </c>
      <c r="B15" s="5" t="s">
        <v>32</v>
      </c>
      <c r="C15" s="5" t="s">
        <v>33</v>
      </c>
      <c r="D15" s="12">
        <f t="shared" si="8"/>
        <v>33.9</v>
      </c>
      <c r="E15" s="12">
        <v>16.95</v>
      </c>
      <c r="F15" s="47">
        <f t="shared" si="9"/>
        <v>-0.5</v>
      </c>
      <c r="G15" s="12">
        <f t="shared" si="10"/>
        <v>12.71</v>
      </c>
      <c r="H15" s="12">
        <f t="shared" si="11"/>
        <v>20</v>
      </c>
      <c r="I15" s="12">
        <f t="shared" si="11"/>
        <v>18.649999999999999</v>
      </c>
      <c r="L15" s="46">
        <v>17.899999999999999</v>
      </c>
      <c r="M15" s="46">
        <f t="shared" si="12"/>
        <v>-0.94999999999999929</v>
      </c>
      <c r="N15" s="46">
        <v>13.060258358662612</v>
      </c>
      <c r="O15" s="46">
        <f t="shared" si="13"/>
        <v>-0.3502583586626109</v>
      </c>
      <c r="P15" s="46"/>
      <c r="Q15" s="39">
        <v>1970.318448074529</v>
      </c>
      <c r="R15" s="38">
        <f t="shared" si="14"/>
        <v>-690.12050566524726</v>
      </c>
      <c r="S15" s="47"/>
      <c r="T15" s="39">
        <v>1670.318448074529</v>
      </c>
      <c r="U15" s="38">
        <f t="shared" si="15"/>
        <v>-585.04299806646395</v>
      </c>
      <c r="V15" s="51"/>
      <c r="W15" s="51"/>
      <c r="X15" s="46">
        <v>33.9</v>
      </c>
      <c r="Y15" s="47">
        <f t="shared" si="16"/>
        <v>5.6047197640118007E-2</v>
      </c>
      <c r="Z15" s="46">
        <f t="shared" si="2"/>
        <v>35.799999999999997</v>
      </c>
      <c r="AA15" s="12">
        <f t="shared" si="3"/>
        <v>1.8999999999999986</v>
      </c>
      <c r="AB15" s="12">
        <f t="shared" si="4"/>
        <v>19.690000000000001</v>
      </c>
      <c r="AC15" s="12">
        <f t="shared" si="5"/>
        <v>1.0400000000000027</v>
      </c>
      <c r="AD15" s="12">
        <f t="shared" si="6"/>
        <v>21.12</v>
      </c>
      <c r="AE15" s="12">
        <f t="shared" si="7"/>
        <v>1.120000000000001</v>
      </c>
      <c r="AF15" s="12"/>
      <c r="AJ15" s="11" t="e">
        <f>+#REF!*$AE15</f>
        <v>#REF!</v>
      </c>
      <c r="AK15" s="11" t="e">
        <f>+#REF!*$AA15</f>
        <v>#REF!</v>
      </c>
      <c r="AL15" s="11" t="e">
        <f>+#REF!*$AC15</f>
        <v>#REF!</v>
      </c>
    </row>
    <row r="16" spans="1:39" x14ac:dyDescent="0.3">
      <c r="A16" s="4">
        <v>693465107119</v>
      </c>
      <c r="B16" s="5" t="s">
        <v>34</v>
      </c>
      <c r="C16" s="5" t="s">
        <v>35</v>
      </c>
      <c r="D16" s="12">
        <f t="shared" si="8"/>
        <v>76.900000000000006</v>
      </c>
      <c r="E16" s="12">
        <v>38.450000000000003</v>
      </c>
      <c r="F16" s="47">
        <f t="shared" si="9"/>
        <v>-0.5</v>
      </c>
      <c r="G16" s="12">
        <f t="shared" si="10"/>
        <v>28.84</v>
      </c>
      <c r="H16" s="12">
        <f t="shared" si="11"/>
        <v>45.37</v>
      </c>
      <c r="I16" s="12">
        <f t="shared" si="11"/>
        <v>42.3</v>
      </c>
      <c r="L16" s="46">
        <v>38.9</v>
      </c>
      <c r="M16" s="46">
        <f t="shared" si="12"/>
        <v>-0.44999999999999574</v>
      </c>
      <c r="N16" s="46">
        <v>29.18</v>
      </c>
      <c r="O16" s="46">
        <f t="shared" si="13"/>
        <v>-0.33999999999999986</v>
      </c>
      <c r="P16" s="46"/>
      <c r="Q16" s="39">
        <v>1731.8894357553334</v>
      </c>
      <c r="R16" s="38">
        <f t="shared" si="14"/>
        <v>-588.84240815681312</v>
      </c>
      <c r="S16" s="47"/>
      <c r="T16" s="39">
        <v>1515.8894357553334</v>
      </c>
      <c r="U16" s="38">
        <f t="shared" si="15"/>
        <v>-515.40240815681318</v>
      </c>
      <c r="V16" s="51"/>
      <c r="W16" s="51"/>
      <c r="X16" s="46">
        <v>76.900000000000006</v>
      </c>
      <c r="Y16" s="47">
        <f t="shared" si="16"/>
        <v>1.1703511053315907E-2</v>
      </c>
      <c r="Z16" s="46">
        <f t="shared" si="2"/>
        <v>77.8</v>
      </c>
      <c r="AA16" s="12">
        <f t="shared" si="3"/>
        <v>0.89999999999999147</v>
      </c>
      <c r="AB16" s="12">
        <f t="shared" si="4"/>
        <v>42.79</v>
      </c>
      <c r="AC16" s="12">
        <f t="shared" si="5"/>
        <v>0.49000000000000199</v>
      </c>
      <c r="AD16" s="12">
        <f t="shared" si="6"/>
        <v>45.9</v>
      </c>
      <c r="AE16" s="12">
        <f t="shared" si="7"/>
        <v>0.53000000000000114</v>
      </c>
      <c r="AF16" s="12"/>
      <c r="AJ16" s="11" t="e">
        <f>+#REF!*$AE16</f>
        <v>#REF!</v>
      </c>
      <c r="AK16" s="11" t="e">
        <f>+#REF!*$AA16</f>
        <v>#REF!</v>
      </c>
      <c r="AL16" s="11" t="e">
        <f>+#REF!*$AC16</f>
        <v>#REF!</v>
      </c>
    </row>
    <row r="17" spans="1:38" x14ac:dyDescent="0.3">
      <c r="A17" s="4">
        <v>693465524114</v>
      </c>
      <c r="B17" s="5" t="s">
        <v>36</v>
      </c>
      <c r="C17" s="5" t="s">
        <v>37</v>
      </c>
      <c r="D17" s="12">
        <f t="shared" si="8"/>
        <v>34.9</v>
      </c>
      <c r="E17" s="12">
        <v>17.45</v>
      </c>
      <c r="F17" s="47">
        <f t="shared" si="9"/>
        <v>-0.5</v>
      </c>
      <c r="G17" s="12">
        <f t="shared" si="10"/>
        <v>13.09</v>
      </c>
      <c r="H17" s="12">
        <f t="shared" si="11"/>
        <v>20.59</v>
      </c>
      <c r="I17" s="12">
        <f t="shared" si="11"/>
        <v>19.2</v>
      </c>
      <c r="L17" s="46">
        <v>18.899999999999999</v>
      </c>
      <c r="M17" s="46">
        <f t="shared" si="12"/>
        <v>-1.4499999999999993</v>
      </c>
      <c r="N17" s="46">
        <v>13.821017699115043</v>
      </c>
      <c r="O17" s="46">
        <f t="shared" si="13"/>
        <v>-0.73101769911504277</v>
      </c>
      <c r="P17" s="46"/>
      <c r="Q17" s="39">
        <v>5187.012785952069</v>
      </c>
      <c r="R17" s="38">
        <f t="shared" si="14"/>
        <v>-3791.7981520669891</v>
      </c>
      <c r="S17" s="47"/>
      <c r="T17" s="39">
        <v>4551.012785952068</v>
      </c>
      <c r="U17" s="38">
        <f t="shared" si="15"/>
        <v>-3326.8708954298213</v>
      </c>
      <c r="V17" s="51"/>
      <c r="W17" s="51"/>
      <c r="X17" s="46">
        <v>34.9</v>
      </c>
      <c r="Y17" s="47">
        <f t="shared" si="16"/>
        <v>8.3094555873925557E-2</v>
      </c>
      <c r="Z17" s="46">
        <f t="shared" si="2"/>
        <v>37.799999999999997</v>
      </c>
      <c r="AA17" s="12">
        <f t="shared" si="3"/>
        <v>2.8999999999999986</v>
      </c>
      <c r="AB17" s="12">
        <f t="shared" si="4"/>
        <v>20.79</v>
      </c>
      <c r="AC17" s="12">
        <f t="shared" si="5"/>
        <v>1.5899999999999999</v>
      </c>
      <c r="AD17" s="12">
        <f t="shared" si="6"/>
        <v>22.3</v>
      </c>
      <c r="AE17" s="12">
        <f t="shared" si="7"/>
        <v>1.7100000000000009</v>
      </c>
      <c r="AF17" s="12"/>
      <c r="AJ17" s="11" t="e">
        <f>+#REF!*$AE17</f>
        <v>#REF!</v>
      </c>
      <c r="AK17" s="11" t="e">
        <f>+#REF!*$AA17</f>
        <v>#REF!</v>
      </c>
      <c r="AL17" s="11" t="e">
        <f>+#REF!*$AC17</f>
        <v>#REF!</v>
      </c>
    </row>
    <row r="18" spans="1:38" x14ac:dyDescent="0.3">
      <c r="A18" s="4">
        <v>693465524213</v>
      </c>
      <c r="B18" s="5" t="s">
        <v>38</v>
      </c>
      <c r="C18" s="5" t="s">
        <v>39</v>
      </c>
      <c r="D18" s="12">
        <f t="shared" si="8"/>
        <v>62.9</v>
      </c>
      <c r="E18" s="12">
        <v>31.45</v>
      </c>
      <c r="F18" s="47">
        <f t="shared" si="9"/>
        <v>-0.5</v>
      </c>
      <c r="G18" s="12">
        <f t="shared" si="10"/>
        <v>23.59</v>
      </c>
      <c r="H18" s="12">
        <f t="shared" si="11"/>
        <v>37.11</v>
      </c>
      <c r="I18" s="12">
        <f t="shared" si="11"/>
        <v>34.6</v>
      </c>
      <c r="L18" s="46">
        <v>30.9</v>
      </c>
      <c r="M18" s="46">
        <f t="shared" si="12"/>
        <v>0.55000000000000071</v>
      </c>
      <c r="N18" s="46">
        <v>23.18</v>
      </c>
      <c r="O18" s="46">
        <f t="shared" si="13"/>
        <v>0.41000000000000014</v>
      </c>
      <c r="P18" s="46"/>
      <c r="Q18" s="39">
        <v>7609.8136509661917</v>
      </c>
      <c r="R18" s="38">
        <f t="shared" si="14"/>
        <v>3120.0235968961397</v>
      </c>
      <c r="S18" s="47"/>
      <c r="T18" s="39">
        <v>6625.8136509661917</v>
      </c>
      <c r="U18" s="38">
        <f t="shared" si="15"/>
        <v>2716.5835968961396</v>
      </c>
      <c r="V18" s="51"/>
      <c r="W18" s="51"/>
      <c r="X18" s="46">
        <v>59.9</v>
      </c>
      <c r="Y18" s="47">
        <f t="shared" si="16"/>
        <v>3.1719532554256968E-2</v>
      </c>
      <c r="Z18" s="46">
        <f t="shared" si="2"/>
        <v>61.8</v>
      </c>
      <c r="AA18" s="12">
        <f t="shared" si="3"/>
        <v>-1.1000000000000014</v>
      </c>
      <c r="AB18" s="12">
        <f t="shared" si="4"/>
        <v>33.99</v>
      </c>
      <c r="AC18" s="12">
        <f t="shared" si="5"/>
        <v>-0.60999999999999943</v>
      </c>
      <c r="AD18" s="12">
        <f t="shared" si="6"/>
        <v>36.46</v>
      </c>
      <c r="AE18" s="12">
        <f t="shared" si="7"/>
        <v>-0.64999999999999858</v>
      </c>
      <c r="AF18" s="12"/>
      <c r="AJ18" s="11" t="e">
        <f>+#REF!*$AE18</f>
        <v>#REF!</v>
      </c>
      <c r="AK18" s="11" t="e">
        <f>+#REF!*$AA18</f>
        <v>#REF!</v>
      </c>
      <c r="AL18" s="11" t="e">
        <f>+#REF!*$AC18</f>
        <v>#REF!</v>
      </c>
    </row>
    <row r="19" spans="1:38" x14ac:dyDescent="0.3">
      <c r="A19" s="4">
        <v>693465260111</v>
      </c>
      <c r="B19" s="5" t="s">
        <v>40</v>
      </c>
      <c r="C19" s="5" t="s">
        <v>41</v>
      </c>
      <c r="D19" s="12">
        <f t="shared" si="8"/>
        <v>49.9</v>
      </c>
      <c r="E19" s="12">
        <v>24.95</v>
      </c>
      <c r="F19" s="47">
        <f t="shared" si="9"/>
        <v>-0.5</v>
      </c>
      <c r="G19" s="12">
        <f t="shared" si="10"/>
        <v>18.71</v>
      </c>
      <c r="H19" s="12">
        <f t="shared" si="11"/>
        <v>29.44</v>
      </c>
      <c r="I19" s="12">
        <f t="shared" si="11"/>
        <v>27.45</v>
      </c>
      <c r="L19" s="46">
        <v>25.9</v>
      </c>
      <c r="M19" s="46">
        <f t="shared" si="12"/>
        <v>-0.94999999999999929</v>
      </c>
      <c r="N19" s="46">
        <v>19.43</v>
      </c>
      <c r="O19" s="46">
        <f t="shared" si="13"/>
        <v>-0.71999999999999886</v>
      </c>
      <c r="P19" s="46"/>
      <c r="Q19" s="39">
        <v>2626.523409041557</v>
      </c>
      <c r="R19" s="38">
        <f t="shared" si="14"/>
        <v>-1891.0968545099181</v>
      </c>
      <c r="S19" s="47"/>
      <c r="T19" s="39">
        <v>2290.523409041557</v>
      </c>
      <c r="U19" s="38">
        <f t="shared" si="15"/>
        <v>-1649.1768545099185</v>
      </c>
      <c r="V19" s="51"/>
      <c r="W19" s="51"/>
      <c r="X19" s="46">
        <v>49.9</v>
      </c>
      <c r="Y19" s="47">
        <f t="shared" si="16"/>
        <v>3.8076152304609145E-2</v>
      </c>
      <c r="Z19" s="46">
        <f t="shared" si="2"/>
        <v>51.8</v>
      </c>
      <c r="AA19" s="12">
        <f t="shared" si="3"/>
        <v>1.8999999999999986</v>
      </c>
      <c r="AB19" s="12">
        <f t="shared" si="4"/>
        <v>28.49</v>
      </c>
      <c r="AC19" s="12">
        <f t="shared" si="5"/>
        <v>1.0399999999999991</v>
      </c>
      <c r="AD19" s="12">
        <f t="shared" si="6"/>
        <v>30.56</v>
      </c>
      <c r="AE19" s="12">
        <f t="shared" si="7"/>
        <v>1.1199999999999974</v>
      </c>
      <c r="AF19" s="12"/>
      <c r="AJ19" s="11" t="e">
        <f>+#REF!*$AE19</f>
        <v>#REF!</v>
      </c>
      <c r="AK19" s="11" t="e">
        <f>+#REF!*$AA19</f>
        <v>#REF!</v>
      </c>
      <c r="AL19" s="11" t="e">
        <f>+#REF!*$AC19</f>
        <v>#REF!</v>
      </c>
    </row>
    <row r="20" spans="1:38" x14ac:dyDescent="0.3">
      <c r="A20" s="4">
        <v>693465201114</v>
      </c>
      <c r="B20" s="5" t="s">
        <v>42</v>
      </c>
      <c r="C20" s="5" t="s">
        <v>43</v>
      </c>
      <c r="D20" s="12">
        <f t="shared" si="8"/>
        <v>26.9</v>
      </c>
      <c r="E20" s="12">
        <v>13.45</v>
      </c>
      <c r="F20" s="47">
        <f t="shared" si="9"/>
        <v>-0.5</v>
      </c>
      <c r="G20" s="12">
        <f t="shared" si="10"/>
        <v>10.09</v>
      </c>
      <c r="H20" s="12">
        <f t="shared" si="11"/>
        <v>15.87</v>
      </c>
      <c r="I20" s="12">
        <f t="shared" si="11"/>
        <v>14.8</v>
      </c>
      <c r="L20" s="46">
        <v>13.9</v>
      </c>
      <c r="M20" s="46">
        <f t="shared" si="12"/>
        <v>-0.45000000000000107</v>
      </c>
      <c r="N20" s="46">
        <v>10.43</v>
      </c>
      <c r="O20" s="46">
        <f t="shared" si="13"/>
        <v>-0.33999999999999986</v>
      </c>
      <c r="P20" s="46"/>
      <c r="Q20" s="39">
        <v>7568.340623813735</v>
      </c>
      <c r="R20" s="38">
        <f t="shared" si="14"/>
        <v>-2573.2358120966687</v>
      </c>
      <c r="S20" s="47"/>
      <c r="T20" s="39">
        <v>6668.340623813735</v>
      </c>
      <c r="U20" s="38">
        <f t="shared" si="15"/>
        <v>-2267.2358120966687</v>
      </c>
      <c r="V20" s="51"/>
      <c r="W20" s="51"/>
      <c r="X20" s="46">
        <v>26.9</v>
      </c>
      <c r="Y20" s="47">
        <f t="shared" si="16"/>
        <v>3.3457249070631967E-2</v>
      </c>
      <c r="Z20" s="46">
        <f t="shared" si="2"/>
        <v>27.8</v>
      </c>
      <c r="AA20" s="12">
        <f t="shared" si="3"/>
        <v>0.90000000000000213</v>
      </c>
      <c r="AB20" s="12">
        <f t="shared" si="4"/>
        <v>15.29</v>
      </c>
      <c r="AC20" s="12">
        <f t="shared" si="5"/>
        <v>0.48999999999999844</v>
      </c>
      <c r="AD20" s="12">
        <f t="shared" si="6"/>
        <v>16.399999999999999</v>
      </c>
      <c r="AE20" s="12">
        <f t="shared" si="7"/>
        <v>0.52999999999999936</v>
      </c>
      <c r="AF20" s="12"/>
      <c r="AJ20" s="11" t="e">
        <f>+#REF!*$AE20</f>
        <v>#REF!</v>
      </c>
      <c r="AK20" s="11" t="e">
        <f>+#REF!*$AA20</f>
        <v>#REF!</v>
      </c>
      <c r="AL20" s="11" t="e">
        <f>+#REF!*$AC20</f>
        <v>#REF!</v>
      </c>
    </row>
    <row r="21" spans="1:38" x14ac:dyDescent="0.3">
      <c r="A21" s="4">
        <v>693465403112</v>
      </c>
      <c r="B21" s="5" t="s">
        <v>44</v>
      </c>
      <c r="C21" s="5" t="s">
        <v>45</v>
      </c>
      <c r="D21" s="12">
        <f t="shared" si="8"/>
        <v>24.9</v>
      </c>
      <c r="E21" s="12">
        <v>12.45</v>
      </c>
      <c r="F21" s="47">
        <f t="shared" si="9"/>
        <v>-0.5</v>
      </c>
      <c r="G21" s="12">
        <f t="shared" si="10"/>
        <v>9.34</v>
      </c>
      <c r="H21" s="12">
        <f t="shared" si="11"/>
        <v>14.69</v>
      </c>
      <c r="I21" s="12">
        <f t="shared" si="11"/>
        <v>13.7</v>
      </c>
      <c r="L21" s="46">
        <v>12.9</v>
      </c>
      <c r="M21" s="46">
        <f t="shared" si="12"/>
        <v>-0.45000000000000107</v>
      </c>
      <c r="N21" s="46">
        <v>9.68</v>
      </c>
      <c r="O21" s="46">
        <f t="shared" si="13"/>
        <v>-0.33999999999999986</v>
      </c>
      <c r="P21" s="46"/>
      <c r="Q21" s="39">
        <v>810.89077218257842</v>
      </c>
      <c r="R21" s="38">
        <f t="shared" si="14"/>
        <v>-275.70286254207656</v>
      </c>
      <c r="S21" s="47"/>
      <c r="T21" s="39">
        <v>702.89077218257842</v>
      </c>
      <c r="U21" s="38">
        <f t="shared" si="15"/>
        <v>-238.98286254207656</v>
      </c>
      <c r="V21" s="51"/>
      <c r="W21" s="51"/>
      <c r="X21" s="46">
        <v>24.9</v>
      </c>
      <c r="Y21" s="47">
        <f t="shared" si="16"/>
        <v>3.6144578313253017E-2</v>
      </c>
      <c r="Z21" s="46">
        <f t="shared" si="2"/>
        <v>25.8</v>
      </c>
      <c r="AA21" s="12">
        <f t="shared" si="3"/>
        <v>0.90000000000000213</v>
      </c>
      <c r="AB21" s="12">
        <f t="shared" si="4"/>
        <v>14.19</v>
      </c>
      <c r="AC21" s="12">
        <f t="shared" si="5"/>
        <v>0.49000000000000021</v>
      </c>
      <c r="AD21" s="12">
        <f t="shared" si="6"/>
        <v>15.22</v>
      </c>
      <c r="AE21" s="12">
        <f t="shared" si="7"/>
        <v>0.53000000000000114</v>
      </c>
      <c r="AF21" s="12"/>
      <c r="AJ21" s="11" t="e">
        <f>+#REF!*$AE21</f>
        <v>#REF!</v>
      </c>
      <c r="AK21" s="11" t="e">
        <f>+#REF!*$AA21</f>
        <v>#REF!</v>
      </c>
      <c r="AL21" s="11" t="e">
        <f>+#REF!*$AC21</f>
        <v>#REF!</v>
      </c>
    </row>
    <row r="22" spans="1:38" x14ac:dyDescent="0.3">
      <c r="A22" s="4">
        <v>693465202210</v>
      </c>
      <c r="B22" s="5" t="s">
        <v>46</v>
      </c>
      <c r="C22" s="5" t="s">
        <v>47</v>
      </c>
      <c r="D22" s="12">
        <f t="shared" si="8"/>
        <v>62.9</v>
      </c>
      <c r="E22" s="12">
        <v>31.45</v>
      </c>
      <c r="F22" s="47">
        <f t="shared" si="9"/>
        <v>-0.5</v>
      </c>
      <c r="G22" s="12">
        <f t="shared" si="10"/>
        <v>23.59</v>
      </c>
      <c r="H22" s="12">
        <f t="shared" si="11"/>
        <v>37.11</v>
      </c>
      <c r="I22" s="12">
        <f t="shared" si="11"/>
        <v>34.6</v>
      </c>
      <c r="L22" s="46">
        <v>30.9</v>
      </c>
      <c r="M22" s="46">
        <f t="shared" si="12"/>
        <v>0.55000000000000071</v>
      </c>
      <c r="N22" s="46">
        <v>23.18</v>
      </c>
      <c r="O22" s="46">
        <f t="shared" si="13"/>
        <v>0.41000000000000014</v>
      </c>
      <c r="P22" s="46"/>
      <c r="Q22" s="39">
        <v>8110.6785639905984</v>
      </c>
      <c r="R22" s="38">
        <f t="shared" si="14"/>
        <v>3325.3782112361464</v>
      </c>
      <c r="S22" s="47"/>
      <c r="T22" s="39">
        <v>6802.6785639905984</v>
      </c>
      <c r="U22" s="38">
        <f t="shared" si="15"/>
        <v>2789.0982112361462</v>
      </c>
      <c r="V22" s="51"/>
      <c r="W22" s="51"/>
      <c r="X22" s="46">
        <v>59.9</v>
      </c>
      <c r="Y22" s="47">
        <f t="shared" si="16"/>
        <v>3.1719532554256968E-2</v>
      </c>
      <c r="Z22" s="46">
        <f t="shared" si="2"/>
        <v>61.8</v>
      </c>
      <c r="AA22" s="12">
        <f t="shared" si="3"/>
        <v>-1.1000000000000014</v>
      </c>
      <c r="AB22" s="12">
        <f t="shared" si="4"/>
        <v>33.99</v>
      </c>
      <c r="AC22" s="12">
        <f t="shared" si="5"/>
        <v>-0.60999999999999943</v>
      </c>
      <c r="AD22" s="12">
        <f t="shared" si="6"/>
        <v>36.46</v>
      </c>
      <c r="AE22" s="12">
        <f t="shared" si="7"/>
        <v>-0.64999999999999858</v>
      </c>
      <c r="AF22" s="12"/>
      <c r="AJ22" s="11" t="e">
        <f>+#REF!*$AE22</f>
        <v>#REF!</v>
      </c>
      <c r="AK22" s="11" t="e">
        <f>+#REF!*$AA22</f>
        <v>#REF!</v>
      </c>
      <c r="AL22" s="11" t="e">
        <f>+#REF!*$AC22</f>
        <v>#REF!</v>
      </c>
    </row>
    <row r="23" spans="1:38" x14ac:dyDescent="0.3">
      <c r="B23" s="5" t="s">
        <v>48</v>
      </c>
      <c r="C23" s="5" t="s">
        <v>48</v>
      </c>
      <c r="D23" s="12">
        <f t="shared" si="8"/>
        <v>62.9</v>
      </c>
      <c r="E23" s="12">
        <v>31.45</v>
      </c>
      <c r="F23" s="47">
        <f t="shared" si="9"/>
        <v>-0.5</v>
      </c>
      <c r="G23" s="12">
        <f t="shared" si="10"/>
        <v>23.59</v>
      </c>
      <c r="H23" s="12">
        <f t="shared" si="11"/>
        <v>37.11</v>
      </c>
      <c r="I23" s="12">
        <f t="shared" si="11"/>
        <v>34.6</v>
      </c>
      <c r="L23" s="46">
        <v>30.9</v>
      </c>
      <c r="M23" s="46">
        <f t="shared" si="12"/>
        <v>0.55000000000000071</v>
      </c>
      <c r="N23" s="46">
        <v>23.18</v>
      </c>
      <c r="O23" s="46">
        <f t="shared" si="13"/>
        <v>0.41000000000000014</v>
      </c>
      <c r="P23" s="46"/>
      <c r="Q23" s="39">
        <v>1849.294696682118</v>
      </c>
      <c r="R23" s="38">
        <f t="shared" si="14"/>
        <v>758.21082563966866</v>
      </c>
      <c r="S23" s="47"/>
      <c r="T23" s="39">
        <v>1585.2946966821178</v>
      </c>
      <c r="U23" s="38">
        <f t="shared" si="15"/>
        <v>649.97082563966853</v>
      </c>
      <c r="V23" s="51"/>
      <c r="W23" s="51"/>
      <c r="X23" s="46">
        <v>59.9</v>
      </c>
      <c r="Y23" s="47">
        <f t="shared" si="16"/>
        <v>3.1719532554256968E-2</v>
      </c>
      <c r="Z23" s="46">
        <f t="shared" si="2"/>
        <v>61.8</v>
      </c>
      <c r="AA23" s="12">
        <f t="shared" si="3"/>
        <v>-1.1000000000000014</v>
      </c>
      <c r="AB23" s="12">
        <f t="shared" si="4"/>
        <v>33.99</v>
      </c>
      <c r="AC23" s="12">
        <f t="shared" si="5"/>
        <v>-0.60999999999999943</v>
      </c>
      <c r="AD23" s="12">
        <f t="shared" si="6"/>
        <v>36.46</v>
      </c>
      <c r="AE23" s="12">
        <f t="shared" si="7"/>
        <v>-0.64999999999999858</v>
      </c>
      <c r="AF23" s="12"/>
      <c r="AJ23" s="11" t="e">
        <f>+#REF!*$AE23</f>
        <v>#REF!</v>
      </c>
      <c r="AK23" s="11" t="e">
        <f>+#REF!*$AA23</f>
        <v>#REF!</v>
      </c>
      <c r="AL23" s="11" t="e">
        <f>+#REF!*$AC23</f>
        <v>#REF!</v>
      </c>
    </row>
    <row r="24" spans="1:38" x14ac:dyDescent="0.3">
      <c r="A24" s="4">
        <v>693465202319</v>
      </c>
      <c r="B24" s="5" t="s">
        <v>49</v>
      </c>
      <c r="C24" s="5" t="s">
        <v>50</v>
      </c>
      <c r="D24" s="12">
        <f t="shared" si="8"/>
        <v>109.9</v>
      </c>
      <c r="E24" s="12">
        <v>54.95</v>
      </c>
      <c r="F24" s="47">
        <f t="shared" si="9"/>
        <v>-0.5</v>
      </c>
      <c r="G24" s="12">
        <f t="shared" si="10"/>
        <v>41.21</v>
      </c>
      <c r="H24" s="12">
        <f t="shared" si="11"/>
        <v>64.84</v>
      </c>
      <c r="I24" s="12">
        <f t="shared" si="11"/>
        <v>60.45</v>
      </c>
      <c r="L24" s="46">
        <v>53.9</v>
      </c>
      <c r="M24" s="46">
        <f t="shared" si="12"/>
        <v>1.0500000000000043</v>
      </c>
      <c r="N24" s="46">
        <v>40.43</v>
      </c>
      <c r="O24" s="46">
        <f t="shared" si="13"/>
        <v>0.78000000000000114</v>
      </c>
      <c r="P24" s="46"/>
      <c r="Q24" s="39">
        <v>6766.619712671084</v>
      </c>
      <c r="R24" s="38">
        <f t="shared" si="14"/>
        <v>5277.9633758834534</v>
      </c>
      <c r="S24" s="47"/>
      <c r="T24" s="39">
        <v>5590.619712671084</v>
      </c>
      <c r="U24" s="38">
        <f t="shared" si="15"/>
        <v>4360.6833758834518</v>
      </c>
      <c r="V24" s="51"/>
      <c r="W24" s="51"/>
      <c r="X24" s="46">
        <v>104.9</v>
      </c>
      <c r="Y24" s="47">
        <f t="shared" si="16"/>
        <v>2.7645376549094269E-2</v>
      </c>
      <c r="Z24" s="46">
        <f t="shared" si="2"/>
        <v>107.8</v>
      </c>
      <c r="AA24" s="12">
        <f t="shared" si="3"/>
        <v>-2.1000000000000085</v>
      </c>
      <c r="AB24" s="12">
        <f t="shared" si="4"/>
        <v>59.29</v>
      </c>
      <c r="AC24" s="12">
        <f t="shared" si="5"/>
        <v>-1.1600000000000037</v>
      </c>
      <c r="AD24" s="12">
        <f t="shared" si="6"/>
        <v>63.6</v>
      </c>
      <c r="AE24" s="12">
        <f t="shared" si="7"/>
        <v>-1.240000000000002</v>
      </c>
      <c r="AF24" s="12"/>
      <c r="AJ24" s="11" t="e">
        <f>+#REF!*$AE24</f>
        <v>#REF!</v>
      </c>
      <c r="AK24" s="11" t="e">
        <f>+#REF!*$AA24</f>
        <v>#REF!</v>
      </c>
      <c r="AL24" s="11" t="e">
        <f>+#REF!*$AC24</f>
        <v>#REF!</v>
      </c>
    </row>
    <row r="25" spans="1:38" x14ac:dyDescent="0.3">
      <c r="B25" s="5" t="s">
        <v>51</v>
      </c>
      <c r="C25" s="5" t="s">
        <v>51</v>
      </c>
      <c r="D25" s="12">
        <f t="shared" si="8"/>
        <v>109.9</v>
      </c>
      <c r="E25" s="12">
        <v>54.95</v>
      </c>
      <c r="F25" s="47">
        <f t="shared" si="9"/>
        <v>-0.5</v>
      </c>
      <c r="G25" s="12">
        <f t="shared" si="10"/>
        <v>41.21</v>
      </c>
      <c r="H25" s="12">
        <f t="shared" si="11"/>
        <v>64.84</v>
      </c>
      <c r="I25" s="12">
        <f t="shared" si="11"/>
        <v>60.45</v>
      </c>
      <c r="L25" s="46">
        <v>53.9</v>
      </c>
      <c r="M25" s="46">
        <f t="shared" si="12"/>
        <v>1.0500000000000043</v>
      </c>
      <c r="N25" s="46">
        <v>40.43</v>
      </c>
      <c r="O25" s="46">
        <f t="shared" si="13"/>
        <v>0.78000000000000114</v>
      </c>
      <c r="P25" s="46"/>
      <c r="Q25" s="39">
        <v>1155.8091854263237</v>
      </c>
      <c r="R25" s="38">
        <f t="shared" si="14"/>
        <v>901.53116463253377</v>
      </c>
      <c r="S25" s="47"/>
      <c r="T25" s="39">
        <v>987.80918542632367</v>
      </c>
      <c r="U25" s="38">
        <f t="shared" si="15"/>
        <v>770.49116463253358</v>
      </c>
      <c r="V25" s="51"/>
      <c r="W25" s="51"/>
      <c r="X25" s="46">
        <v>104.9</v>
      </c>
      <c r="Y25" s="47">
        <f t="shared" si="16"/>
        <v>2.7645376549094269E-2</v>
      </c>
      <c r="Z25" s="46">
        <f t="shared" si="2"/>
        <v>107.8</v>
      </c>
      <c r="AA25" s="12">
        <f t="shared" si="3"/>
        <v>-2.1000000000000085</v>
      </c>
      <c r="AB25" s="12">
        <f t="shared" si="4"/>
        <v>59.29</v>
      </c>
      <c r="AC25" s="12">
        <f t="shared" si="5"/>
        <v>-1.1600000000000037</v>
      </c>
      <c r="AD25" s="12">
        <f t="shared" si="6"/>
        <v>63.6</v>
      </c>
      <c r="AE25" s="12">
        <f t="shared" si="7"/>
        <v>-1.240000000000002</v>
      </c>
      <c r="AF25" s="12"/>
      <c r="AJ25" s="11" t="e">
        <f>+#REF!*$AE25</f>
        <v>#REF!</v>
      </c>
      <c r="AK25" s="11" t="e">
        <f>+#REF!*$AA25</f>
        <v>#REF!</v>
      </c>
      <c r="AL25" s="11" t="e">
        <f>+#REF!*$AC25</f>
        <v>#REF!</v>
      </c>
    </row>
    <row r="26" spans="1:38" x14ac:dyDescent="0.3">
      <c r="A26" s="4">
        <v>693465202111</v>
      </c>
      <c r="B26" s="5" t="s">
        <v>52</v>
      </c>
      <c r="C26" s="5" t="s">
        <v>53</v>
      </c>
      <c r="D26" s="12">
        <f t="shared" si="8"/>
        <v>34.9</v>
      </c>
      <c r="E26" s="12">
        <v>17.45</v>
      </c>
      <c r="F26" s="47">
        <f t="shared" si="9"/>
        <v>-0.5</v>
      </c>
      <c r="G26" s="12">
        <f t="shared" si="10"/>
        <v>13.09</v>
      </c>
      <c r="H26" s="12">
        <f t="shared" si="11"/>
        <v>20.59</v>
      </c>
      <c r="I26" s="12">
        <f t="shared" si="11"/>
        <v>19.2</v>
      </c>
      <c r="L26" s="46">
        <v>18.899999999999999</v>
      </c>
      <c r="M26" s="46">
        <f t="shared" si="12"/>
        <v>-1.4499999999999993</v>
      </c>
      <c r="N26" s="46">
        <v>13.821017699115043</v>
      </c>
      <c r="O26" s="46">
        <f t="shared" si="13"/>
        <v>-0.73101769911504277</v>
      </c>
      <c r="P26" s="46"/>
      <c r="Q26" s="39">
        <v>5416.5640691951003</v>
      </c>
      <c r="R26" s="38">
        <f t="shared" si="14"/>
        <v>-3959.6042029722157</v>
      </c>
      <c r="S26" s="47"/>
      <c r="T26" s="39">
        <v>4564.5640691951003</v>
      </c>
      <c r="U26" s="38">
        <f t="shared" si="15"/>
        <v>-3336.7771233261992</v>
      </c>
      <c r="V26" s="51"/>
      <c r="W26" s="51"/>
      <c r="X26" s="46">
        <v>34.9</v>
      </c>
      <c r="Y26" s="47">
        <f t="shared" si="16"/>
        <v>8.3094555873925557E-2</v>
      </c>
      <c r="Z26" s="46">
        <f t="shared" si="2"/>
        <v>37.799999999999997</v>
      </c>
      <c r="AA26" s="12">
        <f t="shared" si="3"/>
        <v>2.8999999999999986</v>
      </c>
      <c r="AB26" s="12">
        <f t="shared" si="4"/>
        <v>20.79</v>
      </c>
      <c r="AC26" s="12">
        <f t="shared" si="5"/>
        <v>1.5899999999999999</v>
      </c>
      <c r="AD26" s="12">
        <f t="shared" si="6"/>
        <v>22.3</v>
      </c>
      <c r="AE26" s="12">
        <f t="shared" si="7"/>
        <v>1.7100000000000009</v>
      </c>
      <c r="AF26" s="12"/>
      <c r="AJ26" s="11" t="e">
        <f>+#REF!*$AE26</f>
        <v>#REF!</v>
      </c>
      <c r="AK26" s="11" t="e">
        <f>+#REF!*$AA26</f>
        <v>#REF!</v>
      </c>
      <c r="AL26" s="11" t="e">
        <f>+#REF!*$AC26</f>
        <v>#REF!</v>
      </c>
    </row>
    <row r="27" spans="1:38" x14ac:dyDescent="0.3">
      <c r="B27" s="5" t="s">
        <v>54</v>
      </c>
      <c r="C27" s="5" t="s">
        <v>54</v>
      </c>
      <c r="D27" s="12">
        <f t="shared" si="8"/>
        <v>34.9</v>
      </c>
      <c r="E27" s="12">
        <v>17.45</v>
      </c>
      <c r="F27" s="47">
        <f t="shared" si="9"/>
        <v>-0.5</v>
      </c>
      <c r="G27" s="12">
        <f t="shared" si="10"/>
        <v>13.09</v>
      </c>
      <c r="H27" s="12">
        <f t="shared" si="11"/>
        <v>20.59</v>
      </c>
      <c r="I27" s="12">
        <f t="shared" si="11"/>
        <v>19.2</v>
      </c>
      <c r="L27" s="46">
        <v>18.899999999999999</v>
      </c>
      <c r="M27" s="46">
        <f t="shared" si="12"/>
        <v>-1.4499999999999993</v>
      </c>
      <c r="N27" s="46">
        <v>13.821017699115043</v>
      </c>
      <c r="O27" s="46">
        <f t="shared" si="13"/>
        <v>-0.73101769911504277</v>
      </c>
      <c r="P27" s="46"/>
      <c r="Q27" s="39">
        <v>1459.9395507353099</v>
      </c>
      <c r="R27" s="38">
        <f t="shared" si="14"/>
        <v>-1067.2416512255754</v>
      </c>
      <c r="S27" s="47"/>
      <c r="T27" s="39">
        <v>1255.9395507353099</v>
      </c>
      <c r="U27" s="38">
        <f t="shared" si="15"/>
        <v>-918.11404060610676</v>
      </c>
      <c r="V27" s="51"/>
      <c r="W27" s="51"/>
      <c r="X27" s="46">
        <v>34.9</v>
      </c>
      <c r="Y27" s="47">
        <f t="shared" si="16"/>
        <v>8.3094555873925557E-2</v>
      </c>
      <c r="Z27" s="46">
        <f t="shared" si="2"/>
        <v>37.799999999999997</v>
      </c>
      <c r="AA27" s="12">
        <f t="shared" si="3"/>
        <v>2.8999999999999986</v>
      </c>
      <c r="AB27" s="12">
        <f t="shared" si="4"/>
        <v>20.79</v>
      </c>
      <c r="AC27" s="12">
        <f t="shared" si="5"/>
        <v>1.5899999999999999</v>
      </c>
      <c r="AD27" s="12">
        <f t="shared" si="6"/>
        <v>22.3</v>
      </c>
      <c r="AE27" s="12">
        <f t="shared" si="7"/>
        <v>1.7100000000000009</v>
      </c>
      <c r="AF27" s="12"/>
      <c r="AJ27" s="11" t="e">
        <f>+#REF!*$AE27</f>
        <v>#REF!</v>
      </c>
      <c r="AK27" s="11" t="e">
        <f>+#REF!*$AA27</f>
        <v>#REF!</v>
      </c>
      <c r="AL27" s="11" t="e">
        <f>+#REF!*$AC27</f>
        <v>#REF!</v>
      </c>
    </row>
    <row r="28" spans="1:38" x14ac:dyDescent="0.3">
      <c r="A28" s="4">
        <v>693465254110</v>
      </c>
      <c r="B28" s="5" t="s">
        <v>55</v>
      </c>
      <c r="C28" s="5" t="s">
        <v>56</v>
      </c>
      <c r="D28" s="12">
        <f t="shared" si="8"/>
        <v>27.9</v>
      </c>
      <c r="E28" s="12">
        <v>13.95</v>
      </c>
      <c r="F28" s="47">
        <f t="shared" si="9"/>
        <v>-0.5</v>
      </c>
      <c r="G28" s="12">
        <f t="shared" si="10"/>
        <v>10.46</v>
      </c>
      <c r="H28" s="12">
        <f t="shared" si="11"/>
        <v>16.46</v>
      </c>
      <c r="I28" s="12">
        <f t="shared" si="11"/>
        <v>15.35</v>
      </c>
      <c r="L28" s="46">
        <v>14.9</v>
      </c>
      <c r="M28" s="46">
        <f t="shared" si="12"/>
        <v>-0.95000000000000107</v>
      </c>
      <c r="N28" s="46">
        <v>11.18</v>
      </c>
      <c r="O28" s="46">
        <f t="shared" si="13"/>
        <v>-0.71999999999999886</v>
      </c>
      <c r="P28" s="46"/>
      <c r="Q28" s="39">
        <v>2554.7802079379121</v>
      </c>
      <c r="R28" s="38">
        <f t="shared" si="14"/>
        <v>-1839.4417497152938</v>
      </c>
      <c r="S28" s="47"/>
      <c r="T28" s="39">
        <v>2206.7802079379117</v>
      </c>
      <c r="U28" s="38">
        <f t="shared" si="15"/>
        <v>-1588.8817497152938</v>
      </c>
      <c r="V28" s="51"/>
      <c r="W28" s="51"/>
      <c r="X28" s="46">
        <v>27.9</v>
      </c>
      <c r="Y28" s="47">
        <f t="shared" si="16"/>
        <v>6.8100358422939156E-2</v>
      </c>
      <c r="Z28" s="46">
        <f t="shared" si="2"/>
        <v>29.8</v>
      </c>
      <c r="AA28" s="12">
        <f t="shared" si="3"/>
        <v>1.9000000000000021</v>
      </c>
      <c r="AB28" s="12">
        <f t="shared" si="4"/>
        <v>16.39</v>
      </c>
      <c r="AC28" s="12">
        <f t="shared" si="5"/>
        <v>1.0400000000000009</v>
      </c>
      <c r="AD28" s="12">
        <f t="shared" si="6"/>
        <v>17.579999999999998</v>
      </c>
      <c r="AE28" s="12">
        <f t="shared" si="7"/>
        <v>1.1199999999999974</v>
      </c>
      <c r="AF28" s="12"/>
      <c r="AJ28" s="11" t="e">
        <f>+#REF!*$AE28</f>
        <v>#REF!</v>
      </c>
      <c r="AK28" s="11" t="e">
        <f>+#REF!*$AA28</f>
        <v>#REF!</v>
      </c>
      <c r="AL28" s="11" t="e">
        <f>+#REF!*$AC28</f>
        <v>#REF!</v>
      </c>
    </row>
    <row r="29" spans="1:38" x14ac:dyDescent="0.3">
      <c r="A29" s="4">
        <v>693465283110</v>
      </c>
      <c r="B29" s="5" t="s">
        <v>57</v>
      </c>
      <c r="C29" s="5" t="s">
        <v>58</v>
      </c>
      <c r="D29" s="12">
        <f t="shared" si="8"/>
        <v>49.9</v>
      </c>
      <c r="E29" s="12">
        <v>24.95</v>
      </c>
      <c r="F29" s="47">
        <f t="shared" si="9"/>
        <v>-0.5</v>
      </c>
      <c r="G29" s="12">
        <f t="shared" si="10"/>
        <v>18.71</v>
      </c>
      <c r="H29" s="12">
        <f t="shared" si="11"/>
        <v>29.44</v>
      </c>
      <c r="I29" s="12">
        <f t="shared" si="11"/>
        <v>27.45</v>
      </c>
      <c r="L29" s="46">
        <v>25.9</v>
      </c>
      <c r="M29" s="46">
        <f t="shared" si="12"/>
        <v>-0.94999999999999929</v>
      </c>
      <c r="N29" s="46">
        <v>19.43</v>
      </c>
      <c r="O29" s="46">
        <f t="shared" si="13"/>
        <v>-0.71999999999999886</v>
      </c>
      <c r="P29" s="46"/>
      <c r="Q29" s="39">
        <v>10463.823462215038</v>
      </c>
      <c r="R29" s="38">
        <f t="shared" si="14"/>
        <v>-7533.9528927948149</v>
      </c>
      <c r="S29" s="47"/>
      <c r="T29" s="39">
        <v>8987.8234622150394</v>
      </c>
      <c r="U29" s="38">
        <f t="shared" si="15"/>
        <v>-6471.2328927948183</v>
      </c>
      <c r="V29" s="51"/>
      <c r="W29" s="51"/>
      <c r="X29" s="46">
        <v>49.9</v>
      </c>
      <c r="Y29" s="47">
        <f t="shared" si="16"/>
        <v>3.8076152304609145E-2</v>
      </c>
      <c r="Z29" s="46">
        <f t="shared" si="2"/>
        <v>51.8</v>
      </c>
      <c r="AA29" s="12">
        <f t="shared" si="3"/>
        <v>1.8999999999999986</v>
      </c>
      <c r="AB29" s="12">
        <f t="shared" si="4"/>
        <v>28.49</v>
      </c>
      <c r="AC29" s="12">
        <f t="shared" si="5"/>
        <v>1.0399999999999991</v>
      </c>
      <c r="AD29" s="12">
        <f t="shared" si="6"/>
        <v>30.56</v>
      </c>
      <c r="AE29" s="12">
        <f t="shared" si="7"/>
        <v>1.1199999999999974</v>
      </c>
      <c r="AF29" s="12"/>
      <c r="AJ29" s="11" t="e">
        <f>+#REF!*$AE29</f>
        <v>#REF!</v>
      </c>
      <c r="AK29" s="11" t="e">
        <f>+#REF!*$AA29</f>
        <v>#REF!</v>
      </c>
      <c r="AL29" s="11" t="e">
        <f>+#REF!*$AC29</f>
        <v>#REF!</v>
      </c>
    </row>
    <row r="30" spans="1:38" x14ac:dyDescent="0.3">
      <c r="A30" s="35">
        <v>693465425114</v>
      </c>
      <c r="B30" s="36" t="s">
        <v>59</v>
      </c>
      <c r="C30" s="36" t="s">
        <v>60</v>
      </c>
      <c r="D30" s="50">
        <f t="shared" si="8"/>
        <v>36.9</v>
      </c>
      <c r="E30" s="50">
        <v>18.45</v>
      </c>
      <c r="F30" s="47">
        <f t="shared" si="9"/>
        <v>-0.5</v>
      </c>
      <c r="G30" s="50">
        <f t="shared" si="10"/>
        <v>13.84</v>
      </c>
      <c r="H30" s="50">
        <f t="shared" si="11"/>
        <v>21.77</v>
      </c>
      <c r="I30" s="50">
        <f t="shared" si="11"/>
        <v>20.3</v>
      </c>
      <c r="L30" s="46">
        <v>18.899999999999999</v>
      </c>
      <c r="M30" s="46">
        <f t="shared" si="12"/>
        <v>-0.44999999999999929</v>
      </c>
      <c r="N30" s="46">
        <v>14.18</v>
      </c>
      <c r="O30" s="46">
        <f t="shared" si="13"/>
        <v>-0.33999999999999986</v>
      </c>
      <c r="P30" s="46"/>
      <c r="Q30" s="39">
        <v>12129.467437032863</v>
      </c>
      <c r="R30" s="38">
        <f t="shared" si="14"/>
        <v>-4124.018928591172</v>
      </c>
      <c r="S30" s="47"/>
      <c r="T30" s="39">
        <v>10701.467437032863</v>
      </c>
      <c r="U30" s="38">
        <f t="shared" si="15"/>
        <v>-3638.498928591172</v>
      </c>
      <c r="V30" s="51"/>
      <c r="W30" s="51"/>
      <c r="X30" s="46">
        <v>34.9</v>
      </c>
      <c r="Y30" s="47">
        <f t="shared" si="16"/>
        <v>8.3094555873925557E-2</v>
      </c>
      <c r="Z30" s="46">
        <f t="shared" si="2"/>
        <v>37.799999999999997</v>
      </c>
      <c r="AA30" s="12">
        <f t="shared" si="3"/>
        <v>0.89999999999999858</v>
      </c>
      <c r="AB30" s="12">
        <f t="shared" si="4"/>
        <v>20.79</v>
      </c>
      <c r="AC30" s="12">
        <f t="shared" si="5"/>
        <v>0.48999999999999844</v>
      </c>
      <c r="AD30" s="12">
        <f t="shared" si="6"/>
        <v>22.3</v>
      </c>
      <c r="AE30" s="12">
        <f t="shared" si="7"/>
        <v>0.53000000000000114</v>
      </c>
      <c r="AF30" s="12"/>
      <c r="AJ30" s="11" t="e">
        <f>+#REF!*$AE30</f>
        <v>#REF!</v>
      </c>
      <c r="AK30" s="11" t="e">
        <f>+#REF!*$AA30</f>
        <v>#REF!</v>
      </c>
      <c r="AL30" s="11" t="e">
        <f>+#REF!*$AC30</f>
        <v>#REF!</v>
      </c>
    </row>
    <row r="31" spans="1:38" x14ac:dyDescent="0.3">
      <c r="A31" s="4">
        <v>693465551110</v>
      </c>
      <c r="B31" s="5" t="s">
        <v>61</v>
      </c>
      <c r="C31" s="5" t="s">
        <v>62</v>
      </c>
      <c r="D31" s="12">
        <f t="shared" si="8"/>
        <v>12.9</v>
      </c>
      <c r="E31" s="12">
        <v>6.45</v>
      </c>
      <c r="F31" s="47">
        <f t="shared" si="9"/>
        <v>-0.5</v>
      </c>
      <c r="G31" s="12">
        <f t="shared" si="10"/>
        <v>4.84</v>
      </c>
      <c r="H31" s="12">
        <f t="shared" si="11"/>
        <v>7.61</v>
      </c>
      <c r="I31" s="12">
        <f t="shared" si="11"/>
        <v>7.1</v>
      </c>
      <c r="L31" s="46">
        <v>7.9</v>
      </c>
      <c r="M31" s="46">
        <f t="shared" si="12"/>
        <v>-1.4500000000000002</v>
      </c>
      <c r="N31" s="46">
        <v>5.93</v>
      </c>
      <c r="O31" s="46">
        <f t="shared" si="13"/>
        <v>-1.0899999999999999</v>
      </c>
      <c r="P31" s="46"/>
      <c r="Q31" s="39">
        <v>2571.4828384013035</v>
      </c>
      <c r="R31" s="38">
        <f t="shared" si="14"/>
        <v>-2802.9162938574204</v>
      </c>
      <c r="S31" s="47"/>
      <c r="T31" s="39">
        <v>2259.4828384013035</v>
      </c>
      <c r="U31" s="38">
        <f t="shared" si="15"/>
        <v>-2462.8362938574205</v>
      </c>
      <c r="V31" s="51"/>
      <c r="W31" s="51"/>
      <c r="X31" s="46">
        <v>12.9</v>
      </c>
      <c r="Y31" s="47">
        <f t="shared" si="16"/>
        <v>0.22480620155038755</v>
      </c>
      <c r="Z31" s="46">
        <f t="shared" si="2"/>
        <v>15.8</v>
      </c>
      <c r="AA31" s="12">
        <f t="shared" si="3"/>
        <v>2.9000000000000004</v>
      </c>
      <c r="AB31" s="12">
        <f t="shared" si="4"/>
        <v>8.69</v>
      </c>
      <c r="AC31" s="12">
        <f t="shared" si="5"/>
        <v>1.5899999999999999</v>
      </c>
      <c r="AD31" s="12">
        <f t="shared" si="6"/>
        <v>9.32</v>
      </c>
      <c r="AE31" s="12">
        <f t="shared" si="7"/>
        <v>1.71</v>
      </c>
      <c r="AF31" s="12"/>
      <c r="AJ31" s="11" t="e">
        <f>+#REF!*$AE31</f>
        <v>#REF!</v>
      </c>
      <c r="AK31" s="11" t="e">
        <f>+#REF!*$AA31</f>
        <v>#REF!</v>
      </c>
      <c r="AL31" s="11" t="e">
        <f>+#REF!*$AC31</f>
        <v>#REF!</v>
      </c>
    </row>
    <row r="32" spans="1:38" x14ac:dyDescent="0.3">
      <c r="A32" s="4">
        <v>693465203118</v>
      </c>
      <c r="B32" s="5" t="s">
        <v>63</v>
      </c>
      <c r="C32" s="5" t="s">
        <v>64</v>
      </c>
      <c r="D32" s="12">
        <f t="shared" si="8"/>
        <v>22.9</v>
      </c>
      <c r="E32" s="12">
        <v>11.45</v>
      </c>
      <c r="F32" s="47">
        <f t="shared" si="9"/>
        <v>-0.5</v>
      </c>
      <c r="G32" s="12">
        <f t="shared" si="10"/>
        <v>8.59</v>
      </c>
      <c r="H32" s="12">
        <f t="shared" si="11"/>
        <v>13.51</v>
      </c>
      <c r="I32" s="12">
        <f t="shared" si="11"/>
        <v>12.6</v>
      </c>
      <c r="L32" s="46">
        <v>11.9</v>
      </c>
      <c r="M32" s="46">
        <f t="shared" si="12"/>
        <v>-0.45000000000000107</v>
      </c>
      <c r="N32" s="46">
        <v>8.93</v>
      </c>
      <c r="O32" s="46">
        <f t="shared" si="13"/>
        <v>-0.33999999999999986</v>
      </c>
      <c r="P32" s="46"/>
      <c r="Q32" s="39">
        <v>1958.3486423772058</v>
      </c>
      <c r="R32" s="38">
        <f t="shared" si="14"/>
        <v>-665.83853840824975</v>
      </c>
      <c r="S32" s="47"/>
      <c r="T32" s="39">
        <v>1694.3486423772058</v>
      </c>
      <c r="U32" s="38">
        <f t="shared" si="15"/>
        <v>-576.07853840824976</v>
      </c>
      <c r="V32" s="51"/>
      <c r="W32" s="51"/>
      <c r="X32" s="46">
        <v>22.9</v>
      </c>
      <c r="Y32" s="47">
        <f t="shared" si="16"/>
        <v>3.9301310043668325E-2</v>
      </c>
      <c r="Z32" s="46">
        <f t="shared" si="2"/>
        <v>23.8</v>
      </c>
      <c r="AA32" s="12">
        <f t="shared" si="3"/>
        <v>0.90000000000000213</v>
      </c>
      <c r="AB32" s="12">
        <f t="shared" si="4"/>
        <v>13.09</v>
      </c>
      <c r="AC32" s="12">
        <f t="shared" si="5"/>
        <v>0.49000000000000021</v>
      </c>
      <c r="AD32" s="12">
        <f t="shared" si="6"/>
        <v>14.04</v>
      </c>
      <c r="AE32" s="12">
        <f t="shared" si="7"/>
        <v>0.52999999999999936</v>
      </c>
      <c r="AF32" s="12"/>
      <c r="AJ32" s="11" t="e">
        <f>+#REF!*$AE32</f>
        <v>#REF!</v>
      </c>
      <c r="AK32" s="11" t="e">
        <f>+#REF!*$AA32</f>
        <v>#REF!</v>
      </c>
      <c r="AL32" s="11" t="e">
        <f>+#REF!*$AC32</f>
        <v>#REF!</v>
      </c>
    </row>
    <row r="33" spans="1:38" x14ac:dyDescent="0.3">
      <c r="A33" s="4">
        <v>693465205112</v>
      </c>
      <c r="B33" s="5" t="s">
        <v>65</v>
      </c>
      <c r="C33" s="5" t="s">
        <v>66</v>
      </c>
      <c r="D33" s="12">
        <f t="shared" si="8"/>
        <v>27.9</v>
      </c>
      <c r="E33" s="12">
        <v>13.95</v>
      </c>
      <c r="F33" s="47">
        <f t="shared" si="9"/>
        <v>-0.5</v>
      </c>
      <c r="G33" s="12">
        <f t="shared" si="10"/>
        <v>10.46</v>
      </c>
      <c r="H33" s="12">
        <f t="shared" si="11"/>
        <v>16.46</v>
      </c>
      <c r="I33" s="12">
        <f t="shared" si="11"/>
        <v>15.35</v>
      </c>
      <c r="L33" s="46">
        <v>13.9</v>
      </c>
      <c r="M33" s="46">
        <f t="shared" si="12"/>
        <v>4.9999999999998934E-2</v>
      </c>
      <c r="N33" s="46">
        <v>10.43</v>
      </c>
      <c r="O33" s="46">
        <f t="shared" si="13"/>
        <v>3.0000000000001137E-2</v>
      </c>
      <c r="P33" s="46"/>
      <c r="Q33" s="39">
        <v>1807.5381205236376</v>
      </c>
      <c r="R33" s="38">
        <f t="shared" si="14"/>
        <v>54.226143615711187</v>
      </c>
      <c r="S33" s="47"/>
      <c r="T33" s="39">
        <v>1543.5381205236376</v>
      </c>
      <c r="U33" s="38">
        <f t="shared" si="15"/>
        <v>46.306143615710887</v>
      </c>
      <c r="V33" s="51"/>
      <c r="W33" s="51"/>
      <c r="X33" s="46">
        <v>27.9</v>
      </c>
      <c r="Y33" s="47">
        <f t="shared" si="16"/>
        <v>-3.5842293906809264E-3</v>
      </c>
      <c r="Z33" s="46">
        <f t="shared" si="2"/>
        <v>27.8</v>
      </c>
      <c r="AA33" s="12">
        <f t="shared" si="3"/>
        <v>-9.9999999999997868E-2</v>
      </c>
      <c r="AB33" s="12">
        <f t="shared" si="4"/>
        <v>15.29</v>
      </c>
      <c r="AC33" s="12">
        <f t="shared" si="5"/>
        <v>-6.0000000000000497E-2</v>
      </c>
      <c r="AD33" s="12">
        <f t="shared" si="6"/>
        <v>16.399999999999999</v>
      </c>
      <c r="AE33" s="12">
        <f t="shared" si="7"/>
        <v>-6.0000000000002274E-2</v>
      </c>
      <c r="AF33" s="12"/>
      <c r="AJ33" s="11" t="e">
        <f>+#REF!*$AE33</f>
        <v>#REF!</v>
      </c>
      <c r="AK33" s="11" t="e">
        <f>+#REF!*$AA33</f>
        <v>#REF!</v>
      </c>
      <c r="AL33" s="11" t="e">
        <f>+#REF!*$AC33</f>
        <v>#REF!</v>
      </c>
    </row>
    <row r="34" spans="1:38" x14ac:dyDescent="0.3">
      <c r="A34" s="4">
        <v>693465256114</v>
      </c>
      <c r="B34" s="5" t="s">
        <v>67</v>
      </c>
      <c r="C34" s="5" t="s">
        <v>68</v>
      </c>
      <c r="D34" s="12">
        <f t="shared" si="8"/>
        <v>26.9</v>
      </c>
      <c r="E34" s="12">
        <v>13.45</v>
      </c>
      <c r="F34" s="47">
        <f t="shared" si="9"/>
        <v>-0.5</v>
      </c>
      <c r="G34" s="12">
        <f t="shared" si="10"/>
        <v>10.09</v>
      </c>
      <c r="H34" s="12">
        <f t="shared" si="11"/>
        <v>15.87</v>
      </c>
      <c r="I34" s="12">
        <f t="shared" si="11"/>
        <v>14.8</v>
      </c>
      <c r="L34" s="46">
        <v>13.9</v>
      </c>
      <c r="M34" s="46">
        <f t="shared" si="12"/>
        <v>-0.45000000000000107</v>
      </c>
      <c r="N34" s="46">
        <v>10.43</v>
      </c>
      <c r="O34" s="46">
        <f t="shared" si="13"/>
        <v>-0.33999999999999986</v>
      </c>
      <c r="P34" s="46"/>
      <c r="Q34" s="39">
        <v>4268.9130675347651</v>
      </c>
      <c r="R34" s="38">
        <f t="shared" si="14"/>
        <v>-1451.4304429618196</v>
      </c>
      <c r="S34" s="47"/>
      <c r="T34" s="39">
        <v>3656.9130675347651</v>
      </c>
      <c r="U34" s="38">
        <f t="shared" si="15"/>
        <v>-1243.3504429618197</v>
      </c>
      <c r="V34" s="51"/>
      <c r="W34" s="51"/>
      <c r="X34" s="46">
        <v>26.9</v>
      </c>
      <c r="Y34" s="47">
        <f t="shared" si="16"/>
        <v>3.3457249070631967E-2</v>
      </c>
      <c r="Z34" s="46">
        <f t="shared" si="2"/>
        <v>27.8</v>
      </c>
      <c r="AA34" s="12">
        <f t="shared" si="3"/>
        <v>0.90000000000000213</v>
      </c>
      <c r="AB34" s="12">
        <f t="shared" si="4"/>
        <v>15.29</v>
      </c>
      <c r="AC34" s="12">
        <f t="shared" si="5"/>
        <v>0.48999999999999844</v>
      </c>
      <c r="AD34" s="12">
        <f t="shared" si="6"/>
        <v>16.399999999999999</v>
      </c>
      <c r="AE34" s="12">
        <f t="shared" si="7"/>
        <v>0.52999999999999936</v>
      </c>
      <c r="AF34" s="12"/>
      <c r="AJ34" s="11" t="e">
        <f>+#REF!*$AE34</f>
        <v>#REF!</v>
      </c>
      <c r="AK34" s="11" t="e">
        <f>+#REF!*$AA34</f>
        <v>#REF!</v>
      </c>
      <c r="AL34" s="11" t="e">
        <f>+#REF!*$AC34</f>
        <v>#REF!</v>
      </c>
    </row>
    <row r="35" spans="1:38" x14ac:dyDescent="0.3">
      <c r="A35" s="4">
        <v>693465206119</v>
      </c>
      <c r="B35" s="5" t="s">
        <v>69</v>
      </c>
      <c r="C35" s="5" t="s">
        <v>70</v>
      </c>
      <c r="D35" s="12">
        <f t="shared" si="8"/>
        <v>27.9</v>
      </c>
      <c r="E35" s="12">
        <v>13.95</v>
      </c>
      <c r="F35" s="47">
        <f t="shared" si="9"/>
        <v>-0.5</v>
      </c>
      <c r="G35" s="12">
        <f t="shared" si="10"/>
        <v>10.46</v>
      </c>
      <c r="H35" s="12">
        <f t="shared" si="11"/>
        <v>16.46</v>
      </c>
      <c r="I35" s="12">
        <f t="shared" si="11"/>
        <v>15.35</v>
      </c>
      <c r="L35" s="46">
        <v>14.9</v>
      </c>
      <c r="M35" s="46">
        <f t="shared" si="12"/>
        <v>-0.95000000000000107</v>
      </c>
      <c r="N35" s="46">
        <v>11.18</v>
      </c>
      <c r="O35" s="46">
        <f t="shared" si="13"/>
        <v>-0.71999999999999886</v>
      </c>
      <c r="P35" s="46"/>
      <c r="Q35" s="39">
        <v>5278.1275138878736</v>
      </c>
      <c r="R35" s="38">
        <f t="shared" si="14"/>
        <v>-3800.2518099992631</v>
      </c>
      <c r="S35" s="47"/>
      <c r="T35" s="39">
        <v>4654.1275138878736</v>
      </c>
      <c r="U35" s="38">
        <f t="shared" si="15"/>
        <v>-3350.9718099992638</v>
      </c>
      <c r="V35" s="51"/>
      <c r="W35" s="51"/>
      <c r="X35" s="46">
        <v>27.9</v>
      </c>
      <c r="Y35" s="47">
        <f t="shared" si="16"/>
        <v>6.8100358422939156E-2</v>
      </c>
      <c r="Z35" s="46">
        <f t="shared" si="2"/>
        <v>29.8</v>
      </c>
      <c r="AA35" s="12">
        <f t="shared" si="3"/>
        <v>1.9000000000000021</v>
      </c>
      <c r="AB35" s="12">
        <f t="shared" si="4"/>
        <v>16.39</v>
      </c>
      <c r="AC35" s="12">
        <f t="shared" si="5"/>
        <v>1.0400000000000009</v>
      </c>
      <c r="AD35" s="12">
        <f t="shared" si="6"/>
        <v>17.579999999999998</v>
      </c>
      <c r="AE35" s="12">
        <f t="shared" si="7"/>
        <v>1.1199999999999974</v>
      </c>
      <c r="AF35" s="12"/>
      <c r="AJ35" s="11" t="e">
        <f>+#REF!*$AE35</f>
        <v>#REF!</v>
      </c>
      <c r="AK35" s="11" t="e">
        <f>+#REF!*$AA35</f>
        <v>#REF!</v>
      </c>
      <c r="AL35" s="11" t="e">
        <f>+#REF!*$AC35</f>
        <v>#REF!</v>
      </c>
    </row>
    <row r="36" spans="1:38" x14ac:dyDescent="0.3">
      <c r="A36" s="4">
        <v>693465449110</v>
      </c>
      <c r="B36" s="5" t="s">
        <v>71</v>
      </c>
      <c r="C36" s="5" t="s">
        <v>72</v>
      </c>
      <c r="D36" s="12">
        <f t="shared" si="8"/>
        <v>89.9</v>
      </c>
      <c r="E36" s="12">
        <v>44.95</v>
      </c>
      <c r="F36" s="47">
        <f t="shared" si="9"/>
        <v>-0.5</v>
      </c>
      <c r="G36" s="12">
        <f t="shared" si="10"/>
        <v>33.71</v>
      </c>
      <c r="H36" s="12">
        <f t="shared" si="11"/>
        <v>53.04</v>
      </c>
      <c r="I36" s="12">
        <f t="shared" si="11"/>
        <v>49.45</v>
      </c>
      <c r="L36" s="46">
        <v>44.9</v>
      </c>
      <c r="M36" s="46">
        <f t="shared" si="12"/>
        <v>5.0000000000004263E-2</v>
      </c>
      <c r="N36" s="46">
        <v>33.68</v>
      </c>
      <c r="O36" s="46">
        <f t="shared" si="13"/>
        <v>3.0000000000001137E-2</v>
      </c>
      <c r="P36" s="46"/>
      <c r="Q36" s="39">
        <v>908.45831567037567</v>
      </c>
      <c r="R36" s="38">
        <f t="shared" si="14"/>
        <v>27.253749470112304</v>
      </c>
      <c r="S36" s="47"/>
      <c r="T36" s="39">
        <v>740.45831567037567</v>
      </c>
      <c r="U36" s="38">
        <f t="shared" si="15"/>
        <v>22.213749470112113</v>
      </c>
      <c r="V36" s="51"/>
      <c r="W36" s="51"/>
      <c r="X36" s="46">
        <v>89.9</v>
      </c>
      <c r="Y36" s="47">
        <f t="shared" si="16"/>
        <v>-1.1123470522803602E-3</v>
      </c>
      <c r="Z36" s="46">
        <f t="shared" si="2"/>
        <v>89.8</v>
      </c>
      <c r="AA36" s="12">
        <f t="shared" si="3"/>
        <v>-0.10000000000000853</v>
      </c>
      <c r="AB36" s="12">
        <f t="shared" si="4"/>
        <v>49.39</v>
      </c>
      <c r="AC36" s="12">
        <f t="shared" si="5"/>
        <v>-6.0000000000002274E-2</v>
      </c>
      <c r="AD36" s="12">
        <f t="shared" si="6"/>
        <v>52.98</v>
      </c>
      <c r="AE36" s="12">
        <f t="shared" si="7"/>
        <v>-6.0000000000002274E-2</v>
      </c>
      <c r="AF36" s="12"/>
      <c r="AJ36" s="11" t="e">
        <f>+#REF!*$AE36</f>
        <v>#REF!</v>
      </c>
      <c r="AK36" s="11" t="e">
        <f>+#REF!*$AA36</f>
        <v>#REF!</v>
      </c>
      <c r="AL36" s="11" t="e">
        <f>+#REF!*$AC36</f>
        <v>#REF!</v>
      </c>
    </row>
    <row r="37" spans="1:38" x14ac:dyDescent="0.3">
      <c r="A37" s="4">
        <v>693465464113</v>
      </c>
      <c r="B37" s="5" t="s">
        <v>73</v>
      </c>
      <c r="C37" s="5" t="s">
        <v>74</v>
      </c>
      <c r="D37" s="12">
        <f t="shared" si="8"/>
        <v>91.9</v>
      </c>
      <c r="E37" s="12">
        <v>45.95</v>
      </c>
      <c r="F37" s="47">
        <f t="shared" si="9"/>
        <v>-0.5</v>
      </c>
      <c r="G37" s="12">
        <f t="shared" si="10"/>
        <v>34.46</v>
      </c>
      <c r="H37" s="12">
        <f t="shared" si="11"/>
        <v>54.22</v>
      </c>
      <c r="I37" s="12">
        <f t="shared" si="11"/>
        <v>50.55</v>
      </c>
      <c r="L37" s="46">
        <v>46.9</v>
      </c>
      <c r="M37" s="46">
        <f t="shared" si="12"/>
        <v>-0.94999999999999574</v>
      </c>
      <c r="N37" s="46">
        <v>35.18</v>
      </c>
      <c r="O37" s="46">
        <f t="shared" si="13"/>
        <v>-0.71999999999999886</v>
      </c>
      <c r="P37" s="46"/>
      <c r="Q37" s="39">
        <v>511.63441876197231</v>
      </c>
      <c r="R37" s="38">
        <f t="shared" si="14"/>
        <v>-368.3767815086195</v>
      </c>
      <c r="S37" s="47"/>
      <c r="T37" s="39">
        <v>463.63441876197231</v>
      </c>
      <c r="U37" s="38">
        <f t="shared" si="15"/>
        <v>-333.81678150861956</v>
      </c>
      <c r="V37" s="51"/>
      <c r="W37" s="51"/>
      <c r="X37" s="46">
        <v>91.9</v>
      </c>
      <c r="Y37" s="47">
        <f t="shared" si="16"/>
        <v>2.0674646354733373E-2</v>
      </c>
      <c r="Z37" s="46">
        <f t="shared" si="2"/>
        <v>93.8</v>
      </c>
      <c r="AA37" s="12">
        <f t="shared" si="3"/>
        <v>1.8999999999999915</v>
      </c>
      <c r="AB37" s="12">
        <f t="shared" si="4"/>
        <v>51.59</v>
      </c>
      <c r="AC37" s="12">
        <f t="shared" si="5"/>
        <v>1.0400000000000063</v>
      </c>
      <c r="AD37" s="12">
        <f t="shared" si="6"/>
        <v>55.34</v>
      </c>
      <c r="AE37" s="12">
        <f t="shared" si="7"/>
        <v>1.1200000000000045</v>
      </c>
      <c r="AF37" s="12"/>
      <c r="AJ37" s="11" t="e">
        <f>+#REF!*$AE37</f>
        <v>#REF!</v>
      </c>
      <c r="AK37" s="11" t="e">
        <f>+#REF!*$AA37</f>
        <v>#REF!</v>
      </c>
      <c r="AL37" s="11" t="e">
        <f>+#REF!*$AC37</f>
        <v>#REF!</v>
      </c>
    </row>
    <row r="38" spans="1:38" x14ac:dyDescent="0.3">
      <c r="A38" s="4">
        <v>693465258118</v>
      </c>
      <c r="B38" s="5" t="s">
        <v>75</v>
      </c>
      <c r="C38" s="5" t="s">
        <v>76</v>
      </c>
      <c r="D38" s="12">
        <f t="shared" si="8"/>
        <v>31.9</v>
      </c>
      <c r="E38" s="12">
        <v>15.95</v>
      </c>
      <c r="F38" s="47">
        <f t="shared" si="9"/>
        <v>-0.5</v>
      </c>
      <c r="G38" s="12">
        <f t="shared" si="10"/>
        <v>11.96</v>
      </c>
      <c r="H38" s="12">
        <f t="shared" si="11"/>
        <v>18.82</v>
      </c>
      <c r="I38" s="12">
        <f t="shared" si="11"/>
        <v>17.55</v>
      </c>
      <c r="L38" s="46">
        <v>16.899999999999999</v>
      </c>
      <c r="M38" s="46">
        <f t="shared" si="12"/>
        <v>-0.94999999999999929</v>
      </c>
      <c r="N38" s="46">
        <v>12.310922330097087</v>
      </c>
      <c r="O38" s="46">
        <f t="shared" si="13"/>
        <v>-0.35092233009708629</v>
      </c>
      <c r="P38" s="46"/>
      <c r="Q38" s="39">
        <v>7317.4392502514365</v>
      </c>
      <c r="R38" s="38">
        <f t="shared" si="14"/>
        <v>-2567.8528320421101</v>
      </c>
      <c r="S38" s="47"/>
      <c r="T38" s="39">
        <v>6429.4392502514374</v>
      </c>
      <c r="U38" s="38">
        <f t="shared" si="15"/>
        <v>-2256.2338029158977</v>
      </c>
      <c r="V38" s="51"/>
      <c r="W38" s="51"/>
      <c r="X38" s="46">
        <v>31.9</v>
      </c>
      <c r="Y38" s="47">
        <f t="shared" si="16"/>
        <v>5.9561128526645746E-2</v>
      </c>
      <c r="Z38" s="46">
        <f t="shared" si="2"/>
        <v>33.799999999999997</v>
      </c>
      <c r="AA38" s="12">
        <f t="shared" si="3"/>
        <v>1.8999999999999986</v>
      </c>
      <c r="AB38" s="12">
        <f t="shared" si="4"/>
        <v>18.59</v>
      </c>
      <c r="AC38" s="12">
        <f t="shared" si="5"/>
        <v>1.0399999999999991</v>
      </c>
      <c r="AD38" s="12">
        <f t="shared" si="6"/>
        <v>19.940000000000001</v>
      </c>
      <c r="AE38" s="12">
        <f t="shared" si="7"/>
        <v>1.120000000000001</v>
      </c>
      <c r="AF38" s="12"/>
      <c r="AJ38" s="11" t="e">
        <f>+#REF!*$AE38</f>
        <v>#REF!</v>
      </c>
      <c r="AK38" s="11" t="e">
        <f>+#REF!*$AA38</f>
        <v>#REF!</v>
      </c>
      <c r="AL38" s="11" t="e">
        <f>+#REF!*$AC38</f>
        <v>#REF!</v>
      </c>
    </row>
    <row r="39" spans="1:38" x14ac:dyDescent="0.3">
      <c r="A39" s="4">
        <v>693465258217</v>
      </c>
      <c r="B39" s="5" t="s">
        <v>77</v>
      </c>
      <c r="C39" s="5" t="s">
        <v>78</v>
      </c>
      <c r="D39" s="12">
        <f t="shared" si="8"/>
        <v>57.9</v>
      </c>
      <c r="E39" s="12">
        <v>28.95</v>
      </c>
      <c r="F39" s="47">
        <f t="shared" si="9"/>
        <v>-0.5</v>
      </c>
      <c r="G39" s="12">
        <f t="shared" si="10"/>
        <v>21.71</v>
      </c>
      <c r="H39" s="12">
        <f t="shared" si="11"/>
        <v>34.159999999999997</v>
      </c>
      <c r="I39" s="12">
        <f t="shared" si="11"/>
        <v>31.85</v>
      </c>
      <c r="L39" s="46">
        <v>30.9</v>
      </c>
      <c r="M39" s="46">
        <f t="shared" si="12"/>
        <v>-1.9499999999999993</v>
      </c>
      <c r="N39" s="46">
        <v>22.859426229508195</v>
      </c>
      <c r="O39" s="46">
        <f t="shared" si="13"/>
        <v>-1.1494262295081938</v>
      </c>
      <c r="P39" s="46"/>
      <c r="Q39" s="39">
        <v>9400.3208846784182</v>
      </c>
      <c r="R39" s="38">
        <f t="shared" si="14"/>
        <v>-10804.975390643043</v>
      </c>
      <c r="S39" s="47"/>
      <c r="T39" s="39">
        <v>8152.3208846784191</v>
      </c>
      <c r="U39" s="38">
        <f t="shared" si="15"/>
        <v>-9370.4914562168178</v>
      </c>
      <c r="V39" s="51"/>
      <c r="W39" s="51"/>
      <c r="X39" s="46">
        <v>57.9</v>
      </c>
      <c r="Y39" s="47">
        <f t="shared" si="16"/>
        <v>6.7357512953367893E-2</v>
      </c>
      <c r="Z39" s="46">
        <f t="shared" si="2"/>
        <v>61.8</v>
      </c>
      <c r="AA39" s="12">
        <f t="shared" si="3"/>
        <v>3.8999999999999986</v>
      </c>
      <c r="AB39" s="12">
        <f t="shared" si="4"/>
        <v>33.99</v>
      </c>
      <c r="AC39" s="12">
        <f t="shared" si="5"/>
        <v>2.1400000000000006</v>
      </c>
      <c r="AD39" s="12">
        <f t="shared" si="6"/>
        <v>36.46</v>
      </c>
      <c r="AE39" s="12">
        <f t="shared" si="7"/>
        <v>2.3000000000000043</v>
      </c>
      <c r="AF39" s="12"/>
      <c r="AJ39" s="11" t="e">
        <f>+#REF!*$AE39</f>
        <v>#REF!</v>
      </c>
      <c r="AK39" s="11" t="e">
        <f>+#REF!*$AA39</f>
        <v>#REF!</v>
      </c>
      <c r="AL39" s="11" t="e">
        <f>+#REF!*$AC39</f>
        <v>#REF!</v>
      </c>
    </row>
    <row r="40" spans="1:38" x14ac:dyDescent="0.3">
      <c r="B40" s="5" t="s">
        <v>79</v>
      </c>
      <c r="C40" s="5" t="s">
        <v>79</v>
      </c>
      <c r="D40" s="12">
        <f t="shared" si="8"/>
        <v>57.9</v>
      </c>
      <c r="E40" s="12">
        <v>28.95</v>
      </c>
      <c r="F40" s="47">
        <f t="shared" si="9"/>
        <v>-0.5</v>
      </c>
      <c r="G40" s="12">
        <f t="shared" si="10"/>
        <v>21.71</v>
      </c>
      <c r="H40" s="12">
        <f t="shared" si="11"/>
        <v>34.159999999999997</v>
      </c>
      <c r="I40" s="12">
        <f t="shared" si="11"/>
        <v>31.85</v>
      </c>
      <c r="L40" s="46">
        <v>30.9</v>
      </c>
      <c r="M40" s="46">
        <f t="shared" si="12"/>
        <v>-1.9499999999999993</v>
      </c>
      <c r="N40" s="46">
        <v>22.859426229508195</v>
      </c>
      <c r="O40" s="46">
        <f t="shared" si="13"/>
        <v>-1.1494262295081938</v>
      </c>
      <c r="P40" s="46"/>
      <c r="Q40" s="39">
        <v>1585.8132150208414</v>
      </c>
      <c r="R40" s="38">
        <f t="shared" si="14"/>
        <v>-1822.7753044456724</v>
      </c>
      <c r="S40" s="47"/>
      <c r="T40" s="39">
        <v>1357.8132150208414</v>
      </c>
      <c r="U40" s="38">
        <f t="shared" si="15"/>
        <v>-1560.7061241178042</v>
      </c>
      <c r="V40" s="51"/>
      <c r="W40" s="51"/>
      <c r="X40" s="46">
        <v>57.9</v>
      </c>
      <c r="Y40" s="47">
        <f t="shared" si="16"/>
        <v>6.7357512953367893E-2</v>
      </c>
      <c r="Z40" s="46">
        <f t="shared" si="2"/>
        <v>61.8</v>
      </c>
      <c r="AA40" s="12">
        <f t="shared" si="3"/>
        <v>3.8999999999999986</v>
      </c>
      <c r="AB40" s="12">
        <f t="shared" si="4"/>
        <v>33.99</v>
      </c>
      <c r="AC40" s="12">
        <f t="shared" si="5"/>
        <v>2.1400000000000006</v>
      </c>
      <c r="AD40" s="12">
        <f t="shared" si="6"/>
        <v>36.46</v>
      </c>
      <c r="AE40" s="12">
        <f t="shared" si="7"/>
        <v>2.3000000000000043</v>
      </c>
      <c r="AF40" s="12"/>
      <c r="AJ40" s="11" t="e">
        <f>+#REF!*$AE40</f>
        <v>#REF!</v>
      </c>
      <c r="AK40" s="11" t="e">
        <f>+#REF!*$AA40</f>
        <v>#REF!</v>
      </c>
      <c r="AL40" s="11" t="e">
        <f>+#REF!*$AC40</f>
        <v>#REF!</v>
      </c>
    </row>
    <row r="41" spans="1:38" x14ac:dyDescent="0.3">
      <c r="B41" s="5" t="s">
        <v>80</v>
      </c>
      <c r="C41" s="5" t="s">
        <v>80</v>
      </c>
      <c r="D41" s="12">
        <f t="shared" si="8"/>
        <v>31.9</v>
      </c>
      <c r="E41" s="12">
        <v>15.95</v>
      </c>
      <c r="F41" s="47">
        <f t="shared" si="9"/>
        <v>-0.5</v>
      </c>
      <c r="G41" s="12">
        <f t="shared" si="10"/>
        <v>11.96</v>
      </c>
      <c r="H41" s="12">
        <f t="shared" si="11"/>
        <v>18.82</v>
      </c>
      <c r="I41" s="12">
        <f t="shared" si="11"/>
        <v>17.55</v>
      </c>
      <c r="L41" s="46">
        <v>16.899999999999999</v>
      </c>
      <c r="M41" s="46">
        <f t="shared" si="12"/>
        <v>-0.94999999999999929</v>
      </c>
      <c r="N41" s="46">
        <v>12.68</v>
      </c>
      <c r="O41" s="46">
        <f t="shared" si="13"/>
        <v>-0.71999999999999886</v>
      </c>
      <c r="P41" s="46"/>
      <c r="Q41" s="39">
        <v>977.34997880445087</v>
      </c>
      <c r="R41" s="38">
        <f t="shared" si="14"/>
        <v>-703.69198473920346</v>
      </c>
      <c r="S41" s="47"/>
      <c r="T41" s="39">
        <v>845.34997880445098</v>
      </c>
      <c r="U41" s="38">
        <f t="shared" si="15"/>
        <v>-608.65198473920373</v>
      </c>
      <c r="V41" s="51"/>
      <c r="W41" s="51"/>
      <c r="X41" s="46">
        <v>31.9</v>
      </c>
      <c r="Y41" s="47">
        <f t="shared" si="16"/>
        <v>5.9561128526645746E-2</v>
      </c>
      <c r="Z41" s="46">
        <f t="shared" si="2"/>
        <v>33.799999999999997</v>
      </c>
      <c r="AA41" s="12">
        <f t="shared" si="3"/>
        <v>1.8999999999999986</v>
      </c>
      <c r="AB41" s="12">
        <f t="shared" si="4"/>
        <v>18.59</v>
      </c>
      <c r="AC41" s="12">
        <f t="shared" si="5"/>
        <v>1.0399999999999991</v>
      </c>
      <c r="AD41" s="12">
        <f t="shared" si="6"/>
        <v>19.940000000000001</v>
      </c>
      <c r="AE41" s="12">
        <f t="shared" si="7"/>
        <v>1.120000000000001</v>
      </c>
      <c r="AF41" s="12"/>
      <c r="AJ41" s="11" t="e">
        <f>+#REF!*$AE41</f>
        <v>#REF!</v>
      </c>
      <c r="AK41" s="11" t="e">
        <f>+#REF!*$AA41</f>
        <v>#REF!</v>
      </c>
      <c r="AL41" s="11" t="e">
        <f>+#REF!*$AC41</f>
        <v>#REF!</v>
      </c>
    </row>
    <row r="42" spans="1:38" x14ac:dyDescent="0.3">
      <c r="A42" s="4">
        <v>693465500118</v>
      </c>
      <c r="B42" s="5" t="s">
        <v>81</v>
      </c>
      <c r="C42" s="5" t="s">
        <v>82</v>
      </c>
      <c r="D42" s="12">
        <f t="shared" si="8"/>
        <v>23.9</v>
      </c>
      <c r="E42" s="12">
        <v>11.95</v>
      </c>
      <c r="F42" s="47">
        <f t="shared" si="9"/>
        <v>-0.5</v>
      </c>
      <c r="G42" s="12">
        <f t="shared" si="10"/>
        <v>8.9600000000000009</v>
      </c>
      <c r="H42" s="12">
        <f t="shared" si="11"/>
        <v>14.1</v>
      </c>
      <c r="I42" s="12">
        <f t="shared" si="11"/>
        <v>13.15</v>
      </c>
      <c r="L42" s="46">
        <v>12.9</v>
      </c>
      <c r="M42" s="46">
        <f t="shared" si="12"/>
        <v>-0.95000000000000107</v>
      </c>
      <c r="N42" s="46">
        <v>9.68</v>
      </c>
      <c r="O42" s="46">
        <f t="shared" si="13"/>
        <v>-0.71999999999999886</v>
      </c>
      <c r="P42" s="46"/>
      <c r="Q42" s="39">
        <v>15601.599660871219</v>
      </c>
      <c r="R42" s="38">
        <f t="shared" si="14"/>
        <v>-11233.151755827261</v>
      </c>
      <c r="S42" s="47"/>
      <c r="T42" s="39">
        <v>13609.599660871219</v>
      </c>
      <c r="U42" s="38">
        <f t="shared" si="15"/>
        <v>-9798.9117558272628</v>
      </c>
      <c r="V42" s="51"/>
      <c r="W42" s="51"/>
      <c r="X42" s="46">
        <v>23.9</v>
      </c>
      <c r="Y42" s="47">
        <f t="shared" si="16"/>
        <v>7.9497907949790836E-2</v>
      </c>
      <c r="Z42" s="46">
        <f t="shared" si="2"/>
        <v>25.8</v>
      </c>
      <c r="AA42" s="12">
        <f t="shared" si="3"/>
        <v>1.9000000000000021</v>
      </c>
      <c r="AB42" s="12">
        <f t="shared" si="4"/>
        <v>14.19</v>
      </c>
      <c r="AC42" s="12">
        <f t="shared" si="5"/>
        <v>1.0399999999999991</v>
      </c>
      <c r="AD42" s="12">
        <f t="shared" si="6"/>
        <v>15.22</v>
      </c>
      <c r="AE42" s="12">
        <f t="shared" si="7"/>
        <v>1.120000000000001</v>
      </c>
      <c r="AF42" s="12"/>
      <c r="AJ42" s="11" t="e">
        <f>+#REF!*$AE42</f>
        <v>#REF!</v>
      </c>
      <c r="AK42" s="11" t="e">
        <f>+#REF!*$AA42</f>
        <v>#REF!</v>
      </c>
      <c r="AL42" s="11" t="e">
        <f>+#REF!*$AC42</f>
        <v>#REF!</v>
      </c>
    </row>
    <row r="43" spans="1:38" x14ac:dyDescent="0.3">
      <c r="A43" s="4">
        <v>693465500217</v>
      </c>
      <c r="B43" s="5" t="s">
        <v>83</v>
      </c>
      <c r="C43" s="5" t="s">
        <v>84</v>
      </c>
      <c r="D43" s="12">
        <f t="shared" si="8"/>
        <v>43.9</v>
      </c>
      <c r="E43" s="12">
        <v>21.95</v>
      </c>
      <c r="F43" s="47">
        <f t="shared" si="9"/>
        <v>-0.5</v>
      </c>
      <c r="G43" s="12">
        <f t="shared" si="10"/>
        <v>16.46</v>
      </c>
      <c r="H43" s="12">
        <f t="shared" si="11"/>
        <v>25.9</v>
      </c>
      <c r="I43" s="12">
        <f t="shared" si="11"/>
        <v>24.15</v>
      </c>
      <c r="L43" s="46">
        <v>21.9</v>
      </c>
      <c r="M43" s="46">
        <f t="shared" si="12"/>
        <v>5.0000000000000711E-2</v>
      </c>
      <c r="N43" s="46">
        <v>16.43</v>
      </c>
      <c r="O43" s="46">
        <f t="shared" si="13"/>
        <v>3.0000000000001137E-2</v>
      </c>
      <c r="P43" s="46"/>
      <c r="Q43" s="39">
        <v>7688.9826210546216</v>
      </c>
      <c r="R43" s="38">
        <f t="shared" si="14"/>
        <v>230.66947863164739</v>
      </c>
      <c r="S43" s="47"/>
      <c r="T43" s="39">
        <v>6632.9826210546216</v>
      </c>
      <c r="U43" s="38">
        <f t="shared" si="15"/>
        <v>198.98947863164619</v>
      </c>
      <c r="V43" s="51"/>
      <c r="W43" s="51"/>
      <c r="X43" s="46">
        <v>41.9</v>
      </c>
      <c r="Y43" s="47">
        <f t="shared" si="16"/>
        <v>4.5346062052505909E-2</v>
      </c>
      <c r="Z43" s="46">
        <f t="shared" si="2"/>
        <v>43.8</v>
      </c>
      <c r="AA43" s="12">
        <f t="shared" si="3"/>
        <v>-0.10000000000000142</v>
      </c>
      <c r="AB43" s="12">
        <f t="shared" si="4"/>
        <v>24.09</v>
      </c>
      <c r="AC43" s="12">
        <f t="shared" si="5"/>
        <v>-5.9999999999998721E-2</v>
      </c>
      <c r="AD43" s="12">
        <f t="shared" si="6"/>
        <v>25.84</v>
      </c>
      <c r="AE43" s="12">
        <f t="shared" si="7"/>
        <v>-5.9999999999998721E-2</v>
      </c>
      <c r="AF43" s="12"/>
      <c r="AJ43" s="11" t="e">
        <f>+#REF!*$AE43</f>
        <v>#REF!</v>
      </c>
      <c r="AK43" s="11" t="e">
        <f>+#REF!*$AA43</f>
        <v>#REF!</v>
      </c>
      <c r="AL43" s="11" t="e">
        <f>+#REF!*$AC43</f>
        <v>#REF!</v>
      </c>
    </row>
    <row r="44" spans="1:38" x14ac:dyDescent="0.3">
      <c r="A44" s="4">
        <v>693465000014</v>
      </c>
      <c r="B44" s="5" t="s">
        <v>85</v>
      </c>
      <c r="C44" s="5" t="s">
        <v>86</v>
      </c>
      <c r="D44" s="12">
        <f t="shared" si="8"/>
        <v>76.900000000000006</v>
      </c>
      <c r="E44" s="12">
        <v>38.450000000000003</v>
      </c>
      <c r="F44" s="47">
        <f t="shared" si="9"/>
        <v>-0.5</v>
      </c>
      <c r="G44" s="12">
        <f t="shared" si="10"/>
        <v>28.84</v>
      </c>
      <c r="H44" s="12">
        <f t="shared" si="11"/>
        <v>45.37</v>
      </c>
      <c r="I44" s="12">
        <f t="shared" si="11"/>
        <v>42.3</v>
      </c>
      <c r="L44" s="46">
        <v>36.9</v>
      </c>
      <c r="M44" s="46">
        <f t="shared" si="12"/>
        <v>1.5500000000000043</v>
      </c>
      <c r="N44" s="46">
        <v>27.68</v>
      </c>
      <c r="O44" s="46">
        <f t="shared" si="13"/>
        <v>1.1600000000000001</v>
      </c>
      <c r="P44" s="46"/>
      <c r="Q44" s="39">
        <v>1184.511815889716</v>
      </c>
      <c r="R44" s="38">
        <f t="shared" si="14"/>
        <v>1374.0337064320706</v>
      </c>
      <c r="S44" s="47"/>
      <c r="T44" s="39">
        <v>1052.5118158897162</v>
      </c>
      <c r="U44" s="38">
        <f t="shared" si="15"/>
        <v>1220.913706432071</v>
      </c>
      <c r="V44" s="51"/>
      <c r="W44" s="51"/>
      <c r="X44" s="46">
        <v>73.900000000000006</v>
      </c>
      <c r="Y44" s="47">
        <f t="shared" si="16"/>
        <v>-1.3531799729364913E-3</v>
      </c>
      <c r="Z44" s="46">
        <f t="shared" si="2"/>
        <v>73.8</v>
      </c>
      <c r="AA44" s="12">
        <f t="shared" si="3"/>
        <v>-3.1000000000000085</v>
      </c>
      <c r="AB44" s="12">
        <f t="shared" si="4"/>
        <v>40.590000000000003</v>
      </c>
      <c r="AC44" s="12">
        <f t="shared" si="5"/>
        <v>-1.7099999999999937</v>
      </c>
      <c r="AD44" s="12">
        <f t="shared" si="6"/>
        <v>43.54</v>
      </c>
      <c r="AE44" s="12">
        <f t="shared" si="7"/>
        <v>-1.8299999999999983</v>
      </c>
      <c r="AF44" s="12"/>
      <c r="AJ44" s="11" t="e">
        <f>+#REF!*$AE44</f>
        <v>#REF!</v>
      </c>
      <c r="AK44" s="11" t="e">
        <f>+#REF!*$AA44</f>
        <v>#REF!</v>
      </c>
      <c r="AL44" s="11" t="e">
        <f>+#REF!*$AC44</f>
        <v>#REF!</v>
      </c>
    </row>
    <row r="45" spans="1:38" x14ac:dyDescent="0.3">
      <c r="A45" s="4">
        <v>693465523117</v>
      </c>
      <c r="B45" s="5" t="s">
        <v>87</v>
      </c>
      <c r="C45" s="5" t="s">
        <v>88</v>
      </c>
      <c r="D45" s="12">
        <f t="shared" si="8"/>
        <v>24.9</v>
      </c>
      <c r="E45" s="12">
        <v>12.45</v>
      </c>
      <c r="F45" s="47">
        <f t="shared" si="9"/>
        <v>-0.5</v>
      </c>
      <c r="G45" s="12">
        <f t="shared" si="10"/>
        <v>9.34</v>
      </c>
      <c r="H45" s="12">
        <f t="shared" si="11"/>
        <v>14.69</v>
      </c>
      <c r="I45" s="12">
        <f t="shared" si="11"/>
        <v>13.7</v>
      </c>
      <c r="L45" s="46">
        <v>13.9</v>
      </c>
      <c r="M45" s="46">
        <f t="shared" si="12"/>
        <v>-1.4500000000000011</v>
      </c>
      <c r="N45" s="46">
        <v>10.079811715481171</v>
      </c>
      <c r="O45" s="46">
        <f t="shared" si="13"/>
        <v>-0.73981171548117075</v>
      </c>
      <c r="P45" s="46"/>
      <c r="Q45" s="39">
        <v>7204.7162298892763</v>
      </c>
      <c r="R45" s="38">
        <f t="shared" si="14"/>
        <v>-5330.1334735894188</v>
      </c>
      <c r="S45" s="47"/>
      <c r="T45" s="39">
        <v>6232.7162298892763</v>
      </c>
      <c r="U45" s="38">
        <f t="shared" si="15"/>
        <v>-4611.0364861417202</v>
      </c>
      <c r="V45" s="51"/>
      <c r="W45" s="51"/>
      <c r="X45" s="46">
        <v>24.9</v>
      </c>
      <c r="Y45" s="47">
        <f t="shared" si="16"/>
        <v>0.11646586345381538</v>
      </c>
      <c r="Z45" s="46">
        <f t="shared" si="2"/>
        <v>27.8</v>
      </c>
      <c r="AA45" s="12">
        <f t="shared" si="3"/>
        <v>2.9000000000000021</v>
      </c>
      <c r="AB45" s="12">
        <f t="shared" si="4"/>
        <v>15.29</v>
      </c>
      <c r="AC45" s="12">
        <f t="shared" si="5"/>
        <v>1.5899999999999999</v>
      </c>
      <c r="AD45" s="12">
        <f t="shared" si="6"/>
        <v>16.399999999999999</v>
      </c>
      <c r="AE45" s="12">
        <f t="shared" si="7"/>
        <v>1.7099999999999991</v>
      </c>
      <c r="AF45" s="12"/>
      <c r="AJ45" s="11" t="e">
        <f>+#REF!*$AE45</f>
        <v>#REF!</v>
      </c>
      <c r="AK45" s="11" t="e">
        <f>+#REF!*$AA45</f>
        <v>#REF!</v>
      </c>
      <c r="AL45" s="11" t="e">
        <f>+#REF!*$AC45</f>
        <v>#REF!</v>
      </c>
    </row>
    <row r="46" spans="1:38" x14ac:dyDescent="0.3">
      <c r="A46" s="4">
        <v>693465282113</v>
      </c>
      <c r="B46" s="5" t="s">
        <v>89</v>
      </c>
      <c r="C46" s="5" t="s">
        <v>90</v>
      </c>
      <c r="D46" s="12">
        <f t="shared" si="8"/>
        <v>31.9</v>
      </c>
      <c r="E46" s="12">
        <v>15.95</v>
      </c>
      <c r="F46" s="47">
        <f t="shared" si="9"/>
        <v>-0.5</v>
      </c>
      <c r="G46" s="12">
        <f t="shared" si="10"/>
        <v>11.96</v>
      </c>
      <c r="H46" s="12">
        <f t="shared" si="11"/>
        <v>18.82</v>
      </c>
      <c r="I46" s="12">
        <f t="shared" si="11"/>
        <v>17.55</v>
      </c>
      <c r="L46" s="46">
        <v>16.899999999999999</v>
      </c>
      <c r="M46" s="46">
        <f t="shared" si="12"/>
        <v>-0.94999999999999929</v>
      </c>
      <c r="N46" s="46">
        <v>12.310922330097087</v>
      </c>
      <c r="O46" s="46">
        <f t="shared" si="13"/>
        <v>-0.35092233009708629</v>
      </c>
      <c r="P46" s="46"/>
      <c r="Q46" s="39">
        <v>3280.518710407212</v>
      </c>
      <c r="R46" s="38">
        <f t="shared" si="14"/>
        <v>-1151.2072697831875</v>
      </c>
      <c r="S46" s="47"/>
      <c r="T46" s="39">
        <v>2908.518710407212</v>
      </c>
      <c r="U46" s="38">
        <f t="shared" si="15"/>
        <v>-1020.6641629870713</v>
      </c>
      <c r="V46" s="51"/>
      <c r="W46" s="51"/>
      <c r="X46" s="46">
        <v>31.9</v>
      </c>
      <c r="Y46" s="47">
        <f t="shared" si="16"/>
        <v>5.9561128526645746E-2</v>
      </c>
      <c r="Z46" s="46">
        <f t="shared" si="2"/>
        <v>33.799999999999997</v>
      </c>
      <c r="AA46" s="12">
        <f t="shared" si="3"/>
        <v>1.8999999999999986</v>
      </c>
      <c r="AB46" s="12">
        <f t="shared" si="4"/>
        <v>18.59</v>
      </c>
      <c r="AC46" s="12">
        <f t="shared" si="5"/>
        <v>1.0399999999999991</v>
      </c>
      <c r="AD46" s="12">
        <f t="shared" si="6"/>
        <v>19.940000000000001</v>
      </c>
      <c r="AE46" s="12">
        <f t="shared" si="7"/>
        <v>1.120000000000001</v>
      </c>
      <c r="AF46" s="12"/>
      <c r="AJ46" s="11" t="e">
        <f>+#REF!*$AE46</f>
        <v>#REF!</v>
      </c>
      <c r="AK46" s="11" t="e">
        <f>+#REF!*$AA46</f>
        <v>#REF!</v>
      </c>
      <c r="AL46" s="11" t="e">
        <f>+#REF!*$AC46</f>
        <v>#REF!</v>
      </c>
    </row>
    <row r="47" spans="1:38" x14ac:dyDescent="0.3">
      <c r="A47" s="4">
        <v>693465106112</v>
      </c>
      <c r="B47" s="5" t="s">
        <v>91</v>
      </c>
      <c r="C47" s="5" t="s">
        <v>92</v>
      </c>
      <c r="D47" s="12">
        <f t="shared" si="8"/>
        <v>46.9</v>
      </c>
      <c r="E47" s="12">
        <v>23.45</v>
      </c>
      <c r="F47" s="47">
        <f t="shared" si="9"/>
        <v>-0.5</v>
      </c>
      <c r="G47" s="12">
        <f t="shared" si="10"/>
        <v>17.59</v>
      </c>
      <c r="H47" s="12">
        <f t="shared" si="11"/>
        <v>27.67</v>
      </c>
      <c r="I47" s="12">
        <f t="shared" si="11"/>
        <v>25.8</v>
      </c>
      <c r="L47" s="46">
        <v>23.9</v>
      </c>
      <c r="M47" s="46">
        <f t="shared" si="12"/>
        <v>-0.44999999999999929</v>
      </c>
      <c r="N47" s="46">
        <v>17.93</v>
      </c>
      <c r="O47" s="46">
        <f t="shared" si="13"/>
        <v>-0.33999999999999986</v>
      </c>
      <c r="P47" s="46"/>
      <c r="Q47" s="39">
        <v>1167.8091854263237</v>
      </c>
      <c r="R47" s="38">
        <f t="shared" si="14"/>
        <v>-397.05512304494988</v>
      </c>
      <c r="S47" s="47"/>
      <c r="T47" s="39">
        <v>999.80918542632367</v>
      </c>
      <c r="U47" s="38">
        <f t="shared" si="15"/>
        <v>-339.93512304494993</v>
      </c>
      <c r="V47" s="51"/>
      <c r="W47" s="51"/>
      <c r="X47" s="46">
        <v>46.9</v>
      </c>
      <c r="Y47" s="47">
        <f t="shared" si="16"/>
        <v>1.9189765458422103E-2</v>
      </c>
      <c r="Z47" s="46">
        <f t="shared" si="2"/>
        <v>47.8</v>
      </c>
      <c r="AA47" s="12">
        <f t="shared" si="3"/>
        <v>0.89999999999999858</v>
      </c>
      <c r="AB47" s="12">
        <f t="shared" si="4"/>
        <v>26.29</v>
      </c>
      <c r="AC47" s="12">
        <f t="shared" si="5"/>
        <v>0.48999999999999844</v>
      </c>
      <c r="AD47" s="12">
        <f t="shared" si="6"/>
        <v>28.2</v>
      </c>
      <c r="AE47" s="12">
        <f t="shared" si="7"/>
        <v>0.52999999999999758</v>
      </c>
      <c r="AF47" s="12"/>
      <c r="AJ47" s="11" t="e">
        <f>+#REF!*$AE47</f>
        <v>#REF!</v>
      </c>
      <c r="AK47" s="11" t="e">
        <f>+#REF!*$AA47</f>
        <v>#REF!</v>
      </c>
      <c r="AL47" s="11" t="e">
        <f>+#REF!*$AC47</f>
        <v>#REF!</v>
      </c>
    </row>
    <row r="48" spans="1:38" x14ac:dyDescent="0.3">
      <c r="A48" s="4">
        <v>693465490211</v>
      </c>
      <c r="B48" s="5" t="s">
        <v>93</v>
      </c>
      <c r="C48" s="5" t="s">
        <v>94</v>
      </c>
      <c r="D48" s="12">
        <f t="shared" si="8"/>
        <v>24.9</v>
      </c>
      <c r="E48" s="12">
        <v>12.45</v>
      </c>
      <c r="F48" s="47">
        <f t="shared" si="9"/>
        <v>-0.5</v>
      </c>
      <c r="G48" s="12">
        <f t="shared" si="10"/>
        <v>9.34</v>
      </c>
      <c r="H48" s="12">
        <f t="shared" si="11"/>
        <v>14.69</v>
      </c>
      <c r="I48" s="12">
        <f t="shared" si="11"/>
        <v>13.7</v>
      </c>
      <c r="L48" s="46">
        <v>11.9</v>
      </c>
      <c r="M48" s="46">
        <f t="shared" si="12"/>
        <v>0.54999999999999893</v>
      </c>
      <c r="N48" s="46">
        <v>8.93</v>
      </c>
      <c r="O48" s="46">
        <f t="shared" si="13"/>
        <v>0.41000000000000014</v>
      </c>
      <c r="P48" s="46"/>
      <c r="Q48" s="39">
        <v>2120.1052185356862</v>
      </c>
      <c r="R48" s="38">
        <f t="shared" si="14"/>
        <v>869.2431395996316</v>
      </c>
      <c r="S48" s="47"/>
      <c r="T48" s="39">
        <v>1808.1052185356862</v>
      </c>
      <c r="U48" s="38">
        <f t="shared" si="15"/>
        <v>741.32313959963153</v>
      </c>
      <c r="V48" s="51"/>
      <c r="W48" s="51"/>
      <c r="X48" s="46">
        <v>24.9</v>
      </c>
      <c r="Y48" s="47">
        <f t="shared" si="16"/>
        <v>-4.417670682730912E-2</v>
      </c>
      <c r="Z48" s="46">
        <f t="shared" si="2"/>
        <v>23.8</v>
      </c>
      <c r="AA48" s="12">
        <f t="shared" si="3"/>
        <v>-1.0999999999999979</v>
      </c>
      <c r="AB48" s="12">
        <f t="shared" si="4"/>
        <v>13.09</v>
      </c>
      <c r="AC48" s="12">
        <f t="shared" si="5"/>
        <v>-0.60999999999999943</v>
      </c>
      <c r="AD48" s="12">
        <f t="shared" si="6"/>
        <v>14.04</v>
      </c>
      <c r="AE48" s="12">
        <f t="shared" si="7"/>
        <v>-0.65000000000000036</v>
      </c>
      <c r="AF48" s="12"/>
      <c r="AJ48" s="11" t="e">
        <f>+#REF!*$AE48</f>
        <v>#REF!</v>
      </c>
      <c r="AK48" s="11" t="e">
        <f>+#REF!*$AA48</f>
        <v>#REF!</v>
      </c>
      <c r="AL48" s="11" t="e">
        <f>+#REF!*$AC48</f>
        <v>#REF!</v>
      </c>
    </row>
    <row r="49" spans="1:38" x14ac:dyDescent="0.3">
      <c r="A49" s="4">
        <v>693465490310</v>
      </c>
      <c r="B49" s="5" t="s">
        <v>95</v>
      </c>
      <c r="C49" s="5" t="s">
        <v>96</v>
      </c>
      <c r="D49" s="12">
        <f t="shared" si="8"/>
        <v>67.900000000000006</v>
      </c>
      <c r="E49" s="12">
        <v>33.950000000000003</v>
      </c>
      <c r="F49" s="47">
        <f t="shared" si="9"/>
        <v>-0.5</v>
      </c>
      <c r="G49" s="12">
        <f t="shared" si="10"/>
        <v>25.46</v>
      </c>
      <c r="H49" s="12">
        <f t="shared" si="11"/>
        <v>40.06</v>
      </c>
      <c r="I49" s="12">
        <f t="shared" si="11"/>
        <v>37.35</v>
      </c>
      <c r="L49" s="46">
        <v>33.9</v>
      </c>
      <c r="M49" s="46">
        <f t="shared" si="12"/>
        <v>5.0000000000004263E-2</v>
      </c>
      <c r="N49" s="46">
        <v>25.43</v>
      </c>
      <c r="O49" s="46">
        <f t="shared" si="13"/>
        <v>3.0000000000001137E-2</v>
      </c>
      <c r="P49" s="46"/>
      <c r="Q49" s="39">
        <v>1493.4302291334607</v>
      </c>
      <c r="R49" s="38">
        <f t="shared" si="14"/>
        <v>44.802906874005515</v>
      </c>
      <c r="S49" s="47"/>
      <c r="T49" s="39">
        <v>1337.4302291334607</v>
      </c>
      <c r="U49" s="38">
        <f t="shared" si="15"/>
        <v>40.122906874005338</v>
      </c>
      <c r="V49" s="51"/>
      <c r="W49" s="51"/>
      <c r="X49" s="46">
        <v>67.900000000000006</v>
      </c>
      <c r="Y49" s="47">
        <f t="shared" si="16"/>
        <v>-1.4727540500737435E-3</v>
      </c>
      <c r="Z49" s="46">
        <f t="shared" si="2"/>
        <v>67.8</v>
      </c>
      <c r="AA49" s="12">
        <f t="shared" si="3"/>
        <v>-0.10000000000000853</v>
      </c>
      <c r="AB49" s="12">
        <f t="shared" si="4"/>
        <v>37.29</v>
      </c>
      <c r="AC49" s="12">
        <f t="shared" si="5"/>
        <v>-6.0000000000002274E-2</v>
      </c>
      <c r="AD49" s="12">
        <f t="shared" si="6"/>
        <v>40</v>
      </c>
      <c r="AE49" s="12">
        <f t="shared" si="7"/>
        <v>-6.0000000000002274E-2</v>
      </c>
      <c r="AF49" s="12"/>
      <c r="AJ49" s="11" t="e">
        <f>+#REF!*$AE49</f>
        <v>#REF!</v>
      </c>
      <c r="AK49" s="11" t="e">
        <f>+#REF!*$AA49</f>
        <v>#REF!</v>
      </c>
      <c r="AL49" s="11" t="e">
        <f>+#REF!*$AC49</f>
        <v>#REF!</v>
      </c>
    </row>
    <row r="50" spans="1:38" x14ac:dyDescent="0.3">
      <c r="A50" s="4">
        <v>693465501115</v>
      </c>
      <c r="B50" s="5" t="s">
        <v>97</v>
      </c>
      <c r="C50" s="5" t="s">
        <v>98</v>
      </c>
      <c r="D50" s="12">
        <f t="shared" si="8"/>
        <v>36.9</v>
      </c>
      <c r="E50" s="12">
        <v>18.45</v>
      </c>
      <c r="F50" s="47">
        <f t="shared" si="9"/>
        <v>-0.5</v>
      </c>
      <c r="G50" s="12">
        <f t="shared" si="10"/>
        <v>13.84</v>
      </c>
      <c r="H50" s="12">
        <f t="shared" si="11"/>
        <v>21.77</v>
      </c>
      <c r="I50" s="12">
        <f t="shared" si="11"/>
        <v>20.3</v>
      </c>
      <c r="L50" s="46">
        <v>18.899999999999999</v>
      </c>
      <c r="M50" s="46">
        <f t="shared" si="12"/>
        <v>-0.44999999999999929</v>
      </c>
      <c r="N50" s="46">
        <v>14.18</v>
      </c>
      <c r="O50" s="46">
        <f t="shared" si="13"/>
        <v>-0.33999999999999986</v>
      </c>
      <c r="P50" s="46"/>
      <c r="Q50" s="39">
        <v>2905.3749470111275</v>
      </c>
      <c r="R50" s="38">
        <f t="shared" si="14"/>
        <v>-987.82748198378295</v>
      </c>
      <c r="S50" s="47"/>
      <c r="T50" s="39">
        <v>2317.3749470111275</v>
      </c>
      <c r="U50" s="38">
        <f t="shared" si="15"/>
        <v>-787.90748198378299</v>
      </c>
      <c r="V50" s="51"/>
      <c r="W50" s="51"/>
      <c r="X50" s="46">
        <v>36.9</v>
      </c>
      <c r="Y50" s="47">
        <f t="shared" si="16"/>
        <v>2.4390243902439046E-2</v>
      </c>
      <c r="Z50" s="46">
        <f t="shared" si="2"/>
        <v>37.799999999999997</v>
      </c>
      <c r="AA50" s="12">
        <f t="shared" si="3"/>
        <v>0.89999999999999858</v>
      </c>
      <c r="AB50" s="12">
        <f t="shared" si="4"/>
        <v>20.79</v>
      </c>
      <c r="AC50" s="12">
        <f t="shared" si="5"/>
        <v>0.48999999999999844</v>
      </c>
      <c r="AD50" s="12">
        <f t="shared" si="6"/>
        <v>22.3</v>
      </c>
      <c r="AE50" s="12">
        <f t="shared" si="7"/>
        <v>0.53000000000000114</v>
      </c>
      <c r="AF50" s="12"/>
      <c r="AJ50" s="11" t="e">
        <f>+#REF!*$AE50</f>
        <v>#REF!</v>
      </c>
      <c r="AK50" s="11" t="e">
        <f>+#REF!*$AA50</f>
        <v>#REF!</v>
      </c>
      <c r="AL50" s="11" t="e">
        <f>+#REF!*$AC50</f>
        <v>#REF!</v>
      </c>
    </row>
    <row r="51" spans="1:38" x14ac:dyDescent="0.3">
      <c r="A51" s="4">
        <v>693465301111</v>
      </c>
      <c r="B51" s="5" t="s">
        <v>99</v>
      </c>
      <c r="C51" s="5" t="s">
        <v>100</v>
      </c>
      <c r="D51" s="12">
        <f t="shared" si="8"/>
        <v>16.899999999999999</v>
      </c>
      <c r="E51" s="12">
        <v>8.4499999999999993</v>
      </c>
      <c r="F51" s="47">
        <f t="shared" si="9"/>
        <v>-0.5</v>
      </c>
      <c r="G51" s="12">
        <f t="shared" si="10"/>
        <v>6.34</v>
      </c>
      <c r="H51" s="12">
        <f t="shared" si="11"/>
        <v>9.9700000000000006</v>
      </c>
      <c r="I51" s="12">
        <f t="shared" si="11"/>
        <v>9.3000000000000007</v>
      </c>
      <c r="L51" s="46">
        <v>9.9</v>
      </c>
      <c r="M51" s="46">
        <f t="shared" si="12"/>
        <v>-1.4500000000000011</v>
      </c>
      <c r="N51" s="46">
        <v>7.094811320754717</v>
      </c>
      <c r="O51" s="46">
        <f t="shared" si="13"/>
        <v>-0.75481132075471713</v>
      </c>
      <c r="P51" s="46"/>
      <c r="Q51" s="39">
        <v>3853.614566899334</v>
      </c>
      <c r="R51" s="38">
        <f t="shared" si="14"/>
        <v>-2908.7519009209036</v>
      </c>
      <c r="S51" s="47"/>
      <c r="T51" s="39">
        <v>3289.614566899334</v>
      </c>
      <c r="U51" s="38">
        <f t="shared" si="15"/>
        <v>-2483.0383160152433</v>
      </c>
      <c r="V51" s="51"/>
      <c r="W51" s="51"/>
      <c r="X51" s="46">
        <v>16.899999999999999</v>
      </c>
      <c r="Y51" s="47">
        <f t="shared" si="16"/>
        <v>0.17159763313609488</v>
      </c>
      <c r="Z51" s="46">
        <f t="shared" si="2"/>
        <v>19.8</v>
      </c>
      <c r="AA51" s="12">
        <f t="shared" si="3"/>
        <v>2.9000000000000021</v>
      </c>
      <c r="AB51" s="12">
        <f t="shared" si="4"/>
        <v>10.89</v>
      </c>
      <c r="AC51" s="12">
        <f t="shared" si="5"/>
        <v>1.5899999999999999</v>
      </c>
      <c r="AD51" s="12">
        <f t="shared" si="6"/>
        <v>11.68</v>
      </c>
      <c r="AE51" s="12">
        <f t="shared" si="7"/>
        <v>1.7099999999999991</v>
      </c>
      <c r="AF51" s="12"/>
      <c r="AJ51" s="11" t="e">
        <f>+#REF!*$AE51</f>
        <v>#REF!</v>
      </c>
      <c r="AK51" s="11" t="e">
        <f>+#REF!*$AA51</f>
        <v>#REF!</v>
      </c>
      <c r="AL51" s="11" t="e">
        <f>+#REF!*$AC51</f>
        <v>#REF!</v>
      </c>
    </row>
    <row r="52" spans="1:38" x14ac:dyDescent="0.3">
      <c r="A52" s="4">
        <v>693465244111</v>
      </c>
      <c r="B52" s="5" t="s">
        <v>101</v>
      </c>
      <c r="C52" s="5" t="s">
        <v>102</v>
      </c>
      <c r="D52" s="12">
        <f t="shared" si="8"/>
        <v>26.9</v>
      </c>
      <c r="E52" s="12">
        <v>13.45</v>
      </c>
      <c r="F52" s="47">
        <f t="shared" si="9"/>
        <v>-0.5</v>
      </c>
      <c r="G52" s="12">
        <f t="shared" si="10"/>
        <v>10.09</v>
      </c>
      <c r="H52" s="12">
        <f t="shared" si="11"/>
        <v>15.87</v>
      </c>
      <c r="I52" s="12">
        <f t="shared" si="11"/>
        <v>14.8</v>
      </c>
      <c r="L52" s="46">
        <v>14.9</v>
      </c>
      <c r="M52" s="46">
        <f t="shared" si="12"/>
        <v>-1.4500000000000011</v>
      </c>
      <c r="N52" s="46">
        <v>10.827509652509653</v>
      </c>
      <c r="O52" s="46">
        <f t="shared" si="13"/>
        <v>-0.73750965250965272</v>
      </c>
      <c r="P52" s="46"/>
      <c r="Q52" s="39">
        <v>1052.7318153980639</v>
      </c>
      <c r="R52" s="38">
        <f t="shared" si="14"/>
        <v>-776.39987536008198</v>
      </c>
      <c r="S52" s="47"/>
      <c r="T52" s="39">
        <v>1016.731815398064</v>
      </c>
      <c r="U52" s="38">
        <f t="shared" si="15"/>
        <v>-749.84952786973452</v>
      </c>
      <c r="V52" s="51"/>
      <c r="W52" s="51"/>
      <c r="X52" s="46">
        <v>26.9</v>
      </c>
      <c r="Y52" s="47">
        <f t="shared" si="16"/>
        <v>0.10780669144981414</v>
      </c>
      <c r="Z52" s="46">
        <f t="shared" si="2"/>
        <v>29.8</v>
      </c>
      <c r="AA52" s="12">
        <f t="shared" si="3"/>
        <v>2.9000000000000021</v>
      </c>
      <c r="AB52" s="12">
        <f t="shared" si="4"/>
        <v>16.39</v>
      </c>
      <c r="AC52" s="12">
        <f t="shared" si="5"/>
        <v>1.5899999999999999</v>
      </c>
      <c r="AD52" s="12">
        <f t="shared" si="6"/>
        <v>17.579999999999998</v>
      </c>
      <c r="AE52" s="12">
        <f t="shared" si="7"/>
        <v>1.7099999999999991</v>
      </c>
      <c r="AF52" s="12"/>
      <c r="AJ52" s="11" t="e">
        <f>+#REF!*$AE52</f>
        <v>#REF!</v>
      </c>
      <c r="AK52" s="11" t="e">
        <f>+#REF!*$AA52</f>
        <v>#REF!</v>
      </c>
      <c r="AL52" s="11" t="e">
        <f>+#REF!*$AC52</f>
        <v>#REF!</v>
      </c>
    </row>
    <row r="53" spans="1:38" x14ac:dyDescent="0.3">
      <c r="A53" s="4">
        <v>693465304112</v>
      </c>
      <c r="B53" s="5" t="s">
        <v>103</v>
      </c>
      <c r="C53" s="5" t="s">
        <v>104</v>
      </c>
      <c r="D53" s="12">
        <f t="shared" si="8"/>
        <v>14.9</v>
      </c>
      <c r="E53" s="12">
        <v>7.45</v>
      </c>
      <c r="F53" s="47">
        <f t="shared" si="9"/>
        <v>-0.5</v>
      </c>
      <c r="G53" s="12">
        <f t="shared" si="10"/>
        <v>5.59</v>
      </c>
      <c r="H53" s="12">
        <f t="shared" si="11"/>
        <v>8.7899999999999991</v>
      </c>
      <c r="I53" s="12">
        <f t="shared" si="11"/>
        <v>8.1999999999999993</v>
      </c>
      <c r="L53" s="46">
        <v>7.9</v>
      </c>
      <c r="M53" s="46">
        <f t="shared" si="12"/>
        <v>-0.45000000000000018</v>
      </c>
      <c r="N53" s="46">
        <v>5.93</v>
      </c>
      <c r="O53" s="46">
        <f t="shared" si="13"/>
        <v>-0.33999999999999986</v>
      </c>
      <c r="P53" s="46"/>
      <c r="Q53" s="39">
        <v>3369.3196648887943</v>
      </c>
      <c r="R53" s="38">
        <f t="shared" si="14"/>
        <v>-1145.5686860621895</v>
      </c>
      <c r="S53" s="47"/>
      <c r="T53" s="39">
        <v>2901.3196648887943</v>
      </c>
      <c r="U53" s="38">
        <f t="shared" si="15"/>
        <v>-986.44868606218961</v>
      </c>
      <c r="V53" s="51"/>
      <c r="W53" s="51"/>
      <c r="X53" s="46">
        <v>14.9</v>
      </c>
      <c r="Y53" s="47">
        <f t="shared" si="16"/>
        <v>6.0402684563758413E-2</v>
      </c>
      <c r="Z53" s="46">
        <f t="shared" si="2"/>
        <v>15.8</v>
      </c>
      <c r="AA53" s="12">
        <f t="shared" si="3"/>
        <v>0.90000000000000036</v>
      </c>
      <c r="AB53" s="12">
        <f t="shared" si="4"/>
        <v>8.69</v>
      </c>
      <c r="AC53" s="12">
        <f t="shared" si="5"/>
        <v>0.49000000000000021</v>
      </c>
      <c r="AD53" s="12">
        <f t="shared" si="6"/>
        <v>9.32</v>
      </c>
      <c r="AE53" s="12">
        <f t="shared" si="7"/>
        <v>0.53000000000000114</v>
      </c>
      <c r="AF53" s="12"/>
      <c r="AJ53" s="11" t="e">
        <f>+#REF!*$AE53</f>
        <v>#REF!</v>
      </c>
      <c r="AK53" s="11" t="e">
        <f>+#REF!*$AA53</f>
        <v>#REF!</v>
      </c>
      <c r="AL53" s="11" t="e">
        <f>+#REF!*$AC53</f>
        <v>#REF!</v>
      </c>
    </row>
    <row r="54" spans="1:38" x14ac:dyDescent="0.3">
      <c r="A54" s="4">
        <v>693465487112</v>
      </c>
      <c r="B54" s="5" t="s">
        <v>105</v>
      </c>
      <c r="C54" s="5" t="s">
        <v>106</v>
      </c>
      <c r="D54" s="12">
        <f t="shared" si="8"/>
        <v>31.9</v>
      </c>
      <c r="E54" s="12">
        <v>15.95</v>
      </c>
      <c r="F54" s="47">
        <f t="shared" si="9"/>
        <v>-0.5</v>
      </c>
      <c r="G54" s="12">
        <f t="shared" si="10"/>
        <v>11.96</v>
      </c>
      <c r="H54" s="12">
        <f t="shared" si="11"/>
        <v>18.82</v>
      </c>
      <c r="I54" s="12">
        <f t="shared" si="11"/>
        <v>17.55</v>
      </c>
      <c r="L54" s="46">
        <v>15.9</v>
      </c>
      <c r="M54" s="46">
        <f t="shared" si="12"/>
        <v>4.9999999999998934E-2</v>
      </c>
      <c r="N54" s="46">
        <v>11.93</v>
      </c>
      <c r="O54" s="46">
        <f t="shared" si="13"/>
        <v>3.0000000000001137E-2</v>
      </c>
      <c r="P54" s="46"/>
      <c r="Q54" s="39">
        <v>5314.6143615709116</v>
      </c>
      <c r="R54" s="38">
        <f t="shared" si="14"/>
        <v>159.43843084713339</v>
      </c>
      <c r="S54" s="47"/>
      <c r="T54" s="39">
        <v>4570.6143615709116</v>
      </c>
      <c r="U54" s="38">
        <f t="shared" si="15"/>
        <v>137.11843084713254</v>
      </c>
      <c r="V54" s="51"/>
      <c r="W54" s="51"/>
      <c r="X54" s="46">
        <v>31.9</v>
      </c>
      <c r="Y54" s="47">
        <f t="shared" si="16"/>
        <v>-3.1347962382444194E-3</v>
      </c>
      <c r="Z54" s="46">
        <f t="shared" si="2"/>
        <v>31.8</v>
      </c>
      <c r="AA54" s="12">
        <f t="shared" si="3"/>
        <v>-9.9999999999997868E-2</v>
      </c>
      <c r="AB54" s="12">
        <f t="shared" si="4"/>
        <v>17.489999999999998</v>
      </c>
      <c r="AC54" s="12">
        <f t="shared" si="5"/>
        <v>-6.0000000000002274E-2</v>
      </c>
      <c r="AD54" s="12">
        <f t="shared" si="6"/>
        <v>18.760000000000002</v>
      </c>
      <c r="AE54" s="12">
        <f t="shared" si="7"/>
        <v>-5.9999999999998721E-2</v>
      </c>
      <c r="AF54" s="12"/>
      <c r="AJ54" s="11" t="e">
        <f>+#REF!*$AE54</f>
        <v>#REF!</v>
      </c>
      <c r="AK54" s="11" t="e">
        <f>+#REF!*$AA54</f>
        <v>#REF!</v>
      </c>
      <c r="AL54" s="11" t="e">
        <f>+#REF!*$AC54</f>
        <v>#REF!</v>
      </c>
    </row>
    <row r="55" spans="1:38" x14ac:dyDescent="0.3">
      <c r="A55" s="4">
        <v>693465485118</v>
      </c>
      <c r="B55" s="5" t="s">
        <v>107</v>
      </c>
      <c r="C55" s="5" t="s">
        <v>108</v>
      </c>
      <c r="D55" s="12">
        <f t="shared" si="8"/>
        <v>42.9</v>
      </c>
      <c r="E55" s="12">
        <v>21.45</v>
      </c>
      <c r="F55" s="47">
        <f t="shared" si="9"/>
        <v>-0.5</v>
      </c>
      <c r="G55" s="12">
        <f t="shared" si="10"/>
        <v>16.09</v>
      </c>
      <c r="H55" s="12">
        <f t="shared" si="11"/>
        <v>25.31</v>
      </c>
      <c r="I55" s="12">
        <f t="shared" si="11"/>
        <v>23.6</v>
      </c>
      <c r="L55" s="46">
        <v>25.9</v>
      </c>
      <c r="M55" s="46">
        <f t="shared" si="12"/>
        <v>-4.4499999999999993</v>
      </c>
      <c r="N55" s="46">
        <v>19.120704057279237</v>
      </c>
      <c r="O55" s="46">
        <f t="shared" si="13"/>
        <v>-3.0307040572792374</v>
      </c>
      <c r="P55" s="46"/>
      <c r="Q55" s="39">
        <v>4564.6478939862782</v>
      </c>
      <c r="R55" s="38">
        <f t="shared" si="14"/>
        <v>-13834.096892355339</v>
      </c>
      <c r="S55" s="47"/>
      <c r="T55" s="39">
        <v>3928.6478939862773</v>
      </c>
      <c r="U55" s="38">
        <f t="shared" si="15"/>
        <v>-11906.569111925743</v>
      </c>
      <c r="V55" s="51"/>
      <c r="W55" s="51"/>
      <c r="X55" s="46">
        <v>42.9</v>
      </c>
      <c r="Y55" s="47">
        <f t="shared" si="16"/>
        <v>0.20745920745920743</v>
      </c>
      <c r="Z55" s="46">
        <f t="shared" si="2"/>
        <v>51.8</v>
      </c>
      <c r="AA55" s="12">
        <f t="shared" si="3"/>
        <v>8.8999999999999986</v>
      </c>
      <c r="AB55" s="12">
        <f t="shared" si="4"/>
        <v>28.49</v>
      </c>
      <c r="AC55" s="12">
        <f t="shared" si="5"/>
        <v>4.889999999999997</v>
      </c>
      <c r="AD55" s="12">
        <f t="shared" si="6"/>
        <v>30.56</v>
      </c>
      <c r="AE55" s="12">
        <f t="shared" si="7"/>
        <v>5.25</v>
      </c>
      <c r="AF55" s="12"/>
      <c r="AJ55" s="11" t="e">
        <f>+#REF!*$AE55</f>
        <v>#REF!</v>
      </c>
      <c r="AK55" s="11" t="e">
        <f>+#REF!*$AA55</f>
        <v>#REF!</v>
      </c>
      <c r="AL55" s="11" t="e">
        <f>+#REF!*$AC55</f>
        <v>#REF!</v>
      </c>
    </row>
    <row r="56" spans="1:38" x14ac:dyDescent="0.3">
      <c r="A56" s="4">
        <v>693465303115</v>
      </c>
      <c r="B56" s="5" t="s">
        <v>109</v>
      </c>
      <c r="C56" s="5" t="s">
        <v>110</v>
      </c>
      <c r="D56" s="12">
        <f t="shared" si="8"/>
        <v>16.899999999999999</v>
      </c>
      <c r="E56" s="12">
        <v>8.4499999999999993</v>
      </c>
      <c r="F56" s="47">
        <f t="shared" si="9"/>
        <v>-0.5</v>
      </c>
      <c r="G56" s="12">
        <f t="shared" si="10"/>
        <v>6.34</v>
      </c>
      <c r="H56" s="12">
        <f t="shared" si="11"/>
        <v>9.9700000000000006</v>
      </c>
      <c r="I56" s="12">
        <f t="shared" si="11"/>
        <v>9.3000000000000007</v>
      </c>
      <c r="L56" s="46">
        <v>9.9</v>
      </c>
      <c r="M56" s="46">
        <f t="shared" si="12"/>
        <v>-1.4500000000000011</v>
      </c>
      <c r="N56" s="46">
        <v>7.094811320754717</v>
      </c>
      <c r="O56" s="46">
        <f t="shared" si="13"/>
        <v>-0.75481132075471713</v>
      </c>
      <c r="P56" s="46"/>
      <c r="Q56" s="39">
        <v>4549.3773902917455</v>
      </c>
      <c r="R56" s="38">
        <f t="shared" si="14"/>
        <v>-3433.9215565777608</v>
      </c>
      <c r="S56" s="47"/>
      <c r="T56" s="39">
        <v>3913.3773902917465</v>
      </c>
      <c r="U56" s="38">
        <f t="shared" si="15"/>
        <v>-2953.8615565777613</v>
      </c>
      <c r="V56" s="51"/>
      <c r="W56" s="51"/>
      <c r="X56" s="46">
        <v>16.899999999999999</v>
      </c>
      <c r="Y56" s="47">
        <f t="shared" si="16"/>
        <v>0.17159763313609488</v>
      </c>
      <c r="Z56" s="46">
        <f t="shared" si="2"/>
        <v>19.8</v>
      </c>
      <c r="AA56" s="12">
        <f t="shared" si="3"/>
        <v>2.9000000000000021</v>
      </c>
      <c r="AB56" s="12">
        <f t="shared" si="4"/>
        <v>10.89</v>
      </c>
      <c r="AC56" s="12">
        <f t="shared" si="5"/>
        <v>1.5899999999999999</v>
      </c>
      <c r="AD56" s="12">
        <f t="shared" si="6"/>
        <v>11.68</v>
      </c>
      <c r="AE56" s="12">
        <f t="shared" si="7"/>
        <v>1.7099999999999991</v>
      </c>
      <c r="AF56" s="12"/>
      <c r="AJ56" s="11" t="e">
        <f>+#REF!*$AE56</f>
        <v>#REF!</v>
      </c>
      <c r="AK56" s="11" t="e">
        <f>+#REF!*$AA56</f>
        <v>#REF!</v>
      </c>
      <c r="AL56" s="11" t="e">
        <f>+#REF!*$AC56</f>
        <v>#REF!</v>
      </c>
    </row>
    <row r="57" spans="1:38" x14ac:dyDescent="0.3">
      <c r="A57" s="35">
        <v>693465187111</v>
      </c>
      <c r="B57" s="36" t="s">
        <v>111</v>
      </c>
      <c r="C57" s="36" t="s">
        <v>112</v>
      </c>
      <c r="D57" s="50">
        <f t="shared" si="8"/>
        <v>36.9</v>
      </c>
      <c r="E57" s="50">
        <v>18.45</v>
      </c>
      <c r="F57" s="47">
        <f t="shared" si="9"/>
        <v>-0.5</v>
      </c>
      <c r="G57" s="50">
        <f t="shared" si="10"/>
        <v>13.84</v>
      </c>
      <c r="H57" s="50">
        <f t="shared" si="11"/>
        <v>21.77</v>
      </c>
      <c r="I57" s="50">
        <f t="shared" si="11"/>
        <v>20.3</v>
      </c>
      <c r="L57" s="46">
        <v>19.899999999999999</v>
      </c>
      <c r="M57" s="46">
        <f t="shared" si="12"/>
        <v>-1.4499999999999993</v>
      </c>
      <c r="N57" s="46">
        <v>14.93</v>
      </c>
      <c r="O57" s="46">
        <f t="shared" si="13"/>
        <v>-1.0899999999999999</v>
      </c>
      <c r="P57" s="46"/>
      <c r="Q57" s="39">
        <v>8458.6304148714298</v>
      </c>
      <c r="R57" s="38">
        <f t="shared" si="14"/>
        <v>-9219.9071522098566</v>
      </c>
      <c r="S57" s="47"/>
      <c r="T57" s="39">
        <v>7234.6304148714289</v>
      </c>
      <c r="U57" s="38">
        <f t="shared" si="15"/>
        <v>-7885.7471522098567</v>
      </c>
      <c r="V57" s="51"/>
      <c r="W57" s="51"/>
      <c r="X57" s="46">
        <v>34.9</v>
      </c>
      <c r="Y57" s="47">
        <f t="shared" si="16"/>
        <v>0.1404011461318051</v>
      </c>
      <c r="Z57" s="46">
        <f t="shared" si="2"/>
        <v>39.799999999999997</v>
      </c>
      <c r="AA57" s="12">
        <f t="shared" si="3"/>
        <v>2.8999999999999986</v>
      </c>
      <c r="AB57" s="12">
        <f t="shared" si="4"/>
        <v>21.89</v>
      </c>
      <c r="AC57" s="12">
        <f t="shared" si="5"/>
        <v>1.5899999999999999</v>
      </c>
      <c r="AD57" s="12">
        <f t="shared" si="6"/>
        <v>23.48</v>
      </c>
      <c r="AE57" s="12">
        <f t="shared" si="7"/>
        <v>1.7100000000000009</v>
      </c>
      <c r="AF57" s="12"/>
      <c r="AJ57" s="11" t="e">
        <f>+#REF!*$AE57</f>
        <v>#REF!</v>
      </c>
      <c r="AK57" s="11" t="e">
        <f>+#REF!*$AA57</f>
        <v>#REF!</v>
      </c>
      <c r="AL57" s="11" t="e">
        <f>+#REF!*$AC57</f>
        <v>#REF!</v>
      </c>
    </row>
    <row r="58" spans="1:38" x14ac:dyDescent="0.3">
      <c r="A58" s="4">
        <v>693465405116</v>
      </c>
      <c r="B58" s="5" t="s">
        <v>113</v>
      </c>
      <c r="C58" s="5" t="s">
        <v>114</v>
      </c>
      <c r="D58" s="12">
        <f t="shared" si="8"/>
        <v>53.9</v>
      </c>
      <c r="E58" s="12">
        <v>26.95</v>
      </c>
      <c r="F58" s="47">
        <f t="shared" si="9"/>
        <v>-0.5</v>
      </c>
      <c r="G58" s="12">
        <f t="shared" si="10"/>
        <v>20.21</v>
      </c>
      <c r="H58" s="12">
        <f t="shared" si="11"/>
        <v>31.8</v>
      </c>
      <c r="I58" s="12">
        <f t="shared" si="11"/>
        <v>29.65</v>
      </c>
      <c r="L58" s="46">
        <v>27.9</v>
      </c>
      <c r="M58" s="46">
        <f t="shared" si="12"/>
        <v>-0.94999999999999929</v>
      </c>
      <c r="N58" s="46">
        <v>20.93</v>
      </c>
      <c r="O58" s="46">
        <f t="shared" si="13"/>
        <v>-0.71999999999999886</v>
      </c>
      <c r="P58" s="46"/>
      <c r="Q58" s="39">
        <v>2976.3210013160387</v>
      </c>
      <c r="R58" s="38">
        <f t="shared" si="14"/>
        <v>-2142.9511209475445</v>
      </c>
      <c r="S58" s="47"/>
      <c r="T58" s="39">
        <v>2316.3210013160387</v>
      </c>
      <c r="U58" s="38">
        <f t="shared" si="15"/>
        <v>-1667.7511209475454</v>
      </c>
      <c r="V58" s="51"/>
      <c r="W58" s="51"/>
      <c r="X58" s="46">
        <v>53.9</v>
      </c>
      <c r="Y58" s="47">
        <f t="shared" si="16"/>
        <v>3.5250463821892453E-2</v>
      </c>
      <c r="Z58" s="46">
        <f t="shared" si="2"/>
        <v>55.8</v>
      </c>
      <c r="AA58" s="12">
        <f t="shared" si="3"/>
        <v>1.8999999999999986</v>
      </c>
      <c r="AB58" s="12">
        <f t="shared" si="4"/>
        <v>30.69</v>
      </c>
      <c r="AC58" s="12">
        <f t="shared" si="5"/>
        <v>1.0400000000000027</v>
      </c>
      <c r="AD58" s="12">
        <f t="shared" si="6"/>
        <v>32.92</v>
      </c>
      <c r="AE58" s="12">
        <f t="shared" si="7"/>
        <v>1.120000000000001</v>
      </c>
      <c r="AF58" s="12"/>
      <c r="AJ58" s="11" t="e">
        <f>+#REF!*$AE58</f>
        <v>#REF!</v>
      </c>
      <c r="AK58" s="11" t="e">
        <f>+#REF!*$AA58</f>
        <v>#REF!</v>
      </c>
      <c r="AL58" s="11" t="e">
        <f>+#REF!*$AC58</f>
        <v>#REF!</v>
      </c>
    </row>
    <row r="59" spans="1:38" x14ac:dyDescent="0.3">
      <c r="A59" s="4">
        <v>693465418116</v>
      </c>
      <c r="B59" s="5" t="s">
        <v>115</v>
      </c>
      <c r="C59" s="5" t="s">
        <v>116</v>
      </c>
      <c r="D59" s="12">
        <f t="shared" si="8"/>
        <v>99.9</v>
      </c>
      <c r="E59" s="12">
        <v>49.95</v>
      </c>
      <c r="F59" s="47">
        <f t="shared" si="9"/>
        <v>-0.5</v>
      </c>
      <c r="G59" s="12">
        <f t="shared" si="10"/>
        <v>37.46</v>
      </c>
      <c r="H59" s="12">
        <f t="shared" si="11"/>
        <v>58.94</v>
      </c>
      <c r="I59" s="12">
        <f t="shared" si="11"/>
        <v>54.95</v>
      </c>
      <c r="L59" s="46">
        <v>50.9</v>
      </c>
      <c r="M59" s="46">
        <f t="shared" si="12"/>
        <v>-0.94999999999999574</v>
      </c>
      <c r="N59" s="46">
        <v>38.189555669050051</v>
      </c>
      <c r="O59" s="46">
        <f t="shared" si="13"/>
        <v>-0.72955566905005043</v>
      </c>
      <c r="P59" s="46"/>
      <c r="Q59" s="39">
        <v>1077.8595776682419</v>
      </c>
      <c r="R59" s="38">
        <f t="shared" si="14"/>
        <v>-786.35856532775892</v>
      </c>
      <c r="S59" s="47"/>
      <c r="T59" s="39">
        <v>921.85957766824185</v>
      </c>
      <c r="U59" s="38">
        <f t="shared" si="15"/>
        <v>-672.54788095595109</v>
      </c>
      <c r="V59" s="51"/>
      <c r="W59" s="51"/>
      <c r="X59" s="46">
        <v>99.9</v>
      </c>
      <c r="Y59" s="47">
        <f t="shared" si="16"/>
        <v>1.9019019019018923E-2</v>
      </c>
      <c r="Z59" s="46">
        <f t="shared" si="2"/>
        <v>101.8</v>
      </c>
      <c r="AA59" s="12">
        <f t="shared" si="3"/>
        <v>1.8999999999999915</v>
      </c>
      <c r="AB59" s="12">
        <f t="shared" si="4"/>
        <v>55.99</v>
      </c>
      <c r="AC59" s="12">
        <f t="shared" si="5"/>
        <v>1.0399999999999991</v>
      </c>
      <c r="AD59" s="12">
        <f t="shared" si="6"/>
        <v>60.06</v>
      </c>
      <c r="AE59" s="12">
        <f t="shared" si="7"/>
        <v>1.1200000000000045</v>
      </c>
      <c r="AF59" s="12"/>
      <c r="AJ59" s="11" t="e">
        <f>+#REF!*$AE59</f>
        <v>#REF!</v>
      </c>
      <c r="AK59" s="11" t="e">
        <f>+#REF!*$AA59</f>
        <v>#REF!</v>
      </c>
      <c r="AL59" s="11" t="e">
        <f>+#REF!*$AC59</f>
        <v>#REF!</v>
      </c>
    </row>
    <row r="60" spans="1:38" x14ac:dyDescent="0.3">
      <c r="A60" s="4">
        <v>693465463116</v>
      </c>
      <c r="B60" s="5" t="s">
        <v>117</v>
      </c>
      <c r="C60" s="5" t="s">
        <v>118</v>
      </c>
      <c r="D60" s="12">
        <f t="shared" si="8"/>
        <v>61.9</v>
      </c>
      <c r="E60" s="12">
        <v>30.95</v>
      </c>
      <c r="F60" s="47">
        <f t="shared" si="9"/>
        <v>-0.5</v>
      </c>
      <c r="G60" s="12">
        <f t="shared" si="10"/>
        <v>23.21</v>
      </c>
      <c r="H60" s="12">
        <f t="shared" si="11"/>
        <v>36.520000000000003</v>
      </c>
      <c r="I60" s="12">
        <f t="shared" si="11"/>
        <v>34.049999999999997</v>
      </c>
      <c r="L60" s="46">
        <v>31.9</v>
      </c>
      <c r="M60" s="46">
        <f t="shared" si="12"/>
        <v>-0.94999999999999929</v>
      </c>
      <c r="N60" s="46">
        <v>23.93</v>
      </c>
      <c r="O60" s="46">
        <f t="shared" si="13"/>
        <v>-0.71999999999999886</v>
      </c>
      <c r="P60" s="46"/>
      <c r="Q60" s="39">
        <v>2029.294696682118</v>
      </c>
      <c r="R60" s="38">
        <f t="shared" si="14"/>
        <v>-1461.0921816111227</v>
      </c>
      <c r="S60" s="47"/>
      <c r="T60" s="39">
        <v>1693.294696682118</v>
      </c>
      <c r="U60" s="38">
        <f t="shared" si="15"/>
        <v>-1219.1721816111231</v>
      </c>
      <c r="V60" s="51"/>
      <c r="W60" s="51"/>
      <c r="X60" s="46">
        <v>61.9</v>
      </c>
      <c r="Y60" s="47">
        <f t="shared" si="16"/>
        <v>3.0694668820678395E-2</v>
      </c>
      <c r="Z60" s="46">
        <f t="shared" si="2"/>
        <v>63.8</v>
      </c>
      <c r="AA60" s="12">
        <f t="shared" si="3"/>
        <v>1.8999999999999986</v>
      </c>
      <c r="AB60" s="12">
        <f t="shared" si="4"/>
        <v>35.090000000000003</v>
      </c>
      <c r="AC60" s="12">
        <f t="shared" si="5"/>
        <v>1.0400000000000063</v>
      </c>
      <c r="AD60" s="12">
        <f t="shared" si="6"/>
        <v>37.64</v>
      </c>
      <c r="AE60" s="12">
        <f t="shared" si="7"/>
        <v>1.1199999999999974</v>
      </c>
      <c r="AF60" s="12"/>
      <c r="AJ60" s="11" t="e">
        <f>+#REF!*$AE60</f>
        <v>#REF!</v>
      </c>
      <c r="AK60" s="11" t="e">
        <f>+#REF!*$AA60</f>
        <v>#REF!</v>
      </c>
      <c r="AL60" s="11" t="e">
        <f>+#REF!*$AC60</f>
        <v>#REF!</v>
      </c>
    </row>
    <row r="61" spans="1:38" x14ac:dyDescent="0.3">
      <c r="A61" s="35">
        <v>693465452110</v>
      </c>
      <c r="B61" s="36" t="s">
        <v>119</v>
      </c>
      <c r="C61" s="36" t="s">
        <v>120</v>
      </c>
      <c r="D61" s="50">
        <f t="shared" si="8"/>
        <v>64.900000000000006</v>
      </c>
      <c r="E61" s="50">
        <v>32.450000000000003</v>
      </c>
      <c r="F61" s="47">
        <f t="shared" si="9"/>
        <v>-0.5</v>
      </c>
      <c r="G61" s="50">
        <f t="shared" si="10"/>
        <v>24.34</v>
      </c>
      <c r="H61" s="50">
        <f t="shared" si="11"/>
        <v>38.29</v>
      </c>
      <c r="I61" s="50">
        <f t="shared" si="11"/>
        <v>35.700000000000003</v>
      </c>
      <c r="L61" s="46">
        <v>31.9</v>
      </c>
      <c r="M61" s="46">
        <f t="shared" si="12"/>
        <v>0.55000000000000426</v>
      </c>
      <c r="N61" s="46">
        <v>23.93</v>
      </c>
      <c r="O61" s="46">
        <f t="shared" si="13"/>
        <v>0.41000000000000014</v>
      </c>
      <c r="P61" s="46"/>
      <c r="Q61" s="39">
        <v>4617.4801655468136</v>
      </c>
      <c r="R61" s="38">
        <f t="shared" si="14"/>
        <v>1893.1668678741942</v>
      </c>
      <c r="S61" s="47"/>
      <c r="T61" s="39">
        <v>3969.4801655468136</v>
      </c>
      <c r="U61" s="38">
        <f t="shared" si="15"/>
        <v>1627.4868678741941</v>
      </c>
      <c r="V61" s="51"/>
      <c r="W61" s="51"/>
      <c r="X61" s="46">
        <v>62.9</v>
      </c>
      <c r="Y61" s="47">
        <f t="shared" si="16"/>
        <v>1.4308426073131875E-2</v>
      </c>
      <c r="Z61" s="46">
        <f t="shared" si="2"/>
        <v>63.8</v>
      </c>
      <c r="AA61" s="12">
        <f t="shared" si="3"/>
        <v>-1.1000000000000085</v>
      </c>
      <c r="AB61" s="12">
        <f t="shared" si="4"/>
        <v>35.090000000000003</v>
      </c>
      <c r="AC61" s="12">
        <f t="shared" si="5"/>
        <v>-0.60999999999999943</v>
      </c>
      <c r="AD61" s="12">
        <f t="shared" si="6"/>
        <v>37.64</v>
      </c>
      <c r="AE61" s="12">
        <f t="shared" si="7"/>
        <v>-0.64999999999999858</v>
      </c>
      <c r="AF61" s="12"/>
      <c r="AJ61" s="11" t="e">
        <f>+#REF!*$AE61</f>
        <v>#REF!</v>
      </c>
      <c r="AK61" s="11" t="e">
        <f>+#REF!*$AA61</f>
        <v>#REF!</v>
      </c>
      <c r="AL61" s="11" t="e">
        <f>+#REF!*$AC61</f>
        <v>#REF!</v>
      </c>
    </row>
    <row r="62" spans="1:38" x14ac:dyDescent="0.3">
      <c r="A62" s="4">
        <v>693465284117</v>
      </c>
      <c r="B62" s="5" t="s">
        <v>121</v>
      </c>
      <c r="C62" s="5" t="s">
        <v>122</v>
      </c>
      <c r="D62" s="12">
        <f t="shared" si="8"/>
        <v>45.9</v>
      </c>
      <c r="E62" s="12">
        <v>22.95</v>
      </c>
      <c r="F62" s="47">
        <f t="shared" si="9"/>
        <v>-0.5</v>
      </c>
      <c r="G62" s="12">
        <f t="shared" si="10"/>
        <v>17.21</v>
      </c>
      <c r="H62" s="12">
        <f t="shared" si="11"/>
        <v>27.08</v>
      </c>
      <c r="I62" s="12">
        <f t="shared" si="11"/>
        <v>25.25</v>
      </c>
      <c r="L62" s="46">
        <v>23.9</v>
      </c>
      <c r="M62" s="46">
        <f t="shared" si="12"/>
        <v>-0.94999999999999929</v>
      </c>
      <c r="N62" s="46">
        <v>17.93</v>
      </c>
      <c r="O62" s="46">
        <f t="shared" si="13"/>
        <v>-0.71999999999999886</v>
      </c>
      <c r="P62" s="46"/>
      <c r="Q62" s="39">
        <v>4775.2028585924581</v>
      </c>
      <c r="R62" s="38">
        <f t="shared" si="14"/>
        <v>-3438.1460581865645</v>
      </c>
      <c r="S62" s="47"/>
      <c r="T62" s="39">
        <v>4139.2028585924581</v>
      </c>
      <c r="U62" s="38">
        <f t="shared" si="15"/>
        <v>-2980.2260581865653</v>
      </c>
      <c r="V62" s="51"/>
      <c r="W62" s="51"/>
      <c r="X62" s="46">
        <v>45.9</v>
      </c>
      <c r="Y62" s="47">
        <f t="shared" si="16"/>
        <v>4.1394335511982572E-2</v>
      </c>
      <c r="Z62" s="46">
        <f t="shared" si="2"/>
        <v>47.8</v>
      </c>
      <c r="AA62" s="12">
        <f t="shared" si="3"/>
        <v>1.8999999999999986</v>
      </c>
      <c r="AB62" s="12">
        <f t="shared" si="4"/>
        <v>26.29</v>
      </c>
      <c r="AC62" s="12">
        <f t="shared" si="5"/>
        <v>1.0399999999999991</v>
      </c>
      <c r="AD62" s="12">
        <f t="shared" si="6"/>
        <v>28.2</v>
      </c>
      <c r="AE62" s="12">
        <f t="shared" si="7"/>
        <v>1.120000000000001</v>
      </c>
      <c r="AF62" s="12"/>
      <c r="AJ62" s="11" t="e">
        <f>+#REF!*$AE62</f>
        <v>#REF!</v>
      </c>
      <c r="AK62" s="11" t="e">
        <f>+#REF!*$AA62</f>
        <v>#REF!</v>
      </c>
      <c r="AL62" s="11" t="e">
        <f>+#REF!*$AC62</f>
        <v>#REF!</v>
      </c>
    </row>
    <row r="63" spans="1:38" x14ac:dyDescent="0.3">
      <c r="A63" s="4">
        <v>693465278116</v>
      </c>
      <c r="B63" s="5" t="s">
        <v>123</v>
      </c>
      <c r="C63" s="5" t="s">
        <v>124</v>
      </c>
      <c r="D63" s="12">
        <f t="shared" si="8"/>
        <v>36.9</v>
      </c>
      <c r="E63" s="12">
        <v>18.45</v>
      </c>
      <c r="F63" s="47">
        <f t="shared" si="9"/>
        <v>-0.5</v>
      </c>
      <c r="G63" s="12">
        <f t="shared" si="10"/>
        <v>13.84</v>
      </c>
      <c r="H63" s="12">
        <f t="shared" si="11"/>
        <v>21.77</v>
      </c>
      <c r="I63" s="12">
        <f t="shared" si="11"/>
        <v>20.3</v>
      </c>
      <c r="L63" s="46">
        <v>18.899999999999999</v>
      </c>
      <c r="M63" s="46">
        <f t="shared" si="12"/>
        <v>-0.44999999999999929</v>
      </c>
      <c r="N63" s="46">
        <v>14.145</v>
      </c>
      <c r="O63" s="46">
        <f t="shared" si="13"/>
        <v>-0.30499999999999972</v>
      </c>
      <c r="P63" s="46"/>
      <c r="Q63" s="39">
        <v>2066.4732693476458</v>
      </c>
      <c r="R63" s="38">
        <f t="shared" si="14"/>
        <v>-630.27434715103141</v>
      </c>
      <c r="S63" s="47"/>
      <c r="T63" s="39">
        <v>1862.4732693476465</v>
      </c>
      <c r="U63" s="38">
        <f t="shared" si="15"/>
        <v>-568.05434715103161</v>
      </c>
      <c r="V63" s="51"/>
      <c r="W63" s="51"/>
      <c r="X63" s="46">
        <v>36.9</v>
      </c>
      <c r="Y63" s="47">
        <f t="shared" si="16"/>
        <v>2.4390243902439046E-2</v>
      </c>
      <c r="Z63" s="46">
        <f t="shared" si="2"/>
        <v>37.799999999999997</v>
      </c>
      <c r="AA63" s="12">
        <f t="shared" si="3"/>
        <v>0.89999999999999858</v>
      </c>
      <c r="AB63" s="12">
        <f t="shared" si="4"/>
        <v>20.79</v>
      </c>
      <c r="AC63" s="12">
        <f t="shared" si="5"/>
        <v>0.48999999999999844</v>
      </c>
      <c r="AD63" s="12">
        <f t="shared" si="6"/>
        <v>22.3</v>
      </c>
      <c r="AE63" s="12">
        <f t="shared" si="7"/>
        <v>0.53000000000000114</v>
      </c>
      <c r="AF63" s="12"/>
      <c r="AJ63" s="11" t="e">
        <f>+#REF!*$AE63</f>
        <v>#REF!</v>
      </c>
      <c r="AK63" s="11" t="e">
        <f>+#REF!*$AA63</f>
        <v>#REF!</v>
      </c>
      <c r="AL63" s="11" t="e">
        <f>+#REF!*$AC63</f>
        <v>#REF!</v>
      </c>
    </row>
    <row r="64" spans="1:38" x14ac:dyDescent="0.3">
      <c r="A64" s="4">
        <v>693465248119</v>
      </c>
      <c r="B64" s="5" t="s">
        <v>125</v>
      </c>
      <c r="C64" s="5" t="s">
        <v>126</v>
      </c>
      <c r="D64" s="12">
        <f t="shared" si="8"/>
        <v>32.9</v>
      </c>
      <c r="E64" s="12">
        <v>16.45</v>
      </c>
      <c r="F64" s="47">
        <f t="shared" si="9"/>
        <v>-0.5</v>
      </c>
      <c r="G64" s="12">
        <f t="shared" si="10"/>
        <v>12.34</v>
      </c>
      <c r="H64" s="12">
        <f t="shared" si="11"/>
        <v>19.41</v>
      </c>
      <c r="I64" s="12">
        <f t="shared" si="11"/>
        <v>18.100000000000001</v>
      </c>
      <c r="L64" s="46">
        <v>16.899999999999999</v>
      </c>
      <c r="M64" s="46">
        <f t="shared" si="12"/>
        <v>-0.44999999999999929</v>
      </c>
      <c r="N64" s="46">
        <v>12.298824451410658</v>
      </c>
      <c r="O64" s="46">
        <f t="shared" si="13"/>
        <v>4.1175548589341915E-2</v>
      </c>
      <c r="P64" s="46"/>
      <c r="Q64" s="39">
        <v>3800.0434218797582</v>
      </c>
      <c r="R64" s="38">
        <f t="shared" si="14"/>
        <v>156.46887255921911</v>
      </c>
      <c r="S64" s="47"/>
      <c r="T64" s="39">
        <v>3164.0434218797582</v>
      </c>
      <c r="U64" s="38">
        <f t="shared" si="15"/>
        <v>130.28122365639763</v>
      </c>
      <c r="V64" s="51"/>
      <c r="W64" s="51"/>
      <c r="X64" s="46">
        <v>32.9</v>
      </c>
      <c r="Y64" s="47">
        <f t="shared" si="16"/>
        <v>2.7355623100303816E-2</v>
      </c>
      <c r="Z64" s="46">
        <f t="shared" si="2"/>
        <v>33.799999999999997</v>
      </c>
      <c r="AA64" s="12">
        <f t="shared" si="3"/>
        <v>0.89999999999999858</v>
      </c>
      <c r="AB64" s="12">
        <f t="shared" si="4"/>
        <v>18.59</v>
      </c>
      <c r="AC64" s="12">
        <f t="shared" si="5"/>
        <v>0.48999999999999844</v>
      </c>
      <c r="AD64" s="12">
        <f t="shared" si="6"/>
        <v>19.940000000000001</v>
      </c>
      <c r="AE64" s="12">
        <f t="shared" si="7"/>
        <v>0.53000000000000114</v>
      </c>
      <c r="AF64" s="12"/>
      <c r="AJ64" s="11" t="e">
        <f>+#REF!*$AE64</f>
        <v>#REF!</v>
      </c>
      <c r="AK64" s="11" t="e">
        <f>+#REF!*$AA64</f>
        <v>#REF!</v>
      </c>
      <c r="AL64" s="11" t="e">
        <f>+#REF!*$AC64</f>
        <v>#REF!</v>
      </c>
    </row>
    <row r="65" spans="1:38" x14ac:dyDescent="0.3">
      <c r="A65" s="4">
        <v>693465409114</v>
      </c>
      <c r="B65" s="5" t="s">
        <v>127</v>
      </c>
      <c r="C65" s="5" t="s">
        <v>128</v>
      </c>
      <c r="D65" s="12">
        <f t="shared" si="8"/>
        <v>13.9</v>
      </c>
      <c r="E65" s="12">
        <v>6.95</v>
      </c>
      <c r="F65" s="47">
        <f t="shared" si="9"/>
        <v>-0.5</v>
      </c>
      <c r="G65" s="12">
        <f t="shared" si="10"/>
        <v>5.21</v>
      </c>
      <c r="H65" s="12">
        <f t="shared" si="11"/>
        <v>8.1999999999999993</v>
      </c>
      <c r="I65" s="12">
        <f t="shared" si="11"/>
        <v>7.65</v>
      </c>
      <c r="L65" s="46">
        <v>6.9</v>
      </c>
      <c r="M65" s="46">
        <f t="shared" si="12"/>
        <v>4.9999999999999822E-2</v>
      </c>
      <c r="N65" s="46">
        <v>5.18</v>
      </c>
      <c r="O65" s="46">
        <f t="shared" si="13"/>
        <v>3.0000000000000249E-2</v>
      </c>
      <c r="P65" s="46"/>
      <c r="Q65" s="39">
        <v>7642.651813880927</v>
      </c>
      <c r="R65" s="38">
        <f t="shared" si="14"/>
        <v>229.2795544164297</v>
      </c>
      <c r="S65" s="47"/>
      <c r="T65" s="39">
        <v>6466.6518138809261</v>
      </c>
      <c r="U65" s="38">
        <f t="shared" si="15"/>
        <v>193.99955441642939</v>
      </c>
      <c r="V65" s="51"/>
      <c r="W65" s="51"/>
      <c r="X65" s="46">
        <v>13.9</v>
      </c>
      <c r="Y65" s="47">
        <f t="shared" si="16"/>
        <v>-7.194244604316502E-3</v>
      </c>
      <c r="Z65" s="46">
        <f t="shared" si="2"/>
        <v>13.8</v>
      </c>
      <c r="AA65" s="12">
        <f t="shared" si="3"/>
        <v>-9.9999999999999645E-2</v>
      </c>
      <c r="AB65" s="12">
        <f t="shared" si="4"/>
        <v>7.59</v>
      </c>
      <c r="AC65" s="12">
        <f t="shared" si="5"/>
        <v>-6.0000000000000497E-2</v>
      </c>
      <c r="AD65" s="12">
        <f t="shared" si="6"/>
        <v>8.14</v>
      </c>
      <c r="AE65" s="12">
        <f t="shared" si="7"/>
        <v>-5.9999999999998721E-2</v>
      </c>
      <c r="AF65" s="12"/>
      <c r="AJ65" s="11" t="e">
        <f>+#REF!*$AE65</f>
        <v>#REF!</v>
      </c>
      <c r="AK65" s="11" t="e">
        <f>+#REF!*$AA65</f>
        <v>#REF!</v>
      </c>
      <c r="AL65" s="11" t="e">
        <f>+#REF!*$AC65</f>
        <v>#REF!</v>
      </c>
    </row>
    <row r="66" spans="1:38" x14ac:dyDescent="0.3">
      <c r="A66" s="4">
        <v>693465410110</v>
      </c>
      <c r="B66" s="5" t="s">
        <v>129</v>
      </c>
      <c r="C66" s="5" t="s">
        <v>130</v>
      </c>
      <c r="D66" s="12">
        <f t="shared" si="8"/>
        <v>16.899999999999999</v>
      </c>
      <c r="E66" s="12">
        <v>8.4499999999999993</v>
      </c>
      <c r="F66" s="47">
        <f t="shared" si="9"/>
        <v>-0.5</v>
      </c>
      <c r="G66" s="12">
        <f t="shared" si="10"/>
        <v>6.34</v>
      </c>
      <c r="H66" s="12">
        <f t="shared" si="11"/>
        <v>9.9700000000000006</v>
      </c>
      <c r="I66" s="12">
        <f t="shared" si="11"/>
        <v>9.3000000000000007</v>
      </c>
      <c r="L66" s="46">
        <v>8.9</v>
      </c>
      <c r="M66" s="46">
        <f t="shared" si="12"/>
        <v>-0.45000000000000107</v>
      </c>
      <c r="N66" s="46">
        <v>6.68</v>
      </c>
      <c r="O66" s="46">
        <f t="shared" si="13"/>
        <v>-0.33999999999999986</v>
      </c>
      <c r="P66" s="46"/>
      <c r="Q66" s="39">
        <v>3307.2117734986177</v>
      </c>
      <c r="R66" s="38">
        <f t="shared" si="14"/>
        <v>-1124.4520029895295</v>
      </c>
      <c r="S66" s="47"/>
      <c r="T66" s="39">
        <v>2839.2117734986177</v>
      </c>
      <c r="U66" s="38">
        <f t="shared" si="15"/>
        <v>-965.33200298952966</v>
      </c>
      <c r="V66" s="51"/>
      <c r="W66" s="51"/>
      <c r="X66" s="46">
        <v>16.899999999999999</v>
      </c>
      <c r="Y66" s="47">
        <f t="shared" si="16"/>
        <v>5.3254437869822535E-2</v>
      </c>
      <c r="Z66" s="46">
        <f t="shared" si="2"/>
        <v>17.8</v>
      </c>
      <c r="AA66" s="12">
        <f t="shared" si="3"/>
        <v>0.90000000000000213</v>
      </c>
      <c r="AB66" s="12">
        <f t="shared" si="4"/>
        <v>9.7899999999999991</v>
      </c>
      <c r="AC66" s="12">
        <f t="shared" si="5"/>
        <v>0.48999999999999844</v>
      </c>
      <c r="AD66" s="12">
        <f t="shared" si="6"/>
        <v>10.5</v>
      </c>
      <c r="AE66" s="12">
        <f t="shared" si="7"/>
        <v>0.52999999999999936</v>
      </c>
      <c r="AF66" s="12"/>
      <c r="AJ66" s="11" t="e">
        <f>+#REF!*$AE66</f>
        <v>#REF!</v>
      </c>
      <c r="AK66" s="11" t="e">
        <f>+#REF!*$AA66</f>
        <v>#REF!</v>
      </c>
      <c r="AL66" s="11" t="e">
        <f>+#REF!*$AC66</f>
        <v>#REF!</v>
      </c>
    </row>
    <row r="67" spans="1:38" x14ac:dyDescent="0.3">
      <c r="A67" s="4">
        <v>693465472118</v>
      </c>
      <c r="B67" s="5" t="s">
        <v>131</v>
      </c>
      <c r="C67" s="5" t="s">
        <v>132</v>
      </c>
      <c r="D67" s="12">
        <f t="shared" si="8"/>
        <v>22.9</v>
      </c>
      <c r="E67" s="12">
        <v>11.45</v>
      </c>
      <c r="F67" s="47">
        <f t="shared" si="9"/>
        <v>-0.5</v>
      </c>
      <c r="G67" s="12">
        <f t="shared" si="10"/>
        <v>8.59</v>
      </c>
      <c r="H67" s="12">
        <f t="shared" si="11"/>
        <v>13.51</v>
      </c>
      <c r="I67" s="12">
        <f t="shared" si="11"/>
        <v>12.6</v>
      </c>
      <c r="L67" s="46">
        <v>11.9</v>
      </c>
      <c r="M67" s="46">
        <f t="shared" si="12"/>
        <v>-0.45000000000000107</v>
      </c>
      <c r="N67" s="46">
        <v>8.8900608960417564</v>
      </c>
      <c r="O67" s="46">
        <f t="shared" si="13"/>
        <v>-0.30006089604175656</v>
      </c>
      <c r="P67" s="46"/>
      <c r="Q67" s="39">
        <v>4211.485780696129</v>
      </c>
      <c r="R67" s="38">
        <f t="shared" si="14"/>
        <v>-1263.7021970227972</v>
      </c>
      <c r="S67" s="47"/>
      <c r="T67" s="39">
        <v>3611.485780696129</v>
      </c>
      <c r="U67" s="38">
        <f t="shared" si="15"/>
        <v>-1083.6656593977432</v>
      </c>
      <c r="V67" s="51"/>
      <c r="W67" s="51"/>
      <c r="X67" s="46">
        <v>22.9</v>
      </c>
      <c r="Y67" s="47">
        <f t="shared" si="16"/>
        <v>3.9301310043668325E-2</v>
      </c>
      <c r="Z67" s="46">
        <f t="shared" si="2"/>
        <v>23.8</v>
      </c>
      <c r="AA67" s="12">
        <f t="shared" si="3"/>
        <v>0.90000000000000213</v>
      </c>
      <c r="AB67" s="12">
        <f t="shared" si="4"/>
        <v>13.09</v>
      </c>
      <c r="AC67" s="12">
        <f t="shared" si="5"/>
        <v>0.49000000000000021</v>
      </c>
      <c r="AD67" s="12">
        <f t="shared" si="6"/>
        <v>14.04</v>
      </c>
      <c r="AE67" s="12">
        <f t="shared" si="7"/>
        <v>0.52999999999999936</v>
      </c>
      <c r="AF67" s="12"/>
      <c r="AJ67" s="11" t="e">
        <f>+#REF!*$AE67</f>
        <v>#REF!</v>
      </c>
      <c r="AK67" s="11" t="e">
        <f>+#REF!*$AA67</f>
        <v>#REF!</v>
      </c>
      <c r="AL67" s="11" t="e">
        <f>+#REF!*$AC67</f>
        <v>#REF!</v>
      </c>
    </row>
    <row r="68" spans="1:38" x14ac:dyDescent="0.3">
      <c r="A68" s="4">
        <v>693465461112</v>
      </c>
      <c r="B68" s="5" t="s">
        <v>133</v>
      </c>
      <c r="C68" s="5" t="s">
        <v>134</v>
      </c>
      <c r="D68" s="12">
        <f t="shared" si="8"/>
        <v>58.9</v>
      </c>
      <c r="E68" s="12">
        <v>29.45</v>
      </c>
      <c r="F68" s="47">
        <f t="shared" si="9"/>
        <v>-0.5</v>
      </c>
      <c r="G68" s="12">
        <f t="shared" si="10"/>
        <v>22.09</v>
      </c>
      <c r="H68" s="12">
        <f t="shared" si="11"/>
        <v>34.75</v>
      </c>
      <c r="I68" s="12">
        <f t="shared" si="11"/>
        <v>32.4</v>
      </c>
      <c r="L68" s="46">
        <v>29.9</v>
      </c>
      <c r="M68" s="46">
        <f t="shared" si="12"/>
        <v>-0.44999999999999929</v>
      </c>
      <c r="N68" s="46">
        <v>22.43</v>
      </c>
      <c r="O68" s="46">
        <f t="shared" si="13"/>
        <v>-0.33999999999999986</v>
      </c>
      <c r="P68" s="46"/>
      <c r="Q68" s="39">
        <v>2116.4565337673826</v>
      </c>
      <c r="R68" s="38">
        <f t="shared" si="14"/>
        <v>-719.5952214809098</v>
      </c>
      <c r="S68" s="47"/>
      <c r="T68" s="39">
        <v>1828.4565337673828</v>
      </c>
      <c r="U68" s="38">
        <f t="shared" si="15"/>
        <v>-621.67522148090984</v>
      </c>
      <c r="V68" s="51"/>
      <c r="W68" s="51"/>
      <c r="X68" s="46">
        <v>58.9</v>
      </c>
      <c r="Y68" s="47">
        <f t="shared" si="16"/>
        <v>1.5280135823429575E-2</v>
      </c>
      <c r="Z68" s="46">
        <f t="shared" si="2"/>
        <v>59.8</v>
      </c>
      <c r="AA68" s="12">
        <f t="shared" si="3"/>
        <v>0.89999999999999858</v>
      </c>
      <c r="AB68" s="12">
        <f t="shared" si="4"/>
        <v>32.89</v>
      </c>
      <c r="AC68" s="12">
        <f t="shared" si="5"/>
        <v>0.49000000000000199</v>
      </c>
      <c r="AD68" s="12">
        <f t="shared" si="6"/>
        <v>35.28</v>
      </c>
      <c r="AE68" s="12">
        <f t="shared" si="7"/>
        <v>0.53000000000000114</v>
      </c>
      <c r="AF68" s="12"/>
      <c r="AJ68" s="11" t="e">
        <f>+#REF!*$AE68</f>
        <v>#REF!</v>
      </c>
      <c r="AK68" s="11" t="e">
        <f>+#REF!*$AA68</f>
        <v>#REF!</v>
      </c>
      <c r="AL68" s="11" t="e">
        <f>+#REF!*$AC68</f>
        <v>#REF!</v>
      </c>
    </row>
    <row r="69" spans="1:38" x14ac:dyDescent="0.3">
      <c r="A69" s="4">
        <v>693465444115</v>
      </c>
      <c r="B69" s="5" t="s">
        <v>135</v>
      </c>
      <c r="C69" s="5" t="s">
        <v>136</v>
      </c>
      <c r="D69" s="12">
        <f t="shared" si="8"/>
        <v>122.9</v>
      </c>
      <c r="E69" s="12">
        <v>61.45</v>
      </c>
      <c r="F69" s="47">
        <f t="shared" si="9"/>
        <v>-0.5</v>
      </c>
      <c r="G69" s="12">
        <f t="shared" si="10"/>
        <v>46.09</v>
      </c>
      <c r="H69" s="12">
        <f t="shared" ref="H69:I99" si="17">ROUND($D69*(1-H$5),2)</f>
        <v>72.510000000000005</v>
      </c>
      <c r="I69" s="12">
        <f t="shared" si="17"/>
        <v>67.599999999999994</v>
      </c>
      <c r="L69" s="46">
        <v>61.9</v>
      </c>
      <c r="M69" s="46">
        <f t="shared" si="12"/>
        <v>-0.44999999999999574</v>
      </c>
      <c r="N69" s="46">
        <v>46.43</v>
      </c>
      <c r="O69" s="46">
        <f t="shared" si="13"/>
        <v>-0.33999999999999631</v>
      </c>
      <c r="P69" s="46"/>
      <c r="Q69" s="39">
        <v>348.56709801204897</v>
      </c>
      <c r="R69" s="38">
        <f t="shared" si="14"/>
        <v>-118.51281332409536</v>
      </c>
      <c r="S69" s="47"/>
      <c r="T69" s="39">
        <v>312.56709801204897</v>
      </c>
      <c r="U69" s="38">
        <f t="shared" si="15"/>
        <v>-106.27281332409549</v>
      </c>
      <c r="V69" s="51"/>
      <c r="W69" s="51"/>
      <c r="X69" s="46">
        <v>122.9</v>
      </c>
      <c r="Y69" s="47">
        <f t="shared" si="16"/>
        <v>7.3230268510984242E-3</v>
      </c>
      <c r="Z69" s="46">
        <f t="shared" si="2"/>
        <v>123.8</v>
      </c>
      <c r="AA69" s="12">
        <f t="shared" si="3"/>
        <v>0.89999999999999147</v>
      </c>
      <c r="AB69" s="12">
        <f t="shared" si="4"/>
        <v>68.09</v>
      </c>
      <c r="AC69" s="12">
        <f t="shared" si="5"/>
        <v>0.49000000000000909</v>
      </c>
      <c r="AD69" s="12">
        <f t="shared" si="6"/>
        <v>73.040000000000006</v>
      </c>
      <c r="AE69" s="12">
        <f t="shared" si="7"/>
        <v>0.53000000000000114</v>
      </c>
      <c r="AF69" s="12"/>
      <c r="AJ69" s="11" t="e">
        <f>+#REF!*$AE69</f>
        <v>#REF!</v>
      </c>
      <c r="AK69" s="11" t="e">
        <f>+#REF!*$AA69</f>
        <v>#REF!</v>
      </c>
      <c r="AL69" s="11" t="e">
        <f>+#REF!*$AC69</f>
        <v>#REF!</v>
      </c>
    </row>
    <row r="70" spans="1:38" x14ac:dyDescent="0.3">
      <c r="A70" s="4">
        <v>693465255117</v>
      </c>
      <c r="B70" s="5" t="s">
        <v>137</v>
      </c>
      <c r="C70" s="5" t="s">
        <v>138</v>
      </c>
      <c r="D70" s="12">
        <f t="shared" si="8"/>
        <v>27.9</v>
      </c>
      <c r="E70" s="12">
        <v>13.95</v>
      </c>
      <c r="F70" s="47">
        <f t="shared" si="9"/>
        <v>-0.5</v>
      </c>
      <c r="G70" s="12">
        <f t="shared" si="10"/>
        <v>10.46</v>
      </c>
      <c r="H70" s="12">
        <f t="shared" si="17"/>
        <v>16.46</v>
      </c>
      <c r="I70" s="12">
        <f t="shared" si="17"/>
        <v>15.35</v>
      </c>
      <c r="L70" s="46">
        <v>14.9</v>
      </c>
      <c r="M70" s="46">
        <f t="shared" si="12"/>
        <v>-0.95000000000000107</v>
      </c>
      <c r="N70" s="46">
        <v>11.18</v>
      </c>
      <c r="O70" s="46">
        <f t="shared" si="13"/>
        <v>-0.71999999999999886</v>
      </c>
      <c r="P70" s="46"/>
      <c r="Q70" s="39">
        <v>2708.1854688646958</v>
      </c>
      <c r="R70" s="38">
        <f t="shared" si="14"/>
        <v>-1949.8935375825779</v>
      </c>
      <c r="S70" s="47"/>
      <c r="T70" s="39">
        <v>2300.1854688646958</v>
      </c>
      <c r="U70" s="38">
        <f t="shared" si="15"/>
        <v>-1656.1335375825784</v>
      </c>
      <c r="V70" s="51"/>
      <c r="W70" s="51"/>
      <c r="X70" s="46">
        <v>27.9</v>
      </c>
      <c r="Y70" s="47">
        <f t="shared" si="16"/>
        <v>6.8100358422939156E-2</v>
      </c>
      <c r="Z70" s="46">
        <f t="shared" si="2"/>
        <v>29.8</v>
      </c>
      <c r="AA70" s="12">
        <f t="shared" si="3"/>
        <v>1.9000000000000021</v>
      </c>
      <c r="AB70" s="12">
        <f t="shared" si="4"/>
        <v>16.39</v>
      </c>
      <c r="AC70" s="12">
        <f t="shared" si="5"/>
        <v>1.0400000000000009</v>
      </c>
      <c r="AD70" s="12">
        <f t="shared" si="6"/>
        <v>17.579999999999998</v>
      </c>
      <c r="AE70" s="12">
        <f t="shared" si="7"/>
        <v>1.1199999999999974</v>
      </c>
      <c r="AF70" s="12"/>
      <c r="AJ70" s="11" t="e">
        <f>+#REF!*$AE70</f>
        <v>#REF!</v>
      </c>
      <c r="AK70" s="11" t="e">
        <f>+#REF!*$AA70</f>
        <v>#REF!</v>
      </c>
      <c r="AL70" s="11" t="e">
        <f>+#REF!*$AC70</f>
        <v>#REF!</v>
      </c>
    </row>
    <row r="71" spans="1:38" x14ac:dyDescent="0.3">
      <c r="A71" s="4">
        <v>693465255216</v>
      </c>
      <c r="B71" s="5" t="s">
        <v>139</v>
      </c>
      <c r="C71" s="5" t="s">
        <v>140</v>
      </c>
      <c r="D71" s="12">
        <f t="shared" si="8"/>
        <v>52.9</v>
      </c>
      <c r="E71" s="12">
        <v>26.45</v>
      </c>
      <c r="F71" s="47">
        <f t="shared" si="9"/>
        <v>-0.5</v>
      </c>
      <c r="G71" s="12">
        <f t="shared" si="10"/>
        <v>19.84</v>
      </c>
      <c r="H71" s="12">
        <f t="shared" si="17"/>
        <v>31.21</v>
      </c>
      <c r="I71" s="12">
        <f t="shared" si="17"/>
        <v>29.1</v>
      </c>
      <c r="L71" s="46">
        <v>26.9</v>
      </c>
      <c r="M71" s="46">
        <f t="shared" si="12"/>
        <v>-0.44999999999999929</v>
      </c>
      <c r="N71" s="46">
        <v>20.18</v>
      </c>
      <c r="O71" s="46">
        <f t="shared" si="13"/>
        <v>-0.33999999999999986</v>
      </c>
      <c r="P71" s="46"/>
      <c r="Q71" s="39">
        <v>2796.8880993280882</v>
      </c>
      <c r="R71" s="38">
        <f t="shared" si="14"/>
        <v>-950.94195377154961</v>
      </c>
      <c r="S71" s="47"/>
      <c r="T71" s="39">
        <v>2388.8880993280882</v>
      </c>
      <c r="U71" s="38">
        <f t="shared" si="15"/>
        <v>-812.22195377154969</v>
      </c>
      <c r="V71" s="51"/>
      <c r="W71" s="51"/>
      <c r="X71" s="46">
        <v>52.9</v>
      </c>
      <c r="Y71" s="47">
        <f t="shared" si="16"/>
        <v>1.7013232514177634E-2</v>
      </c>
      <c r="Z71" s="46">
        <f t="shared" ref="Z71:Z134" si="18">+L71*2</f>
        <v>53.8</v>
      </c>
      <c r="AA71" s="12">
        <f t="shared" ref="AA71:AA134" si="19">+Z71-D71</f>
        <v>0.89999999999999858</v>
      </c>
      <c r="AB71" s="12">
        <f t="shared" ref="AB71:AB134" si="20">ROUND($Z71*(1-AB$5),2)</f>
        <v>29.59</v>
      </c>
      <c r="AC71" s="12">
        <f t="shared" ref="AC71:AC134" si="21">+AB71-I71</f>
        <v>0.48999999999999844</v>
      </c>
      <c r="AD71" s="12">
        <f t="shared" ref="AD71:AD134" si="22">ROUND($Z71*(1-AD$5),2)</f>
        <v>31.74</v>
      </c>
      <c r="AE71" s="12">
        <f t="shared" ref="AE71:AE134" si="23">+AD71-H71</f>
        <v>0.52999999999999758</v>
      </c>
      <c r="AF71" s="12"/>
      <c r="AJ71" s="11" t="e">
        <f>+#REF!*$AE71</f>
        <v>#REF!</v>
      </c>
      <c r="AK71" s="11" t="e">
        <f>+#REF!*$AA71</f>
        <v>#REF!</v>
      </c>
      <c r="AL71" s="11" t="e">
        <f>+#REF!*$AC71</f>
        <v>#REF!</v>
      </c>
    </row>
    <row r="72" spans="1:38" x14ac:dyDescent="0.3">
      <c r="A72" s="4">
        <v>693465266113</v>
      </c>
      <c r="B72" s="5" t="s">
        <v>141</v>
      </c>
      <c r="C72" s="5" t="s">
        <v>142</v>
      </c>
      <c r="D72" s="12">
        <f t="shared" ref="D72:D135" si="24">+E72*2</f>
        <v>67.900000000000006</v>
      </c>
      <c r="E72" s="12">
        <v>33.950000000000003</v>
      </c>
      <c r="F72" s="47">
        <f t="shared" ref="F72:F135" si="25">+E72/D72-1</f>
        <v>-0.5</v>
      </c>
      <c r="G72" s="12">
        <f t="shared" ref="G72:G135" si="26">ROUND($E72*(1-G$5),2)</f>
        <v>25.46</v>
      </c>
      <c r="H72" s="12">
        <f t="shared" si="17"/>
        <v>40.06</v>
      </c>
      <c r="I72" s="12">
        <f t="shared" si="17"/>
        <v>37.35</v>
      </c>
      <c r="L72" s="46">
        <v>34.9</v>
      </c>
      <c r="M72" s="46">
        <f t="shared" ref="M72:M135" si="27">+E72-L72</f>
        <v>-0.94999999999999574</v>
      </c>
      <c r="N72" s="46">
        <v>26.18</v>
      </c>
      <c r="O72" s="46">
        <f t="shared" ref="O72:O135" si="28">+G72-N72</f>
        <v>-0.71999999999999886</v>
      </c>
      <c r="P72" s="46"/>
      <c r="Q72" s="39">
        <v>2446.699957608902</v>
      </c>
      <c r="R72" s="38">
        <f t="shared" ref="R72:R135" si="29">+Q72*O72</f>
        <v>-1761.6239694784067</v>
      </c>
      <c r="S72" s="47"/>
      <c r="T72" s="39">
        <v>1894.6999576089017</v>
      </c>
      <c r="U72" s="38">
        <f t="shared" ref="U72:U135" si="30">+T72*$O72</f>
        <v>-1364.1839694784071</v>
      </c>
      <c r="V72" s="51"/>
      <c r="W72" s="51"/>
      <c r="X72" s="46">
        <v>67.900000000000006</v>
      </c>
      <c r="Y72" s="47">
        <f t="shared" ref="Y72:Y135" si="31">IFERROR(Z72/X72-1,0)</f>
        <v>2.7982326951399017E-2</v>
      </c>
      <c r="Z72" s="46">
        <f t="shared" si="18"/>
        <v>69.8</v>
      </c>
      <c r="AA72" s="12">
        <f t="shared" si="19"/>
        <v>1.8999999999999915</v>
      </c>
      <c r="AB72" s="12">
        <f t="shared" si="20"/>
        <v>38.39</v>
      </c>
      <c r="AC72" s="12">
        <f t="shared" si="21"/>
        <v>1.0399999999999991</v>
      </c>
      <c r="AD72" s="12">
        <f t="shared" si="22"/>
        <v>41.18</v>
      </c>
      <c r="AE72" s="12">
        <f t="shared" si="23"/>
        <v>1.1199999999999974</v>
      </c>
      <c r="AF72" s="12"/>
      <c r="AJ72" s="11" t="e">
        <f>+#REF!*$AE72</f>
        <v>#REF!</v>
      </c>
      <c r="AK72" s="11" t="e">
        <f>+#REF!*$AA72</f>
        <v>#REF!</v>
      </c>
      <c r="AL72" s="11" t="e">
        <f>+#REF!*$AC72</f>
        <v>#REF!</v>
      </c>
    </row>
    <row r="73" spans="1:38" x14ac:dyDescent="0.3">
      <c r="A73" s="33">
        <v>693465208113</v>
      </c>
      <c r="B73" s="5" t="s">
        <v>143</v>
      </c>
      <c r="C73" s="5" t="s">
        <v>144</v>
      </c>
      <c r="D73" s="12">
        <f t="shared" si="24"/>
        <v>24.9</v>
      </c>
      <c r="E73" s="12">
        <v>12.45</v>
      </c>
      <c r="F73" s="47">
        <f t="shared" si="25"/>
        <v>-0.5</v>
      </c>
      <c r="G73" s="12">
        <f t="shared" si="26"/>
        <v>9.34</v>
      </c>
      <c r="H73" s="12">
        <f t="shared" si="17"/>
        <v>14.69</v>
      </c>
      <c r="I73" s="12">
        <f t="shared" si="17"/>
        <v>13.7</v>
      </c>
      <c r="L73" s="46">
        <v>12.9</v>
      </c>
      <c r="M73" s="46">
        <f t="shared" si="27"/>
        <v>-0.45000000000000107</v>
      </c>
      <c r="N73" s="46">
        <v>9.68</v>
      </c>
      <c r="O73" s="46">
        <f t="shared" si="28"/>
        <v>-0.33999999999999986</v>
      </c>
      <c r="P73" s="46"/>
      <c r="Q73" s="39">
        <v>1310.2683920481959</v>
      </c>
      <c r="R73" s="38">
        <f t="shared" si="29"/>
        <v>-445.49125329638639</v>
      </c>
      <c r="S73" s="47"/>
      <c r="T73" s="39">
        <v>1142.2683920481959</v>
      </c>
      <c r="U73" s="38">
        <f t="shared" si="30"/>
        <v>-388.37125329638644</v>
      </c>
      <c r="V73" s="51"/>
      <c r="W73" s="51"/>
      <c r="X73" s="46">
        <v>24.9</v>
      </c>
      <c r="Y73" s="47">
        <f t="shared" si="31"/>
        <v>3.6144578313253017E-2</v>
      </c>
      <c r="Z73" s="46">
        <f t="shared" si="18"/>
        <v>25.8</v>
      </c>
      <c r="AA73" s="12">
        <f t="shared" si="19"/>
        <v>0.90000000000000213</v>
      </c>
      <c r="AB73" s="12">
        <f t="shared" si="20"/>
        <v>14.19</v>
      </c>
      <c r="AC73" s="12">
        <f t="shared" si="21"/>
        <v>0.49000000000000021</v>
      </c>
      <c r="AD73" s="12">
        <f t="shared" si="22"/>
        <v>15.22</v>
      </c>
      <c r="AE73" s="12">
        <f t="shared" si="23"/>
        <v>0.53000000000000114</v>
      </c>
      <c r="AF73" s="12"/>
      <c r="AJ73" s="11" t="e">
        <f>+#REF!*$AE73</f>
        <v>#REF!</v>
      </c>
      <c r="AK73" s="11" t="e">
        <f>+#REF!*$AA73</f>
        <v>#REF!</v>
      </c>
      <c r="AL73" s="11" t="e">
        <f>+#REF!*$AC73</f>
        <v>#REF!</v>
      </c>
    </row>
    <row r="74" spans="1:38" x14ac:dyDescent="0.3">
      <c r="A74" s="4">
        <v>693465209219</v>
      </c>
      <c r="B74" s="5" t="s">
        <v>145</v>
      </c>
      <c r="C74" s="5" t="s">
        <v>146</v>
      </c>
      <c r="D74" s="12">
        <f t="shared" si="24"/>
        <v>41.9</v>
      </c>
      <c r="E74" s="12">
        <v>20.95</v>
      </c>
      <c r="F74" s="47">
        <f t="shared" si="25"/>
        <v>-0.5</v>
      </c>
      <c r="G74" s="12">
        <f t="shared" si="26"/>
        <v>15.71</v>
      </c>
      <c r="H74" s="12">
        <f t="shared" si="17"/>
        <v>24.72</v>
      </c>
      <c r="I74" s="12">
        <f t="shared" si="17"/>
        <v>23.05</v>
      </c>
      <c r="L74" s="46">
        <v>21.9</v>
      </c>
      <c r="M74" s="46">
        <f t="shared" si="27"/>
        <v>-0.94999999999999929</v>
      </c>
      <c r="N74" s="46">
        <v>16.43</v>
      </c>
      <c r="O74" s="46">
        <f t="shared" si="28"/>
        <v>-0.71999999999999886</v>
      </c>
      <c r="P74" s="46"/>
      <c r="Q74" s="39">
        <v>1730.8354900602453</v>
      </c>
      <c r="R74" s="38">
        <f t="shared" si="29"/>
        <v>-1246.2015528433747</v>
      </c>
      <c r="S74" s="47"/>
      <c r="T74" s="39">
        <v>1490.8354900602453</v>
      </c>
      <c r="U74" s="38">
        <f t="shared" si="30"/>
        <v>-1073.4015528433749</v>
      </c>
      <c r="V74" s="51"/>
      <c r="W74" s="51"/>
      <c r="X74" s="46">
        <v>41.9</v>
      </c>
      <c r="Y74" s="47">
        <f t="shared" si="31"/>
        <v>4.5346062052505909E-2</v>
      </c>
      <c r="Z74" s="46">
        <f t="shared" si="18"/>
        <v>43.8</v>
      </c>
      <c r="AA74" s="12">
        <f t="shared" si="19"/>
        <v>1.8999999999999986</v>
      </c>
      <c r="AB74" s="12">
        <f t="shared" si="20"/>
        <v>24.09</v>
      </c>
      <c r="AC74" s="12">
        <f t="shared" si="21"/>
        <v>1.0399999999999991</v>
      </c>
      <c r="AD74" s="12">
        <f t="shared" si="22"/>
        <v>25.84</v>
      </c>
      <c r="AE74" s="12">
        <f t="shared" si="23"/>
        <v>1.120000000000001</v>
      </c>
      <c r="AF74" s="12"/>
      <c r="AJ74" s="11" t="e">
        <f>+#REF!*$AE74</f>
        <v>#REF!</v>
      </c>
      <c r="AK74" s="11" t="e">
        <f>+#REF!*$AA74</f>
        <v>#REF!</v>
      </c>
      <c r="AL74" s="11" t="e">
        <f>+#REF!*$AC74</f>
        <v>#REF!</v>
      </c>
    </row>
    <row r="75" spans="1:38" x14ac:dyDescent="0.3">
      <c r="A75" s="4">
        <v>693465210116</v>
      </c>
      <c r="B75" s="5" t="s">
        <v>147</v>
      </c>
      <c r="C75" s="5" t="s">
        <v>148</v>
      </c>
      <c r="D75" s="12">
        <f t="shared" si="24"/>
        <v>28.9</v>
      </c>
      <c r="E75" s="12">
        <v>14.45</v>
      </c>
      <c r="F75" s="47">
        <f t="shared" si="25"/>
        <v>-0.5</v>
      </c>
      <c r="G75" s="12">
        <f t="shared" si="26"/>
        <v>10.84</v>
      </c>
      <c r="H75" s="12">
        <f t="shared" si="17"/>
        <v>17.05</v>
      </c>
      <c r="I75" s="12">
        <f t="shared" si="17"/>
        <v>15.9</v>
      </c>
      <c r="L75" s="46">
        <v>14.9</v>
      </c>
      <c r="M75" s="46">
        <f t="shared" si="27"/>
        <v>-0.45000000000000107</v>
      </c>
      <c r="N75" s="46">
        <v>11.18</v>
      </c>
      <c r="O75" s="46">
        <f t="shared" si="28"/>
        <v>-0.33999999999999986</v>
      </c>
      <c r="P75" s="46"/>
      <c r="Q75" s="39">
        <v>4550.6696436932461</v>
      </c>
      <c r="R75" s="38">
        <f t="shared" si="29"/>
        <v>-1547.2276788557031</v>
      </c>
      <c r="S75" s="47"/>
      <c r="T75" s="39">
        <v>3854.6696436932457</v>
      </c>
      <c r="U75" s="38">
        <f t="shared" si="30"/>
        <v>-1310.587678855703</v>
      </c>
      <c r="V75" s="51"/>
      <c r="W75" s="51"/>
      <c r="X75" s="46">
        <v>28.9</v>
      </c>
      <c r="Y75" s="47">
        <f t="shared" si="31"/>
        <v>3.114186851211076E-2</v>
      </c>
      <c r="Z75" s="46">
        <f t="shared" si="18"/>
        <v>29.8</v>
      </c>
      <c r="AA75" s="12">
        <f t="shared" si="19"/>
        <v>0.90000000000000213</v>
      </c>
      <c r="AB75" s="12">
        <f t="shared" si="20"/>
        <v>16.39</v>
      </c>
      <c r="AC75" s="12">
        <f t="shared" si="21"/>
        <v>0.49000000000000021</v>
      </c>
      <c r="AD75" s="12">
        <f t="shared" si="22"/>
        <v>17.579999999999998</v>
      </c>
      <c r="AE75" s="12">
        <f t="shared" si="23"/>
        <v>0.52999999999999758</v>
      </c>
      <c r="AF75" s="12"/>
      <c r="AJ75" s="11" t="e">
        <f>+#REF!*$AE75</f>
        <v>#REF!</v>
      </c>
      <c r="AK75" s="11" t="e">
        <f>+#REF!*$AA75</f>
        <v>#REF!</v>
      </c>
      <c r="AL75" s="11" t="e">
        <f>+#REF!*$AC75</f>
        <v>#REF!</v>
      </c>
    </row>
    <row r="76" spans="1:38" x14ac:dyDescent="0.3">
      <c r="A76" s="4">
        <v>693465210215</v>
      </c>
      <c r="B76" s="5" t="s">
        <v>149</v>
      </c>
      <c r="C76" s="5" t="s">
        <v>150</v>
      </c>
      <c r="D76" s="12">
        <f t="shared" si="24"/>
        <v>52.9</v>
      </c>
      <c r="E76" s="12">
        <v>26.45</v>
      </c>
      <c r="F76" s="47">
        <f t="shared" si="25"/>
        <v>-0.5</v>
      </c>
      <c r="G76" s="12">
        <f t="shared" si="26"/>
        <v>19.84</v>
      </c>
      <c r="H76" s="12">
        <f t="shared" si="17"/>
        <v>31.21</v>
      </c>
      <c r="I76" s="12">
        <f t="shared" si="17"/>
        <v>29.1</v>
      </c>
      <c r="L76" s="46">
        <v>27.9</v>
      </c>
      <c r="M76" s="46">
        <f t="shared" si="27"/>
        <v>-1.4499999999999993</v>
      </c>
      <c r="N76" s="46">
        <v>20.93</v>
      </c>
      <c r="O76" s="46">
        <f t="shared" si="28"/>
        <v>-1.0899999999999999</v>
      </c>
      <c r="P76" s="46"/>
      <c r="Q76" s="39">
        <v>1392.1605006580196</v>
      </c>
      <c r="R76" s="38">
        <f t="shared" si="29"/>
        <v>-1517.4549457172411</v>
      </c>
      <c r="S76" s="47"/>
      <c r="T76" s="39">
        <v>1116.1605006580194</v>
      </c>
      <c r="U76" s="38">
        <f t="shared" si="30"/>
        <v>-1216.614945717241</v>
      </c>
      <c r="V76" s="51"/>
      <c r="W76" s="51"/>
      <c r="X76" s="46">
        <v>52.9</v>
      </c>
      <c r="Y76" s="47">
        <f t="shared" si="31"/>
        <v>5.4820415879017093E-2</v>
      </c>
      <c r="Z76" s="46">
        <f t="shared" si="18"/>
        <v>55.8</v>
      </c>
      <c r="AA76" s="12">
        <f t="shared" si="19"/>
        <v>2.8999999999999986</v>
      </c>
      <c r="AB76" s="12">
        <f t="shared" si="20"/>
        <v>30.69</v>
      </c>
      <c r="AC76" s="12">
        <f t="shared" si="21"/>
        <v>1.5899999999999999</v>
      </c>
      <c r="AD76" s="12">
        <f t="shared" si="22"/>
        <v>32.92</v>
      </c>
      <c r="AE76" s="12">
        <f t="shared" si="23"/>
        <v>1.7100000000000009</v>
      </c>
      <c r="AF76" s="12"/>
      <c r="AJ76" s="11" t="e">
        <f>+#REF!*$AE76</f>
        <v>#REF!</v>
      </c>
      <c r="AK76" s="11" t="e">
        <f>+#REF!*$AA76</f>
        <v>#REF!</v>
      </c>
      <c r="AL76" s="11" t="e">
        <f>+#REF!*$AC76</f>
        <v>#REF!</v>
      </c>
    </row>
    <row r="77" spans="1:38" x14ac:dyDescent="0.3">
      <c r="A77" s="4">
        <v>693465277119</v>
      </c>
      <c r="B77" s="5" t="s">
        <v>151</v>
      </c>
      <c r="C77" s="5" t="s">
        <v>152</v>
      </c>
      <c r="D77" s="12">
        <f t="shared" si="24"/>
        <v>27.9</v>
      </c>
      <c r="E77" s="12">
        <v>13.95</v>
      </c>
      <c r="F77" s="47">
        <f t="shared" si="25"/>
        <v>-0.5</v>
      </c>
      <c r="G77" s="12">
        <f t="shared" si="26"/>
        <v>10.46</v>
      </c>
      <c r="H77" s="12">
        <f t="shared" si="17"/>
        <v>16.46</v>
      </c>
      <c r="I77" s="12">
        <f t="shared" si="17"/>
        <v>15.35</v>
      </c>
      <c r="L77" s="46">
        <v>14.9</v>
      </c>
      <c r="M77" s="46">
        <f t="shared" si="27"/>
        <v>-0.95000000000000107</v>
      </c>
      <c r="N77" s="46">
        <v>11.18</v>
      </c>
      <c r="O77" s="46">
        <f t="shared" si="28"/>
        <v>-0.71999999999999886</v>
      </c>
      <c r="P77" s="46"/>
      <c r="Q77" s="39">
        <v>3488.1854688646958</v>
      </c>
      <c r="R77" s="38">
        <f t="shared" si="29"/>
        <v>-2511.4935375825771</v>
      </c>
      <c r="S77" s="47"/>
      <c r="T77" s="39">
        <v>2648.1854688646963</v>
      </c>
      <c r="U77" s="38">
        <f t="shared" si="30"/>
        <v>-1906.6935375825783</v>
      </c>
      <c r="V77" s="51"/>
      <c r="W77" s="51"/>
      <c r="X77" s="46">
        <v>27.9</v>
      </c>
      <c r="Y77" s="47">
        <f t="shared" si="31"/>
        <v>6.8100358422939156E-2</v>
      </c>
      <c r="Z77" s="46">
        <f t="shared" si="18"/>
        <v>29.8</v>
      </c>
      <c r="AA77" s="12">
        <f t="shared" si="19"/>
        <v>1.9000000000000021</v>
      </c>
      <c r="AB77" s="12">
        <f t="shared" si="20"/>
        <v>16.39</v>
      </c>
      <c r="AC77" s="12">
        <f t="shared" si="21"/>
        <v>1.0400000000000009</v>
      </c>
      <c r="AD77" s="12">
        <f t="shared" si="22"/>
        <v>17.579999999999998</v>
      </c>
      <c r="AE77" s="12">
        <f t="shared" si="23"/>
        <v>1.1199999999999974</v>
      </c>
      <c r="AF77" s="12"/>
      <c r="AJ77" s="11" t="e">
        <f>+#REF!*$AE77</f>
        <v>#REF!</v>
      </c>
      <c r="AK77" s="11" t="e">
        <f>+#REF!*$AA77</f>
        <v>#REF!</v>
      </c>
      <c r="AL77" s="11" t="e">
        <f>+#REF!*$AC77</f>
        <v>#REF!</v>
      </c>
    </row>
    <row r="78" spans="1:38" x14ac:dyDescent="0.3">
      <c r="A78" s="4">
        <v>693465212110</v>
      </c>
      <c r="B78" s="5" t="s">
        <v>153</v>
      </c>
      <c r="C78" s="5" t="s">
        <v>154</v>
      </c>
      <c r="D78" s="12">
        <f t="shared" si="24"/>
        <v>21.9</v>
      </c>
      <c r="E78" s="12">
        <v>10.95</v>
      </c>
      <c r="F78" s="47">
        <f t="shared" si="25"/>
        <v>-0.5</v>
      </c>
      <c r="G78" s="12">
        <f t="shared" si="26"/>
        <v>8.2100000000000009</v>
      </c>
      <c r="H78" s="12">
        <f t="shared" si="17"/>
        <v>12.92</v>
      </c>
      <c r="I78" s="12">
        <f t="shared" si="17"/>
        <v>12.05</v>
      </c>
      <c r="L78" s="46">
        <v>11.9</v>
      </c>
      <c r="M78" s="46">
        <f t="shared" si="27"/>
        <v>-0.95000000000000107</v>
      </c>
      <c r="N78" s="46">
        <v>8.93</v>
      </c>
      <c r="O78" s="46">
        <f t="shared" si="28"/>
        <v>-0.71999999999999886</v>
      </c>
      <c r="P78" s="46"/>
      <c r="Q78" s="39">
        <v>2808.8880993280882</v>
      </c>
      <c r="R78" s="38">
        <f t="shared" si="29"/>
        <v>-2022.3994315162204</v>
      </c>
      <c r="S78" s="47"/>
      <c r="T78" s="39">
        <v>2388.8880993280882</v>
      </c>
      <c r="U78" s="38">
        <f t="shared" si="30"/>
        <v>-1719.9994315162207</v>
      </c>
      <c r="V78" s="51"/>
      <c r="W78" s="51"/>
      <c r="X78" s="46">
        <v>21.9</v>
      </c>
      <c r="Y78" s="47">
        <f t="shared" si="31"/>
        <v>8.6757990867579959E-2</v>
      </c>
      <c r="Z78" s="46">
        <f t="shared" si="18"/>
        <v>23.8</v>
      </c>
      <c r="AA78" s="12">
        <f t="shared" si="19"/>
        <v>1.9000000000000021</v>
      </c>
      <c r="AB78" s="12">
        <f t="shared" si="20"/>
        <v>13.09</v>
      </c>
      <c r="AC78" s="12">
        <f t="shared" si="21"/>
        <v>1.0399999999999991</v>
      </c>
      <c r="AD78" s="12">
        <f t="shared" si="22"/>
        <v>14.04</v>
      </c>
      <c r="AE78" s="12">
        <f t="shared" si="23"/>
        <v>1.1199999999999992</v>
      </c>
      <c r="AF78" s="12"/>
      <c r="AJ78" s="11" t="e">
        <f>+#REF!*$AE78</f>
        <v>#REF!</v>
      </c>
      <c r="AK78" s="11" t="e">
        <f>+#REF!*$AA78</f>
        <v>#REF!</v>
      </c>
      <c r="AL78" s="11" t="e">
        <f>+#REF!*$AC78</f>
        <v>#REF!</v>
      </c>
    </row>
    <row r="79" spans="1:38" x14ac:dyDescent="0.3">
      <c r="A79" s="35">
        <v>693465412213</v>
      </c>
      <c r="B79" s="36" t="s">
        <v>155</v>
      </c>
      <c r="C79" s="36" t="s">
        <v>156</v>
      </c>
      <c r="D79" s="50">
        <f t="shared" si="24"/>
        <v>44.9</v>
      </c>
      <c r="E79" s="50">
        <v>22.45</v>
      </c>
      <c r="F79" s="47">
        <f t="shared" si="25"/>
        <v>-0.5</v>
      </c>
      <c r="G79" s="50">
        <f t="shared" si="26"/>
        <v>16.84</v>
      </c>
      <c r="H79" s="50">
        <f t="shared" si="17"/>
        <v>26.49</v>
      </c>
      <c r="I79" s="50">
        <f t="shared" si="17"/>
        <v>24.7</v>
      </c>
      <c r="L79" s="46">
        <v>21.9</v>
      </c>
      <c r="M79" s="46">
        <f t="shared" si="27"/>
        <v>0.55000000000000071</v>
      </c>
      <c r="N79" s="46">
        <v>16.43</v>
      </c>
      <c r="O79" s="46">
        <f t="shared" si="28"/>
        <v>0.41000000000000014</v>
      </c>
      <c r="P79" s="46"/>
      <c r="Q79" s="39">
        <v>1024.2960331093627</v>
      </c>
      <c r="R79" s="38">
        <f t="shared" si="29"/>
        <v>419.96137357483889</v>
      </c>
      <c r="S79" s="47"/>
      <c r="T79" s="39">
        <v>844.29603310936261</v>
      </c>
      <c r="U79" s="38">
        <f t="shared" si="30"/>
        <v>346.16137357483876</v>
      </c>
      <c r="V79" s="51"/>
      <c r="W79" s="51"/>
      <c r="X79" s="46">
        <v>42.9</v>
      </c>
      <c r="Y79" s="47">
        <f t="shared" si="31"/>
        <v>2.0979020979021046E-2</v>
      </c>
      <c r="Z79" s="46">
        <f t="shared" si="18"/>
        <v>43.8</v>
      </c>
      <c r="AA79" s="12">
        <f t="shared" si="19"/>
        <v>-1.1000000000000014</v>
      </c>
      <c r="AB79" s="12">
        <f t="shared" si="20"/>
        <v>24.09</v>
      </c>
      <c r="AC79" s="12">
        <f t="shared" si="21"/>
        <v>-0.60999999999999943</v>
      </c>
      <c r="AD79" s="12">
        <f t="shared" si="22"/>
        <v>25.84</v>
      </c>
      <c r="AE79" s="12">
        <f t="shared" si="23"/>
        <v>-0.64999999999999858</v>
      </c>
      <c r="AF79" s="12"/>
      <c r="AJ79" s="11" t="e">
        <f>+#REF!*$AE79</f>
        <v>#REF!</v>
      </c>
      <c r="AK79" s="11" t="e">
        <f>+#REF!*$AA79</f>
        <v>#REF!</v>
      </c>
      <c r="AL79" s="11" t="e">
        <f>+#REF!*$AC79</f>
        <v>#REF!</v>
      </c>
    </row>
    <row r="80" spans="1:38" x14ac:dyDescent="0.3">
      <c r="A80" s="4">
        <v>693465455111</v>
      </c>
      <c r="B80" s="5" t="s">
        <v>157</v>
      </c>
      <c r="C80" s="5" t="s">
        <v>158</v>
      </c>
      <c r="D80" s="12">
        <f t="shared" si="24"/>
        <v>39.9</v>
      </c>
      <c r="E80" s="12">
        <v>19.95</v>
      </c>
      <c r="F80" s="47">
        <f t="shared" si="25"/>
        <v>-0.5</v>
      </c>
      <c r="G80" s="12">
        <f t="shared" si="26"/>
        <v>14.96</v>
      </c>
      <c r="H80" s="12">
        <f t="shared" si="17"/>
        <v>23.54</v>
      </c>
      <c r="I80" s="12">
        <f t="shared" si="17"/>
        <v>21.95</v>
      </c>
      <c r="L80" s="46">
        <v>20.9</v>
      </c>
      <c r="M80" s="46">
        <f t="shared" si="27"/>
        <v>-0.94999999999999929</v>
      </c>
      <c r="N80" s="46">
        <v>15.68</v>
      </c>
      <c r="O80" s="46">
        <f t="shared" si="28"/>
        <v>-0.71999999999999886</v>
      </c>
      <c r="P80" s="46"/>
      <c r="Q80" s="39">
        <v>11355.632647641363</v>
      </c>
      <c r="R80" s="38">
        <f t="shared" si="29"/>
        <v>-8176.0555063017682</v>
      </c>
      <c r="S80" s="47"/>
      <c r="T80" s="39">
        <v>9903.6326476413633</v>
      </c>
      <c r="U80" s="38">
        <f t="shared" si="30"/>
        <v>-7130.6155063017704</v>
      </c>
      <c r="V80" s="51"/>
      <c r="W80" s="51"/>
      <c r="X80" s="46">
        <v>39.9</v>
      </c>
      <c r="Y80" s="47">
        <f t="shared" si="31"/>
        <v>4.7619047619047672E-2</v>
      </c>
      <c r="Z80" s="46">
        <f t="shared" si="18"/>
        <v>41.8</v>
      </c>
      <c r="AA80" s="12">
        <f t="shared" si="19"/>
        <v>1.8999999999999986</v>
      </c>
      <c r="AB80" s="12">
        <f t="shared" si="20"/>
        <v>22.99</v>
      </c>
      <c r="AC80" s="12">
        <f t="shared" si="21"/>
        <v>1.0399999999999991</v>
      </c>
      <c r="AD80" s="12">
        <f t="shared" si="22"/>
        <v>24.66</v>
      </c>
      <c r="AE80" s="12">
        <f t="shared" si="23"/>
        <v>1.120000000000001</v>
      </c>
      <c r="AF80" s="12"/>
      <c r="AJ80" s="11" t="e">
        <f>+#REF!*$AE80</f>
        <v>#REF!</v>
      </c>
      <c r="AK80" s="11" t="e">
        <f>+#REF!*$AA80</f>
        <v>#REF!</v>
      </c>
      <c r="AL80" s="11" t="e">
        <f>+#REF!*$AC80</f>
        <v>#REF!</v>
      </c>
    </row>
    <row r="81" spans="1:38" x14ac:dyDescent="0.3">
      <c r="A81" s="4">
        <v>693465454114</v>
      </c>
      <c r="B81" s="5" t="s">
        <v>159</v>
      </c>
      <c r="C81" s="5" t="s">
        <v>160</v>
      </c>
      <c r="D81" s="12">
        <f t="shared" si="24"/>
        <v>47.9</v>
      </c>
      <c r="E81" s="12">
        <v>23.95</v>
      </c>
      <c r="F81" s="47">
        <f t="shared" si="25"/>
        <v>-0.5</v>
      </c>
      <c r="G81" s="12">
        <f t="shared" si="26"/>
        <v>17.96</v>
      </c>
      <c r="H81" s="12">
        <f t="shared" si="17"/>
        <v>28.26</v>
      </c>
      <c r="I81" s="12">
        <f t="shared" si="17"/>
        <v>26.35</v>
      </c>
      <c r="L81" s="46">
        <v>24.9</v>
      </c>
      <c r="M81" s="46">
        <f t="shared" si="27"/>
        <v>-0.94999999999999929</v>
      </c>
      <c r="N81" s="46">
        <v>18.322550111358574</v>
      </c>
      <c r="O81" s="46">
        <f t="shared" si="28"/>
        <v>-0.36255011135857274</v>
      </c>
      <c r="P81" s="46"/>
      <c r="Q81" s="39">
        <v>2359.3634483236488</v>
      </c>
      <c r="R81" s="38">
        <f t="shared" si="29"/>
        <v>-855.38748092508501</v>
      </c>
      <c r="S81" s="47"/>
      <c r="T81" s="39">
        <v>2023.3634483236488</v>
      </c>
      <c r="U81" s="38">
        <f t="shared" si="30"/>
        <v>-733.57064350860458</v>
      </c>
      <c r="V81" s="51"/>
      <c r="W81" s="51"/>
      <c r="X81" s="46">
        <v>47.9</v>
      </c>
      <c r="Y81" s="47">
        <f t="shared" si="31"/>
        <v>3.9665970772442494E-2</v>
      </c>
      <c r="Z81" s="46">
        <f t="shared" si="18"/>
        <v>49.8</v>
      </c>
      <c r="AA81" s="12">
        <f t="shared" si="19"/>
        <v>1.8999999999999986</v>
      </c>
      <c r="AB81" s="12">
        <f t="shared" si="20"/>
        <v>27.39</v>
      </c>
      <c r="AC81" s="12">
        <f t="shared" si="21"/>
        <v>1.0399999999999991</v>
      </c>
      <c r="AD81" s="12">
        <f t="shared" si="22"/>
        <v>29.38</v>
      </c>
      <c r="AE81" s="12">
        <f t="shared" si="23"/>
        <v>1.1199999999999974</v>
      </c>
      <c r="AF81" s="12"/>
      <c r="AJ81" s="11" t="e">
        <f>+#REF!*$AE81</f>
        <v>#REF!</v>
      </c>
      <c r="AK81" s="11" t="e">
        <f>+#REF!*$AA81</f>
        <v>#REF!</v>
      </c>
      <c r="AL81" s="11" t="e">
        <f>+#REF!*$AC81</f>
        <v>#REF!</v>
      </c>
    </row>
    <row r="82" spans="1:38" x14ac:dyDescent="0.3">
      <c r="A82" s="4">
        <v>693465428115</v>
      </c>
      <c r="B82" s="5" t="s">
        <v>161</v>
      </c>
      <c r="C82" s="5" t="s">
        <v>162</v>
      </c>
      <c r="D82" s="12">
        <f t="shared" si="24"/>
        <v>49.9</v>
      </c>
      <c r="E82" s="12">
        <v>24.95</v>
      </c>
      <c r="F82" s="47">
        <f t="shared" si="25"/>
        <v>-0.5</v>
      </c>
      <c r="G82" s="12">
        <f t="shared" si="26"/>
        <v>18.71</v>
      </c>
      <c r="H82" s="12">
        <f t="shared" si="17"/>
        <v>29.44</v>
      </c>
      <c r="I82" s="12">
        <f t="shared" si="17"/>
        <v>27.45</v>
      </c>
      <c r="L82" s="46">
        <v>25.9</v>
      </c>
      <c r="M82" s="46">
        <f t="shared" si="27"/>
        <v>-0.94999999999999929</v>
      </c>
      <c r="N82" s="46">
        <v>19.071588486140723</v>
      </c>
      <c r="O82" s="46">
        <f t="shared" si="28"/>
        <v>-0.3615884861407217</v>
      </c>
      <c r="P82" s="46"/>
      <c r="Q82" s="39">
        <v>9622.0586981088018</v>
      </c>
      <c r="R82" s="38">
        <f t="shared" si="29"/>
        <v>-3479.2256382063251</v>
      </c>
      <c r="S82" s="47"/>
      <c r="T82" s="39">
        <v>8374.0586981088018</v>
      </c>
      <c r="U82" s="38">
        <f t="shared" si="30"/>
        <v>-3027.9632075027043</v>
      </c>
      <c r="V82" s="51"/>
      <c r="W82" s="51"/>
      <c r="X82" s="46">
        <v>49.9</v>
      </c>
      <c r="Y82" s="47">
        <f t="shared" si="31"/>
        <v>3.8076152304609145E-2</v>
      </c>
      <c r="Z82" s="46">
        <f t="shared" si="18"/>
        <v>51.8</v>
      </c>
      <c r="AA82" s="12">
        <f t="shared" si="19"/>
        <v>1.8999999999999986</v>
      </c>
      <c r="AB82" s="12">
        <f t="shared" si="20"/>
        <v>28.49</v>
      </c>
      <c r="AC82" s="12">
        <f t="shared" si="21"/>
        <v>1.0399999999999991</v>
      </c>
      <c r="AD82" s="12">
        <f t="shared" si="22"/>
        <v>30.56</v>
      </c>
      <c r="AE82" s="12">
        <f t="shared" si="23"/>
        <v>1.1199999999999974</v>
      </c>
      <c r="AF82" s="12"/>
      <c r="AJ82" s="11" t="e">
        <f>+#REF!*$AE82</f>
        <v>#REF!</v>
      </c>
      <c r="AK82" s="11" t="e">
        <f>+#REF!*$AA82</f>
        <v>#REF!</v>
      </c>
      <c r="AL82" s="11" t="e">
        <f>+#REF!*$AC82</f>
        <v>#REF!</v>
      </c>
    </row>
    <row r="83" spans="1:38" x14ac:dyDescent="0.3">
      <c r="A83" s="35">
        <v>693465428214</v>
      </c>
      <c r="B83" s="36" t="s">
        <v>163</v>
      </c>
      <c r="C83" s="36" t="s">
        <v>164</v>
      </c>
      <c r="D83" s="50">
        <f t="shared" si="24"/>
        <v>26.9</v>
      </c>
      <c r="E83" s="50">
        <v>13.45</v>
      </c>
      <c r="F83" s="47">
        <f t="shared" si="25"/>
        <v>-0.5</v>
      </c>
      <c r="G83" s="50">
        <f t="shared" si="26"/>
        <v>10.09</v>
      </c>
      <c r="H83" s="50">
        <f t="shared" si="17"/>
        <v>15.87</v>
      </c>
      <c r="I83" s="50">
        <f t="shared" si="17"/>
        <v>14.8</v>
      </c>
      <c r="L83" s="46">
        <v>13.9</v>
      </c>
      <c r="M83" s="46">
        <f t="shared" si="27"/>
        <v>-0.45000000000000107</v>
      </c>
      <c r="N83" s="46">
        <v>10.06355421686747</v>
      </c>
      <c r="O83" s="46">
        <f t="shared" si="28"/>
        <v>2.644578313253021E-2</v>
      </c>
      <c r="P83" s="46"/>
      <c r="Q83" s="39">
        <v>7072.2262003523474</v>
      </c>
      <c r="R83" s="38">
        <f t="shared" si="29"/>
        <v>187.03056035871631</v>
      </c>
      <c r="S83" s="47"/>
      <c r="T83" s="39">
        <v>6028.2262003523474</v>
      </c>
      <c r="U83" s="38">
        <f t="shared" si="30"/>
        <v>159.42116276835478</v>
      </c>
      <c r="V83" s="51"/>
      <c r="W83" s="51"/>
      <c r="X83" s="46">
        <v>25.9</v>
      </c>
      <c r="Y83" s="47">
        <f t="shared" si="31"/>
        <v>7.3359073359073435E-2</v>
      </c>
      <c r="Z83" s="46">
        <f t="shared" si="18"/>
        <v>27.8</v>
      </c>
      <c r="AA83" s="12">
        <f t="shared" si="19"/>
        <v>0.90000000000000213</v>
      </c>
      <c r="AB83" s="12">
        <f t="shared" si="20"/>
        <v>15.29</v>
      </c>
      <c r="AC83" s="12">
        <f t="shared" si="21"/>
        <v>0.48999999999999844</v>
      </c>
      <c r="AD83" s="12">
        <f t="shared" si="22"/>
        <v>16.399999999999999</v>
      </c>
      <c r="AE83" s="12">
        <f t="shared" si="23"/>
        <v>0.52999999999999936</v>
      </c>
      <c r="AF83" s="12"/>
      <c r="AJ83" s="11" t="e">
        <f>+#REF!*$AE83</f>
        <v>#REF!</v>
      </c>
      <c r="AK83" s="11" t="e">
        <f>+#REF!*$AA83</f>
        <v>#REF!</v>
      </c>
      <c r="AL83" s="11" t="e">
        <f>+#REF!*$AC83</f>
        <v>#REF!</v>
      </c>
    </row>
    <row r="84" spans="1:38" x14ac:dyDescent="0.3">
      <c r="A84" s="4">
        <v>693465445112</v>
      </c>
      <c r="B84" s="5" t="s">
        <v>165</v>
      </c>
      <c r="C84" s="5" t="s">
        <v>166</v>
      </c>
      <c r="D84" s="12">
        <f t="shared" si="24"/>
        <v>55.9</v>
      </c>
      <c r="E84" s="12">
        <v>27.95</v>
      </c>
      <c r="F84" s="47">
        <f t="shared" si="25"/>
        <v>-0.5</v>
      </c>
      <c r="G84" s="12">
        <f t="shared" si="26"/>
        <v>20.96</v>
      </c>
      <c r="H84" s="12">
        <f t="shared" si="17"/>
        <v>32.979999999999997</v>
      </c>
      <c r="I84" s="12">
        <f t="shared" si="17"/>
        <v>30.75</v>
      </c>
      <c r="L84" s="46">
        <v>28.9</v>
      </c>
      <c r="M84" s="46">
        <f t="shared" si="27"/>
        <v>-0.94999999999999929</v>
      </c>
      <c r="N84" s="46">
        <v>21.68</v>
      </c>
      <c r="O84" s="46">
        <f t="shared" si="28"/>
        <v>-0.71999999999999886</v>
      </c>
      <c r="P84" s="46"/>
      <c r="Q84" s="39">
        <v>2881.9420450231764</v>
      </c>
      <c r="R84" s="38">
        <f t="shared" si="29"/>
        <v>-2074.9982724166839</v>
      </c>
      <c r="S84" s="47"/>
      <c r="T84" s="39">
        <v>2473.9420450231764</v>
      </c>
      <c r="U84" s="38">
        <f t="shared" si="30"/>
        <v>-1781.2382724166841</v>
      </c>
      <c r="V84" s="51"/>
      <c r="W84" s="51"/>
      <c r="X84" s="46">
        <v>55.9</v>
      </c>
      <c r="Y84" s="47">
        <f t="shared" si="31"/>
        <v>3.3989266547405972E-2</v>
      </c>
      <c r="Z84" s="46">
        <f t="shared" si="18"/>
        <v>57.8</v>
      </c>
      <c r="AA84" s="12">
        <f t="shared" si="19"/>
        <v>1.8999999999999986</v>
      </c>
      <c r="AB84" s="12">
        <f t="shared" si="20"/>
        <v>31.79</v>
      </c>
      <c r="AC84" s="12">
        <f t="shared" si="21"/>
        <v>1.0399999999999991</v>
      </c>
      <c r="AD84" s="12">
        <f t="shared" si="22"/>
        <v>34.1</v>
      </c>
      <c r="AE84" s="12">
        <f t="shared" si="23"/>
        <v>1.1200000000000045</v>
      </c>
      <c r="AF84" s="12"/>
      <c r="AJ84" s="11" t="e">
        <f>+#REF!*$AE84</f>
        <v>#REF!</v>
      </c>
      <c r="AK84" s="11" t="e">
        <f>+#REF!*$AA84</f>
        <v>#REF!</v>
      </c>
      <c r="AL84" s="11" t="e">
        <f>+#REF!*$AC84</f>
        <v>#REF!</v>
      </c>
    </row>
    <row r="85" spans="1:38" x14ac:dyDescent="0.3">
      <c r="A85" s="4">
        <v>693465456118</v>
      </c>
      <c r="B85" s="5" t="s">
        <v>167</v>
      </c>
      <c r="C85" s="5" t="s">
        <v>158</v>
      </c>
      <c r="D85" s="12">
        <f t="shared" si="24"/>
        <v>44.9</v>
      </c>
      <c r="E85" s="12">
        <v>22.45</v>
      </c>
      <c r="F85" s="47">
        <f t="shared" si="25"/>
        <v>-0.5</v>
      </c>
      <c r="G85" s="12">
        <f t="shared" si="26"/>
        <v>16.84</v>
      </c>
      <c r="H85" s="12">
        <f t="shared" si="17"/>
        <v>26.49</v>
      </c>
      <c r="I85" s="12">
        <f t="shared" si="17"/>
        <v>24.7</v>
      </c>
      <c r="L85" s="46">
        <v>23.9</v>
      </c>
      <c r="M85" s="46">
        <f t="shared" si="27"/>
        <v>-1.4499999999999993</v>
      </c>
      <c r="N85" s="46">
        <v>17.566230068337131</v>
      </c>
      <c r="O85" s="46">
        <f t="shared" si="28"/>
        <v>-0.72623006833713077</v>
      </c>
      <c r="P85" s="46"/>
      <c r="Q85" s="39">
        <v>6642.6991337134968</v>
      </c>
      <c r="R85" s="38">
        <f t="shared" si="29"/>
        <v>-4824.1278458197521</v>
      </c>
      <c r="S85" s="47"/>
      <c r="T85" s="39">
        <v>5742.6991337134968</v>
      </c>
      <c r="U85" s="38">
        <f t="shared" si="30"/>
        <v>-4170.5207843163344</v>
      </c>
      <c r="V85" s="51"/>
      <c r="W85" s="51"/>
      <c r="X85" s="46">
        <v>44.9</v>
      </c>
      <c r="Y85" s="47">
        <f t="shared" si="31"/>
        <v>6.4587973273942056E-2</v>
      </c>
      <c r="Z85" s="46">
        <f t="shared" si="18"/>
        <v>47.8</v>
      </c>
      <c r="AA85" s="12">
        <f t="shared" si="19"/>
        <v>2.8999999999999986</v>
      </c>
      <c r="AB85" s="12">
        <f t="shared" si="20"/>
        <v>26.29</v>
      </c>
      <c r="AC85" s="12">
        <f t="shared" si="21"/>
        <v>1.5899999999999999</v>
      </c>
      <c r="AD85" s="12">
        <f t="shared" si="22"/>
        <v>28.2</v>
      </c>
      <c r="AE85" s="12">
        <f t="shared" si="23"/>
        <v>1.7100000000000009</v>
      </c>
      <c r="AF85" s="12"/>
      <c r="AJ85" s="11" t="e">
        <f>+#REF!*$AE85</f>
        <v>#REF!</v>
      </c>
      <c r="AK85" s="11" t="e">
        <f>+#REF!*$AA85</f>
        <v>#REF!</v>
      </c>
      <c r="AL85" s="11" t="e">
        <f>+#REF!*$AC85</f>
        <v>#REF!</v>
      </c>
    </row>
    <row r="86" spans="1:38" x14ac:dyDescent="0.3">
      <c r="A86" s="4">
        <v>693465447116</v>
      </c>
      <c r="B86" s="5" t="s">
        <v>168</v>
      </c>
      <c r="C86" s="5" t="s">
        <v>169</v>
      </c>
      <c r="D86" s="12">
        <f t="shared" si="24"/>
        <v>48.9</v>
      </c>
      <c r="E86" s="12">
        <v>24.45</v>
      </c>
      <c r="F86" s="47">
        <f t="shared" si="25"/>
        <v>-0.5</v>
      </c>
      <c r="G86" s="12">
        <f t="shared" si="26"/>
        <v>18.34</v>
      </c>
      <c r="H86" s="12">
        <f t="shared" si="17"/>
        <v>28.85</v>
      </c>
      <c r="I86" s="12">
        <f t="shared" si="17"/>
        <v>26.9</v>
      </c>
      <c r="L86" s="46">
        <v>25.9</v>
      </c>
      <c r="M86" s="46">
        <f t="shared" si="27"/>
        <v>-1.4499999999999993</v>
      </c>
      <c r="N86" s="46">
        <v>19.064874739039663</v>
      </c>
      <c r="O86" s="46">
        <f t="shared" si="28"/>
        <v>-0.72487473903966304</v>
      </c>
      <c r="P86" s="46"/>
      <c r="Q86" s="39">
        <v>9318.7162650476221</v>
      </c>
      <c r="R86" s="38">
        <f t="shared" si="29"/>
        <v>-6754.9020208110587</v>
      </c>
      <c r="S86" s="47"/>
      <c r="T86" s="39">
        <v>7854.716265047623</v>
      </c>
      <c r="U86" s="38">
        <f t="shared" si="30"/>
        <v>-5693.6854028569924</v>
      </c>
      <c r="V86" s="51"/>
      <c r="W86" s="51"/>
      <c r="X86" s="46">
        <v>48.9</v>
      </c>
      <c r="Y86" s="47">
        <f t="shared" si="31"/>
        <v>5.9304703476482645E-2</v>
      </c>
      <c r="Z86" s="46">
        <f t="shared" si="18"/>
        <v>51.8</v>
      </c>
      <c r="AA86" s="12">
        <f t="shared" si="19"/>
        <v>2.8999999999999986</v>
      </c>
      <c r="AB86" s="12">
        <f t="shared" si="20"/>
        <v>28.49</v>
      </c>
      <c r="AC86" s="12">
        <f t="shared" si="21"/>
        <v>1.5899999999999999</v>
      </c>
      <c r="AD86" s="12">
        <f t="shared" si="22"/>
        <v>30.56</v>
      </c>
      <c r="AE86" s="12">
        <f t="shared" si="23"/>
        <v>1.7099999999999973</v>
      </c>
      <c r="AF86" s="12"/>
      <c r="AJ86" s="11" t="e">
        <f>+#REF!*$AE86</f>
        <v>#REF!</v>
      </c>
      <c r="AK86" s="11" t="e">
        <f>+#REF!*$AA86</f>
        <v>#REF!</v>
      </c>
      <c r="AL86" s="11" t="e">
        <f>+#REF!*$AC86</f>
        <v>#REF!</v>
      </c>
    </row>
    <row r="87" spans="1:38" x14ac:dyDescent="0.3">
      <c r="A87" s="4">
        <v>693465426111</v>
      </c>
      <c r="B87" s="5" t="s">
        <v>170</v>
      </c>
      <c r="C87" s="5" t="s">
        <v>171</v>
      </c>
      <c r="D87" s="12">
        <f t="shared" si="24"/>
        <v>47.9</v>
      </c>
      <c r="E87" s="12">
        <v>23.95</v>
      </c>
      <c r="F87" s="47">
        <f t="shared" si="25"/>
        <v>-0.5</v>
      </c>
      <c r="G87" s="12">
        <f t="shared" si="26"/>
        <v>17.96</v>
      </c>
      <c r="H87" s="12">
        <f t="shared" si="17"/>
        <v>28.26</v>
      </c>
      <c r="I87" s="12">
        <f t="shared" si="17"/>
        <v>26.35</v>
      </c>
      <c r="L87" s="46">
        <v>24.9</v>
      </c>
      <c r="M87" s="46">
        <f t="shared" si="27"/>
        <v>-0.94999999999999929</v>
      </c>
      <c r="N87" s="46">
        <v>18.307196162046907</v>
      </c>
      <c r="O87" s="46">
        <f t="shared" si="28"/>
        <v>-0.34719616204690595</v>
      </c>
      <c r="P87" s="46"/>
      <c r="Q87" s="39">
        <v>4085.1648204944854</v>
      </c>
      <c r="R87" s="38">
        <f t="shared" si="29"/>
        <v>-1418.3535470047229</v>
      </c>
      <c r="S87" s="47"/>
      <c r="T87" s="39">
        <v>3461.1648204944854</v>
      </c>
      <c r="U87" s="38">
        <f t="shared" si="30"/>
        <v>-1201.7031418874535</v>
      </c>
      <c r="V87" s="51"/>
      <c r="W87" s="51"/>
      <c r="X87" s="46">
        <v>47.9</v>
      </c>
      <c r="Y87" s="47">
        <f t="shared" si="31"/>
        <v>3.9665970772442494E-2</v>
      </c>
      <c r="Z87" s="46">
        <f t="shared" si="18"/>
        <v>49.8</v>
      </c>
      <c r="AA87" s="12">
        <f t="shared" si="19"/>
        <v>1.8999999999999986</v>
      </c>
      <c r="AB87" s="12">
        <f t="shared" si="20"/>
        <v>27.39</v>
      </c>
      <c r="AC87" s="12">
        <f t="shared" si="21"/>
        <v>1.0399999999999991</v>
      </c>
      <c r="AD87" s="12">
        <f t="shared" si="22"/>
        <v>29.38</v>
      </c>
      <c r="AE87" s="12">
        <f t="shared" si="23"/>
        <v>1.1199999999999974</v>
      </c>
      <c r="AF87" s="12"/>
      <c r="AJ87" s="11" t="e">
        <f>+#REF!*$AE87</f>
        <v>#REF!</v>
      </c>
      <c r="AK87" s="11" t="e">
        <f>+#REF!*$AA87</f>
        <v>#REF!</v>
      </c>
      <c r="AL87" s="11" t="e">
        <f>+#REF!*$AC87</f>
        <v>#REF!</v>
      </c>
    </row>
    <row r="88" spans="1:38" x14ac:dyDescent="0.3">
      <c r="A88" s="4">
        <v>693465113110</v>
      </c>
      <c r="B88" s="5" t="s">
        <v>172</v>
      </c>
      <c r="C88" s="5" t="s">
        <v>173</v>
      </c>
      <c r="D88" s="12">
        <f t="shared" si="24"/>
        <v>28.9</v>
      </c>
      <c r="E88" s="12">
        <v>14.45</v>
      </c>
      <c r="F88" s="47">
        <f t="shared" si="25"/>
        <v>-0.5</v>
      </c>
      <c r="G88" s="12">
        <f t="shared" si="26"/>
        <v>10.84</v>
      </c>
      <c r="H88" s="12">
        <f t="shared" si="17"/>
        <v>17.05</v>
      </c>
      <c r="I88" s="12">
        <f t="shared" si="17"/>
        <v>15.9</v>
      </c>
      <c r="L88" s="46">
        <v>14.9</v>
      </c>
      <c r="M88" s="46">
        <f t="shared" si="27"/>
        <v>-0.45000000000000107</v>
      </c>
      <c r="N88" s="46">
        <v>11.18</v>
      </c>
      <c r="O88" s="46">
        <f t="shared" si="28"/>
        <v>-0.33999999999999986</v>
      </c>
      <c r="P88" s="46"/>
      <c r="Q88" s="39">
        <v>1143.8091854263234</v>
      </c>
      <c r="R88" s="38">
        <f t="shared" si="29"/>
        <v>-388.8951230449498</v>
      </c>
      <c r="S88" s="47"/>
      <c r="T88" s="39">
        <v>1023.8091854263234</v>
      </c>
      <c r="U88" s="38">
        <f t="shared" si="30"/>
        <v>-348.09512304494984</v>
      </c>
      <c r="V88" s="51"/>
      <c r="W88" s="51"/>
      <c r="X88" s="46">
        <v>28.9</v>
      </c>
      <c r="Y88" s="47">
        <f t="shared" si="31"/>
        <v>3.114186851211076E-2</v>
      </c>
      <c r="Z88" s="46">
        <f t="shared" si="18"/>
        <v>29.8</v>
      </c>
      <c r="AA88" s="12">
        <f t="shared" si="19"/>
        <v>0.90000000000000213</v>
      </c>
      <c r="AB88" s="12">
        <f t="shared" si="20"/>
        <v>16.39</v>
      </c>
      <c r="AC88" s="12">
        <f t="shared" si="21"/>
        <v>0.49000000000000021</v>
      </c>
      <c r="AD88" s="12">
        <f t="shared" si="22"/>
        <v>17.579999999999998</v>
      </c>
      <c r="AE88" s="12">
        <f t="shared" si="23"/>
        <v>0.52999999999999758</v>
      </c>
      <c r="AF88" s="12"/>
      <c r="AJ88" s="11" t="e">
        <f>+#REF!*$AE88</f>
        <v>#REF!</v>
      </c>
      <c r="AK88" s="11" t="e">
        <f>+#REF!*$AA88</f>
        <v>#REF!</v>
      </c>
      <c r="AL88" s="11" t="e">
        <f>+#REF!*$AC88</f>
        <v>#REF!</v>
      </c>
    </row>
    <row r="89" spans="1:38" x14ac:dyDescent="0.3">
      <c r="A89" s="4">
        <v>693465102114</v>
      </c>
      <c r="B89" s="5" t="s">
        <v>174</v>
      </c>
      <c r="C89" s="5" t="s">
        <v>175</v>
      </c>
      <c r="D89" s="12">
        <f t="shared" si="24"/>
        <v>43.9</v>
      </c>
      <c r="E89" s="12">
        <v>21.95</v>
      </c>
      <c r="F89" s="47">
        <f t="shared" si="25"/>
        <v>-0.5</v>
      </c>
      <c r="G89" s="12">
        <f t="shared" si="26"/>
        <v>16.46</v>
      </c>
      <c r="H89" s="12">
        <f t="shared" si="17"/>
        <v>25.9</v>
      </c>
      <c r="I89" s="12">
        <f t="shared" si="17"/>
        <v>24.15</v>
      </c>
      <c r="L89" s="46">
        <v>22.9</v>
      </c>
      <c r="M89" s="46">
        <f t="shared" si="27"/>
        <v>-0.94999999999999929</v>
      </c>
      <c r="N89" s="46">
        <v>16.807867132867134</v>
      </c>
      <c r="O89" s="46">
        <f t="shared" si="28"/>
        <v>-0.34786713286713322</v>
      </c>
      <c r="P89" s="46"/>
      <c r="Q89" s="39">
        <v>3708.7575461711103</v>
      </c>
      <c r="R89" s="38">
        <f t="shared" si="29"/>
        <v>-1290.1548540858887</v>
      </c>
      <c r="S89" s="47"/>
      <c r="T89" s="39">
        <v>3264.7575461711103</v>
      </c>
      <c r="U89" s="38">
        <f t="shared" si="30"/>
        <v>-1135.7018470928815</v>
      </c>
      <c r="V89" s="51"/>
      <c r="W89" s="51"/>
      <c r="X89" s="46">
        <v>43.9</v>
      </c>
      <c r="Y89" s="47">
        <f t="shared" si="31"/>
        <v>4.3280182232346309E-2</v>
      </c>
      <c r="Z89" s="46">
        <f t="shared" si="18"/>
        <v>45.8</v>
      </c>
      <c r="AA89" s="12">
        <f t="shared" si="19"/>
        <v>1.8999999999999986</v>
      </c>
      <c r="AB89" s="12">
        <f t="shared" si="20"/>
        <v>25.19</v>
      </c>
      <c r="AC89" s="12">
        <f t="shared" si="21"/>
        <v>1.0400000000000027</v>
      </c>
      <c r="AD89" s="12">
        <f t="shared" si="22"/>
        <v>27.02</v>
      </c>
      <c r="AE89" s="12">
        <f t="shared" si="23"/>
        <v>1.120000000000001</v>
      </c>
      <c r="AF89" s="12"/>
      <c r="AJ89" s="11" t="e">
        <f>+#REF!*$AE89</f>
        <v>#REF!</v>
      </c>
      <c r="AK89" s="11" t="e">
        <f>+#REF!*$AA89</f>
        <v>#REF!</v>
      </c>
      <c r="AL89" s="11" t="e">
        <f>+#REF!*$AC89</f>
        <v>#REF!</v>
      </c>
    </row>
    <row r="90" spans="1:38" x14ac:dyDescent="0.3">
      <c r="A90" s="4">
        <v>693465102213</v>
      </c>
      <c r="B90" s="5" t="s">
        <v>176</v>
      </c>
      <c r="C90" s="5" t="s">
        <v>177</v>
      </c>
      <c r="D90" s="12">
        <f t="shared" si="24"/>
        <v>79.900000000000006</v>
      </c>
      <c r="E90" s="12">
        <v>39.950000000000003</v>
      </c>
      <c r="F90" s="47">
        <f t="shared" si="25"/>
        <v>-0.5</v>
      </c>
      <c r="G90" s="12">
        <f t="shared" si="26"/>
        <v>29.96</v>
      </c>
      <c r="H90" s="12">
        <f t="shared" si="17"/>
        <v>47.14</v>
      </c>
      <c r="I90" s="12">
        <f t="shared" si="17"/>
        <v>43.95</v>
      </c>
      <c r="L90" s="46">
        <v>37.9</v>
      </c>
      <c r="M90" s="46">
        <f t="shared" si="27"/>
        <v>2.0500000000000043</v>
      </c>
      <c r="N90" s="46">
        <v>28.43</v>
      </c>
      <c r="O90" s="46">
        <f t="shared" si="28"/>
        <v>1.5300000000000011</v>
      </c>
      <c r="P90" s="46"/>
      <c r="Q90" s="39">
        <v>1276.8631311214119</v>
      </c>
      <c r="R90" s="38">
        <f t="shared" si="29"/>
        <v>1953.6005906157618</v>
      </c>
      <c r="S90" s="47"/>
      <c r="T90" s="39">
        <v>1096.8631311214119</v>
      </c>
      <c r="U90" s="38">
        <f t="shared" si="30"/>
        <v>1678.2005906157615</v>
      </c>
      <c r="V90" s="51"/>
      <c r="W90" s="51"/>
      <c r="X90" s="46">
        <v>75.900000000000006</v>
      </c>
      <c r="Y90" s="47">
        <f t="shared" si="31"/>
        <v>-1.3175230566535578E-3</v>
      </c>
      <c r="Z90" s="46">
        <f t="shared" si="18"/>
        <v>75.8</v>
      </c>
      <c r="AA90" s="12">
        <f t="shared" si="19"/>
        <v>-4.1000000000000085</v>
      </c>
      <c r="AB90" s="12">
        <f t="shared" si="20"/>
        <v>41.69</v>
      </c>
      <c r="AC90" s="12">
        <f t="shared" si="21"/>
        <v>-2.2600000000000051</v>
      </c>
      <c r="AD90" s="12">
        <f t="shared" si="22"/>
        <v>44.72</v>
      </c>
      <c r="AE90" s="12">
        <f t="shared" si="23"/>
        <v>-2.4200000000000017</v>
      </c>
      <c r="AF90" s="12"/>
      <c r="AJ90" s="11" t="e">
        <f>+#REF!*$AE90</f>
        <v>#REF!</v>
      </c>
      <c r="AK90" s="11" t="e">
        <f>+#REF!*$AA90</f>
        <v>#REF!</v>
      </c>
      <c r="AL90" s="11" t="e">
        <f>+#REF!*$AC90</f>
        <v>#REF!</v>
      </c>
    </row>
    <row r="91" spans="1:38" x14ac:dyDescent="0.3">
      <c r="A91" s="35">
        <v>693465111116</v>
      </c>
      <c r="B91" s="36" t="s">
        <v>178</v>
      </c>
      <c r="C91" s="36" t="s">
        <v>179</v>
      </c>
      <c r="D91" s="50">
        <f t="shared" si="24"/>
        <v>34.9</v>
      </c>
      <c r="E91" s="50">
        <v>17.45</v>
      </c>
      <c r="F91" s="47">
        <f t="shared" si="25"/>
        <v>-0.5</v>
      </c>
      <c r="G91" s="50">
        <f t="shared" si="26"/>
        <v>13.09</v>
      </c>
      <c r="H91" s="50">
        <f t="shared" si="17"/>
        <v>20.59</v>
      </c>
      <c r="I91" s="50">
        <f t="shared" si="17"/>
        <v>19.2</v>
      </c>
      <c r="L91" s="46">
        <v>14.9</v>
      </c>
      <c r="M91" s="46">
        <f t="shared" si="27"/>
        <v>2.5499999999999989</v>
      </c>
      <c r="N91" s="46">
        <v>10.798655913978495</v>
      </c>
      <c r="O91" s="46">
        <f t="shared" si="28"/>
        <v>2.2913440860215051</v>
      </c>
      <c r="P91" s="46"/>
      <c r="Q91" s="39">
        <v>7034.4466578982074</v>
      </c>
      <c r="R91" s="38">
        <f t="shared" si="29"/>
        <v>16118.337748008798</v>
      </c>
      <c r="S91" s="47"/>
      <c r="T91" s="39">
        <v>5618.4466578982065</v>
      </c>
      <c r="U91" s="38">
        <f t="shared" si="30"/>
        <v>12873.794522202346</v>
      </c>
      <c r="V91" s="51"/>
      <c r="W91" s="51"/>
      <c r="X91" s="46">
        <v>28.9</v>
      </c>
      <c r="Y91" s="47">
        <f t="shared" si="31"/>
        <v>3.114186851211076E-2</v>
      </c>
      <c r="Z91" s="46">
        <f t="shared" si="18"/>
        <v>29.8</v>
      </c>
      <c r="AA91" s="12">
        <f t="shared" si="19"/>
        <v>-5.0999999999999979</v>
      </c>
      <c r="AB91" s="12">
        <f t="shared" si="20"/>
        <v>16.39</v>
      </c>
      <c r="AC91" s="12">
        <f t="shared" si="21"/>
        <v>-2.8099999999999987</v>
      </c>
      <c r="AD91" s="12">
        <f t="shared" si="22"/>
        <v>17.579999999999998</v>
      </c>
      <c r="AE91" s="12">
        <f t="shared" si="23"/>
        <v>-3.0100000000000016</v>
      </c>
      <c r="AF91" s="12"/>
      <c r="AJ91" s="11" t="e">
        <f>+#REF!*$AE91</f>
        <v>#REF!</v>
      </c>
      <c r="AK91" s="11" t="e">
        <f>+#REF!*$AA91</f>
        <v>#REF!</v>
      </c>
      <c r="AL91" s="11" t="e">
        <f>+#REF!*$AC91</f>
        <v>#REF!</v>
      </c>
    </row>
    <row r="92" spans="1:38" x14ac:dyDescent="0.3">
      <c r="A92" s="4">
        <v>693465246115</v>
      </c>
      <c r="B92" s="5" t="s">
        <v>180</v>
      </c>
      <c r="C92" s="5" t="s">
        <v>181</v>
      </c>
      <c r="D92" s="12">
        <f t="shared" si="24"/>
        <v>33.9</v>
      </c>
      <c r="E92" s="12">
        <v>16.95</v>
      </c>
      <c r="F92" s="47">
        <f t="shared" si="25"/>
        <v>-0.5</v>
      </c>
      <c r="G92" s="12">
        <f t="shared" si="26"/>
        <v>12.71</v>
      </c>
      <c r="H92" s="12">
        <f t="shared" si="17"/>
        <v>20</v>
      </c>
      <c r="I92" s="12">
        <f t="shared" si="17"/>
        <v>18.649999999999999</v>
      </c>
      <c r="L92" s="46">
        <v>16.899999999999999</v>
      </c>
      <c r="M92" s="46">
        <f t="shared" si="27"/>
        <v>5.0000000000000711E-2</v>
      </c>
      <c r="N92" s="46">
        <v>12.68</v>
      </c>
      <c r="O92" s="46">
        <f t="shared" si="28"/>
        <v>3.0000000000001137E-2</v>
      </c>
      <c r="P92" s="46"/>
      <c r="Q92" s="39">
        <v>3879.6433390593234</v>
      </c>
      <c r="R92" s="38">
        <f t="shared" si="29"/>
        <v>116.38930017178411</v>
      </c>
      <c r="S92" s="47"/>
      <c r="T92" s="39">
        <v>3339.6433390593234</v>
      </c>
      <c r="U92" s="38">
        <f t="shared" si="30"/>
        <v>100.1893001717835</v>
      </c>
      <c r="V92" s="51"/>
      <c r="W92" s="51"/>
      <c r="X92" s="46">
        <v>33.9</v>
      </c>
      <c r="Y92" s="47">
        <f t="shared" si="31"/>
        <v>-2.9498525073746729E-3</v>
      </c>
      <c r="Z92" s="46">
        <f t="shared" si="18"/>
        <v>33.799999999999997</v>
      </c>
      <c r="AA92" s="12">
        <f t="shared" si="19"/>
        <v>-0.10000000000000142</v>
      </c>
      <c r="AB92" s="12">
        <f t="shared" si="20"/>
        <v>18.59</v>
      </c>
      <c r="AC92" s="12">
        <f t="shared" si="21"/>
        <v>-5.9999999999998721E-2</v>
      </c>
      <c r="AD92" s="12">
        <f t="shared" si="22"/>
        <v>19.940000000000001</v>
      </c>
      <c r="AE92" s="12">
        <f t="shared" si="23"/>
        <v>-5.9999999999998721E-2</v>
      </c>
      <c r="AF92" s="12"/>
      <c r="AJ92" s="11" t="e">
        <f>+#REF!*$AE92</f>
        <v>#REF!</v>
      </c>
      <c r="AK92" s="11" t="e">
        <f>+#REF!*$AA92</f>
        <v>#REF!</v>
      </c>
      <c r="AL92" s="11" t="e">
        <f>+#REF!*$AC92</f>
        <v>#REF!</v>
      </c>
    </row>
    <row r="93" spans="1:38" x14ac:dyDescent="0.3">
      <c r="A93" s="4">
        <v>693465422113</v>
      </c>
      <c r="B93" s="5" t="s">
        <v>182</v>
      </c>
      <c r="C93" s="5" t="s">
        <v>183</v>
      </c>
      <c r="D93" s="12">
        <f t="shared" si="24"/>
        <v>45.9</v>
      </c>
      <c r="E93" s="12">
        <v>22.95</v>
      </c>
      <c r="F93" s="47">
        <f t="shared" si="25"/>
        <v>-0.5</v>
      </c>
      <c r="G93" s="12">
        <f t="shared" si="26"/>
        <v>17.21</v>
      </c>
      <c r="H93" s="12">
        <f t="shared" si="17"/>
        <v>27.08</v>
      </c>
      <c r="I93" s="12">
        <f t="shared" si="17"/>
        <v>25.25</v>
      </c>
      <c r="L93" s="46">
        <v>22.9</v>
      </c>
      <c r="M93" s="46">
        <f t="shared" si="27"/>
        <v>5.0000000000000711E-2</v>
      </c>
      <c r="N93" s="46">
        <v>17.18</v>
      </c>
      <c r="O93" s="46">
        <f t="shared" si="28"/>
        <v>3.0000000000001137E-2</v>
      </c>
      <c r="P93" s="46"/>
      <c r="Q93" s="39">
        <v>2363.2670556209514</v>
      </c>
      <c r="R93" s="38">
        <f t="shared" si="29"/>
        <v>70.898011668631227</v>
      </c>
      <c r="S93" s="47"/>
      <c r="T93" s="39">
        <v>2015.2670556209514</v>
      </c>
      <c r="U93" s="38">
        <f t="shared" si="30"/>
        <v>60.458011668630832</v>
      </c>
      <c r="V93" s="51"/>
      <c r="W93" s="51"/>
      <c r="X93" s="46">
        <v>45.9</v>
      </c>
      <c r="Y93" s="47">
        <f t="shared" si="31"/>
        <v>-2.1786492374727962E-3</v>
      </c>
      <c r="Z93" s="46">
        <f t="shared" si="18"/>
        <v>45.8</v>
      </c>
      <c r="AA93" s="12">
        <f t="shared" si="19"/>
        <v>-0.10000000000000142</v>
      </c>
      <c r="AB93" s="12">
        <f t="shared" si="20"/>
        <v>25.19</v>
      </c>
      <c r="AC93" s="12">
        <f t="shared" si="21"/>
        <v>-5.9999999999998721E-2</v>
      </c>
      <c r="AD93" s="12">
        <f t="shared" si="22"/>
        <v>27.02</v>
      </c>
      <c r="AE93" s="12">
        <f t="shared" si="23"/>
        <v>-5.9999999999998721E-2</v>
      </c>
      <c r="AF93" s="12"/>
      <c r="AJ93" s="11" t="e">
        <f>+#REF!*$AE93</f>
        <v>#REF!</v>
      </c>
      <c r="AK93" s="11" t="e">
        <f>+#REF!*$AA93</f>
        <v>#REF!</v>
      </c>
      <c r="AL93" s="11" t="e">
        <f>+#REF!*$AC93</f>
        <v>#REF!</v>
      </c>
    </row>
    <row r="94" spans="1:38" x14ac:dyDescent="0.3">
      <c r="A94" s="4">
        <v>693465413210</v>
      </c>
      <c r="B94" s="5" t="s">
        <v>184</v>
      </c>
      <c r="C94" s="5" t="s">
        <v>185</v>
      </c>
      <c r="D94" s="12">
        <f t="shared" si="24"/>
        <v>54.9</v>
      </c>
      <c r="E94" s="12">
        <v>27.45</v>
      </c>
      <c r="F94" s="47">
        <f t="shared" si="25"/>
        <v>-0.5</v>
      </c>
      <c r="G94" s="12">
        <f t="shared" si="26"/>
        <v>20.59</v>
      </c>
      <c r="H94" s="12">
        <f t="shared" si="17"/>
        <v>32.39</v>
      </c>
      <c r="I94" s="12">
        <f t="shared" si="17"/>
        <v>30.2</v>
      </c>
      <c r="L94" s="46">
        <v>27.9</v>
      </c>
      <c r="M94" s="46">
        <f t="shared" si="27"/>
        <v>-0.44999999999999929</v>
      </c>
      <c r="N94" s="46">
        <v>20.93</v>
      </c>
      <c r="O94" s="46">
        <f t="shared" si="28"/>
        <v>-0.33999999999999986</v>
      </c>
      <c r="P94" s="46"/>
      <c r="Q94" s="39">
        <v>1905.6460119138135</v>
      </c>
      <c r="R94" s="38">
        <f t="shared" si="29"/>
        <v>-647.91964405069632</v>
      </c>
      <c r="S94" s="47"/>
      <c r="T94" s="39">
        <v>1653.6460119138135</v>
      </c>
      <c r="U94" s="38">
        <f t="shared" si="30"/>
        <v>-562.23964405069637</v>
      </c>
      <c r="V94" s="51"/>
      <c r="W94" s="51"/>
      <c r="X94" s="46">
        <v>54.9</v>
      </c>
      <c r="Y94" s="47">
        <f t="shared" si="31"/>
        <v>1.6393442622950838E-2</v>
      </c>
      <c r="Z94" s="46">
        <f t="shared" si="18"/>
        <v>55.8</v>
      </c>
      <c r="AA94" s="12">
        <f t="shared" si="19"/>
        <v>0.89999999999999858</v>
      </c>
      <c r="AB94" s="12">
        <f t="shared" si="20"/>
        <v>30.69</v>
      </c>
      <c r="AC94" s="12">
        <f t="shared" si="21"/>
        <v>0.49000000000000199</v>
      </c>
      <c r="AD94" s="12">
        <f t="shared" si="22"/>
        <v>32.92</v>
      </c>
      <c r="AE94" s="12">
        <f t="shared" si="23"/>
        <v>0.53000000000000114</v>
      </c>
      <c r="AF94" s="12"/>
      <c r="AJ94" s="11" t="e">
        <f>+#REF!*$AE94</f>
        <v>#REF!</v>
      </c>
      <c r="AK94" s="11" t="e">
        <f>+#REF!*$AA94</f>
        <v>#REF!</v>
      </c>
      <c r="AL94" s="11" t="e">
        <f>+#REF!*$AC94</f>
        <v>#REF!</v>
      </c>
    </row>
    <row r="95" spans="1:38" x14ac:dyDescent="0.3">
      <c r="A95" s="4">
        <v>693465413210</v>
      </c>
      <c r="B95" s="5" t="s">
        <v>184</v>
      </c>
      <c r="C95" s="5" t="s">
        <v>185</v>
      </c>
      <c r="D95" s="12">
        <f t="shared" si="24"/>
        <v>54.9</v>
      </c>
      <c r="E95" s="12">
        <v>27.45</v>
      </c>
      <c r="F95" s="47">
        <f t="shared" si="25"/>
        <v>-0.5</v>
      </c>
      <c r="G95" s="12">
        <f t="shared" si="26"/>
        <v>20.59</v>
      </c>
      <c r="H95" s="12">
        <f t="shared" si="17"/>
        <v>32.39</v>
      </c>
      <c r="I95" s="12">
        <f t="shared" si="17"/>
        <v>30.2</v>
      </c>
      <c r="L95" s="46">
        <v>27.9</v>
      </c>
      <c r="M95" s="46">
        <f t="shared" si="27"/>
        <v>-0.44999999999999929</v>
      </c>
      <c r="N95" s="46">
        <v>20.93</v>
      </c>
      <c r="O95" s="46">
        <f t="shared" si="28"/>
        <v>-0.33999999999999986</v>
      </c>
      <c r="P95" s="46"/>
      <c r="Q95" s="39">
        <v>1905.6460119138135</v>
      </c>
      <c r="R95" s="38">
        <f t="shared" si="29"/>
        <v>-647.91964405069632</v>
      </c>
      <c r="S95" s="47"/>
      <c r="T95" s="39">
        <v>1653.6460119138135</v>
      </c>
      <c r="U95" s="38">
        <f t="shared" si="30"/>
        <v>-562.23964405069637</v>
      </c>
      <c r="V95" s="51"/>
      <c r="W95" s="51"/>
      <c r="X95" s="46">
        <v>54.9</v>
      </c>
      <c r="Y95" s="47">
        <f t="shared" si="31"/>
        <v>1.6393442622950838E-2</v>
      </c>
      <c r="Z95" s="46">
        <f t="shared" si="18"/>
        <v>55.8</v>
      </c>
      <c r="AA95" s="12">
        <f t="shared" si="19"/>
        <v>0.89999999999999858</v>
      </c>
      <c r="AB95" s="12">
        <f t="shared" si="20"/>
        <v>30.69</v>
      </c>
      <c r="AC95" s="12">
        <f t="shared" si="21"/>
        <v>0.49000000000000199</v>
      </c>
      <c r="AD95" s="12">
        <f t="shared" si="22"/>
        <v>32.92</v>
      </c>
      <c r="AE95" s="12">
        <f t="shared" si="23"/>
        <v>0.53000000000000114</v>
      </c>
      <c r="AF95" s="12"/>
      <c r="AJ95" s="11" t="e">
        <f>+#REF!*$AE95</f>
        <v>#REF!</v>
      </c>
      <c r="AK95" s="11" t="e">
        <f>+#REF!*$AA95</f>
        <v>#REF!</v>
      </c>
      <c r="AL95" s="11" t="e">
        <f>+#REF!*$AC95</f>
        <v>#REF!</v>
      </c>
    </row>
    <row r="96" spans="1:38" x14ac:dyDescent="0.3">
      <c r="A96" s="4">
        <v>693465218211</v>
      </c>
      <c r="B96" s="5" t="s">
        <v>186</v>
      </c>
      <c r="C96" s="5" t="s">
        <v>187</v>
      </c>
      <c r="D96" s="12">
        <f t="shared" si="24"/>
        <v>55.9</v>
      </c>
      <c r="E96" s="12">
        <v>27.95</v>
      </c>
      <c r="F96" s="47">
        <f t="shared" si="25"/>
        <v>-0.5</v>
      </c>
      <c r="G96" s="12">
        <f t="shared" si="26"/>
        <v>20.96</v>
      </c>
      <c r="H96" s="12">
        <f t="shared" si="17"/>
        <v>32.979999999999997</v>
      </c>
      <c r="I96" s="12">
        <f t="shared" si="17"/>
        <v>30.75</v>
      </c>
      <c r="L96" s="46">
        <v>27.9</v>
      </c>
      <c r="M96" s="46">
        <f t="shared" si="27"/>
        <v>5.0000000000000711E-2</v>
      </c>
      <c r="N96" s="46">
        <v>20.93</v>
      </c>
      <c r="O96" s="46">
        <f t="shared" si="28"/>
        <v>3.0000000000001137E-2</v>
      </c>
      <c r="P96" s="46"/>
      <c r="Q96" s="39">
        <v>3069.8065125718335</v>
      </c>
      <c r="R96" s="38">
        <f t="shared" si="29"/>
        <v>92.094195377158499</v>
      </c>
      <c r="S96" s="47"/>
      <c r="T96" s="39">
        <v>2685.8065125718335</v>
      </c>
      <c r="U96" s="38">
        <f t="shared" si="30"/>
        <v>80.574195377158063</v>
      </c>
      <c r="V96" s="51"/>
      <c r="W96" s="51"/>
      <c r="X96" s="46">
        <v>55.9</v>
      </c>
      <c r="Y96" s="47">
        <f t="shared" si="31"/>
        <v>-1.7889087656529634E-3</v>
      </c>
      <c r="Z96" s="46">
        <f t="shared" si="18"/>
        <v>55.8</v>
      </c>
      <c r="AA96" s="12">
        <f t="shared" si="19"/>
        <v>-0.10000000000000142</v>
      </c>
      <c r="AB96" s="12">
        <f t="shared" si="20"/>
        <v>30.69</v>
      </c>
      <c r="AC96" s="12">
        <f t="shared" si="21"/>
        <v>-5.9999999999998721E-2</v>
      </c>
      <c r="AD96" s="12">
        <f t="shared" si="22"/>
        <v>32.92</v>
      </c>
      <c r="AE96" s="12">
        <f t="shared" si="23"/>
        <v>-5.9999999999995168E-2</v>
      </c>
      <c r="AF96" s="12"/>
      <c r="AJ96" s="11" t="e">
        <f>+#REF!*$AE96</f>
        <v>#REF!</v>
      </c>
      <c r="AK96" s="11" t="e">
        <f>+#REF!*$AA96</f>
        <v>#REF!</v>
      </c>
      <c r="AL96" s="11" t="e">
        <f>+#REF!*$AC96</f>
        <v>#REF!</v>
      </c>
    </row>
    <row r="97" spans="1:38" x14ac:dyDescent="0.3">
      <c r="A97" s="4">
        <v>693465245118</v>
      </c>
      <c r="B97" s="5" t="s">
        <v>188</v>
      </c>
      <c r="C97" s="5" t="s">
        <v>189</v>
      </c>
      <c r="D97" s="12">
        <f t="shared" si="24"/>
        <v>46.9</v>
      </c>
      <c r="E97" s="12">
        <v>23.45</v>
      </c>
      <c r="F97" s="47">
        <f t="shared" si="25"/>
        <v>-0.5</v>
      </c>
      <c r="G97" s="12">
        <f t="shared" si="26"/>
        <v>17.59</v>
      </c>
      <c r="H97" s="12">
        <f t="shared" si="17"/>
        <v>27.67</v>
      </c>
      <c r="I97" s="12">
        <f t="shared" si="17"/>
        <v>25.8</v>
      </c>
      <c r="L97" s="46">
        <v>23.9</v>
      </c>
      <c r="M97" s="46">
        <f t="shared" si="27"/>
        <v>-0.44999999999999929</v>
      </c>
      <c r="N97" s="46">
        <v>17.93</v>
      </c>
      <c r="O97" s="46">
        <f t="shared" si="28"/>
        <v>-0.33999999999999986</v>
      </c>
      <c r="P97" s="46"/>
      <c r="Q97" s="39">
        <v>1148.5118158897158</v>
      </c>
      <c r="R97" s="38">
        <f t="shared" si="29"/>
        <v>-390.49401740250318</v>
      </c>
      <c r="S97" s="47"/>
      <c r="T97" s="39">
        <v>1040.5118158897158</v>
      </c>
      <c r="U97" s="38">
        <f t="shared" si="30"/>
        <v>-353.7740174025032</v>
      </c>
      <c r="V97" s="51"/>
      <c r="W97" s="51"/>
      <c r="X97" s="46">
        <v>46.9</v>
      </c>
      <c r="Y97" s="47">
        <f t="shared" si="31"/>
        <v>1.9189765458422103E-2</v>
      </c>
      <c r="Z97" s="46">
        <f t="shared" si="18"/>
        <v>47.8</v>
      </c>
      <c r="AA97" s="12">
        <f t="shared" si="19"/>
        <v>0.89999999999999858</v>
      </c>
      <c r="AB97" s="12">
        <f t="shared" si="20"/>
        <v>26.29</v>
      </c>
      <c r="AC97" s="12">
        <f t="shared" si="21"/>
        <v>0.48999999999999844</v>
      </c>
      <c r="AD97" s="12">
        <f t="shared" si="22"/>
        <v>28.2</v>
      </c>
      <c r="AE97" s="12">
        <f t="shared" si="23"/>
        <v>0.52999999999999758</v>
      </c>
      <c r="AF97" s="12"/>
      <c r="AJ97" s="11" t="e">
        <f>+#REF!*$AE97</f>
        <v>#REF!</v>
      </c>
      <c r="AK97" s="11" t="e">
        <f>+#REF!*$AA97</f>
        <v>#REF!</v>
      </c>
      <c r="AL97" s="11" t="e">
        <f>+#REF!*$AC97</f>
        <v>#REF!</v>
      </c>
    </row>
    <row r="98" spans="1:38" x14ac:dyDescent="0.3">
      <c r="A98" s="4">
        <v>693465221112</v>
      </c>
      <c r="B98" s="5" t="s">
        <v>190</v>
      </c>
      <c r="C98" s="5" t="s">
        <v>191</v>
      </c>
      <c r="D98" s="12">
        <f t="shared" si="24"/>
        <v>25.9</v>
      </c>
      <c r="E98" s="12">
        <v>12.95</v>
      </c>
      <c r="F98" s="47">
        <f t="shared" si="25"/>
        <v>-0.5</v>
      </c>
      <c r="G98" s="12">
        <f t="shared" si="26"/>
        <v>9.7100000000000009</v>
      </c>
      <c r="H98" s="12">
        <f t="shared" si="17"/>
        <v>15.28</v>
      </c>
      <c r="I98" s="12">
        <f t="shared" si="17"/>
        <v>14.25</v>
      </c>
      <c r="L98" s="46">
        <v>12.9</v>
      </c>
      <c r="M98" s="46">
        <f t="shared" si="27"/>
        <v>4.9999999999998934E-2</v>
      </c>
      <c r="N98" s="46">
        <v>9.68</v>
      </c>
      <c r="O98" s="46">
        <f t="shared" si="28"/>
        <v>3.0000000000001137E-2</v>
      </c>
      <c r="P98" s="46"/>
      <c r="Q98" s="39">
        <v>1638.4841748285492</v>
      </c>
      <c r="R98" s="38">
        <f t="shared" si="29"/>
        <v>49.154525244858334</v>
      </c>
      <c r="S98" s="47"/>
      <c r="T98" s="39">
        <v>1446.4841748285492</v>
      </c>
      <c r="U98" s="38">
        <f t="shared" si="30"/>
        <v>43.394525244858116</v>
      </c>
      <c r="V98" s="51"/>
      <c r="W98" s="51"/>
      <c r="X98" s="46">
        <v>25.9</v>
      </c>
      <c r="Y98" s="47">
        <f t="shared" si="31"/>
        <v>-3.8610038610037423E-3</v>
      </c>
      <c r="Z98" s="46">
        <f t="shared" si="18"/>
        <v>25.8</v>
      </c>
      <c r="AA98" s="12">
        <f t="shared" si="19"/>
        <v>-9.9999999999997868E-2</v>
      </c>
      <c r="AB98" s="12">
        <f t="shared" si="20"/>
        <v>14.19</v>
      </c>
      <c r="AC98" s="12">
        <f t="shared" si="21"/>
        <v>-6.0000000000000497E-2</v>
      </c>
      <c r="AD98" s="12">
        <f t="shared" si="22"/>
        <v>15.22</v>
      </c>
      <c r="AE98" s="12">
        <f t="shared" si="23"/>
        <v>-5.9999999999998721E-2</v>
      </c>
      <c r="AF98" s="12"/>
      <c r="AJ98" s="11" t="e">
        <f>+#REF!*$AE98</f>
        <v>#REF!</v>
      </c>
      <c r="AK98" s="11" t="e">
        <f>+#REF!*$AA98</f>
        <v>#REF!</v>
      </c>
      <c r="AL98" s="11" t="e">
        <f>+#REF!*$AC98</f>
        <v>#REF!</v>
      </c>
    </row>
    <row r="99" spans="1:38" x14ac:dyDescent="0.3">
      <c r="A99" s="4">
        <v>693465221211</v>
      </c>
      <c r="B99" s="5" t="s">
        <v>192</v>
      </c>
      <c r="C99" s="5" t="s">
        <v>193</v>
      </c>
      <c r="D99" s="12">
        <f t="shared" si="24"/>
        <v>46.9</v>
      </c>
      <c r="E99" s="12">
        <v>23.45</v>
      </c>
      <c r="F99" s="47">
        <f t="shared" si="25"/>
        <v>-0.5</v>
      </c>
      <c r="G99" s="12">
        <f t="shared" si="26"/>
        <v>17.59</v>
      </c>
      <c r="H99" s="12">
        <f t="shared" si="17"/>
        <v>27.67</v>
      </c>
      <c r="I99" s="12">
        <f t="shared" si="17"/>
        <v>25.8</v>
      </c>
      <c r="L99" s="46">
        <v>23.9</v>
      </c>
      <c r="M99" s="46">
        <f t="shared" si="27"/>
        <v>-0.44999999999999929</v>
      </c>
      <c r="N99" s="46">
        <v>17.93</v>
      </c>
      <c r="O99" s="46">
        <f t="shared" si="28"/>
        <v>-0.33999999999999986</v>
      </c>
      <c r="P99" s="46"/>
      <c r="Q99" s="39">
        <v>1324.8631311214117</v>
      </c>
      <c r="R99" s="38">
        <f t="shared" si="29"/>
        <v>-450.45346458127977</v>
      </c>
      <c r="S99" s="47"/>
      <c r="T99" s="39">
        <v>1120.8631311214115</v>
      </c>
      <c r="U99" s="38">
        <f t="shared" si="30"/>
        <v>-381.09346458127976</v>
      </c>
      <c r="V99" s="51"/>
      <c r="W99" s="51"/>
      <c r="X99" s="46">
        <v>46.9</v>
      </c>
      <c r="Y99" s="47">
        <f t="shared" si="31"/>
        <v>1.9189765458422103E-2</v>
      </c>
      <c r="Z99" s="46">
        <f t="shared" si="18"/>
        <v>47.8</v>
      </c>
      <c r="AA99" s="12">
        <f t="shared" si="19"/>
        <v>0.89999999999999858</v>
      </c>
      <c r="AB99" s="12">
        <f t="shared" si="20"/>
        <v>26.29</v>
      </c>
      <c r="AC99" s="12">
        <f t="shared" si="21"/>
        <v>0.48999999999999844</v>
      </c>
      <c r="AD99" s="12">
        <f t="shared" si="22"/>
        <v>28.2</v>
      </c>
      <c r="AE99" s="12">
        <f t="shared" si="23"/>
        <v>0.52999999999999758</v>
      </c>
      <c r="AF99" s="12"/>
      <c r="AJ99" s="11" t="e">
        <f>+#REF!*$AE99</f>
        <v>#REF!</v>
      </c>
      <c r="AK99" s="11" t="e">
        <f>+#REF!*$AA99</f>
        <v>#REF!</v>
      </c>
      <c r="AL99" s="11" t="e">
        <f>+#REF!*$AC99</f>
        <v>#REF!</v>
      </c>
    </row>
    <row r="100" spans="1:38" x14ac:dyDescent="0.3">
      <c r="A100" s="4">
        <v>693465272114</v>
      </c>
      <c r="B100" s="5" t="s">
        <v>194</v>
      </c>
      <c r="C100" s="5" t="s">
        <v>195</v>
      </c>
      <c r="D100" s="12">
        <f t="shared" si="24"/>
        <v>41.9</v>
      </c>
      <c r="E100" s="12">
        <v>20.95</v>
      </c>
      <c r="F100" s="47">
        <f t="shared" si="25"/>
        <v>-0.5</v>
      </c>
      <c r="G100" s="12">
        <f t="shared" si="26"/>
        <v>15.71</v>
      </c>
      <c r="H100" s="12">
        <f t="shared" ref="H100:I129" si="32">ROUND($D100*(1-H$5),2)</f>
        <v>24.72</v>
      </c>
      <c r="I100" s="12">
        <f t="shared" si="32"/>
        <v>23.05</v>
      </c>
      <c r="L100" s="46">
        <v>21.9</v>
      </c>
      <c r="M100" s="46">
        <f t="shared" si="27"/>
        <v>-0.94999999999999929</v>
      </c>
      <c r="N100" s="46">
        <v>16.05825183374083</v>
      </c>
      <c r="O100" s="46">
        <f t="shared" si="28"/>
        <v>-0.34825183374082869</v>
      </c>
      <c r="P100" s="46"/>
      <c r="Q100" s="39">
        <v>4701.6054678083892</v>
      </c>
      <c r="R100" s="38">
        <f t="shared" si="29"/>
        <v>-1637.3427256901782</v>
      </c>
      <c r="S100" s="47"/>
      <c r="T100" s="39">
        <v>3405.6054678083906</v>
      </c>
      <c r="U100" s="38">
        <f t="shared" si="30"/>
        <v>-1186.0083491620646</v>
      </c>
      <c r="V100" s="51"/>
      <c r="W100" s="51"/>
      <c r="X100" s="46">
        <v>41.9</v>
      </c>
      <c r="Y100" s="47">
        <f t="shared" si="31"/>
        <v>4.5346062052505909E-2</v>
      </c>
      <c r="Z100" s="46">
        <f t="shared" si="18"/>
        <v>43.8</v>
      </c>
      <c r="AA100" s="12">
        <f t="shared" si="19"/>
        <v>1.8999999999999986</v>
      </c>
      <c r="AB100" s="12">
        <f t="shared" si="20"/>
        <v>24.09</v>
      </c>
      <c r="AC100" s="12">
        <f t="shared" si="21"/>
        <v>1.0399999999999991</v>
      </c>
      <c r="AD100" s="12">
        <f t="shared" si="22"/>
        <v>25.84</v>
      </c>
      <c r="AE100" s="12">
        <f t="shared" si="23"/>
        <v>1.120000000000001</v>
      </c>
      <c r="AF100" s="12"/>
      <c r="AJ100" s="11" t="e">
        <f>+#REF!*$AE100</f>
        <v>#REF!</v>
      </c>
      <c r="AK100" s="11" t="e">
        <f>+#REF!*$AA100</f>
        <v>#REF!</v>
      </c>
      <c r="AL100" s="11" t="e">
        <f>+#REF!*$AC100</f>
        <v>#REF!</v>
      </c>
    </row>
    <row r="101" spans="1:38" x14ac:dyDescent="0.3">
      <c r="A101" s="4">
        <v>693465223116</v>
      </c>
      <c r="B101" s="5" t="s">
        <v>196</v>
      </c>
      <c r="C101" s="5" t="s">
        <v>197</v>
      </c>
      <c r="D101" s="12">
        <f t="shared" si="24"/>
        <v>21.9</v>
      </c>
      <c r="E101" s="12">
        <v>10.95</v>
      </c>
      <c r="F101" s="47">
        <f t="shared" si="25"/>
        <v>-0.5</v>
      </c>
      <c r="G101" s="12">
        <f t="shared" si="26"/>
        <v>8.2100000000000009</v>
      </c>
      <c r="H101" s="12">
        <f t="shared" si="32"/>
        <v>12.92</v>
      </c>
      <c r="I101" s="12">
        <f t="shared" si="32"/>
        <v>12.05</v>
      </c>
      <c r="L101" s="46">
        <v>10.9</v>
      </c>
      <c r="M101" s="46">
        <f t="shared" si="27"/>
        <v>4.9999999999998934E-2</v>
      </c>
      <c r="N101" s="46">
        <v>8.18</v>
      </c>
      <c r="O101" s="46">
        <f t="shared" si="28"/>
        <v>3.0000000000001137E-2</v>
      </c>
      <c r="P101" s="46"/>
      <c r="Q101" s="39">
        <v>2202.5644251575591</v>
      </c>
      <c r="R101" s="38">
        <f t="shared" si="29"/>
        <v>66.07693275472927</v>
      </c>
      <c r="S101" s="47"/>
      <c r="T101" s="39">
        <v>1914.5644251575591</v>
      </c>
      <c r="U101" s="38">
        <f t="shared" si="30"/>
        <v>57.43693275472895</v>
      </c>
      <c r="V101" s="51"/>
      <c r="W101" s="51"/>
      <c r="X101" s="46">
        <v>21.9</v>
      </c>
      <c r="Y101" s="47">
        <f t="shared" si="31"/>
        <v>-4.5662100456620447E-3</v>
      </c>
      <c r="Z101" s="46">
        <f t="shared" si="18"/>
        <v>21.8</v>
      </c>
      <c r="AA101" s="12">
        <f t="shared" si="19"/>
        <v>-9.9999999999997868E-2</v>
      </c>
      <c r="AB101" s="12">
        <f t="shared" si="20"/>
        <v>11.99</v>
      </c>
      <c r="AC101" s="12">
        <f t="shared" si="21"/>
        <v>-6.0000000000000497E-2</v>
      </c>
      <c r="AD101" s="12">
        <f t="shared" si="22"/>
        <v>12.86</v>
      </c>
      <c r="AE101" s="12">
        <f t="shared" si="23"/>
        <v>-6.0000000000000497E-2</v>
      </c>
      <c r="AF101" s="12"/>
      <c r="AJ101" s="11" t="e">
        <f>+#REF!*$AE101</f>
        <v>#REF!</v>
      </c>
      <c r="AK101" s="11" t="e">
        <f>+#REF!*$AA101</f>
        <v>#REF!</v>
      </c>
      <c r="AL101" s="11" t="e">
        <f>+#REF!*$AC101</f>
        <v>#REF!</v>
      </c>
    </row>
    <row r="102" spans="1:38" x14ac:dyDescent="0.3">
      <c r="A102" s="4">
        <v>693465315118</v>
      </c>
      <c r="B102" s="5" t="s">
        <v>198</v>
      </c>
      <c r="C102" s="5" t="s">
        <v>199</v>
      </c>
      <c r="D102" s="12">
        <f t="shared" si="24"/>
        <v>21.9</v>
      </c>
      <c r="E102" s="12">
        <v>10.95</v>
      </c>
      <c r="F102" s="47">
        <f t="shared" si="25"/>
        <v>-0.5</v>
      </c>
      <c r="G102" s="12">
        <f t="shared" si="26"/>
        <v>8.2100000000000009</v>
      </c>
      <c r="H102" s="12">
        <f t="shared" si="32"/>
        <v>12.92</v>
      </c>
      <c r="I102" s="12">
        <f t="shared" si="32"/>
        <v>12.05</v>
      </c>
      <c r="L102" s="46">
        <v>11.9</v>
      </c>
      <c r="M102" s="46">
        <f t="shared" si="27"/>
        <v>-0.95000000000000107</v>
      </c>
      <c r="N102" s="46">
        <v>8.93</v>
      </c>
      <c r="O102" s="46">
        <f t="shared" si="28"/>
        <v>-0.71999999999999886</v>
      </c>
      <c r="P102" s="46"/>
      <c r="Q102" s="39">
        <v>5307.3169920343043</v>
      </c>
      <c r="R102" s="38">
        <f t="shared" si="29"/>
        <v>-3821.2682342646931</v>
      </c>
      <c r="S102" s="47"/>
      <c r="T102" s="39">
        <v>4539.3169920343043</v>
      </c>
      <c r="U102" s="38">
        <f t="shared" si="30"/>
        <v>-3268.308234264694</v>
      </c>
      <c r="V102" s="51"/>
      <c r="W102" s="51"/>
      <c r="X102" s="46">
        <v>21.9</v>
      </c>
      <c r="Y102" s="47">
        <f t="shared" si="31"/>
        <v>8.6757990867579959E-2</v>
      </c>
      <c r="Z102" s="46">
        <f t="shared" si="18"/>
        <v>23.8</v>
      </c>
      <c r="AA102" s="12">
        <f t="shared" si="19"/>
        <v>1.9000000000000021</v>
      </c>
      <c r="AB102" s="12">
        <f t="shared" si="20"/>
        <v>13.09</v>
      </c>
      <c r="AC102" s="12">
        <f t="shared" si="21"/>
        <v>1.0399999999999991</v>
      </c>
      <c r="AD102" s="12">
        <f t="shared" si="22"/>
        <v>14.04</v>
      </c>
      <c r="AE102" s="12">
        <f t="shared" si="23"/>
        <v>1.1199999999999992</v>
      </c>
      <c r="AF102" s="12"/>
      <c r="AJ102" s="11" t="e">
        <f>+#REF!*$AE102</f>
        <v>#REF!</v>
      </c>
      <c r="AK102" s="11" t="e">
        <f>+#REF!*$AA102</f>
        <v>#REF!</v>
      </c>
      <c r="AL102" s="11" t="e">
        <f>+#REF!*$AC102</f>
        <v>#REF!</v>
      </c>
    </row>
    <row r="103" spans="1:38" x14ac:dyDescent="0.3">
      <c r="A103" s="4">
        <v>693465532119</v>
      </c>
      <c r="B103" s="5" t="s">
        <v>200</v>
      </c>
      <c r="C103" s="5" t="s">
        <v>201</v>
      </c>
      <c r="D103" s="12">
        <f t="shared" si="24"/>
        <v>39.9</v>
      </c>
      <c r="E103" s="12">
        <v>19.95</v>
      </c>
      <c r="F103" s="47">
        <f t="shared" si="25"/>
        <v>-0.5</v>
      </c>
      <c r="G103" s="12">
        <f t="shared" si="26"/>
        <v>14.96</v>
      </c>
      <c r="H103" s="12">
        <f t="shared" si="32"/>
        <v>23.54</v>
      </c>
      <c r="I103" s="12">
        <f t="shared" si="32"/>
        <v>21.95</v>
      </c>
      <c r="L103" s="46">
        <v>20.9</v>
      </c>
      <c r="M103" s="46">
        <f t="shared" si="27"/>
        <v>-0.94999999999999929</v>
      </c>
      <c r="N103" s="46">
        <v>15.308676092544985</v>
      </c>
      <c r="O103" s="46">
        <f t="shared" si="28"/>
        <v>-0.34867609254498433</v>
      </c>
      <c r="P103" s="46"/>
      <c r="Q103" s="39">
        <v>13623.205801407501</v>
      </c>
      <c r="R103" s="38">
        <f t="shared" si="29"/>
        <v>-4750.0861667709296</v>
      </c>
      <c r="S103" s="47"/>
      <c r="T103" s="39">
        <v>11631.205801407501</v>
      </c>
      <c r="U103" s="38">
        <f t="shared" si="30"/>
        <v>-4055.5233904213205</v>
      </c>
      <c r="V103" s="51"/>
      <c r="W103" s="51"/>
      <c r="X103" s="46">
        <v>39.9</v>
      </c>
      <c r="Y103" s="47">
        <f t="shared" si="31"/>
        <v>4.7619047619047672E-2</v>
      </c>
      <c r="Z103" s="46">
        <f t="shared" si="18"/>
        <v>41.8</v>
      </c>
      <c r="AA103" s="12">
        <f t="shared" si="19"/>
        <v>1.8999999999999986</v>
      </c>
      <c r="AB103" s="12">
        <f t="shared" si="20"/>
        <v>22.99</v>
      </c>
      <c r="AC103" s="12">
        <f t="shared" si="21"/>
        <v>1.0399999999999991</v>
      </c>
      <c r="AD103" s="12">
        <f t="shared" si="22"/>
        <v>24.66</v>
      </c>
      <c r="AE103" s="12">
        <f t="shared" si="23"/>
        <v>1.120000000000001</v>
      </c>
      <c r="AF103" s="12"/>
      <c r="AJ103" s="11" t="e">
        <f>+#REF!*$AE103</f>
        <v>#REF!</v>
      </c>
      <c r="AK103" s="11" t="e">
        <f>+#REF!*$AA103</f>
        <v>#REF!</v>
      </c>
      <c r="AL103" s="11" t="e">
        <f>+#REF!*$AC103</f>
        <v>#REF!</v>
      </c>
    </row>
    <row r="104" spans="1:38" x14ac:dyDescent="0.3">
      <c r="A104" s="35">
        <v>693465415115</v>
      </c>
      <c r="B104" s="36" t="s">
        <v>202</v>
      </c>
      <c r="C104" s="36" t="s">
        <v>203</v>
      </c>
      <c r="D104" s="50">
        <f t="shared" si="24"/>
        <v>36.9</v>
      </c>
      <c r="E104" s="50">
        <v>18.45</v>
      </c>
      <c r="F104" s="47">
        <f t="shared" si="25"/>
        <v>-0.5</v>
      </c>
      <c r="G104" s="50">
        <f t="shared" si="26"/>
        <v>13.84</v>
      </c>
      <c r="H104" s="50">
        <f t="shared" si="32"/>
        <v>21.77</v>
      </c>
      <c r="I104" s="50">
        <f t="shared" si="32"/>
        <v>20.3</v>
      </c>
      <c r="L104" s="46">
        <v>17.899999999999999</v>
      </c>
      <c r="M104" s="46">
        <f t="shared" si="27"/>
        <v>0.55000000000000071</v>
      </c>
      <c r="N104" s="46">
        <v>13.43</v>
      </c>
      <c r="O104" s="46">
        <f t="shared" si="28"/>
        <v>0.41000000000000014</v>
      </c>
      <c r="P104" s="46"/>
      <c r="Q104" s="39">
        <v>3315.0762410472748</v>
      </c>
      <c r="R104" s="38">
        <f t="shared" si="29"/>
        <v>1359.1812588293831</v>
      </c>
      <c r="S104" s="47"/>
      <c r="T104" s="39">
        <v>2955.0762410472748</v>
      </c>
      <c r="U104" s="38">
        <f t="shared" si="30"/>
        <v>1211.5812588293832</v>
      </c>
      <c r="V104" s="51"/>
      <c r="W104" s="51"/>
      <c r="X104" s="46">
        <v>34.9</v>
      </c>
      <c r="Y104" s="47">
        <f t="shared" si="31"/>
        <v>2.5787965616045794E-2</v>
      </c>
      <c r="Z104" s="46">
        <f t="shared" si="18"/>
        <v>35.799999999999997</v>
      </c>
      <c r="AA104" s="12">
        <f t="shared" si="19"/>
        <v>-1.1000000000000014</v>
      </c>
      <c r="AB104" s="12">
        <f t="shared" si="20"/>
        <v>19.690000000000001</v>
      </c>
      <c r="AC104" s="12">
        <f t="shared" si="21"/>
        <v>-0.60999999999999943</v>
      </c>
      <c r="AD104" s="12">
        <f t="shared" si="22"/>
        <v>21.12</v>
      </c>
      <c r="AE104" s="12">
        <f t="shared" si="23"/>
        <v>-0.64999999999999858</v>
      </c>
      <c r="AF104" s="12"/>
      <c r="AJ104" s="11" t="e">
        <f>+#REF!*$AE104</f>
        <v>#REF!</v>
      </c>
      <c r="AK104" s="11" t="e">
        <f>+#REF!*$AA104</f>
        <v>#REF!</v>
      </c>
      <c r="AL104" s="11" t="e">
        <f>+#REF!*$AC104</f>
        <v>#REF!</v>
      </c>
    </row>
    <row r="105" spans="1:38" x14ac:dyDescent="0.3">
      <c r="A105" s="4">
        <v>693465224113</v>
      </c>
      <c r="B105" s="5" t="s">
        <v>204</v>
      </c>
      <c r="C105" s="5" t="s">
        <v>205</v>
      </c>
      <c r="D105" s="12">
        <f t="shared" si="24"/>
        <v>28.9</v>
      </c>
      <c r="E105" s="12">
        <v>14.45</v>
      </c>
      <c r="F105" s="47">
        <f t="shared" si="25"/>
        <v>-0.5</v>
      </c>
      <c r="G105" s="12">
        <f t="shared" si="26"/>
        <v>10.84</v>
      </c>
      <c r="H105" s="12">
        <f t="shared" si="32"/>
        <v>17.05</v>
      </c>
      <c r="I105" s="12">
        <f t="shared" si="32"/>
        <v>15.9</v>
      </c>
      <c r="L105" s="46">
        <v>14.9</v>
      </c>
      <c r="M105" s="46">
        <f t="shared" si="27"/>
        <v>-0.45000000000000107</v>
      </c>
      <c r="N105" s="46">
        <v>11.18</v>
      </c>
      <c r="O105" s="46">
        <f t="shared" si="28"/>
        <v>-0.33999999999999986</v>
      </c>
      <c r="P105" s="46"/>
      <c r="Q105" s="39">
        <v>456</v>
      </c>
      <c r="R105" s="38">
        <f t="shared" si="29"/>
        <v>-155.03999999999994</v>
      </c>
      <c r="S105" s="47"/>
      <c r="T105" s="39">
        <v>168</v>
      </c>
      <c r="U105" s="38">
        <f t="shared" si="30"/>
        <v>-57.119999999999976</v>
      </c>
      <c r="V105" s="51"/>
      <c r="W105" s="51"/>
      <c r="X105" s="46">
        <v>28.9</v>
      </c>
      <c r="Y105" s="47">
        <f t="shared" si="31"/>
        <v>3.114186851211076E-2</v>
      </c>
      <c r="Z105" s="46">
        <f t="shared" si="18"/>
        <v>29.8</v>
      </c>
      <c r="AA105" s="12">
        <f t="shared" si="19"/>
        <v>0.90000000000000213</v>
      </c>
      <c r="AB105" s="12">
        <f t="shared" si="20"/>
        <v>16.39</v>
      </c>
      <c r="AC105" s="12">
        <f t="shared" si="21"/>
        <v>0.49000000000000021</v>
      </c>
      <c r="AD105" s="12">
        <f t="shared" si="22"/>
        <v>17.579999999999998</v>
      </c>
      <c r="AE105" s="12">
        <f t="shared" si="23"/>
        <v>0.52999999999999758</v>
      </c>
      <c r="AF105" s="12"/>
      <c r="AJ105" s="11" t="e">
        <f>+#REF!*$AE105</f>
        <v>#REF!</v>
      </c>
      <c r="AK105" s="11" t="e">
        <f>+#REF!*$AA105</f>
        <v>#REF!</v>
      </c>
      <c r="AL105" s="11" t="e">
        <f>+#REF!*$AC105</f>
        <v>#REF!</v>
      </c>
    </row>
    <row r="106" spans="1:38" x14ac:dyDescent="0.3">
      <c r="B106" s="5" t="s">
        <v>206</v>
      </c>
      <c r="C106" s="5" t="s">
        <v>207</v>
      </c>
      <c r="D106" s="12">
        <f t="shared" si="24"/>
        <v>28.9</v>
      </c>
      <c r="E106" s="12">
        <v>14.45</v>
      </c>
      <c r="F106" s="47">
        <f t="shared" si="25"/>
        <v>-0.5</v>
      </c>
      <c r="G106" s="12">
        <f t="shared" si="26"/>
        <v>10.84</v>
      </c>
      <c r="H106" s="12">
        <f t="shared" si="32"/>
        <v>17.05</v>
      </c>
      <c r="I106" s="12">
        <f t="shared" si="32"/>
        <v>15.9</v>
      </c>
      <c r="L106" s="46">
        <v>14.9</v>
      </c>
      <c r="M106" s="46">
        <f t="shared" si="27"/>
        <v>-0.45000000000000107</v>
      </c>
      <c r="N106" s="46">
        <v>11.18</v>
      </c>
      <c r="O106" s="46">
        <f t="shared" si="28"/>
        <v>-0.33999999999999986</v>
      </c>
      <c r="P106" s="46"/>
      <c r="Q106" s="39">
        <v>0</v>
      </c>
      <c r="R106" s="38">
        <f t="shared" si="29"/>
        <v>0</v>
      </c>
      <c r="S106" s="47"/>
      <c r="T106" s="39">
        <v>0</v>
      </c>
      <c r="U106" s="38">
        <f t="shared" si="30"/>
        <v>0</v>
      </c>
      <c r="V106" s="51"/>
      <c r="W106" s="51"/>
      <c r="X106" s="46">
        <v>28.9</v>
      </c>
      <c r="Y106" s="47">
        <f t="shared" si="31"/>
        <v>3.114186851211076E-2</v>
      </c>
      <c r="Z106" s="46">
        <f t="shared" si="18"/>
        <v>29.8</v>
      </c>
      <c r="AA106" s="12">
        <f t="shared" si="19"/>
        <v>0.90000000000000213</v>
      </c>
      <c r="AB106" s="12">
        <f t="shared" si="20"/>
        <v>16.39</v>
      </c>
      <c r="AC106" s="12">
        <f t="shared" si="21"/>
        <v>0.49000000000000021</v>
      </c>
      <c r="AD106" s="12">
        <f t="shared" si="22"/>
        <v>17.579999999999998</v>
      </c>
      <c r="AE106" s="12">
        <f t="shared" si="23"/>
        <v>0.52999999999999758</v>
      </c>
      <c r="AF106" s="12"/>
      <c r="AJ106" s="11" t="e">
        <f>+#REF!*$AE106</f>
        <v>#REF!</v>
      </c>
      <c r="AK106" s="11" t="e">
        <f>+#REF!*$AA106</f>
        <v>#REF!</v>
      </c>
      <c r="AL106" s="11" t="e">
        <f>+#REF!*$AC106</f>
        <v>#REF!</v>
      </c>
    </row>
    <row r="107" spans="1:38" x14ac:dyDescent="0.3">
      <c r="A107" s="4">
        <v>693465432112</v>
      </c>
      <c r="B107" s="5" t="s">
        <v>208</v>
      </c>
      <c r="C107" s="5" t="s">
        <v>209</v>
      </c>
      <c r="D107" s="12">
        <f t="shared" si="24"/>
        <v>89.9</v>
      </c>
      <c r="E107" s="12">
        <v>44.95</v>
      </c>
      <c r="F107" s="47">
        <f t="shared" si="25"/>
        <v>-0.5</v>
      </c>
      <c r="G107" s="12">
        <f t="shared" si="26"/>
        <v>33.71</v>
      </c>
      <c r="H107" s="12">
        <f t="shared" si="32"/>
        <v>53.04</v>
      </c>
      <c r="I107" s="12">
        <f t="shared" si="32"/>
        <v>49.45</v>
      </c>
      <c r="L107" s="46">
        <v>45.9</v>
      </c>
      <c r="M107" s="46">
        <f t="shared" si="27"/>
        <v>-0.94999999999999574</v>
      </c>
      <c r="N107" s="46">
        <v>34.390571174574951</v>
      </c>
      <c r="O107" s="46">
        <f t="shared" si="28"/>
        <v>-0.68057117457495053</v>
      </c>
      <c r="P107" s="46"/>
      <c r="Q107" s="39">
        <v>1013.3371346489066</v>
      </c>
      <c r="R107" s="38">
        <f t="shared" si="29"/>
        <v>-689.64804396842112</v>
      </c>
      <c r="S107" s="47"/>
      <c r="T107" s="39">
        <v>857.3371346489065</v>
      </c>
      <c r="U107" s="38">
        <f t="shared" si="30"/>
        <v>-583.47894073472878</v>
      </c>
      <c r="V107" s="51"/>
      <c r="W107" s="51"/>
      <c r="X107" s="46">
        <v>89.9</v>
      </c>
      <c r="Y107" s="47">
        <f t="shared" si="31"/>
        <v>2.1134593993325845E-2</v>
      </c>
      <c r="Z107" s="46">
        <f t="shared" si="18"/>
        <v>91.8</v>
      </c>
      <c r="AA107" s="12">
        <f t="shared" si="19"/>
        <v>1.8999999999999915</v>
      </c>
      <c r="AB107" s="12">
        <f t="shared" si="20"/>
        <v>50.49</v>
      </c>
      <c r="AC107" s="12">
        <f t="shared" si="21"/>
        <v>1.0399999999999991</v>
      </c>
      <c r="AD107" s="12">
        <f t="shared" si="22"/>
        <v>54.16</v>
      </c>
      <c r="AE107" s="12">
        <f t="shared" si="23"/>
        <v>1.1199999999999974</v>
      </c>
      <c r="AF107" s="12"/>
      <c r="AJ107" s="11" t="e">
        <f>+#REF!*$AE107</f>
        <v>#REF!</v>
      </c>
      <c r="AK107" s="11" t="e">
        <f>+#REF!*$AA107</f>
        <v>#REF!</v>
      </c>
      <c r="AL107" s="11" t="e">
        <f>+#REF!*$AC107</f>
        <v>#REF!</v>
      </c>
    </row>
    <row r="108" spans="1:38" x14ac:dyDescent="0.3">
      <c r="A108" s="35">
        <v>693465469118</v>
      </c>
      <c r="B108" s="36" t="s">
        <v>210</v>
      </c>
      <c r="C108" s="36" t="s">
        <v>211</v>
      </c>
      <c r="D108" s="50">
        <f t="shared" si="24"/>
        <v>26.9</v>
      </c>
      <c r="E108" s="50">
        <v>13.45</v>
      </c>
      <c r="F108" s="47">
        <f t="shared" si="25"/>
        <v>-0.5</v>
      </c>
      <c r="G108" s="50">
        <f t="shared" si="26"/>
        <v>10.09</v>
      </c>
      <c r="H108" s="50">
        <f t="shared" si="32"/>
        <v>15.87</v>
      </c>
      <c r="I108" s="50">
        <f t="shared" si="32"/>
        <v>14.8</v>
      </c>
      <c r="L108" s="46">
        <v>13.9</v>
      </c>
      <c r="M108" s="46">
        <f t="shared" si="27"/>
        <v>-0.45000000000000107</v>
      </c>
      <c r="N108" s="46">
        <v>10.079811715481171</v>
      </c>
      <c r="O108" s="46">
        <f t="shared" si="28"/>
        <v>1.0188284518829249E-2</v>
      </c>
      <c r="P108" s="46"/>
      <c r="Q108" s="39">
        <v>2412.3559750902309</v>
      </c>
      <c r="R108" s="38">
        <f t="shared" si="29"/>
        <v>24.577769034917036</v>
      </c>
      <c r="S108" s="47"/>
      <c r="T108" s="39">
        <v>2088.3559750902309</v>
      </c>
      <c r="U108" s="38">
        <f t="shared" si="30"/>
        <v>21.27676485081636</v>
      </c>
      <c r="V108" s="51"/>
      <c r="W108" s="51"/>
      <c r="X108" s="46">
        <v>24.9</v>
      </c>
      <c r="Y108" s="47">
        <f t="shared" si="31"/>
        <v>0.11646586345381538</v>
      </c>
      <c r="Z108" s="46">
        <f t="shared" si="18"/>
        <v>27.8</v>
      </c>
      <c r="AA108" s="12">
        <f t="shared" si="19"/>
        <v>0.90000000000000213</v>
      </c>
      <c r="AB108" s="12">
        <f t="shared" si="20"/>
        <v>15.29</v>
      </c>
      <c r="AC108" s="12">
        <f t="shared" si="21"/>
        <v>0.48999999999999844</v>
      </c>
      <c r="AD108" s="12">
        <f t="shared" si="22"/>
        <v>16.399999999999999</v>
      </c>
      <c r="AE108" s="12">
        <f t="shared" si="23"/>
        <v>0.52999999999999936</v>
      </c>
      <c r="AF108" s="12"/>
      <c r="AJ108" s="11" t="e">
        <f>+#REF!*$AE108</f>
        <v>#REF!</v>
      </c>
      <c r="AK108" s="11" t="e">
        <f>+#REF!*$AA108</f>
        <v>#REF!</v>
      </c>
      <c r="AL108" s="11" t="e">
        <f>+#REF!*$AC108</f>
        <v>#REF!</v>
      </c>
    </row>
    <row r="109" spans="1:38" x14ac:dyDescent="0.3">
      <c r="A109" s="35">
        <v>693465435113</v>
      </c>
      <c r="B109" s="36" t="s">
        <v>212</v>
      </c>
      <c r="C109" s="36" t="s">
        <v>213</v>
      </c>
      <c r="D109" s="50">
        <f t="shared" si="24"/>
        <v>33.9</v>
      </c>
      <c r="E109" s="50">
        <v>16.95</v>
      </c>
      <c r="F109" s="47">
        <f t="shared" si="25"/>
        <v>-0.5</v>
      </c>
      <c r="G109" s="50">
        <f t="shared" si="26"/>
        <v>12.71</v>
      </c>
      <c r="H109" s="50">
        <f t="shared" si="32"/>
        <v>20</v>
      </c>
      <c r="I109" s="50">
        <f t="shared" si="32"/>
        <v>18.649999999999999</v>
      </c>
      <c r="L109" s="46">
        <v>16.899999999999999</v>
      </c>
      <c r="M109" s="46">
        <f t="shared" si="27"/>
        <v>5.0000000000000711E-2</v>
      </c>
      <c r="N109" s="46">
        <v>12.65997095837367</v>
      </c>
      <c r="O109" s="46">
        <f t="shared" si="28"/>
        <v>5.002904162633115E-2</v>
      </c>
      <c r="P109" s="46"/>
      <c r="Q109" s="39">
        <v>2083.3116120433624</v>
      </c>
      <c r="R109" s="38">
        <f t="shared" si="29"/>
        <v>104.22608335953643</v>
      </c>
      <c r="S109" s="47"/>
      <c r="T109" s="39">
        <v>1747.3116120433626</v>
      </c>
      <c r="U109" s="38">
        <f t="shared" si="30"/>
        <v>87.41632537308918</v>
      </c>
      <c r="V109" s="51"/>
      <c r="W109" s="51"/>
      <c r="X109" s="46">
        <v>32.9</v>
      </c>
      <c r="Y109" s="47">
        <f t="shared" si="31"/>
        <v>2.7355623100303816E-2</v>
      </c>
      <c r="Z109" s="46">
        <f t="shared" si="18"/>
        <v>33.799999999999997</v>
      </c>
      <c r="AA109" s="12">
        <f t="shared" si="19"/>
        <v>-0.10000000000000142</v>
      </c>
      <c r="AB109" s="12">
        <f t="shared" si="20"/>
        <v>18.59</v>
      </c>
      <c r="AC109" s="12">
        <f t="shared" si="21"/>
        <v>-5.9999999999998721E-2</v>
      </c>
      <c r="AD109" s="12">
        <f t="shared" si="22"/>
        <v>19.940000000000001</v>
      </c>
      <c r="AE109" s="12">
        <f t="shared" si="23"/>
        <v>-5.9999999999998721E-2</v>
      </c>
      <c r="AF109" s="12"/>
      <c r="AJ109" s="11" t="e">
        <f>+#REF!*$AE109</f>
        <v>#REF!</v>
      </c>
      <c r="AK109" s="11" t="e">
        <f>+#REF!*$AA109</f>
        <v>#REF!</v>
      </c>
      <c r="AL109" s="11" t="e">
        <f>+#REF!*$AC109</f>
        <v>#REF!</v>
      </c>
    </row>
    <row r="110" spans="1:38" x14ac:dyDescent="0.3">
      <c r="A110" s="4">
        <v>693465239117</v>
      </c>
      <c r="B110" s="5" t="s">
        <v>214</v>
      </c>
      <c r="C110" s="5" t="s">
        <v>215</v>
      </c>
      <c r="D110" s="12">
        <f t="shared" si="24"/>
        <v>26.9</v>
      </c>
      <c r="E110" s="12">
        <v>13.45</v>
      </c>
      <c r="F110" s="47">
        <f t="shared" si="25"/>
        <v>-0.5</v>
      </c>
      <c r="G110" s="12">
        <f t="shared" si="26"/>
        <v>10.09</v>
      </c>
      <c r="H110" s="12">
        <f t="shared" si="32"/>
        <v>15.87</v>
      </c>
      <c r="I110" s="12">
        <f t="shared" si="32"/>
        <v>14.8</v>
      </c>
      <c r="L110" s="46">
        <v>13.9</v>
      </c>
      <c r="M110" s="46">
        <f t="shared" si="27"/>
        <v>-0.45000000000000107</v>
      </c>
      <c r="N110" s="46">
        <v>10.048552123552124</v>
      </c>
      <c r="O110" s="46">
        <f t="shared" si="28"/>
        <v>4.1447876447875842E-2</v>
      </c>
      <c r="P110" s="46"/>
      <c r="Q110" s="39">
        <v>3378.0521897369454</v>
      </c>
      <c r="R110" s="38">
        <f t="shared" si="29"/>
        <v>140.01308979469334</v>
      </c>
      <c r="S110" s="47"/>
      <c r="T110" s="39">
        <v>2958.0521897369454</v>
      </c>
      <c r="U110" s="38">
        <f t="shared" si="30"/>
        <v>122.6049816865855</v>
      </c>
      <c r="V110" s="51"/>
      <c r="W110" s="51"/>
      <c r="X110" s="46">
        <v>26.9</v>
      </c>
      <c r="Y110" s="47">
        <f t="shared" si="31"/>
        <v>3.3457249070631967E-2</v>
      </c>
      <c r="Z110" s="46">
        <f t="shared" si="18"/>
        <v>27.8</v>
      </c>
      <c r="AA110" s="12">
        <f t="shared" si="19"/>
        <v>0.90000000000000213</v>
      </c>
      <c r="AB110" s="12">
        <f t="shared" si="20"/>
        <v>15.29</v>
      </c>
      <c r="AC110" s="12">
        <f t="shared" si="21"/>
        <v>0.48999999999999844</v>
      </c>
      <c r="AD110" s="12">
        <f t="shared" si="22"/>
        <v>16.399999999999999</v>
      </c>
      <c r="AE110" s="12">
        <f t="shared" si="23"/>
        <v>0.52999999999999936</v>
      </c>
      <c r="AF110" s="12"/>
      <c r="AJ110" s="11" t="e">
        <f>+#REF!*$AE110</f>
        <v>#REF!</v>
      </c>
      <c r="AK110" s="11" t="e">
        <f>+#REF!*$AA110</f>
        <v>#REF!</v>
      </c>
      <c r="AL110" s="11" t="e">
        <f>+#REF!*$AC110</f>
        <v>#REF!</v>
      </c>
    </row>
    <row r="111" spans="1:38" x14ac:dyDescent="0.3">
      <c r="A111" s="4">
        <v>693465235119</v>
      </c>
      <c r="B111" s="5" t="s">
        <v>216</v>
      </c>
      <c r="C111" s="5" t="s">
        <v>217</v>
      </c>
      <c r="D111" s="12">
        <f t="shared" si="24"/>
        <v>31.9</v>
      </c>
      <c r="E111" s="12">
        <v>15.95</v>
      </c>
      <c r="F111" s="47">
        <f t="shared" si="25"/>
        <v>-0.5</v>
      </c>
      <c r="G111" s="12">
        <f t="shared" si="26"/>
        <v>11.96</v>
      </c>
      <c r="H111" s="12">
        <f t="shared" si="32"/>
        <v>18.82</v>
      </c>
      <c r="I111" s="12">
        <f t="shared" si="32"/>
        <v>17.55</v>
      </c>
      <c r="L111" s="46">
        <v>16.899999999999999</v>
      </c>
      <c r="M111" s="46">
        <f t="shared" si="27"/>
        <v>-0.94999999999999929</v>
      </c>
      <c r="N111" s="46">
        <v>12.310922330097087</v>
      </c>
      <c r="O111" s="46">
        <f t="shared" si="28"/>
        <v>-0.35092233009708629</v>
      </c>
      <c r="P111" s="46"/>
      <c r="Q111" s="39">
        <v>9363.8258434103755</v>
      </c>
      <c r="R111" s="38">
        <f t="shared" si="29"/>
        <v>-3285.9755835928831</v>
      </c>
      <c r="S111" s="47"/>
      <c r="T111" s="39">
        <v>8031.8258434103736</v>
      </c>
      <c r="U111" s="38">
        <f t="shared" si="30"/>
        <v>-2818.5470399035635</v>
      </c>
      <c r="V111" s="51"/>
      <c r="W111" s="51"/>
      <c r="X111" s="46">
        <v>31.9</v>
      </c>
      <c r="Y111" s="47">
        <f t="shared" si="31"/>
        <v>5.9561128526645746E-2</v>
      </c>
      <c r="Z111" s="46">
        <f t="shared" si="18"/>
        <v>33.799999999999997</v>
      </c>
      <c r="AA111" s="12">
        <f t="shared" si="19"/>
        <v>1.8999999999999986</v>
      </c>
      <c r="AB111" s="12">
        <f t="shared" si="20"/>
        <v>18.59</v>
      </c>
      <c r="AC111" s="12">
        <f t="shared" si="21"/>
        <v>1.0399999999999991</v>
      </c>
      <c r="AD111" s="12">
        <f t="shared" si="22"/>
        <v>19.940000000000001</v>
      </c>
      <c r="AE111" s="12">
        <f t="shared" si="23"/>
        <v>1.120000000000001</v>
      </c>
      <c r="AF111" s="12"/>
      <c r="AJ111" s="11" t="e">
        <f>+#REF!*$AE111</f>
        <v>#REF!</v>
      </c>
      <c r="AK111" s="11" t="e">
        <f>+#REF!*$AA111</f>
        <v>#REF!</v>
      </c>
      <c r="AL111" s="11" t="e">
        <f>+#REF!*$AC111</f>
        <v>#REF!</v>
      </c>
    </row>
    <row r="112" spans="1:38" x14ac:dyDescent="0.3">
      <c r="A112" s="4">
        <v>693465235218</v>
      </c>
      <c r="B112" s="5" t="s">
        <v>218</v>
      </c>
      <c r="C112" s="5" t="s">
        <v>219</v>
      </c>
      <c r="D112" s="12">
        <f t="shared" si="24"/>
        <v>59.9</v>
      </c>
      <c r="E112" s="12">
        <v>29.95</v>
      </c>
      <c r="F112" s="47">
        <f t="shared" si="25"/>
        <v>-0.5</v>
      </c>
      <c r="G112" s="12">
        <f t="shared" si="26"/>
        <v>22.46</v>
      </c>
      <c r="H112" s="12">
        <f t="shared" si="32"/>
        <v>35.340000000000003</v>
      </c>
      <c r="I112" s="12">
        <f t="shared" si="32"/>
        <v>32.950000000000003</v>
      </c>
      <c r="L112" s="46">
        <v>30.9</v>
      </c>
      <c r="M112" s="46">
        <f t="shared" si="27"/>
        <v>-0.94999999999999929</v>
      </c>
      <c r="N112" s="46">
        <v>22.819112478031634</v>
      </c>
      <c r="O112" s="46">
        <f t="shared" si="28"/>
        <v>-0.35911247803163349</v>
      </c>
      <c r="P112" s="46"/>
      <c r="Q112" s="39">
        <v>7106.0770329925199</v>
      </c>
      <c r="R112" s="38">
        <f t="shared" si="29"/>
        <v>-2551.8809324016215</v>
      </c>
      <c r="S112" s="47"/>
      <c r="T112" s="39">
        <v>6134.077032992519</v>
      </c>
      <c r="U112" s="38">
        <f t="shared" si="30"/>
        <v>-2202.8236037548736</v>
      </c>
      <c r="V112" s="51"/>
      <c r="W112" s="51"/>
      <c r="X112" s="46">
        <v>57.9</v>
      </c>
      <c r="Y112" s="47">
        <f t="shared" si="31"/>
        <v>6.7357512953367893E-2</v>
      </c>
      <c r="Z112" s="46">
        <f t="shared" si="18"/>
        <v>61.8</v>
      </c>
      <c r="AA112" s="12">
        <f t="shared" si="19"/>
        <v>1.8999999999999986</v>
      </c>
      <c r="AB112" s="12">
        <f t="shared" si="20"/>
        <v>33.99</v>
      </c>
      <c r="AC112" s="12">
        <f t="shared" si="21"/>
        <v>1.0399999999999991</v>
      </c>
      <c r="AD112" s="12">
        <f t="shared" si="22"/>
        <v>36.46</v>
      </c>
      <c r="AE112" s="12">
        <f t="shared" si="23"/>
        <v>1.1199999999999974</v>
      </c>
      <c r="AF112" s="12"/>
      <c r="AJ112" s="11" t="e">
        <f>+#REF!*$AE112</f>
        <v>#REF!</v>
      </c>
      <c r="AK112" s="11" t="e">
        <f>+#REF!*$AA112</f>
        <v>#REF!</v>
      </c>
      <c r="AL112" s="11" t="e">
        <f>+#REF!*$AC112</f>
        <v>#REF!</v>
      </c>
    </row>
    <row r="113" spans="1:38" x14ac:dyDescent="0.3">
      <c r="A113" s="4">
        <v>693465252116</v>
      </c>
      <c r="B113" s="5" t="s">
        <v>220</v>
      </c>
      <c r="C113" s="5" t="s">
        <v>221</v>
      </c>
      <c r="D113" s="12">
        <f t="shared" si="24"/>
        <v>39.9</v>
      </c>
      <c r="E113" s="12">
        <v>19.95</v>
      </c>
      <c r="F113" s="47">
        <f t="shared" si="25"/>
        <v>-0.5</v>
      </c>
      <c r="G113" s="12">
        <f t="shared" si="26"/>
        <v>14.96</v>
      </c>
      <c r="H113" s="12">
        <f t="shared" si="32"/>
        <v>23.54</v>
      </c>
      <c r="I113" s="12">
        <f t="shared" si="32"/>
        <v>21.95</v>
      </c>
      <c r="L113" s="46">
        <v>20.9</v>
      </c>
      <c r="M113" s="46">
        <f t="shared" si="27"/>
        <v>-0.94999999999999929</v>
      </c>
      <c r="N113" s="46">
        <v>15.308676092544985</v>
      </c>
      <c r="O113" s="46">
        <f t="shared" si="28"/>
        <v>-0.34867609254498433</v>
      </c>
      <c r="P113" s="46"/>
      <c r="Q113" s="39">
        <v>7165.9180114231995</v>
      </c>
      <c r="R113" s="38">
        <f t="shared" si="29"/>
        <v>-2498.5842917207656</v>
      </c>
      <c r="S113" s="47"/>
      <c r="T113" s="39">
        <v>6097.9180114231995</v>
      </c>
      <c r="U113" s="38">
        <f t="shared" si="30"/>
        <v>-2126.1982248827221</v>
      </c>
      <c r="V113" s="51"/>
      <c r="W113" s="51"/>
      <c r="X113" s="46">
        <v>39.9</v>
      </c>
      <c r="Y113" s="47">
        <f t="shared" si="31"/>
        <v>4.7619047619047672E-2</v>
      </c>
      <c r="Z113" s="46">
        <f t="shared" si="18"/>
        <v>41.8</v>
      </c>
      <c r="AA113" s="12">
        <f t="shared" si="19"/>
        <v>1.8999999999999986</v>
      </c>
      <c r="AB113" s="12">
        <f t="shared" si="20"/>
        <v>22.99</v>
      </c>
      <c r="AC113" s="12">
        <f t="shared" si="21"/>
        <v>1.0399999999999991</v>
      </c>
      <c r="AD113" s="12">
        <f t="shared" si="22"/>
        <v>24.66</v>
      </c>
      <c r="AE113" s="12">
        <f t="shared" si="23"/>
        <v>1.120000000000001</v>
      </c>
      <c r="AF113" s="12"/>
      <c r="AJ113" s="11" t="e">
        <f>+#REF!*$AE113</f>
        <v>#REF!</v>
      </c>
      <c r="AK113" s="11" t="e">
        <f>+#REF!*$AA113</f>
        <v>#REF!</v>
      </c>
      <c r="AL113" s="11" t="e">
        <f>+#REF!*$AC113</f>
        <v>#REF!</v>
      </c>
    </row>
    <row r="114" spans="1:38" x14ac:dyDescent="0.3">
      <c r="A114" s="4">
        <v>693465314111</v>
      </c>
      <c r="B114" s="5" t="s">
        <v>222</v>
      </c>
      <c r="C114" s="5" t="s">
        <v>223</v>
      </c>
      <c r="D114" s="12">
        <f t="shared" si="24"/>
        <v>49.9</v>
      </c>
      <c r="E114" s="12">
        <v>24.95</v>
      </c>
      <c r="F114" s="47">
        <f t="shared" si="25"/>
        <v>-0.5</v>
      </c>
      <c r="G114" s="12">
        <f t="shared" si="26"/>
        <v>18.71</v>
      </c>
      <c r="H114" s="12">
        <f t="shared" si="32"/>
        <v>29.44</v>
      </c>
      <c r="I114" s="12">
        <f t="shared" si="32"/>
        <v>27.45</v>
      </c>
      <c r="L114" s="46">
        <v>25.9</v>
      </c>
      <c r="M114" s="46">
        <f t="shared" si="27"/>
        <v>-0.94999999999999929</v>
      </c>
      <c r="N114" s="46">
        <v>19.43</v>
      </c>
      <c r="O114" s="46">
        <f t="shared" si="28"/>
        <v>-0.71999999999999886</v>
      </c>
      <c r="P114" s="46"/>
      <c r="Q114" s="39">
        <v>8347.2117788898104</v>
      </c>
      <c r="R114" s="38">
        <f t="shared" si="29"/>
        <v>-6009.9924808006535</v>
      </c>
      <c r="S114" s="47"/>
      <c r="T114" s="39">
        <v>7075.2117788898095</v>
      </c>
      <c r="U114" s="38">
        <f t="shared" si="30"/>
        <v>-5094.1524808006552</v>
      </c>
      <c r="V114" s="51"/>
      <c r="W114" s="51"/>
      <c r="X114" s="46">
        <v>49.9</v>
      </c>
      <c r="Y114" s="47">
        <f t="shared" si="31"/>
        <v>3.8076152304609145E-2</v>
      </c>
      <c r="Z114" s="46">
        <f t="shared" si="18"/>
        <v>51.8</v>
      </c>
      <c r="AA114" s="12">
        <f t="shared" si="19"/>
        <v>1.8999999999999986</v>
      </c>
      <c r="AB114" s="12">
        <f t="shared" si="20"/>
        <v>28.49</v>
      </c>
      <c r="AC114" s="12">
        <f t="shared" si="21"/>
        <v>1.0399999999999991</v>
      </c>
      <c r="AD114" s="12">
        <f t="shared" si="22"/>
        <v>30.56</v>
      </c>
      <c r="AE114" s="12">
        <f t="shared" si="23"/>
        <v>1.1199999999999974</v>
      </c>
      <c r="AF114" s="12"/>
      <c r="AJ114" s="11" t="e">
        <f>+#REF!*$AE114</f>
        <v>#REF!</v>
      </c>
      <c r="AK114" s="11" t="e">
        <f>+#REF!*$AA114</f>
        <v>#REF!</v>
      </c>
      <c r="AL114" s="11" t="e">
        <f>+#REF!*$AC114</f>
        <v>#REF!</v>
      </c>
    </row>
    <row r="115" spans="1:38" x14ac:dyDescent="0.3">
      <c r="A115" s="4">
        <v>693465313114</v>
      </c>
      <c r="B115" s="5" t="s">
        <v>224</v>
      </c>
      <c r="C115" s="5" t="s">
        <v>225</v>
      </c>
      <c r="D115" s="12">
        <f t="shared" si="24"/>
        <v>22.9</v>
      </c>
      <c r="E115" s="12">
        <v>11.45</v>
      </c>
      <c r="F115" s="47">
        <f t="shared" si="25"/>
        <v>-0.5</v>
      </c>
      <c r="G115" s="12">
        <f t="shared" si="26"/>
        <v>8.59</v>
      </c>
      <c r="H115" s="12">
        <f t="shared" si="32"/>
        <v>13.51</v>
      </c>
      <c r="I115" s="12">
        <f t="shared" si="32"/>
        <v>12.6</v>
      </c>
      <c r="L115" s="46">
        <v>11.9</v>
      </c>
      <c r="M115" s="46">
        <f t="shared" si="27"/>
        <v>-0.45000000000000107</v>
      </c>
      <c r="N115" s="46">
        <v>8.93</v>
      </c>
      <c r="O115" s="46">
        <f t="shared" si="28"/>
        <v>-0.33999999999999986</v>
      </c>
      <c r="P115" s="46"/>
      <c r="Q115" s="39">
        <v>6478.7748622289309</v>
      </c>
      <c r="R115" s="38">
        <f t="shared" si="29"/>
        <v>-2202.7834531578355</v>
      </c>
      <c r="S115" s="47"/>
      <c r="T115" s="39">
        <v>5602.7748622289309</v>
      </c>
      <c r="U115" s="38">
        <f t="shared" si="30"/>
        <v>-1904.9434531578356</v>
      </c>
      <c r="V115" s="51"/>
      <c r="W115" s="51"/>
      <c r="X115" s="46">
        <v>22.9</v>
      </c>
      <c r="Y115" s="47">
        <f t="shared" si="31"/>
        <v>3.9301310043668325E-2</v>
      </c>
      <c r="Z115" s="46">
        <f t="shared" si="18"/>
        <v>23.8</v>
      </c>
      <c r="AA115" s="12">
        <f t="shared" si="19"/>
        <v>0.90000000000000213</v>
      </c>
      <c r="AB115" s="12">
        <f t="shared" si="20"/>
        <v>13.09</v>
      </c>
      <c r="AC115" s="12">
        <f t="shared" si="21"/>
        <v>0.49000000000000021</v>
      </c>
      <c r="AD115" s="12">
        <f t="shared" si="22"/>
        <v>14.04</v>
      </c>
      <c r="AE115" s="12">
        <f t="shared" si="23"/>
        <v>0.52999999999999936</v>
      </c>
      <c r="AF115" s="12"/>
      <c r="AJ115" s="11" t="e">
        <f>+#REF!*$AE115</f>
        <v>#REF!</v>
      </c>
      <c r="AK115" s="11" t="e">
        <f>+#REF!*$AA115</f>
        <v>#REF!</v>
      </c>
      <c r="AL115" s="11" t="e">
        <f>+#REF!*$AC115</f>
        <v>#REF!</v>
      </c>
    </row>
    <row r="116" spans="1:38" x14ac:dyDescent="0.3">
      <c r="A116" s="4">
        <v>693465103111</v>
      </c>
      <c r="B116" s="5" t="s">
        <v>226</v>
      </c>
      <c r="C116" s="5" t="s">
        <v>227</v>
      </c>
      <c r="D116" s="12">
        <f t="shared" si="24"/>
        <v>14.9</v>
      </c>
      <c r="E116" s="12">
        <v>7.45</v>
      </c>
      <c r="F116" s="47">
        <f t="shared" si="25"/>
        <v>-0.5</v>
      </c>
      <c r="G116" s="12">
        <f t="shared" si="26"/>
        <v>5.59</v>
      </c>
      <c r="H116" s="12">
        <f t="shared" si="32"/>
        <v>8.7899999999999991</v>
      </c>
      <c r="I116" s="12">
        <f t="shared" si="32"/>
        <v>8.1999999999999993</v>
      </c>
      <c r="L116" s="46">
        <v>7.9</v>
      </c>
      <c r="M116" s="46">
        <f t="shared" si="27"/>
        <v>-0.45000000000000018</v>
      </c>
      <c r="N116" s="46">
        <v>5.93</v>
      </c>
      <c r="O116" s="46">
        <f t="shared" si="28"/>
        <v>-0.33999999999999986</v>
      </c>
      <c r="P116" s="46"/>
      <c r="Q116" s="39">
        <v>3583.7788715106662</v>
      </c>
      <c r="R116" s="38">
        <f t="shared" si="29"/>
        <v>-1218.484816313626</v>
      </c>
      <c r="S116" s="47"/>
      <c r="T116" s="39">
        <v>3127.7788715106667</v>
      </c>
      <c r="U116" s="38">
        <f t="shared" si="30"/>
        <v>-1063.4448163136262</v>
      </c>
      <c r="V116" s="51"/>
      <c r="W116" s="51"/>
      <c r="X116" s="46">
        <v>14.9</v>
      </c>
      <c r="Y116" s="47">
        <f t="shared" si="31"/>
        <v>6.0402684563758413E-2</v>
      </c>
      <c r="Z116" s="46">
        <f t="shared" si="18"/>
        <v>15.8</v>
      </c>
      <c r="AA116" s="12">
        <f t="shared" si="19"/>
        <v>0.90000000000000036</v>
      </c>
      <c r="AB116" s="12">
        <f t="shared" si="20"/>
        <v>8.69</v>
      </c>
      <c r="AC116" s="12">
        <f t="shared" si="21"/>
        <v>0.49000000000000021</v>
      </c>
      <c r="AD116" s="12">
        <f t="shared" si="22"/>
        <v>9.32</v>
      </c>
      <c r="AE116" s="12">
        <f t="shared" si="23"/>
        <v>0.53000000000000114</v>
      </c>
      <c r="AF116" s="12"/>
      <c r="AJ116" s="11" t="e">
        <f>+#REF!*$AE116</f>
        <v>#REF!</v>
      </c>
      <c r="AK116" s="11" t="e">
        <f>+#REF!*$AA116</f>
        <v>#REF!</v>
      </c>
      <c r="AL116" s="11" t="e">
        <f>+#REF!*$AC116</f>
        <v>#REF!</v>
      </c>
    </row>
    <row r="117" spans="1:38" x14ac:dyDescent="0.3">
      <c r="A117" s="4">
        <v>693465533116</v>
      </c>
      <c r="B117" s="5" t="s">
        <v>228</v>
      </c>
      <c r="C117" s="5" t="s">
        <v>229</v>
      </c>
      <c r="D117" s="12">
        <f t="shared" si="24"/>
        <v>39.9</v>
      </c>
      <c r="E117" s="12">
        <v>19.95</v>
      </c>
      <c r="F117" s="47">
        <f t="shared" si="25"/>
        <v>-0.5</v>
      </c>
      <c r="G117" s="12">
        <f t="shared" si="26"/>
        <v>14.96</v>
      </c>
      <c r="H117" s="12">
        <f t="shared" si="32"/>
        <v>23.54</v>
      </c>
      <c r="I117" s="12">
        <f t="shared" si="32"/>
        <v>21.95</v>
      </c>
      <c r="L117" s="46">
        <v>20.9</v>
      </c>
      <c r="M117" s="46">
        <f t="shared" si="27"/>
        <v>-0.94999999999999929</v>
      </c>
      <c r="N117" s="46">
        <v>15.68</v>
      </c>
      <c r="O117" s="46">
        <f t="shared" si="28"/>
        <v>-0.71999999999999886</v>
      </c>
      <c r="P117" s="46"/>
      <c r="Q117" s="39">
        <v>2249.5104794624704</v>
      </c>
      <c r="R117" s="38">
        <f t="shared" si="29"/>
        <v>-1619.6475452129762</v>
      </c>
      <c r="S117" s="47"/>
      <c r="T117" s="39">
        <v>1913.5104794624708</v>
      </c>
      <c r="U117" s="38">
        <f t="shared" si="30"/>
        <v>-1377.7275452129768</v>
      </c>
      <c r="V117" s="51"/>
      <c r="W117" s="51"/>
      <c r="X117" s="46">
        <v>39.9</v>
      </c>
      <c r="Y117" s="47">
        <f t="shared" si="31"/>
        <v>4.7619047619047672E-2</v>
      </c>
      <c r="Z117" s="46">
        <f t="shared" si="18"/>
        <v>41.8</v>
      </c>
      <c r="AA117" s="12">
        <f t="shared" si="19"/>
        <v>1.8999999999999986</v>
      </c>
      <c r="AB117" s="12">
        <f t="shared" si="20"/>
        <v>22.99</v>
      </c>
      <c r="AC117" s="12">
        <f t="shared" si="21"/>
        <v>1.0399999999999991</v>
      </c>
      <c r="AD117" s="12">
        <f t="shared" si="22"/>
        <v>24.66</v>
      </c>
      <c r="AE117" s="12">
        <f t="shared" si="23"/>
        <v>1.120000000000001</v>
      </c>
      <c r="AF117" s="12"/>
      <c r="AJ117" s="11" t="e">
        <f>+#REF!*$AE117</f>
        <v>#REF!</v>
      </c>
      <c r="AK117" s="11" t="e">
        <f>+#REF!*$AA117</f>
        <v>#REF!</v>
      </c>
      <c r="AL117" s="11" t="e">
        <f>+#REF!*$AC117</f>
        <v>#REF!</v>
      </c>
    </row>
    <row r="118" spans="1:38" x14ac:dyDescent="0.3">
      <c r="A118" s="4">
        <v>693465437117</v>
      </c>
      <c r="B118" s="5" t="s">
        <v>230</v>
      </c>
      <c r="C118" s="5" t="s">
        <v>231</v>
      </c>
      <c r="D118" s="12">
        <f t="shared" si="24"/>
        <v>40.9</v>
      </c>
      <c r="E118" s="12">
        <v>20.45</v>
      </c>
      <c r="F118" s="47">
        <f t="shared" si="25"/>
        <v>-0.5</v>
      </c>
      <c r="G118" s="12">
        <f t="shared" si="26"/>
        <v>15.34</v>
      </c>
      <c r="H118" s="12">
        <f t="shared" si="32"/>
        <v>24.13</v>
      </c>
      <c r="I118" s="12">
        <f t="shared" si="32"/>
        <v>22.5</v>
      </c>
      <c r="L118" s="46">
        <v>20.9</v>
      </c>
      <c r="M118" s="46">
        <f t="shared" si="27"/>
        <v>-0.44999999999999929</v>
      </c>
      <c r="N118" s="46">
        <v>15.68</v>
      </c>
      <c r="O118" s="46">
        <f t="shared" si="28"/>
        <v>-0.33999999999999986</v>
      </c>
      <c r="P118" s="46"/>
      <c r="Q118" s="39">
        <v>1701.0789139017647</v>
      </c>
      <c r="R118" s="38">
        <f t="shared" si="29"/>
        <v>-578.3668307265998</v>
      </c>
      <c r="S118" s="47"/>
      <c r="T118" s="39">
        <v>1413.0789139017647</v>
      </c>
      <c r="U118" s="38">
        <f t="shared" si="30"/>
        <v>-480.44683072659979</v>
      </c>
      <c r="V118" s="51"/>
      <c r="W118" s="51"/>
      <c r="X118" s="46">
        <v>40.9</v>
      </c>
      <c r="Y118" s="47">
        <f t="shared" si="31"/>
        <v>2.2004889975550057E-2</v>
      </c>
      <c r="Z118" s="46">
        <f t="shared" si="18"/>
        <v>41.8</v>
      </c>
      <c r="AA118" s="12">
        <f t="shared" si="19"/>
        <v>0.89999999999999858</v>
      </c>
      <c r="AB118" s="12">
        <f t="shared" si="20"/>
        <v>22.99</v>
      </c>
      <c r="AC118" s="12">
        <f t="shared" si="21"/>
        <v>0.48999999999999844</v>
      </c>
      <c r="AD118" s="12">
        <f t="shared" si="22"/>
        <v>24.66</v>
      </c>
      <c r="AE118" s="12">
        <f t="shared" si="23"/>
        <v>0.53000000000000114</v>
      </c>
      <c r="AF118" s="12"/>
      <c r="AJ118" s="11" t="e">
        <f>+#REF!*$AE118</f>
        <v>#REF!</v>
      </c>
      <c r="AK118" s="11" t="e">
        <f>+#REF!*$AA118</f>
        <v>#REF!</v>
      </c>
      <c r="AL118" s="11" t="e">
        <f>+#REF!*$AC118</f>
        <v>#REF!</v>
      </c>
    </row>
    <row r="119" spans="1:38" x14ac:dyDescent="0.3">
      <c r="A119" s="4">
        <v>693465437216</v>
      </c>
      <c r="B119" s="5" t="s">
        <v>232</v>
      </c>
      <c r="C119" s="5" t="s">
        <v>231</v>
      </c>
      <c r="D119" s="12">
        <f t="shared" si="24"/>
        <v>69.900000000000006</v>
      </c>
      <c r="E119" s="12">
        <v>34.950000000000003</v>
      </c>
      <c r="F119" s="47">
        <f t="shared" si="25"/>
        <v>-0.5</v>
      </c>
      <c r="G119" s="12">
        <f t="shared" si="26"/>
        <v>26.21</v>
      </c>
      <c r="H119" s="12">
        <f t="shared" si="32"/>
        <v>41.24</v>
      </c>
      <c r="I119" s="12">
        <f t="shared" si="32"/>
        <v>38.450000000000003</v>
      </c>
      <c r="L119" s="46">
        <v>34.9</v>
      </c>
      <c r="M119" s="46">
        <f t="shared" si="27"/>
        <v>5.0000000000004263E-2</v>
      </c>
      <c r="N119" s="46">
        <v>26.18</v>
      </c>
      <c r="O119" s="46">
        <f t="shared" si="28"/>
        <v>3.0000000000001137E-2</v>
      </c>
      <c r="P119" s="46"/>
      <c r="Q119" s="39">
        <v>764.84351401490767</v>
      </c>
      <c r="R119" s="38">
        <f t="shared" si="29"/>
        <v>22.945305420448101</v>
      </c>
      <c r="S119" s="47"/>
      <c r="T119" s="39">
        <v>668.84351401490767</v>
      </c>
      <c r="U119" s="38">
        <f t="shared" si="30"/>
        <v>20.065305420447991</v>
      </c>
      <c r="V119" s="51"/>
      <c r="W119" s="51"/>
      <c r="X119" s="46">
        <v>69.900000000000006</v>
      </c>
      <c r="Y119" s="47">
        <f t="shared" si="31"/>
        <v>-1.4306151645209209E-3</v>
      </c>
      <c r="Z119" s="46">
        <f t="shared" si="18"/>
        <v>69.8</v>
      </c>
      <c r="AA119" s="12">
        <f t="shared" si="19"/>
        <v>-0.10000000000000853</v>
      </c>
      <c r="AB119" s="12">
        <f t="shared" si="20"/>
        <v>38.39</v>
      </c>
      <c r="AC119" s="12">
        <f t="shared" si="21"/>
        <v>-6.0000000000002274E-2</v>
      </c>
      <c r="AD119" s="12">
        <f t="shared" si="22"/>
        <v>41.18</v>
      </c>
      <c r="AE119" s="12">
        <f t="shared" si="23"/>
        <v>-6.0000000000002274E-2</v>
      </c>
      <c r="AF119" s="12"/>
      <c r="AJ119" s="11" t="e">
        <f>+#REF!*$AE119</f>
        <v>#REF!</v>
      </c>
      <c r="AK119" s="11" t="e">
        <f>+#REF!*$AA119</f>
        <v>#REF!</v>
      </c>
      <c r="AL119" s="11" t="e">
        <f>+#REF!*$AC119</f>
        <v>#REF!</v>
      </c>
    </row>
    <row r="120" spans="1:38" x14ac:dyDescent="0.3">
      <c r="A120" s="4">
        <v>693465305119</v>
      </c>
      <c r="B120" s="5" t="s">
        <v>233</v>
      </c>
      <c r="C120" s="5" t="s">
        <v>234</v>
      </c>
      <c r="D120" s="12">
        <f t="shared" si="24"/>
        <v>17.899999999999999</v>
      </c>
      <c r="E120" s="12">
        <v>8.9499999999999993</v>
      </c>
      <c r="F120" s="47">
        <f t="shared" si="25"/>
        <v>-0.5</v>
      </c>
      <c r="G120" s="12">
        <f t="shared" si="26"/>
        <v>6.71</v>
      </c>
      <c r="H120" s="12">
        <f t="shared" si="32"/>
        <v>10.56</v>
      </c>
      <c r="I120" s="12">
        <f t="shared" si="32"/>
        <v>9.85</v>
      </c>
      <c r="L120" s="46">
        <v>9.9</v>
      </c>
      <c r="M120" s="46">
        <f t="shared" si="27"/>
        <v>-0.95000000000000107</v>
      </c>
      <c r="N120" s="46">
        <v>7.43</v>
      </c>
      <c r="O120" s="46">
        <f t="shared" si="28"/>
        <v>-0.71999999999999975</v>
      </c>
      <c r="P120" s="46"/>
      <c r="Q120" s="39">
        <v>9865.8511032762053</v>
      </c>
      <c r="R120" s="38">
        <f t="shared" si="29"/>
        <v>-7103.4127943588655</v>
      </c>
      <c r="S120" s="47"/>
      <c r="T120" s="39">
        <v>8545.8511032762071</v>
      </c>
      <c r="U120" s="38">
        <f t="shared" si="30"/>
        <v>-6153.0127943588668</v>
      </c>
      <c r="V120" s="51"/>
      <c r="W120" s="51"/>
      <c r="X120" s="46">
        <v>17.899999999999999</v>
      </c>
      <c r="Y120" s="47">
        <f t="shared" si="31"/>
        <v>0.1061452513966481</v>
      </c>
      <c r="Z120" s="46">
        <f t="shared" si="18"/>
        <v>19.8</v>
      </c>
      <c r="AA120" s="12">
        <f t="shared" si="19"/>
        <v>1.9000000000000021</v>
      </c>
      <c r="AB120" s="12">
        <f t="shared" si="20"/>
        <v>10.89</v>
      </c>
      <c r="AC120" s="12">
        <f t="shared" si="21"/>
        <v>1.0400000000000009</v>
      </c>
      <c r="AD120" s="12">
        <f t="shared" si="22"/>
        <v>11.68</v>
      </c>
      <c r="AE120" s="12">
        <f t="shared" si="23"/>
        <v>1.1199999999999992</v>
      </c>
      <c r="AF120" s="12"/>
      <c r="AJ120" s="11" t="e">
        <f>+#REF!*$AE120</f>
        <v>#REF!</v>
      </c>
      <c r="AK120" s="11" t="e">
        <f>+#REF!*$AA120</f>
        <v>#REF!</v>
      </c>
      <c r="AL120" s="11" t="e">
        <f>+#REF!*$AC120</f>
        <v>#REF!</v>
      </c>
    </row>
    <row r="121" spans="1:38" x14ac:dyDescent="0.3">
      <c r="A121" s="4">
        <v>693465000038</v>
      </c>
      <c r="B121" s="5" t="s">
        <v>235</v>
      </c>
      <c r="C121" s="5" t="s">
        <v>236</v>
      </c>
      <c r="D121" s="12">
        <f t="shared" si="24"/>
        <v>32.9</v>
      </c>
      <c r="E121" s="12">
        <v>16.45</v>
      </c>
      <c r="F121" s="47">
        <f t="shared" si="25"/>
        <v>-0.5</v>
      </c>
      <c r="G121" s="12">
        <f t="shared" si="26"/>
        <v>12.34</v>
      </c>
      <c r="H121" s="12">
        <f t="shared" si="32"/>
        <v>19.41</v>
      </c>
      <c r="I121" s="12">
        <f t="shared" si="32"/>
        <v>18.100000000000001</v>
      </c>
      <c r="L121" s="46">
        <v>15.9</v>
      </c>
      <c r="M121" s="46">
        <f t="shared" si="27"/>
        <v>0.54999999999999893</v>
      </c>
      <c r="N121" s="46">
        <v>11.93</v>
      </c>
      <c r="O121" s="46">
        <f t="shared" si="28"/>
        <v>0.41000000000000014</v>
      </c>
      <c r="P121" s="46"/>
      <c r="Q121" s="39">
        <v>390.81052185356862</v>
      </c>
      <c r="R121" s="38">
        <f t="shared" si="29"/>
        <v>160.23231395996319</v>
      </c>
      <c r="S121" s="47"/>
      <c r="T121" s="39">
        <v>258.81052185356862</v>
      </c>
      <c r="U121" s="38">
        <f t="shared" si="30"/>
        <v>106.11231395996317</v>
      </c>
      <c r="V121" s="51"/>
      <c r="W121" s="51"/>
      <c r="X121" s="46">
        <v>32.9</v>
      </c>
      <c r="Y121" s="47">
        <f t="shared" si="31"/>
        <v>-3.3434650455926973E-2</v>
      </c>
      <c r="Z121" s="46">
        <f t="shared" si="18"/>
        <v>31.8</v>
      </c>
      <c r="AA121" s="12">
        <f t="shared" si="19"/>
        <v>-1.0999999999999979</v>
      </c>
      <c r="AB121" s="12">
        <f t="shared" si="20"/>
        <v>17.489999999999998</v>
      </c>
      <c r="AC121" s="12">
        <f t="shared" si="21"/>
        <v>-0.61000000000000298</v>
      </c>
      <c r="AD121" s="12">
        <f t="shared" si="22"/>
        <v>18.760000000000002</v>
      </c>
      <c r="AE121" s="12">
        <f t="shared" si="23"/>
        <v>-0.64999999999999858</v>
      </c>
      <c r="AF121" s="12"/>
      <c r="AJ121" s="11" t="e">
        <f>+#REF!*$AE121</f>
        <v>#REF!</v>
      </c>
      <c r="AK121" s="11" t="e">
        <f>+#REF!*$AA121</f>
        <v>#REF!</v>
      </c>
      <c r="AL121" s="11" t="e">
        <f>+#REF!*$AC121</f>
        <v>#REF!</v>
      </c>
    </row>
    <row r="122" spans="1:38" x14ac:dyDescent="0.3">
      <c r="A122" s="4">
        <v>693465502112</v>
      </c>
      <c r="B122" s="5" t="s">
        <v>237</v>
      </c>
      <c r="C122" s="5" t="s">
        <v>238</v>
      </c>
      <c r="D122" s="12">
        <f t="shared" si="24"/>
        <v>39.9</v>
      </c>
      <c r="E122" s="12">
        <v>19.95</v>
      </c>
      <c r="F122" s="47">
        <f t="shared" si="25"/>
        <v>-0.5</v>
      </c>
      <c r="G122" s="12">
        <f t="shared" si="26"/>
        <v>14.96</v>
      </c>
      <c r="H122" s="12">
        <f t="shared" si="32"/>
        <v>23.54</v>
      </c>
      <c r="I122" s="12">
        <f t="shared" si="32"/>
        <v>21.95</v>
      </c>
      <c r="L122" s="46">
        <v>20.9</v>
      </c>
      <c r="M122" s="46">
        <f t="shared" si="27"/>
        <v>-0.94999999999999929</v>
      </c>
      <c r="N122" s="46">
        <v>15.68</v>
      </c>
      <c r="O122" s="46">
        <f t="shared" si="28"/>
        <v>-0.71999999999999886</v>
      </c>
      <c r="P122" s="46"/>
      <c r="Q122" s="39">
        <v>1703.1868052919413</v>
      </c>
      <c r="R122" s="38">
        <f t="shared" si="29"/>
        <v>-1226.2944998101957</v>
      </c>
      <c r="S122" s="47"/>
      <c r="T122" s="39">
        <v>1475.1868052919413</v>
      </c>
      <c r="U122" s="38">
        <f t="shared" si="30"/>
        <v>-1062.1344998101961</v>
      </c>
      <c r="V122" s="51"/>
      <c r="W122" s="51"/>
      <c r="X122" s="46">
        <v>39.9</v>
      </c>
      <c r="Y122" s="47">
        <f t="shared" si="31"/>
        <v>4.7619047619047672E-2</v>
      </c>
      <c r="Z122" s="46">
        <f t="shared" si="18"/>
        <v>41.8</v>
      </c>
      <c r="AA122" s="12">
        <f t="shared" si="19"/>
        <v>1.8999999999999986</v>
      </c>
      <c r="AB122" s="12">
        <f t="shared" si="20"/>
        <v>22.99</v>
      </c>
      <c r="AC122" s="12">
        <f t="shared" si="21"/>
        <v>1.0399999999999991</v>
      </c>
      <c r="AD122" s="12">
        <f t="shared" si="22"/>
        <v>24.66</v>
      </c>
      <c r="AE122" s="12">
        <f t="shared" si="23"/>
        <v>1.120000000000001</v>
      </c>
      <c r="AF122" s="12"/>
      <c r="AJ122" s="11" t="e">
        <f>+#REF!*$AE122</f>
        <v>#REF!</v>
      </c>
      <c r="AK122" s="11" t="e">
        <f>+#REF!*$AA122</f>
        <v>#REF!</v>
      </c>
      <c r="AL122" s="11" t="e">
        <f>+#REF!*$AC122</f>
        <v>#REF!</v>
      </c>
    </row>
    <row r="123" spans="1:38" x14ac:dyDescent="0.3">
      <c r="A123" s="4">
        <v>693465407110</v>
      </c>
      <c r="B123" s="5" t="s">
        <v>239</v>
      </c>
      <c r="C123" s="5" t="s">
        <v>240</v>
      </c>
      <c r="D123" s="12">
        <f t="shared" si="24"/>
        <v>27.9</v>
      </c>
      <c r="E123" s="12">
        <v>13.95</v>
      </c>
      <c r="F123" s="47">
        <f t="shared" si="25"/>
        <v>-0.5</v>
      </c>
      <c r="G123" s="12">
        <f t="shared" si="26"/>
        <v>10.46</v>
      </c>
      <c r="H123" s="12">
        <f t="shared" si="32"/>
        <v>16.46</v>
      </c>
      <c r="I123" s="12">
        <f t="shared" si="32"/>
        <v>15.35</v>
      </c>
      <c r="L123" s="46">
        <v>13.9</v>
      </c>
      <c r="M123" s="46">
        <f t="shared" si="27"/>
        <v>4.9999999999998934E-2</v>
      </c>
      <c r="N123" s="46">
        <v>10.43</v>
      </c>
      <c r="O123" s="46">
        <f t="shared" si="28"/>
        <v>3.0000000000001137E-2</v>
      </c>
      <c r="P123" s="46"/>
      <c r="Q123" s="39">
        <v>5604.2354052780511</v>
      </c>
      <c r="R123" s="38">
        <f t="shared" si="29"/>
        <v>168.12706215834791</v>
      </c>
      <c r="S123" s="47"/>
      <c r="T123" s="39">
        <v>4908.2354052780511</v>
      </c>
      <c r="U123" s="38">
        <f t="shared" si="30"/>
        <v>147.24706215834712</v>
      </c>
      <c r="V123" s="51"/>
      <c r="W123" s="51"/>
      <c r="X123" s="46">
        <v>27.9</v>
      </c>
      <c r="Y123" s="47">
        <f t="shared" si="31"/>
        <v>-3.5842293906809264E-3</v>
      </c>
      <c r="Z123" s="46">
        <f t="shared" si="18"/>
        <v>27.8</v>
      </c>
      <c r="AA123" s="12">
        <f t="shared" si="19"/>
        <v>-9.9999999999997868E-2</v>
      </c>
      <c r="AB123" s="12">
        <f t="shared" si="20"/>
        <v>15.29</v>
      </c>
      <c r="AC123" s="12">
        <f t="shared" si="21"/>
        <v>-6.0000000000000497E-2</v>
      </c>
      <c r="AD123" s="12">
        <f t="shared" si="22"/>
        <v>16.399999999999999</v>
      </c>
      <c r="AE123" s="12">
        <f t="shared" si="23"/>
        <v>-6.0000000000002274E-2</v>
      </c>
      <c r="AF123" s="12"/>
      <c r="AJ123" s="11" t="e">
        <f>+#REF!*$AE123</f>
        <v>#REF!</v>
      </c>
      <c r="AK123" s="11" t="e">
        <f>+#REF!*$AA123</f>
        <v>#REF!</v>
      </c>
      <c r="AL123" s="11" t="e">
        <f>+#REF!*$AC123</f>
        <v>#REF!</v>
      </c>
    </row>
    <row r="124" spans="1:38" x14ac:dyDescent="0.3">
      <c r="A124" s="4">
        <v>693465419113</v>
      </c>
      <c r="B124" s="5" t="s">
        <v>241</v>
      </c>
      <c r="C124" s="5" t="s">
        <v>242</v>
      </c>
      <c r="D124" s="12">
        <f t="shared" si="24"/>
        <v>42.9</v>
      </c>
      <c r="E124" s="12">
        <v>21.45</v>
      </c>
      <c r="F124" s="47">
        <f t="shared" si="25"/>
        <v>-0.5</v>
      </c>
      <c r="G124" s="12">
        <f t="shared" si="26"/>
        <v>16.09</v>
      </c>
      <c r="H124" s="12">
        <f t="shared" si="32"/>
        <v>25.31</v>
      </c>
      <c r="I124" s="12">
        <f t="shared" si="32"/>
        <v>23.6</v>
      </c>
      <c r="L124" s="46">
        <v>21.9</v>
      </c>
      <c r="M124" s="46">
        <f t="shared" si="27"/>
        <v>-0.44999999999999929</v>
      </c>
      <c r="N124" s="46">
        <v>16.43</v>
      </c>
      <c r="O124" s="46">
        <f t="shared" si="28"/>
        <v>-0.33999999999999986</v>
      </c>
      <c r="P124" s="46"/>
      <c r="Q124" s="39">
        <v>4001.7512304494999</v>
      </c>
      <c r="R124" s="38">
        <f t="shared" si="29"/>
        <v>-1360.5954183528295</v>
      </c>
      <c r="S124" s="47"/>
      <c r="T124" s="39">
        <v>3425.7512304494999</v>
      </c>
      <c r="U124" s="38">
        <f t="shared" si="30"/>
        <v>-1164.7554183528296</v>
      </c>
      <c r="V124" s="51"/>
      <c r="W124" s="51"/>
      <c r="X124" s="46">
        <v>42.9</v>
      </c>
      <c r="Y124" s="47">
        <f t="shared" si="31"/>
        <v>2.0979020979021046E-2</v>
      </c>
      <c r="Z124" s="46">
        <f t="shared" si="18"/>
        <v>43.8</v>
      </c>
      <c r="AA124" s="12">
        <f t="shared" si="19"/>
        <v>0.89999999999999858</v>
      </c>
      <c r="AB124" s="12">
        <f t="shared" si="20"/>
        <v>24.09</v>
      </c>
      <c r="AC124" s="12">
        <f t="shared" si="21"/>
        <v>0.48999999999999844</v>
      </c>
      <c r="AD124" s="12">
        <f t="shared" si="22"/>
        <v>25.84</v>
      </c>
      <c r="AE124" s="12">
        <f t="shared" si="23"/>
        <v>0.53000000000000114</v>
      </c>
      <c r="AF124" s="12"/>
      <c r="AJ124" s="11" t="e">
        <f>+#REF!*$AE124</f>
        <v>#REF!</v>
      </c>
      <c r="AK124" s="11" t="e">
        <f>+#REF!*$AA124</f>
        <v>#REF!</v>
      </c>
      <c r="AL124" s="11" t="e">
        <f>+#REF!*$AC124</f>
        <v>#REF!</v>
      </c>
    </row>
    <row r="125" spans="1:38" x14ac:dyDescent="0.3">
      <c r="A125" s="4">
        <v>693465416112</v>
      </c>
      <c r="B125" s="5" t="s">
        <v>243</v>
      </c>
      <c r="C125" s="5" t="s">
        <v>244</v>
      </c>
      <c r="D125" s="12">
        <f t="shared" si="24"/>
        <v>15.9</v>
      </c>
      <c r="E125" s="12">
        <v>7.95</v>
      </c>
      <c r="F125" s="47">
        <f t="shared" si="25"/>
        <v>-0.5</v>
      </c>
      <c r="G125" s="12">
        <f t="shared" si="26"/>
        <v>5.96</v>
      </c>
      <c r="H125" s="12">
        <f t="shared" si="32"/>
        <v>9.3800000000000008</v>
      </c>
      <c r="I125" s="12">
        <f t="shared" si="32"/>
        <v>8.75</v>
      </c>
      <c r="L125" s="46">
        <v>7.9</v>
      </c>
      <c r="M125" s="46">
        <f t="shared" si="27"/>
        <v>4.9999999999999822E-2</v>
      </c>
      <c r="N125" s="46">
        <v>5.93</v>
      </c>
      <c r="O125" s="46">
        <f t="shared" si="28"/>
        <v>3.0000000000000249E-2</v>
      </c>
      <c r="P125" s="46"/>
      <c r="Q125" s="39">
        <v>1670.8354900602453</v>
      </c>
      <c r="R125" s="38">
        <f t="shared" si="29"/>
        <v>50.125064701807773</v>
      </c>
      <c r="S125" s="47"/>
      <c r="T125" s="39">
        <v>1442.8354900602451</v>
      </c>
      <c r="U125" s="38">
        <f t="shared" si="30"/>
        <v>43.285064701807713</v>
      </c>
      <c r="V125" s="51"/>
      <c r="W125" s="51"/>
      <c r="X125" s="46">
        <v>15.9</v>
      </c>
      <c r="Y125" s="47">
        <f t="shared" si="31"/>
        <v>-6.2893081761006275E-3</v>
      </c>
      <c r="Z125" s="46">
        <f t="shared" si="18"/>
        <v>15.8</v>
      </c>
      <c r="AA125" s="12">
        <f t="shared" si="19"/>
        <v>-9.9999999999999645E-2</v>
      </c>
      <c r="AB125" s="12">
        <f t="shared" si="20"/>
        <v>8.69</v>
      </c>
      <c r="AC125" s="12">
        <f t="shared" si="21"/>
        <v>-6.0000000000000497E-2</v>
      </c>
      <c r="AD125" s="12">
        <f t="shared" si="22"/>
        <v>9.32</v>
      </c>
      <c r="AE125" s="12">
        <f t="shared" si="23"/>
        <v>-6.0000000000000497E-2</v>
      </c>
      <c r="AF125" s="12"/>
      <c r="AJ125" s="11" t="e">
        <f>+#REF!*$AE125</f>
        <v>#REF!</v>
      </c>
      <c r="AK125" s="11" t="e">
        <f>+#REF!*$AA125</f>
        <v>#REF!</v>
      </c>
      <c r="AL125" s="11" t="e">
        <f>+#REF!*$AC125</f>
        <v>#REF!</v>
      </c>
    </row>
    <row r="126" spans="1:38" x14ac:dyDescent="0.3">
      <c r="A126" s="4">
        <v>693465502211</v>
      </c>
      <c r="B126" s="5" t="s">
        <v>245</v>
      </c>
      <c r="C126" s="5" t="s">
        <v>246</v>
      </c>
      <c r="D126" s="12">
        <f t="shared" si="24"/>
        <v>69.900000000000006</v>
      </c>
      <c r="E126" s="12">
        <v>34.950000000000003</v>
      </c>
      <c r="F126" s="47">
        <f t="shared" si="25"/>
        <v>-0.5</v>
      </c>
      <c r="G126" s="12">
        <f t="shared" si="26"/>
        <v>26.21</v>
      </c>
      <c r="H126" s="12">
        <f t="shared" si="32"/>
        <v>41.24</v>
      </c>
      <c r="I126" s="12">
        <f t="shared" si="32"/>
        <v>38.450000000000003</v>
      </c>
      <c r="L126" s="46">
        <v>35.9</v>
      </c>
      <c r="M126" s="46">
        <f t="shared" si="27"/>
        <v>-0.94999999999999574</v>
      </c>
      <c r="N126" s="46">
        <v>26.93</v>
      </c>
      <c r="O126" s="46">
        <f t="shared" si="28"/>
        <v>-0.71999999999999886</v>
      </c>
      <c r="P126" s="46"/>
      <c r="Q126" s="39">
        <v>1630.132859596853</v>
      </c>
      <c r="R126" s="38">
        <f t="shared" si="29"/>
        <v>-1173.6956589097324</v>
      </c>
      <c r="S126" s="47"/>
      <c r="T126" s="39">
        <v>1402.132859596853</v>
      </c>
      <c r="U126" s="38">
        <f t="shared" si="30"/>
        <v>-1009.5356589097325</v>
      </c>
      <c r="V126" s="51"/>
      <c r="W126" s="51"/>
      <c r="X126" s="46">
        <v>69.900000000000006</v>
      </c>
      <c r="Y126" s="47">
        <f t="shared" si="31"/>
        <v>2.7181688125893944E-2</v>
      </c>
      <c r="Z126" s="46">
        <f t="shared" si="18"/>
        <v>71.8</v>
      </c>
      <c r="AA126" s="12">
        <f t="shared" si="19"/>
        <v>1.8999999999999915</v>
      </c>
      <c r="AB126" s="12">
        <f t="shared" si="20"/>
        <v>39.49</v>
      </c>
      <c r="AC126" s="12">
        <f t="shared" si="21"/>
        <v>1.0399999999999991</v>
      </c>
      <c r="AD126" s="12">
        <f t="shared" si="22"/>
        <v>42.36</v>
      </c>
      <c r="AE126" s="12">
        <f t="shared" si="23"/>
        <v>1.1199999999999974</v>
      </c>
      <c r="AF126" s="12"/>
      <c r="AJ126" s="11" t="e">
        <f>+#REF!*$AE126</f>
        <v>#REF!</v>
      </c>
      <c r="AK126" s="11" t="e">
        <f>+#REF!*$AA126</f>
        <v>#REF!</v>
      </c>
      <c r="AL126" s="11" t="e">
        <f>+#REF!*$AC126</f>
        <v>#REF!</v>
      </c>
    </row>
    <row r="127" spans="1:38" x14ac:dyDescent="0.3">
      <c r="A127" s="4">
        <v>693465306116</v>
      </c>
      <c r="B127" s="5" t="s">
        <v>247</v>
      </c>
      <c r="C127" s="5" t="s">
        <v>248</v>
      </c>
      <c r="D127" s="12">
        <f t="shared" si="24"/>
        <v>24.9</v>
      </c>
      <c r="E127" s="12">
        <v>12.45</v>
      </c>
      <c r="F127" s="47">
        <f t="shared" si="25"/>
        <v>-0.5</v>
      </c>
      <c r="G127" s="12">
        <f t="shared" si="26"/>
        <v>9.34</v>
      </c>
      <c r="H127" s="12">
        <f t="shared" si="32"/>
        <v>14.69</v>
      </c>
      <c r="I127" s="12">
        <f t="shared" si="32"/>
        <v>13.7</v>
      </c>
      <c r="L127" s="46">
        <v>13.9</v>
      </c>
      <c r="M127" s="46">
        <f t="shared" si="27"/>
        <v>-1.4500000000000011</v>
      </c>
      <c r="N127" s="46">
        <v>10.079811715481171</v>
      </c>
      <c r="O127" s="46">
        <f t="shared" si="28"/>
        <v>-0.73981171548117075</v>
      </c>
      <c r="P127" s="46"/>
      <c r="Q127" s="39">
        <v>40864.927641877199</v>
      </c>
      <c r="R127" s="38">
        <f t="shared" si="29"/>
        <v>-30232.352221751084</v>
      </c>
      <c r="S127" s="47"/>
      <c r="T127" s="39">
        <v>35464.927641877199</v>
      </c>
      <c r="U127" s="38">
        <f t="shared" si="30"/>
        <v>-26237.368958152761</v>
      </c>
      <c r="V127" s="51"/>
      <c r="W127" s="51"/>
      <c r="X127" s="46">
        <v>24.9</v>
      </c>
      <c r="Y127" s="47">
        <f t="shared" si="31"/>
        <v>0.11646586345381538</v>
      </c>
      <c r="Z127" s="46">
        <f t="shared" si="18"/>
        <v>27.8</v>
      </c>
      <c r="AA127" s="12">
        <f t="shared" si="19"/>
        <v>2.9000000000000021</v>
      </c>
      <c r="AB127" s="12">
        <f t="shared" si="20"/>
        <v>15.29</v>
      </c>
      <c r="AC127" s="12">
        <f t="shared" si="21"/>
        <v>1.5899999999999999</v>
      </c>
      <c r="AD127" s="12">
        <f t="shared" si="22"/>
        <v>16.399999999999999</v>
      </c>
      <c r="AE127" s="12">
        <f t="shared" si="23"/>
        <v>1.7099999999999991</v>
      </c>
      <c r="AF127" s="12"/>
      <c r="AJ127" s="11" t="e">
        <f>+#REF!*$AE127</f>
        <v>#REF!</v>
      </c>
      <c r="AK127" s="11" t="e">
        <f>+#REF!*$AA127</f>
        <v>#REF!</v>
      </c>
      <c r="AL127" s="11" t="e">
        <f>+#REF!*$AC127</f>
        <v>#REF!</v>
      </c>
    </row>
    <row r="128" spans="1:38" x14ac:dyDescent="0.3">
      <c r="A128" s="4">
        <v>693465306215</v>
      </c>
      <c r="B128" s="5" t="s">
        <v>249</v>
      </c>
      <c r="C128" s="5" t="s">
        <v>250</v>
      </c>
      <c r="D128" s="12">
        <f t="shared" si="24"/>
        <v>44.9</v>
      </c>
      <c r="E128" s="12">
        <v>22.45</v>
      </c>
      <c r="F128" s="47">
        <f t="shared" si="25"/>
        <v>-0.5</v>
      </c>
      <c r="G128" s="12">
        <f t="shared" si="26"/>
        <v>16.84</v>
      </c>
      <c r="H128" s="12">
        <f t="shared" si="32"/>
        <v>26.49</v>
      </c>
      <c r="I128" s="12">
        <f t="shared" si="32"/>
        <v>24.7</v>
      </c>
      <c r="L128" s="46">
        <v>21.9</v>
      </c>
      <c r="M128" s="46">
        <f t="shared" si="27"/>
        <v>0.55000000000000071</v>
      </c>
      <c r="N128" s="46">
        <v>16.049105011933172</v>
      </c>
      <c r="O128" s="46">
        <f t="shared" si="28"/>
        <v>0.79089498806682812</v>
      </c>
      <c r="P128" s="46"/>
      <c r="Q128" s="39">
        <v>24206.082588153105</v>
      </c>
      <c r="R128" s="38">
        <f t="shared" si="29"/>
        <v>19144.469399702008</v>
      </c>
      <c r="S128" s="47"/>
      <c r="T128" s="39">
        <v>20954.082588153105</v>
      </c>
      <c r="U128" s="38">
        <f t="shared" si="30"/>
        <v>16572.478898508682</v>
      </c>
      <c r="V128" s="51"/>
      <c r="W128" s="51"/>
      <c r="X128" s="46">
        <v>42.9</v>
      </c>
      <c r="Y128" s="47">
        <f t="shared" si="31"/>
        <v>2.0979020979021046E-2</v>
      </c>
      <c r="Z128" s="46">
        <f t="shared" si="18"/>
        <v>43.8</v>
      </c>
      <c r="AA128" s="12">
        <f t="shared" si="19"/>
        <v>-1.1000000000000014</v>
      </c>
      <c r="AB128" s="12">
        <f t="shared" si="20"/>
        <v>24.09</v>
      </c>
      <c r="AC128" s="12">
        <f t="shared" si="21"/>
        <v>-0.60999999999999943</v>
      </c>
      <c r="AD128" s="12">
        <f t="shared" si="22"/>
        <v>25.84</v>
      </c>
      <c r="AE128" s="12">
        <f t="shared" si="23"/>
        <v>-0.64999999999999858</v>
      </c>
      <c r="AF128" s="12"/>
      <c r="AJ128" s="11" t="e">
        <f>+#REF!*$AE128</f>
        <v>#REF!</v>
      </c>
      <c r="AK128" s="11" t="e">
        <f>+#REF!*$AA128</f>
        <v>#REF!</v>
      </c>
      <c r="AL128" s="11" t="e">
        <f>+#REF!*$AC128</f>
        <v>#REF!</v>
      </c>
    </row>
    <row r="129" spans="1:38" x14ac:dyDescent="0.3">
      <c r="A129" s="4">
        <v>693465505113</v>
      </c>
      <c r="B129" s="5" t="s">
        <v>251</v>
      </c>
      <c r="C129" s="5" t="s">
        <v>252</v>
      </c>
      <c r="D129" s="12">
        <f t="shared" si="24"/>
        <v>44.9</v>
      </c>
      <c r="E129" s="12">
        <v>22.45</v>
      </c>
      <c r="F129" s="47">
        <f t="shared" si="25"/>
        <v>-0.5</v>
      </c>
      <c r="G129" s="12">
        <f t="shared" si="26"/>
        <v>16.84</v>
      </c>
      <c r="H129" s="12">
        <f t="shared" si="32"/>
        <v>26.49</v>
      </c>
      <c r="I129" s="12">
        <f t="shared" si="32"/>
        <v>24.7</v>
      </c>
      <c r="L129" s="46">
        <v>23.9</v>
      </c>
      <c r="M129" s="46">
        <f t="shared" si="27"/>
        <v>-1.4499999999999993</v>
      </c>
      <c r="N129" s="46">
        <v>17.93</v>
      </c>
      <c r="O129" s="46">
        <f t="shared" si="28"/>
        <v>-1.0899999999999999</v>
      </c>
      <c r="P129" s="46"/>
      <c r="Q129" s="39">
        <v>1723.5381205236374</v>
      </c>
      <c r="R129" s="38">
        <f t="shared" si="29"/>
        <v>-1878.6565513707646</v>
      </c>
      <c r="S129" s="47"/>
      <c r="T129" s="39">
        <v>1507.5381205236374</v>
      </c>
      <c r="U129" s="38">
        <f t="shared" si="30"/>
        <v>-1643.2165513707646</v>
      </c>
      <c r="V129" s="51"/>
      <c r="W129" s="51"/>
      <c r="X129" s="46">
        <v>44.9</v>
      </c>
      <c r="Y129" s="47">
        <f t="shared" si="31"/>
        <v>6.4587973273942056E-2</v>
      </c>
      <c r="Z129" s="46">
        <f t="shared" si="18"/>
        <v>47.8</v>
      </c>
      <c r="AA129" s="12">
        <f t="shared" si="19"/>
        <v>2.8999999999999986</v>
      </c>
      <c r="AB129" s="12">
        <f t="shared" si="20"/>
        <v>26.29</v>
      </c>
      <c r="AC129" s="12">
        <f t="shared" si="21"/>
        <v>1.5899999999999999</v>
      </c>
      <c r="AD129" s="12">
        <f t="shared" si="22"/>
        <v>28.2</v>
      </c>
      <c r="AE129" s="12">
        <f t="shared" si="23"/>
        <v>1.7100000000000009</v>
      </c>
      <c r="AF129" s="12"/>
      <c r="AJ129" s="11" t="e">
        <f>+#REF!*$AE129</f>
        <v>#REF!</v>
      </c>
      <c r="AK129" s="11" t="e">
        <f>+#REF!*$AA129</f>
        <v>#REF!</v>
      </c>
      <c r="AL129" s="11" t="e">
        <f>+#REF!*$AC129</f>
        <v>#REF!</v>
      </c>
    </row>
    <row r="130" spans="1:38" x14ac:dyDescent="0.3">
      <c r="A130" s="4">
        <v>693465531112</v>
      </c>
      <c r="B130" s="5" t="s">
        <v>253</v>
      </c>
      <c r="C130" s="5" t="s">
        <v>254</v>
      </c>
      <c r="D130" s="12">
        <f t="shared" si="24"/>
        <v>44.9</v>
      </c>
      <c r="E130" s="12">
        <v>22.45</v>
      </c>
      <c r="F130" s="47">
        <f t="shared" si="25"/>
        <v>-0.5</v>
      </c>
      <c r="G130" s="12">
        <f t="shared" si="26"/>
        <v>16.84</v>
      </c>
      <c r="H130" s="12">
        <f t="shared" ref="H130:I160" si="33">ROUND($D130*(1-H$5),2)</f>
        <v>26.49</v>
      </c>
      <c r="I130" s="12">
        <f t="shared" si="33"/>
        <v>24.7</v>
      </c>
      <c r="L130" s="46">
        <v>23.9</v>
      </c>
      <c r="M130" s="46">
        <f t="shared" si="27"/>
        <v>-1.4499999999999993</v>
      </c>
      <c r="N130" s="46">
        <v>17.93</v>
      </c>
      <c r="O130" s="46">
        <f t="shared" si="28"/>
        <v>-1.0899999999999999</v>
      </c>
      <c r="P130" s="46"/>
      <c r="Q130" s="39">
        <v>795.24208741427458</v>
      </c>
      <c r="R130" s="38">
        <f t="shared" si="29"/>
        <v>-866.81387528155915</v>
      </c>
      <c r="S130" s="47"/>
      <c r="T130" s="39">
        <v>699.24208741427458</v>
      </c>
      <c r="U130" s="38">
        <f t="shared" si="30"/>
        <v>-762.17387528155916</v>
      </c>
      <c r="V130" s="51"/>
      <c r="W130" s="51"/>
      <c r="X130" s="46">
        <v>44.9</v>
      </c>
      <c r="Y130" s="47">
        <f t="shared" si="31"/>
        <v>6.4587973273942056E-2</v>
      </c>
      <c r="Z130" s="46">
        <f t="shared" si="18"/>
        <v>47.8</v>
      </c>
      <c r="AA130" s="12">
        <f t="shared" si="19"/>
        <v>2.8999999999999986</v>
      </c>
      <c r="AB130" s="12">
        <f t="shared" si="20"/>
        <v>26.29</v>
      </c>
      <c r="AC130" s="12">
        <f t="shared" si="21"/>
        <v>1.5899999999999999</v>
      </c>
      <c r="AD130" s="12">
        <f t="shared" si="22"/>
        <v>28.2</v>
      </c>
      <c r="AE130" s="12">
        <f t="shared" si="23"/>
        <v>1.7100000000000009</v>
      </c>
      <c r="AF130" s="12"/>
      <c r="AJ130" s="11" t="e">
        <f>+#REF!*$AE130</f>
        <v>#REF!</v>
      </c>
      <c r="AK130" s="11" t="e">
        <f>+#REF!*$AA130</f>
        <v>#REF!</v>
      </c>
      <c r="AL130" s="11" t="e">
        <f>+#REF!*$AC130</f>
        <v>#REF!</v>
      </c>
    </row>
    <row r="131" spans="1:38" x14ac:dyDescent="0.3">
      <c r="A131" s="4">
        <v>693465525111</v>
      </c>
      <c r="B131" s="5" t="s">
        <v>255</v>
      </c>
      <c r="C131" s="5" t="s">
        <v>256</v>
      </c>
      <c r="D131" s="12">
        <f t="shared" si="24"/>
        <v>44.9</v>
      </c>
      <c r="E131" s="12">
        <v>22.45</v>
      </c>
      <c r="F131" s="47">
        <f t="shared" si="25"/>
        <v>-0.5</v>
      </c>
      <c r="G131" s="12">
        <f t="shared" si="26"/>
        <v>16.84</v>
      </c>
      <c r="H131" s="12">
        <f t="shared" si="33"/>
        <v>26.49</v>
      </c>
      <c r="I131" s="12">
        <f t="shared" si="33"/>
        <v>24.7</v>
      </c>
      <c r="L131" s="46">
        <v>23.9</v>
      </c>
      <c r="M131" s="46">
        <f t="shared" si="27"/>
        <v>-1.4499999999999993</v>
      </c>
      <c r="N131" s="46">
        <v>17.93</v>
      </c>
      <c r="O131" s="46">
        <f t="shared" si="28"/>
        <v>-1.0899999999999999</v>
      </c>
      <c r="P131" s="46"/>
      <c r="Q131" s="39">
        <v>1092.1605006580198</v>
      </c>
      <c r="R131" s="38">
        <f t="shared" si="29"/>
        <v>-1190.4549457172413</v>
      </c>
      <c r="S131" s="47"/>
      <c r="T131" s="39">
        <v>996.16050065801971</v>
      </c>
      <c r="U131" s="38">
        <f t="shared" si="30"/>
        <v>-1085.8149457172412</v>
      </c>
      <c r="V131" s="51"/>
      <c r="W131" s="51"/>
      <c r="X131" s="46">
        <v>44.9</v>
      </c>
      <c r="Y131" s="47">
        <f t="shared" si="31"/>
        <v>6.4587973273942056E-2</v>
      </c>
      <c r="Z131" s="46">
        <f t="shared" si="18"/>
        <v>47.8</v>
      </c>
      <c r="AA131" s="12">
        <f t="shared" si="19"/>
        <v>2.8999999999999986</v>
      </c>
      <c r="AB131" s="12">
        <f t="shared" si="20"/>
        <v>26.29</v>
      </c>
      <c r="AC131" s="12">
        <f t="shared" si="21"/>
        <v>1.5899999999999999</v>
      </c>
      <c r="AD131" s="12">
        <f t="shared" si="22"/>
        <v>28.2</v>
      </c>
      <c r="AE131" s="12">
        <f t="shared" si="23"/>
        <v>1.7100000000000009</v>
      </c>
      <c r="AF131" s="12"/>
      <c r="AJ131" s="11" t="e">
        <f>+#REF!*$AE131</f>
        <v>#REF!</v>
      </c>
      <c r="AK131" s="11" t="e">
        <f>+#REF!*$AA131</f>
        <v>#REF!</v>
      </c>
      <c r="AL131" s="11" t="e">
        <f>+#REF!*$AC131</f>
        <v>#REF!</v>
      </c>
    </row>
    <row r="132" spans="1:38" x14ac:dyDescent="0.3">
      <c r="A132" s="4">
        <v>693465530115</v>
      </c>
      <c r="B132" s="5" t="s">
        <v>257</v>
      </c>
      <c r="C132" s="5" t="s">
        <v>258</v>
      </c>
      <c r="D132" s="12">
        <f t="shared" si="24"/>
        <v>44.9</v>
      </c>
      <c r="E132" s="12">
        <v>22.45</v>
      </c>
      <c r="F132" s="47">
        <f t="shared" si="25"/>
        <v>-0.5</v>
      </c>
      <c r="G132" s="12">
        <f t="shared" si="26"/>
        <v>16.84</v>
      </c>
      <c r="H132" s="12">
        <f t="shared" si="33"/>
        <v>26.49</v>
      </c>
      <c r="I132" s="12">
        <f t="shared" si="33"/>
        <v>24.7</v>
      </c>
      <c r="L132" s="46">
        <v>23.9</v>
      </c>
      <c r="M132" s="46">
        <f t="shared" si="27"/>
        <v>-1.4499999999999993</v>
      </c>
      <c r="N132" s="46">
        <v>17.93</v>
      </c>
      <c r="O132" s="46">
        <f t="shared" si="28"/>
        <v>-1.0899999999999999</v>
      </c>
      <c r="P132" s="46"/>
      <c r="Q132" s="39">
        <v>661.13419602409806</v>
      </c>
      <c r="R132" s="38">
        <f t="shared" si="29"/>
        <v>-720.63627366626679</v>
      </c>
      <c r="S132" s="47"/>
      <c r="T132" s="39">
        <v>589.13419602409806</v>
      </c>
      <c r="U132" s="38">
        <f t="shared" si="30"/>
        <v>-642.15627366626677</v>
      </c>
      <c r="V132" s="51"/>
      <c r="W132" s="51"/>
      <c r="X132" s="46">
        <v>44.9</v>
      </c>
      <c r="Y132" s="47">
        <f t="shared" si="31"/>
        <v>6.4587973273942056E-2</v>
      </c>
      <c r="Z132" s="46">
        <f t="shared" si="18"/>
        <v>47.8</v>
      </c>
      <c r="AA132" s="12">
        <f t="shared" si="19"/>
        <v>2.8999999999999986</v>
      </c>
      <c r="AB132" s="12">
        <f t="shared" si="20"/>
        <v>26.29</v>
      </c>
      <c r="AC132" s="12">
        <f t="shared" si="21"/>
        <v>1.5899999999999999</v>
      </c>
      <c r="AD132" s="12">
        <f t="shared" si="22"/>
        <v>28.2</v>
      </c>
      <c r="AE132" s="12">
        <f t="shared" si="23"/>
        <v>1.7100000000000009</v>
      </c>
      <c r="AF132" s="12"/>
      <c r="AJ132" s="11" t="e">
        <f>+#REF!*$AE132</f>
        <v>#REF!</v>
      </c>
      <c r="AK132" s="11" t="e">
        <f>+#REF!*$AA132</f>
        <v>#REF!</v>
      </c>
      <c r="AL132" s="11" t="e">
        <f>+#REF!*$AC132</f>
        <v>#REF!</v>
      </c>
    </row>
    <row r="133" spans="1:38" x14ac:dyDescent="0.3">
      <c r="A133" s="4">
        <v>693465307113</v>
      </c>
      <c r="B133" s="5" t="s">
        <v>259</v>
      </c>
      <c r="C133" s="5" t="s">
        <v>260</v>
      </c>
      <c r="D133" s="12">
        <f t="shared" si="24"/>
        <v>24.9</v>
      </c>
      <c r="E133" s="12">
        <v>12.45</v>
      </c>
      <c r="F133" s="47">
        <f t="shared" si="25"/>
        <v>-0.5</v>
      </c>
      <c r="G133" s="12">
        <f t="shared" si="26"/>
        <v>9.34</v>
      </c>
      <c r="H133" s="12">
        <f t="shared" si="33"/>
        <v>14.69</v>
      </c>
      <c r="I133" s="12">
        <f t="shared" si="33"/>
        <v>13.7</v>
      </c>
      <c r="L133" s="46">
        <v>13.9</v>
      </c>
      <c r="M133" s="46">
        <f t="shared" si="27"/>
        <v>-1.4500000000000011</v>
      </c>
      <c r="N133" s="46">
        <v>10.079811715481171</v>
      </c>
      <c r="O133" s="46">
        <f t="shared" si="28"/>
        <v>-0.73981171548117075</v>
      </c>
      <c r="P133" s="46"/>
      <c r="Q133" s="39">
        <v>2610.1144519973086</v>
      </c>
      <c r="R133" s="38">
        <f t="shared" si="29"/>
        <v>-1930.9932503343248</v>
      </c>
      <c r="S133" s="47"/>
      <c r="T133" s="39">
        <v>2250.1144519973077</v>
      </c>
      <c r="U133" s="38">
        <f t="shared" si="30"/>
        <v>-1664.6610327611027</v>
      </c>
      <c r="V133" s="51"/>
      <c r="W133" s="51"/>
      <c r="X133" s="46">
        <v>24.9</v>
      </c>
      <c r="Y133" s="47">
        <f t="shared" si="31"/>
        <v>0.11646586345381538</v>
      </c>
      <c r="Z133" s="46">
        <f t="shared" si="18"/>
        <v>27.8</v>
      </c>
      <c r="AA133" s="12">
        <f t="shared" si="19"/>
        <v>2.9000000000000021</v>
      </c>
      <c r="AB133" s="12">
        <f t="shared" si="20"/>
        <v>15.29</v>
      </c>
      <c r="AC133" s="12">
        <f t="shared" si="21"/>
        <v>1.5899999999999999</v>
      </c>
      <c r="AD133" s="12">
        <f t="shared" si="22"/>
        <v>16.399999999999999</v>
      </c>
      <c r="AE133" s="12">
        <f t="shared" si="23"/>
        <v>1.7099999999999991</v>
      </c>
      <c r="AF133" s="12"/>
      <c r="AJ133" s="11" t="e">
        <f>+#REF!*$AE133</f>
        <v>#REF!</v>
      </c>
      <c r="AK133" s="11" t="e">
        <f>+#REF!*$AA133</f>
        <v>#REF!</v>
      </c>
      <c r="AL133" s="11" t="e">
        <f>+#REF!*$AC133</f>
        <v>#REF!</v>
      </c>
    </row>
    <row r="134" spans="1:38" x14ac:dyDescent="0.3">
      <c r="A134" s="4">
        <v>693465241219</v>
      </c>
      <c r="B134" s="5" t="s">
        <v>261</v>
      </c>
      <c r="C134" s="5" t="s">
        <v>262</v>
      </c>
      <c r="D134" s="12">
        <f t="shared" si="24"/>
        <v>39.9</v>
      </c>
      <c r="E134" s="12">
        <v>19.95</v>
      </c>
      <c r="F134" s="47">
        <f t="shared" si="25"/>
        <v>-0.5</v>
      </c>
      <c r="G134" s="12">
        <f t="shared" si="26"/>
        <v>14.96</v>
      </c>
      <c r="H134" s="12">
        <f t="shared" si="33"/>
        <v>23.54</v>
      </c>
      <c r="I134" s="12">
        <f t="shared" si="33"/>
        <v>21.95</v>
      </c>
      <c r="L134" s="46">
        <v>20.9</v>
      </c>
      <c r="M134" s="46">
        <f t="shared" si="27"/>
        <v>-0.94999999999999929</v>
      </c>
      <c r="N134" s="46">
        <v>15.68</v>
      </c>
      <c r="O134" s="46">
        <f t="shared" si="28"/>
        <v>-0.71999999999999886</v>
      </c>
      <c r="P134" s="46"/>
      <c r="Q134" s="39">
        <v>5927.1814595829619</v>
      </c>
      <c r="R134" s="38">
        <f t="shared" si="29"/>
        <v>-4267.5706508997255</v>
      </c>
      <c r="S134" s="47"/>
      <c r="T134" s="39">
        <v>4943.181459582961</v>
      </c>
      <c r="U134" s="38">
        <f t="shared" si="30"/>
        <v>-3559.0906508997264</v>
      </c>
      <c r="V134" s="51"/>
      <c r="W134" s="51"/>
      <c r="X134" s="46">
        <v>39.9</v>
      </c>
      <c r="Y134" s="47">
        <f t="shared" si="31"/>
        <v>4.7619047619047672E-2</v>
      </c>
      <c r="Z134" s="46">
        <f t="shared" si="18"/>
        <v>41.8</v>
      </c>
      <c r="AA134" s="12">
        <f t="shared" si="19"/>
        <v>1.8999999999999986</v>
      </c>
      <c r="AB134" s="12">
        <f t="shared" si="20"/>
        <v>22.99</v>
      </c>
      <c r="AC134" s="12">
        <f t="shared" si="21"/>
        <v>1.0399999999999991</v>
      </c>
      <c r="AD134" s="12">
        <f t="shared" si="22"/>
        <v>24.66</v>
      </c>
      <c r="AE134" s="12">
        <f t="shared" si="23"/>
        <v>1.120000000000001</v>
      </c>
      <c r="AF134" s="12"/>
      <c r="AJ134" s="11" t="e">
        <f>+#REF!*$AE134</f>
        <v>#REF!</v>
      </c>
      <c r="AK134" s="11" t="e">
        <f>+#REF!*$AA134</f>
        <v>#REF!</v>
      </c>
      <c r="AL134" s="11" t="e">
        <f>+#REF!*$AC134</f>
        <v>#REF!</v>
      </c>
    </row>
    <row r="135" spans="1:38" x14ac:dyDescent="0.3">
      <c r="A135" s="4">
        <v>693465429112</v>
      </c>
      <c r="B135" s="5" t="s">
        <v>263</v>
      </c>
      <c r="C135" s="5" t="s">
        <v>264</v>
      </c>
      <c r="D135" s="12">
        <f t="shared" si="24"/>
        <v>46.9</v>
      </c>
      <c r="E135" s="12">
        <v>23.45</v>
      </c>
      <c r="F135" s="47">
        <f t="shared" si="25"/>
        <v>-0.5</v>
      </c>
      <c r="G135" s="12">
        <f t="shared" si="26"/>
        <v>17.59</v>
      </c>
      <c r="H135" s="12">
        <f t="shared" si="33"/>
        <v>27.67</v>
      </c>
      <c r="I135" s="12">
        <f t="shared" si="33"/>
        <v>25.8</v>
      </c>
      <c r="L135" s="46">
        <v>23.9</v>
      </c>
      <c r="M135" s="46">
        <f t="shared" si="27"/>
        <v>-0.44999999999999929</v>
      </c>
      <c r="N135" s="46">
        <v>17.93</v>
      </c>
      <c r="O135" s="46">
        <f t="shared" si="28"/>
        <v>-0.33999999999999986</v>
      </c>
      <c r="P135" s="46"/>
      <c r="Q135" s="39">
        <v>1457.9170768165</v>
      </c>
      <c r="R135" s="38">
        <f t="shared" si="29"/>
        <v>-495.69180611760976</v>
      </c>
      <c r="S135" s="47"/>
      <c r="T135" s="39">
        <v>1193.9170768165</v>
      </c>
      <c r="U135" s="38">
        <f t="shared" si="30"/>
        <v>-405.93180611760982</v>
      </c>
      <c r="V135" s="51"/>
      <c r="W135" s="51"/>
      <c r="X135" s="46">
        <v>46.9</v>
      </c>
      <c r="Y135" s="47">
        <f t="shared" si="31"/>
        <v>1.9189765458422103E-2</v>
      </c>
      <c r="Z135" s="46">
        <f t="shared" ref="Z135:Z198" si="34">+L135*2</f>
        <v>47.8</v>
      </c>
      <c r="AA135" s="12">
        <f t="shared" ref="AA135:AA198" si="35">+Z135-D135</f>
        <v>0.89999999999999858</v>
      </c>
      <c r="AB135" s="12">
        <f t="shared" ref="AB135:AB198" si="36">ROUND($Z135*(1-AB$5),2)</f>
        <v>26.29</v>
      </c>
      <c r="AC135" s="12">
        <f t="shared" ref="AC135:AC198" si="37">+AB135-I135</f>
        <v>0.48999999999999844</v>
      </c>
      <c r="AD135" s="12">
        <f t="shared" ref="AD135:AD198" si="38">ROUND($Z135*(1-AD$5),2)</f>
        <v>28.2</v>
      </c>
      <c r="AE135" s="12">
        <f t="shared" ref="AE135:AE198" si="39">+AD135-H135</f>
        <v>0.52999999999999758</v>
      </c>
      <c r="AF135" s="12"/>
      <c r="AJ135" s="11" t="e">
        <f>+#REF!*$AE135</f>
        <v>#REF!</v>
      </c>
      <c r="AK135" s="11" t="e">
        <f>+#REF!*$AA135</f>
        <v>#REF!</v>
      </c>
      <c r="AL135" s="11" t="e">
        <f>+#REF!*$AC135</f>
        <v>#REF!</v>
      </c>
    </row>
    <row r="136" spans="1:38" x14ac:dyDescent="0.3">
      <c r="A136" s="4">
        <v>693465228111</v>
      </c>
      <c r="B136" s="5" t="s">
        <v>265</v>
      </c>
      <c r="C136" s="5" t="s">
        <v>266</v>
      </c>
      <c r="D136" s="12">
        <f t="shared" ref="D136:D199" si="40">+E136*2</f>
        <v>27.9</v>
      </c>
      <c r="E136" s="12">
        <v>13.95</v>
      </c>
      <c r="F136" s="47">
        <f t="shared" ref="F136:F199" si="41">+E136/D136-1</f>
        <v>-0.5</v>
      </c>
      <c r="G136" s="12">
        <f t="shared" ref="G136:G199" si="42">ROUND($E136*(1-G$5),2)</f>
        <v>10.46</v>
      </c>
      <c r="H136" s="12">
        <f t="shared" si="33"/>
        <v>16.46</v>
      </c>
      <c r="I136" s="12">
        <f t="shared" si="33"/>
        <v>15.35</v>
      </c>
      <c r="L136" s="46">
        <v>14.9</v>
      </c>
      <c r="M136" s="46">
        <f t="shared" ref="M136:M199" si="43">+E136-L136</f>
        <v>-0.95000000000000107</v>
      </c>
      <c r="N136" s="46">
        <v>11.18</v>
      </c>
      <c r="O136" s="46">
        <f t="shared" ref="O136:O199" si="44">+G136-N136</f>
        <v>-0.71999999999999886</v>
      </c>
      <c r="P136" s="46"/>
      <c r="Q136" s="39">
        <v>8227.9340264597067</v>
      </c>
      <c r="R136" s="38">
        <f t="shared" ref="R136:R199" si="45">+Q136*O136</f>
        <v>-5924.1124990509797</v>
      </c>
      <c r="S136" s="47"/>
      <c r="T136" s="39">
        <v>7279.9340264597076</v>
      </c>
      <c r="U136" s="38">
        <f t="shared" ref="U136:U199" si="46">+T136*$O136</f>
        <v>-5241.5524990509812</v>
      </c>
      <c r="V136" s="51"/>
      <c r="W136" s="51"/>
      <c r="X136" s="46">
        <v>27.9</v>
      </c>
      <c r="Y136" s="47">
        <f t="shared" ref="Y136:Y199" si="47">IFERROR(Z136/X136-1,0)</f>
        <v>6.8100358422939156E-2</v>
      </c>
      <c r="Z136" s="46">
        <f t="shared" si="34"/>
        <v>29.8</v>
      </c>
      <c r="AA136" s="12">
        <f t="shared" si="35"/>
        <v>1.9000000000000021</v>
      </c>
      <c r="AB136" s="12">
        <f t="shared" si="36"/>
        <v>16.39</v>
      </c>
      <c r="AC136" s="12">
        <f t="shared" si="37"/>
        <v>1.0400000000000009</v>
      </c>
      <c r="AD136" s="12">
        <f t="shared" si="38"/>
        <v>17.579999999999998</v>
      </c>
      <c r="AE136" s="12">
        <f t="shared" si="39"/>
        <v>1.1199999999999974</v>
      </c>
      <c r="AF136" s="12"/>
      <c r="AJ136" s="11" t="e">
        <f>+#REF!*$AE136</f>
        <v>#REF!</v>
      </c>
      <c r="AK136" s="11" t="e">
        <f>+#REF!*$AA136</f>
        <v>#REF!</v>
      </c>
      <c r="AL136" s="11" t="e">
        <f>+#REF!*$AC136</f>
        <v>#REF!</v>
      </c>
    </row>
    <row r="137" spans="1:38" x14ac:dyDescent="0.3">
      <c r="A137" s="4">
        <v>693465503119</v>
      </c>
      <c r="B137" s="5" t="s">
        <v>267</v>
      </c>
      <c r="C137" s="5" t="s">
        <v>268</v>
      </c>
      <c r="D137" s="12">
        <f t="shared" si="40"/>
        <v>44.9</v>
      </c>
      <c r="E137" s="12">
        <v>22.45</v>
      </c>
      <c r="F137" s="47">
        <f t="shared" si="41"/>
        <v>-0.5</v>
      </c>
      <c r="G137" s="12">
        <f t="shared" si="42"/>
        <v>16.84</v>
      </c>
      <c r="H137" s="12">
        <f t="shared" si="33"/>
        <v>26.49</v>
      </c>
      <c r="I137" s="12">
        <f t="shared" si="33"/>
        <v>24.7</v>
      </c>
      <c r="L137" s="46">
        <v>23.9</v>
      </c>
      <c r="M137" s="46">
        <f t="shared" si="43"/>
        <v>-1.4499999999999993</v>
      </c>
      <c r="N137" s="46">
        <v>17.93</v>
      </c>
      <c r="O137" s="46">
        <f t="shared" si="44"/>
        <v>-1.0899999999999999</v>
      </c>
      <c r="P137" s="46"/>
      <c r="Q137" s="39">
        <v>5069.9117311075188</v>
      </c>
      <c r="R137" s="38">
        <f t="shared" si="45"/>
        <v>-5526.2037869071946</v>
      </c>
      <c r="S137" s="47"/>
      <c r="T137" s="39">
        <v>4445.9117311075188</v>
      </c>
      <c r="U137" s="38">
        <f t="shared" si="46"/>
        <v>-4846.0437869071948</v>
      </c>
      <c r="V137" s="51"/>
      <c r="W137" s="51"/>
      <c r="X137" s="46">
        <v>44.9</v>
      </c>
      <c r="Y137" s="47">
        <f t="shared" si="47"/>
        <v>6.4587973273942056E-2</v>
      </c>
      <c r="Z137" s="46">
        <f t="shared" si="34"/>
        <v>47.8</v>
      </c>
      <c r="AA137" s="12">
        <f t="shared" si="35"/>
        <v>2.8999999999999986</v>
      </c>
      <c r="AB137" s="12">
        <f t="shared" si="36"/>
        <v>26.29</v>
      </c>
      <c r="AC137" s="12">
        <f t="shared" si="37"/>
        <v>1.5899999999999999</v>
      </c>
      <c r="AD137" s="12">
        <f t="shared" si="38"/>
        <v>28.2</v>
      </c>
      <c r="AE137" s="12">
        <f t="shared" si="39"/>
        <v>1.7100000000000009</v>
      </c>
      <c r="AF137" s="12"/>
      <c r="AJ137" s="11" t="e">
        <f>+#REF!*$AE137</f>
        <v>#REF!</v>
      </c>
      <c r="AK137" s="11" t="e">
        <f>+#REF!*$AA137</f>
        <v>#REF!</v>
      </c>
      <c r="AL137" s="11" t="e">
        <f>+#REF!*$AC137</f>
        <v>#REF!</v>
      </c>
    </row>
    <row r="138" spans="1:38" x14ac:dyDescent="0.3">
      <c r="A138" s="4">
        <v>693465104118</v>
      </c>
      <c r="B138" s="5" t="s">
        <v>269</v>
      </c>
      <c r="C138" s="5" t="s">
        <v>270</v>
      </c>
      <c r="D138" s="12">
        <f t="shared" si="40"/>
        <v>29.9</v>
      </c>
      <c r="E138" s="12">
        <v>14.95</v>
      </c>
      <c r="F138" s="47">
        <f t="shared" si="41"/>
        <v>-0.5</v>
      </c>
      <c r="G138" s="12">
        <f t="shared" si="42"/>
        <v>11.21</v>
      </c>
      <c r="H138" s="12">
        <f t="shared" si="33"/>
        <v>17.64</v>
      </c>
      <c r="I138" s="12">
        <f t="shared" si="33"/>
        <v>16.45</v>
      </c>
      <c r="L138" s="46">
        <v>15.9</v>
      </c>
      <c r="M138" s="46">
        <f t="shared" si="43"/>
        <v>-0.95000000000000107</v>
      </c>
      <c r="N138" s="46">
        <v>11.519224924012157</v>
      </c>
      <c r="O138" s="46">
        <f t="shared" si="44"/>
        <v>-0.30922492401215607</v>
      </c>
      <c r="P138" s="46"/>
      <c r="Q138" s="39">
        <v>10504.015777730803</v>
      </c>
      <c r="R138" s="38">
        <f t="shared" si="45"/>
        <v>-3248.1034806912962</v>
      </c>
      <c r="S138" s="47"/>
      <c r="T138" s="39">
        <v>9004.0157777308032</v>
      </c>
      <c r="U138" s="38">
        <f t="shared" si="46"/>
        <v>-2784.2660946730621</v>
      </c>
      <c r="V138" s="51"/>
      <c r="W138" s="51"/>
      <c r="X138" s="46">
        <v>29.9</v>
      </c>
      <c r="Y138" s="47">
        <f t="shared" si="47"/>
        <v>6.3545150501672421E-2</v>
      </c>
      <c r="Z138" s="46">
        <f t="shared" si="34"/>
        <v>31.8</v>
      </c>
      <c r="AA138" s="12">
        <f t="shared" si="35"/>
        <v>1.9000000000000021</v>
      </c>
      <c r="AB138" s="12">
        <f t="shared" si="36"/>
        <v>17.489999999999998</v>
      </c>
      <c r="AC138" s="12">
        <f t="shared" si="37"/>
        <v>1.0399999999999991</v>
      </c>
      <c r="AD138" s="12">
        <f t="shared" si="38"/>
        <v>18.760000000000002</v>
      </c>
      <c r="AE138" s="12">
        <f t="shared" si="39"/>
        <v>1.120000000000001</v>
      </c>
      <c r="AF138" s="12"/>
      <c r="AJ138" s="11" t="e">
        <f>+#REF!*$AE138</f>
        <v>#REF!</v>
      </c>
      <c r="AK138" s="11" t="e">
        <f>+#REF!*$AA138</f>
        <v>#REF!</v>
      </c>
      <c r="AL138" s="11" t="e">
        <f>+#REF!*$AC138</f>
        <v>#REF!</v>
      </c>
    </row>
    <row r="139" spans="1:38" x14ac:dyDescent="0.3">
      <c r="A139" s="4">
        <v>693465104217</v>
      </c>
      <c r="B139" s="5" t="s">
        <v>271</v>
      </c>
      <c r="C139" s="5" t="s">
        <v>272</v>
      </c>
      <c r="D139" s="12">
        <f t="shared" si="40"/>
        <v>54.9</v>
      </c>
      <c r="E139" s="12">
        <v>27.45</v>
      </c>
      <c r="F139" s="47">
        <f t="shared" si="41"/>
        <v>-0.5</v>
      </c>
      <c r="G139" s="12">
        <f t="shared" si="42"/>
        <v>20.59</v>
      </c>
      <c r="H139" s="12">
        <f t="shared" si="33"/>
        <v>32.39</v>
      </c>
      <c r="I139" s="12">
        <f t="shared" si="33"/>
        <v>30.2</v>
      </c>
      <c r="L139" s="46">
        <v>28.9</v>
      </c>
      <c r="M139" s="46">
        <f t="shared" si="43"/>
        <v>-1.4499999999999993</v>
      </c>
      <c r="N139" s="46">
        <v>21.68</v>
      </c>
      <c r="O139" s="46">
        <f t="shared" si="44"/>
        <v>-1.0899999999999999</v>
      </c>
      <c r="P139" s="46"/>
      <c r="Q139" s="39">
        <v>3189.8065125718335</v>
      </c>
      <c r="R139" s="38">
        <f t="shared" si="45"/>
        <v>-3476.8890987032983</v>
      </c>
      <c r="S139" s="47"/>
      <c r="T139" s="39">
        <v>2721.8065125718335</v>
      </c>
      <c r="U139" s="38">
        <f t="shared" si="46"/>
        <v>-2966.7690987032984</v>
      </c>
      <c r="V139" s="51"/>
      <c r="W139" s="51"/>
      <c r="X139" s="46">
        <v>54.9</v>
      </c>
      <c r="Y139" s="47">
        <f t="shared" si="47"/>
        <v>5.2823315118396996E-2</v>
      </c>
      <c r="Z139" s="46">
        <f t="shared" si="34"/>
        <v>57.8</v>
      </c>
      <c r="AA139" s="12">
        <f t="shared" si="35"/>
        <v>2.8999999999999986</v>
      </c>
      <c r="AB139" s="12">
        <f t="shared" si="36"/>
        <v>31.79</v>
      </c>
      <c r="AC139" s="12">
        <f t="shared" si="37"/>
        <v>1.5899999999999999</v>
      </c>
      <c r="AD139" s="12">
        <f t="shared" si="38"/>
        <v>34.1</v>
      </c>
      <c r="AE139" s="12">
        <f t="shared" si="39"/>
        <v>1.7100000000000009</v>
      </c>
      <c r="AF139" s="12"/>
      <c r="AJ139" s="11" t="e">
        <f>+#REF!*$AE139</f>
        <v>#REF!</v>
      </c>
      <c r="AK139" s="11" t="e">
        <f>+#REF!*$AA139</f>
        <v>#REF!</v>
      </c>
      <c r="AL139" s="11" t="e">
        <f>+#REF!*$AC139</f>
        <v>#REF!</v>
      </c>
    </row>
    <row r="140" spans="1:38" x14ac:dyDescent="0.3">
      <c r="A140" s="4">
        <v>693465543115</v>
      </c>
      <c r="B140" s="5" t="s">
        <v>273</v>
      </c>
      <c r="C140" s="5" t="s">
        <v>274</v>
      </c>
      <c r="D140" s="12">
        <f t="shared" si="40"/>
        <v>22.9</v>
      </c>
      <c r="E140" s="12">
        <v>11.45</v>
      </c>
      <c r="F140" s="47">
        <f t="shared" si="41"/>
        <v>-0.5</v>
      </c>
      <c r="G140" s="12">
        <f t="shared" si="42"/>
        <v>8.59</v>
      </c>
      <c r="H140" s="12">
        <f t="shared" si="33"/>
        <v>13.51</v>
      </c>
      <c r="I140" s="12">
        <f t="shared" si="33"/>
        <v>12.6</v>
      </c>
      <c r="L140" s="46">
        <v>11.9</v>
      </c>
      <c r="M140" s="46">
        <f t="shared" si="43"/>
        <v>-0.45000000000000107</v>
      </c>
      <c r="N140" s="46">
        <v>8.93</v>
      </c>
      <c r="O140" s="46">
        <f t="shared" si="44"/>
        <v>-0.33999999999999986</v>
      </c>
      <c r="P140" s="46"/>
      <c r="Q140" s="39">
        <v>4336.2104370713732</v>
      </c>
      <c r="R140" s="38">
        <f t="shared" si="45"/>
        <v>-1474.3115486042664</v>
      </c>
      <c r="S140" s="47"/>
      <c r="T140" s="39">
        <v>3664.2104370713732</v>
      </c>
      <c r="U140" s="38">
        <f t="shared" si="46"/>
        <v>-1245.8315486042663</v>
      </c>
      <c r="V140" s="51"/>
      <c r="W140" s="51"/>
      <c r="X140" s="46">
        <v>22.9</v>
      </c>
      <c r="Y140" s="47">
        <f t="shared" si="47"/>
        <v>3.9301310043668325E-2</v>
      </c>
      <c r="Z140" s="46">
        <f t="shared" si="34"/>
        <v>23.8</v>
      </c>
      <c r="AA140" s="12">
        <f t="shared" si="35"/>
        <v>0.90000000000000213</v>
      </c>
      <c r="AB140" s="12">
        <f t="shared" si="36"/>
        <v>13.09</v>
      </c>
      <c r="AC140" s="12">
        <f t="shared" si="37"/>
        <v>0.49000000000000021</v>
      </c>
      <c r="AD140" s="12">
        <f t="shared" si="38"/>
        <v>14.04</v>
      </c>
      <c r="AE140" s="12">
        <f t="shared" si="39"/>
        <v>0.52999999999999936</v>
      </c>
      <c r="AF140" s="12"/>
      <c r="AJ140" s="11" t="e">
        <f>+#REF!*$AE140</f>
        <v>#REF!</v>
      </c>
      <c r="AK140" s="11" t="e">
        <f>+#REF!*$AA140</f>
        <v>#REF!</v>
      </c>
      <c r="AL140" s="11" t="e">
        <f>+#REF!*$AC140</f>
        <v>#REF!</v>
      </c>
    </row>
    <row r="141" spans="1:38" x14ac:dyDescent="0.3">
      <c r="A141" s="4">
        <v>693465310212</v>
      </c>
      <c r="B141" s="5" t="s">
        <v>275</v>
      </c>
      <c r="C141" s="5" t="s">
        <v>276</v>
      </c>
      <c r="D141" s="12">
        <f t="shared" si="40"/>
        <v>34.9</v>
      </c>
      <c r="E141" s="12">
        <v>17.45</v>
      </c>
      <c r="F141" s="47">
        <f t="shared" si="41"/>
        <v>-0.5</v>
      </c>
      <c r="G141" s="12">
        <f t="shared" si="42"/>
        <v>13.09</v>
      </c>
      <c r="H141" s="12">
        <f t="shared" si="33"/>
        <v>20.59</v>
      </c>
      <c r="I141" s="12">
        <f t="shared" si="33"/>
        <v>19.2</v>
      </c>
      <c r="L141" s="46">
        <v>17.899999999999999</v>
      </c>
      <c r="M141" s="46">
        <f t="shared" si="43"/>
        <v>-0.44999999999999929</v>
      </c>
      <c r="N141" s="46">
        <v>13.43</v>
      </c>
      <c r="O141" s="46">
        <f t="shared" si="44"/>
        <v>-0.33999999999999986</v>
      </c>
      <c r="P141" s="46"/>
      <c r="Q141" s="39">
        <v>3097.4551973401371</v>
      </c>
      <c r="R141" s="38">
        <f t="shared" si="45"/>
        <v>-1053.1347670956461</v>
      </c>
      <c r="S141" s="47"/>
      <c r="T141" s="39">
        <v>2665.4551973401371</v>
      </c>
      <c r="U141" s="38">
        <f t="shared" si="46"/>
        <v>-906.25476709564623</v>
      </c>
      <c r="V141" s="51"/>
      <c r="W141" s="51"/>
      <c r="X141" s="46">
        <v>34.9</v>
      </c>
      <c r="Y141" s="47">
        <f t="shared" si="47"/>
        <v>2.5787965616045794E-2</v>
      </c>
      <c r="Z141" s="46">
        <f t="shared" si="34"/>
        <v>35.799999999999997</v>
      </c>
      <c r="AA141" s="12">
        <f t="shared" si="35"/>
        <v>0.89999999999999858</v>
      </c>
      <c r="AB141" s="12">
        <f t="shared" si="36"/>
        <v>19.690000000000001</v>
      </c>
      <c r="AC141" s="12">
        <f t="shared" si="37"/>
        <v>0.49000000000000199</v>
      </c>
      <c r="AD141" s="12">
        <f t="shared" si="38"/>
        <v>21.12</v>
      </c>
      <c r="AE141" s="12">
        <f t="shared" si="39"/>
        <v>0.53000000000000114</v>
      </c>
      <c r="AF141" s="12"/>
      <c r="AJ141" s="11" t="e">
        <f>+#REF!*$AE141</f>
        <v>#REF!</v>
      </c>
      <c r="AK141" s="11" t="e">
        <f>+#REF!*$AA141</f>
        <v>#REF!</v>
      </c>
      <c r="AL141" s="11" t="e">
        <f>+#REF!*$AC141</f>
        <v>#REF!</v>
      </c>
    </row>
    <row r="142" spans="1:38" x14ac:dyDescent="0.3">
      <c r="A142" s="4">
        <v>693465552117</v>
      </c>
      <c r="B142" s="5" t="s">
        <v>277</v>
      </c>
      <c r="C142" s="5" t="s">
        <v>278</v>
      </c>
      <c r="D142" s="12">
        <f t="shared" si="40"/>
        <v>21.9</v>
      </c>
      <c r="E142" s="12">
        <v>10.95</v>
      </c>
      <c r="F142" s="47">
        <f t="shared" si="41"/>
        <v>-0.5</v>
      </c>
      <c r="G142" s="12">
        <f t="shared" si="42"/>
        <v>8.2100000000000009</v>
      </c>
      <c r="H142" s="12">
        <f t="shared" si="33"/>
        <v>12.92</v>
      </c>
      <c r="I142" s="12">
        <f t="shared" si="33"/>
        <v>12.05</v>
      </c>
      <c r="L142" s="46">
        <v>10.9</v>
      </c>
      <c r="M142" s="46">
        <f t="shared" si="43"/>
        <v>4.9999999999998934E-2</v>
      </c>
      <c r="N142" s="46">
        <v>8.18</v>
      </c>
      <c r="O142" s="46">
        <f t="shared" si="44"/>
        <v>3.0000000000001137E-2</v>
      </c>
      <c r="P142" s="46"/>
      <c r="Q142" s="39">
        <v>3551.4275562789703</v>
      </c>
      <c r="R142" s="38">
        <f t="shared" si="45"/>
        <v>106.54282668837315</v>
      </c>
      <c r="S142" s="47"/>
      <c r="T142" s="39">
        <v>3047.4275562789703</v>
      </c>
      <c r="U142" s="38">
        <f t="shared" si="46"/>
        <v>91.422826688372581</v>
      </c>
      <c r="V142" s="51"/>
      <c r="W142" s="51"/>
      <c r="X142" s="46">
        <v>21.9</v>
      </c>
      <c r="Y142" s="47">
        <f t="shared" si="47"/>
        <v>-4.5662100456620447E-3</v>
      </c>
      <c r="Z142" s="46">
        <f t="shared" si="34"/>
        <v>21.8</v>
      </c>
      <c r="AA142" s="12">
        <f t="shared" si="35"/>
        <v>-9.9999999999997868E-2</v>
      </c>
      <c r="AB142" s="12">
        <f t="shared" si="36"/>
        <v>11.99</v>
      </c>
      <c r="AC142" s="12">
        <f t="shared" si="37"/>
        <v>-6.0000000000000497E-2</v>
      </c>
      <c r="AD142" s="12">
        <f t="shared" si="38"/>
        <v>12.86</v>
      </c>
      <c r="AE142" s="12">
        <f t="shared" si="39"/>
        <v>-6.0000000000000497E-2</v>
      </c>
      <c r="AF142" s="12"/>
      <c r="AJ142" s="11" t="e">
        <f>+#REF!*$AE142</f>
        <v>#REF!</v>
      </c>
      <c r="AK142" s="11" t="e">
        <f>+#REF!*$AA142</f>
        <v>#REF!</v>
      </c>
      <c r="AL142" s="11" t="e">
        <f>+#REF!*$AC142</f>
        <v>#REF!</v>
      </c>
    </row>
    <row r="143" spans="1:38" x14ac:dyDescent="0.3">
      <c r="A143" s="4">
        <v>693465552216</v>
      </c>
      <c r="B143" s="5" t="s">
        <v>279</v>
      </c>
      <c r="C143" s="5" t="s">
        <v>280</v>
      </c>
      <c r="D143" s="12">
        <f t="shared" si="40"/>
        <v>40.9</v>
      </c>
      <c r="E143" s="12">
        <v>20.45</v>
      </c>
      <c r="F143" s="47">
        <f t="shared" si="41"/>
        <v>-0.5</v>
      </c>
      <c r="G143" s="12">
        <f t="shared" si="42"/>
        <v>15.34</v>
      </c>
      <c r="H143" s="12">
        <f t="shared" si="33"/>
        <v>24.13</v>
      </c>
      <c r="I143" s="12">
        <f t="shared" si="33"/>
        <v>22.5</v>
      </c>
      <c r="L143" s="46">
        <v>19.899999999999999</v>
      </c>
      <c r="M143" s="46">
        <f t="shared" si="43"/>
        <v>0.55000000000000071</v>
      </c>
      <c r="N143" s="46">
        <v>14.93</v>
      </c>
      <c r="O143" s="46">
        <f t="shared" si="44"/>
        <v>0.41000000000000014</v>
      </c>
      <c r="P143" s="46"/>
      <c r="Q143" s="39">
        <v>2314.2131099258627</v>
      </c>
      <c r="R143" s="38">
        <f t="shared" si="45"/>
        <v>948.82737506960405</v>
      </c>
      <c r="S143" s="47"/>
      <c r="T143" s="39">
        <v>1978.2131099258629</v>
      </c>
      <c r="U143" s="38">
        <f t="shared" si="46"/>
        <v>811.06737506960405</v>
      </c>
      <c r="V143" s="51"/>
      <c r="W143" s="51"/>
      <c r="X143" s="46">
        <v>40.9</v>
      </c>
      <c r="Y143" s="47">
        <f t="shared" si="47"/>
        <v>-2.689486552567244E-2</v>
      </c>
      <c r="Z143" s="46">
        <f t="shared" si="34"/>
        <v>39.799999999999997</v>
      </c>
      <c r="AA143" s="12">
        <f t="shared" si="35"/>
        <v>-1.1000000000000014</v>
      </c>
      <c r="AB143" s="12">
        <f t="shared" si="36"/>
        <v>21.89</v>
      </c>
      <c r="AC143" s="12">
        <f t="shared" si="37"/>
        <v>-0.60999999999999943</v>
      </c>
      <c r="AD143" s="12">
        <f t="shared" si="38"/>
        <v>23.48</v>
      </c>
      <c r="AE143" s="12">
        <f t="shared" si="39"/>
        <v>-0.64999999999999858</v>
      </c>
      <c r="AF143" s="12"/>
      <c r="AJ143" s="11" t="e">
        <f>+#REF!*$AE143</f>
        <v>#REF!</v>
      </c>
      <c r="AK143" s="11" t="e">
        <f>+#REF!*$AA143</f>
        <v>#REF!</v>
      </c>
      <c r="AL143" s="11" t="e">
        <f>+#REF!*$AC143</f>
        <v>#REF!</v>
      </c>
    </row>
    <row r="144" spans="1:38" x14ac:dyDescent="0.3">
      <c r="A144" s="4">
        <v>693465311110</v>
      </c>
      <c r="B144" s="5" t="s">
        <v>281</v>
      </c>
      <c r="C144" s="5" t="s">
        <v>282</v>
      </c>
      <c r="D144" s="12">
        <f t="shared" si="40"/>
        <v>38.9</v>
      </c>
      <c r="E144" s="12">
        <v>19.45</v>
      </c>
      <c r="F144" s="47">
        <f t="shared" si="41"/>
        <v>-0.5</v>
      </c>
      <c r="G144" s="12">
        <f t="shared" si="42"/>
        <v>14.59</v>
      </c>
      <c r="H144" s="12">
        <f t="shared" si="33"/>
        <v>22.95</v>
      </c>
      <c r="I144" s="12">
        <f t="shared" si="33"/>
        <v>21.4</v>
      </c>
      <c r="L144" s="46">
        <v>20.9</v>
      </c>
      <c r="M144" s="46">
        <f t="shared" si="43"/>
        <v>-1.4499999999999993</v>
      </c>
      <c r="N144" s="46">
        <v>15.318799472295513</v>
      </c>
      <c r="O144" s="46">
        <f t="shared" si="44"/>
        <v>-0.72879947229551334</v>
      </c>
      <c r="P144" s="46"/>
      <c r="Q144" s="39">
        <v>6393.0513474728659</v>
      </c>
      <c r="R144" s="38">
        <f t="shared" si="45"/>
        <v>-4659.2524483963452</v>
      </c>
      <c r="S144" s="47"/>
      <c r="T144" s="39">
        <v>5481.0513474728659</v>
      </c>
      <c r="U144" s="38">
        <f t="shared" si="46"/>
        <v>-3994.587329662837</v>
      </c>
      <c r="V144" s="51"/>
      <c r="W144" s="51"/>
      <c r="X144" s="46">
        <v>38.9</v>
      </c>
      <c r="Y144" s="47">
        <f t="shared" si="47"/>
        <v>7.455012853470433E-2</v>
      </c>
      <c r="Z144" s="46">
        <f t="shared" si="34"/>
        <v>41.8</v>
      </c>
      <c r="AA144" s="12">
        <f t="shared" si="35"/>
        <v>2.8999999999999986</v>
      </c>
      <c r="AB144" s="12">
        <f t="shared" si="36"/>
        <v>22.99</v>
      </c>
      <c r="AC144" s="12">
        <f t="shared" si="37"/>
        <v>1.5899999999999999</v>
      </c>
      <c r="AD144" s="12">
        <f t="shared" si="38"/>
        <v>24.66</v>
      </c>
      <c r="AE144" s="12">
        <f t="shared" si="39"/>
        <v>1.7100000000000009</v>
      </c>
      <c r="AF144" s="12"/>
      <c r="AJ144" s="11" t="e">
        <f>+#REF!*$AE144</f>
        <v>#REF!</v>
      </c>
      <c r="AK144" s="11" t="e">
        <f>+#REF!*$AA144</f>
        <v>#REF!</v>
      </c>
      <c r="AL144" s="11" t="e">
        <f>+#REF!*$AC144</f>
        <v>#REF!</v>
      </c>
    </row>
    <row r="145" spans="1:38" x14ac:dyDescent="0.3">
      <c r="A145" s="4">
        <v>693465507117</v>
      </c>
      <c r="B145" s="5" t="s">
        <v>283</v>
      </c>
      <c r="C145" s="5" t="s">
        <v>284</v>
      </c>
      <c r="D145" s="12">
        <f t="shared" si="40"/>
        <v>23.9</v>
      </c>
      <c r="E145" s="12">
        <v>11.95</v>
      </c>
      <c r="F145" s="47">
        <f t="shared" si="41"/>
        <v>-0.5</v>
      </c>
      <c r="G145" s="12">
        <f t="shared" si="42"/>
        <v>8.9600000000000009</v>
      </c>
      <c r="H145" s="12">
        <f t="shared" si="33"/>
        <v>14.1</v>
      </c>
      <c r="I145" s="12">
        <f t="shared" si="33"/>
        <v>13.15</v>
      </c>
      <c r="L145" s="46">
        <v>12.9</v>
      </c>
      <c r="M145" s="46">
        <f t="shared" si="43"/>
        <v>-0.95000000000000107</v>
      </c>
      <c r="N145" s="46">
        <v>9.68</v>
      </c>
      <c r="O145" s="46">
        <f t="shared" si="44"/>
        <v>-0.71999999999999886</v>
      </c>
      <c r="P145" s="46"/>
      <c r="Q145" s="39">
        <v>3056.7525668767457</v>
      </c>
      <c r="R145" s="38">
        <f t="shared" si="45"/>
        <v>-2200.8618481512535</v>
      </c>
      <c r="S145" s="47"/>
      <c r="T145" s="39">
        <v>2600.7525668767457</v>
      </c>
      <c r="U145" s="38">
        <f t="shared" si="46"/>
        <v>-1872.541848151254</v>
      </c>
      <c r="V145" s="51"/>
      <c r="W145" s="51"/>
      <c r="X145" s="46">
        <v>23.9</v>
      </c>
      <c r="Y145" s="47">
        <f t="shared" si="47"/>
        <v>7.9497907949790836E-2</v>
      </c>
      <c r="Z145" s="46">
        <f t="shared" si="34"/>
        <v>25.8</v>
      </c>
      <c r="AA145" s="12">
        <f t="shared" si="35"/>
        <v>1.9000000000000021</v>
      </c>
      <c r="AB145" s="12">
        <f t="shared" si="36"/>
        <v>14.19</v>
      </c>
      <c r="AC145" s="12">
        <f t="shared" si="37"/>
        <v>1.0399999999999991</v>
      </c>
      <c r="AD145" s="12">
        <f t="shared" si="38"/>
        <v>15.22</v>
      </c>
      <c r="AE145" s="12">
        <f t="shared" si="39"/>
        <v>1.120000000000001</v>
      </c>
      <c r="AF145" s="12"/>
      <c r="AJ145" s="11" t="e">
        <f>+#REF!*$AE145</f>
        <v>#REF!</v>
      </c>
      <c r="AK145" s="11" t="e">
        <f>+#REF!*$AA145</f>
        <v>#REF!</v>
      </c>
      <c r="AL145" s="11" t="e">
        <f>+#REF!*$AC145</f>
        <v>#REF!</v>
      </c>
    </row>
    <row r="146" spans="1:38" x14ac:dyDescent="0.3">
      <c r="A146" s="4">
        <v>693465417119</v>
      </c>
      <c r="B146" s="5" t="s">
        <v>285</v>
      </c>
      <c r="C146" s="5" t="s">
        <v>286</v>
      </c>
      <c r="D146" s="12">
        <f t="shared" si="40"/>
        <v>39.9</v>
      </c>
      <c r="E146" s="12">
        <v>19.95</v>
      </c>
      <c r="F146" s="47">
        <f t="shared" si="41"/>
        <v>-0.5</v>
      </c>
      <c r="G146" s="12">
        <f t="shared" si="42"/>
        <v>14.96</v>
      </c>
      <c r="H146" s="12">
        <f t="shared" si="33"/>
        <v>23.54</v>
      </c>
      <c r="I146" s="12">
        <f t="shared" si="33"/>
        <v>21.95</v>
      </c>
      <c r="L146" s="46">
        <v>20.9</v>
      </c>
      <c r="M146" s="46">
        <f t="shared" si="43"/>
        <v>-0.94999999999999929</v>
      </c>
      <c r="N146" s="46">
        <v>15.68</v>
      </c>
      <c r="O146" s="46">
        <f t="shared" si="44"/>
        <v>-0.71999999999999886</v>
      </c>
      <c r="P146" s="46"/>
      <c r="Q146" s="39">
        <v>8674.0419178498832</v>
      </c>
      <c r="R146" s="38">
        <f t="shared" si="45"/>
        <v>-6245.3101808519059</v>
      </c>
      <c r="S146" s="47"/>
      <c r="T146" s="39">
        <v>7570.0419178498832</v>
      </c>
      <c r="U146" s="38">
        <f t="shared" si="46"/>
        <v>-5450.4301808519076</v>
      </c>
      <c r="V146" s="51"/>
      <c r="W146" s="51"/>
      <c r="X146" s="46">
        <v>39.9</v>
      </c>
      <c r="Y146" s="47">
        <f t="shared" si="47"/>
        <v>4.7619047619047672E-2</v>
      </c>
      <c r="Z146" s="46">
        <f t="shared" si="34"/>
        <v>41.8</v>
      </c>
      <c r="AA146" s="12">
        <f t="shared" si="35"/>
        <v>1.8999999999999986</v>
      </c>
      <c r="AB146" s="12">
        <f t="shared" si="36"/>
        <v>22.99</v>
      </c>
      <c r="AC146" s="12">
        <f t="shared" si="37"/>
        <v>1.0399999999999991</v>
      </c>
      <c r="AD146" s="12">
        <f t="shared" si="38"/>
        <v>24.66</v>
      </c>
      <c r="AE146" s="12">
        <f t="shared" si="39"/>
        <v>1.120000000000001</v>
      </c>
      <c r="AF146" s="12"/>
      <c r="AJ146" s="11" t="e">
        <f>+#REF!*$AE146</f>
        <v>#REF!</v>
      </c>
      <c r="AK146" s="11" t="e">
        <f>+#REF!*$AA146</f>
        <v>#REF!</v>
      </c>
      <c r="AL146" s="11" t="e">
        <f>+#REF!*$AC146</f>
        <v>#REF!</v>
      </c>
    </row>
    <row r="147" spans="1:38" x14ac:dyDescent="0.3">
      <c r="A147" s="4">
        <v>693465417218</v>
      </c>
      <c r="B147" s="5" t="s">
        <v>287</v>
      </c>
      <c r="C147" s="5" t="s">
        <v>288</v>
      </c>
      <c r="D147" s="12">
        <f t="shared" si="40"/>
        <v>75.900000000000006</v>
      </c>
      <c r="E147" s="12">
        <v>37.950000000000003</v>
      </c>
      <c r="F147" s="47">
        <f t="shared" si="41"/>
        <v>-0.5</v>
      </c>
      <c r="G147" s="12">
        <f t="shared" si="42"/>
        <v>28.46</v>
      </c>
      <c r="H147" s="12">
        <f t="shared" si="33"/>
        <v>44.78</v>
      </c>
      <c r="I147" s="12">
        <f t="shared" si="33"/>
        <v>41.75</v>
      </c>
      <c r="L147" s="46">
        <v>38.9</v>
      </c>
      <c r="M147" s="46">
        <f t="shared" si="43"/>
        <v>-0.94999999999999574</v>
      </c>
      <c r="N147" s="46">
        <v>28.809641407307168</v>
      </c>
      <c r="O147" s="46">
        <f t="shared" si="44"/>
        <v>-0.34964140730716764</v>
      </c>
      <c r="P147" s="46"/>
      <c r="Q147" s="39">
        <v>7850.7440913194514</v>
      </c>
      <c r="R147" s="38">
        <f t="shared" si="45"/>
        <v>-2744.9452124973641</v>
      </c>
      <c r="S147" s="47"/>
      <c r="T147" s="39">
        <v>6962.7440913194523</v>
      </c>
      <c r="U147" s="38">
        <f t="shared" si="46"/>
        <v>-2434.4636428085996</v>
      </c>
      <c r="V147" s="51"/>
      <c r="W147" s="51"/>
      <c r="X147" s="46">
        <v>74.900000000000006</v>
      </c>
      <c r="Y147" s="47">
        <f t="shared" si="47"/>
        <v>3.8718291054739451E-2</v>
      </c>
      <c r="Z147" s="46">
        <f t="shared" si="34"/>
        <v>77.8</v>
      </c>
      <c r="AA147" s="12">
        <f t="shared" si="35"/>
        <v>1.8999999999999915</v>
      </c>
      <c r="AB147" s="12">
        <f t="shared" si="36"/>
        <v>42.79</v>
      </c>
      <c r="AC147" s="12">
        <f t="shared" si="37"/>
        <v>1.0399999999999991</v>
      </c>
      <c r="AD147" s="12">
        <f t="shared" si="38"/>
        <v>45.9</v>
      </c>
      <c r="AE147" s="12">
        <f t="shared" si="39"/>
        <v>1.1199999999999974</v>
      </c>
      <c r="AF147" s="12"/>
      <c r="AJ147" s="11" t="e">
        <f>+#REF!*$AE147</f>
        <v>#REF!</v>
      </c>
      <c r="AK147" s="11" t="e">
        <f>+#REF!*$AA147</f>
        <v>#REF!</v>
      </c>
      <c r="AL147" s="11" t="e">
        <f>+#REF!*$AC147</f>
        <v>#REF!</v>
      </c>
    </row>
    <row r="148" spans="1:38" x14ac:dyDescent="0.3">
      <c r="A148" s="4">
        <v>693465119112</v>
      </c>
      <c r="B148" s="5" t="s">
        <v>289</v>
      </c>
      <c r="C148" s="5" t="s">
        <v>290</v>
      </c>
      <c r="D148" s="12">
        <f t="shared" si="40"/>
        <v>38.9</v>
      </c>
      <c r="E148" s="12">
        <v>19.45</v>
      </c>
      <c r="F148" s="47">
        <f t="shared" si="41"/>
        <v>-0.5</v>
      </c>
      <c r="G148" s="12">
        <f t="shared" si="42"/>
        <v>14.59</v>
      </c>
      <c r="H148" s="12">
        <f t="shared" si="33"/>
        <v>22.95</v>
      </c>
      <c r="I148" s="12">
        <f t="shared" si="33"/>
        <v>21.4</v>
      </c>
      <c r="L148" s="46">
        <v>19.899999999999999</v>
      </c>
      <c r="M148" s="46">
        <f t="shared" si="43"/>
        <v>-0.44999999999999929</v>
      </c>
      <c r="N148" s="46">
        <v>14.93</v>
      </c>
      <c r="O148" s="46">
        <f t="shared" si="44"/>
        <v>-0.33999999999999986</v>
      </c>
      <c r="P148" s="46"/>
      <c r="Q148" s="39">
        <v>1846.6732074992321</v>
      </c>
      <c r="R148" s="38">
        <f t="shared" si="45"/>
        <v>-627.86889054973869</v>
      </c>
      <c r="S148" s="47"/>
      <c r="T148" s="39">
        <v>1570.6732074992321</v>
      </c>
      <c r="U148" s="38">
        <f t="shared" si="46"/>
        <v>-534.02889054973866</v>
      </c>
      <c r="V148" s="51"/>
      <c r="W148" s="51"/>
      <c r="X148" s="46">
        <v>38.9</v>
      </c>
      <c r="Y148" s="47">
        <f t="shared" si="47"/>
        <v>2.3136246786632286E-2</v>
      </c>
      <c r="Z148" s="46">
        <f t="shared" si="34"/>
        <v>39.799999999999997</v>
      </c>
      <c r="AA148" s="12">
        <f t="shared" si="35"/>
        <v>0.89999999999999858</v>
      </c>
      <c r="AB148" s="12">
        <f t="shared" si="36"/>
        <v>21.89</v>
      </c>
      <c r="AC148" s="12">
        <f t="shared" si="37"/>
        <v>0.49000000000000199</v>
      </c>
      <c r="AD148" s="12">
        <f t="shared" si="38"/>
        <v>23.48</v>
      </c>
      <c r="AE148" s="12">
        <f t="shared" si="39"/>
        <v>0.53000000000000114</v>
      </c>
      <c r="AF148" s="12"/>
      <c r="AJ148" s="11" t="e">
        <f>+#REF!*$AE148</f>
        <v>#REF!</v>
      </c>
      <c r="AK148" s="11" t="e">
        <f>+#REF!*$AA148</f>
        <v>#REF!</v>
      </c>
      <c r="AL148" s="11" t="e">
        <f>+#REF!*$AC148</f>
        <v>#REF!</v>
      </c>
    </row>
    <row r="149" spans="1:38" x14ac:dyDescent="0.3">
      <c r="B149" s="5" t="s">
        <v>291</v>
      </c>
      <c r="C149" s="5" t="s">
        <v>292</v>
      </c>
      <c r="D149" s="12">
        <f t="shared" si="40"/>
        <v>38.9</v>
      </c>
      <c r="E149" s="12">
        <v>19.45</v>
      </c>
      <c r="F149" s="47">
        <f t="shared" si="41"/>
        <v>-0.5</v>
      </c>
      <c r="G149" s="12">
        <f t="shared" si="42"/>
        <v>14.59</v>
      </c>
      <c r="H149" s="12">
        <f t="shared" si="33"/>
        <v>22.95</v>
      </c>
      <c r="I149" s="12">
        <f t="shared" si="33"/>
        <v>21.4</v>
      </c>
      <c r="L149" s="46">
        <v>19.899999999999999</v>
      </c>
      <c r="M149" s="46">
        <f t="shared" si="43"/>
        <v>-0.44999999999999929</v>
      </c>
      <c r="N149" s="46">
        <v>14.93</v>
      </c>
      <c r="O149" s="46">
        <f t="shared" si="44"/>
        <v>-0.33999999999999986</v>
      </c>
      <c r="P149" s="46"/>
      <c r="Q149" s="39">
        <v>73.053945695088245</v>
      </c>
      <c r="R149" s="38">
        <f t="shared" si="45"/>
        <v>-24.838341536329992</v>
      </c>
      <c r="S149" s="47"/>
      <c r="T149" s="39">
        <v>61.053945695088238</v>
      </c>
      <c r="U149" s="38">
        <f t="shared" si="46"/>
        <v>-20.758341536329993</v>
      </c>
      <c r="V149" s="51"/>
      <c r="W149" s="51"/>
      <c r="X149" s="46">
        <v>38.9</v>
      </c>
      <c r="Y149" s="47">
        <f t="shared" si="47"/>
        <v>2.3136246786632286E-2</v>
      </c>
      <c r="Z149" s="46">
        <f t="shared" si="34"/>
        <v>39.799999999999997</v>
      </c>
      <c r="AA149" s="12">
        <f t="shared" si="35"/>
        <v>0.89999999999999858</v>
      </c>
      <c r="AB149" s="12">
        <f t="shared" si="36"/>
        <v>21.89</v>
      </c>
      <c r="AC149" s="12">
        <f t="shared" si="37"/>
        <v>0.49000000000000199</v>
      </c>
      <c r="AD149" s="12">
        <f t="shared" si="38"/>
        <v>23.48</v>
      </c>
      <c r="AE149" s="12">
        <f t="shared" si="39"/>
        <v>0.53000000000000114</v>
      </c>
      <c r="AF149" s="12"/>
      <c r="AJ149" s="11" t="e">
        <f>+#REF!*$AE149</f>
        <v>#REF!</v>
      </c>
      <c r="AK149" s="11" t="e">
        <f>+#REF!*$AA149</f>
        <v>#REF!</v>
      </c>
      <c r="AL149" s="11" t="e">
        <f>+#REF!*$AC149</f>
        <v>#REF!</v>
      </c>
    </row>
    <row r="150" spans="1:38" x14ac:dyDescent="0.3">
      <c r="A150" s="35">
        <v>693465491119</v>
      </c>
      <c r="B150" s="36" t="s">
        <v>293</v>
      </c>
      <c r="C150" s="36" t="s">
        <v>294</v>
      </c>
      <c r="D150" s="50">
        <f t="shared" si="40"/>
        <v>41.9</v>
      </c>
      <c r="E150" s="50">
        <v>20.95</v>
      </c>
      <c r="F150" s="47">
        <f t="shared" si="41"/>
        <v>-0.5</v>
      </c>
      <c r="G150" s="50">
        <f t="shared" si="42"/>
        <v>15.71</v>
      </c>
      <c r="H150" s="50">
        <f t="shared" si="33"/>
        <v>24.72</v>
      </c>
      <c r="I150" s="50">
        <f t="shared" si="33"/>
        <v>23.05</v>
      </c>
      <c r="L150" s="46">
        <v>20.9</v>
      </c>
      <c r="M150" s="46">
        <f t="shared" si="43"/>
        <v>5.0000000000000711E-2</v>
      </c>
      <c r="N150" s="46">
        <v>15.68</v>
      </c>
      <c r="O150" s="46">
        <f t="shared" si="44"/>
        <v>3.0000000000001137E-2</v>
      </c>
      <c r="P150" s="46"/>
      <c r="Q150" s="39">
        <v>2136.8078489990785</v>
      </c>
      <c r="R150" s="38">
        <f t="shared" si="45"/>
        <v>64.104235469974782</v>
      </c>
      <c r="S150" s="47"/>
      <c r="T150" s="39">
        <v>1836.8078489990785</v>
      </c>
      <c r="U150" s="38">
        <f t="shared" si="46"/>
        <v>55.104235469974441</v>
      </c>
      <c r="V150" s="51"/>
      <c r="W150" s="51"/>
      <c r="X150" s="46">
        <v>39.9</v>
      </c>
      <c r="Y150" s="47">
        <f t="shared" si="47"/>
        <v>4.7619047619047672E-2</v>
      </c>
      <c r="Z150" s="46">
        <f t="shared" si="34"/>
        <v>41.8</v>
      </c>
      <c r="AA150" s="12">
        <f t="shared" si="35"/>
        <v>-0.10000000000000142</v>
      </c>
      <c r="AB150" s="12">
        <f t="shared" si="36"/>
        <v>22.99</v>
      </c>
      <c r="AC150" s="12">
        <f t="shared" si="37"/>
        <v>-6.0000000000002274E-2</v>
      </c>
      <c r="AD150" s="12">
        <f t="shared" si="38"/>
        <v>24.66</v>
      </c>
      <c r="AE150" s="12">
        <f t="shared" si="39"/>
        <v>-5.9999999999998721E-2</v>
      </c>
      <c r="AF150" s="12"/>
      <c r="AJ150" s="11" t="e">
        <f>+#REF!*$AE150</f>
        <v>#REF!</v>
      </c>
      <c r="AK150" s="11" t="e">
        <f>+#REF!*$AA150</f>
        <v>#REF!</v>
      </c>
      <c r="AL150" s="11" t="e">
        <f>+#REF!*$AC150</f>
        <v>#REF!</v>
      </c>
    </row>
    <row r="151" spans="1:38" x14ac:dyDescent="0.3">
      <c r="A151" s="35">
        <v>693465465110</v>
      </c>
      <c r="B151" s="36" t="s">
        <v>295</v>
      </c>
      <c r="C151" s="36" t="s">
        <v>296</v>
      </c>
      <c r="D151" s="50">
        <f t="shared" si="40"/>
        <v>51.9</v>
      </c>
      <c r="E151" s="50">
        <v>25.95</v>
      </c>
      <c r="F151" s="47">
        <f t="shared" si="41"/>
        <v>-0.5</v>
      </c>
      <c r="G151" s="50">
        <f t="shared" si="42"/>
        <v>19.46</v>
      </c>
      <c r="H151" s="50">
        <f t="shared" si="33"/>
        <v>30.62</v>
      </c>
      <c r="I151" s="50">
        <f t="shared" si="33"/>
        <v>28.55</v>
      </c>
      <c r="L151" s="46">
        <v>24.9</v>
      </c>
      <c r="M151" s="46">
        <f t="shared" si="43"/>
        <v>1.0500000000000007</v>
      </c>
      <c r="N151" s="46">
        <v>18.68</v>
      </c>
      <c r="O151" s="46">
        <f t="shared" si="44"/>
        <v>0.78000000000000114</v>
      </c>
      <c r="P151" s="46"/>
      <c r="Q151" s="39">
        <v>422.10789139017652</v>
      </c>
      <c r="R151" s="38">
        <f t="shared" si="45"/>
        <v>329.24415528433815</v>
      </c>
      <c r="S151" s="47"/>
      <c r="T151" s="39">
        <v>230.10789139017649</v>
      </c>
      <c r="U151" s="38">
        <f t="shared" si="46"/>
        <v>179.48415528433793</v>
      </c>
      <c r="V151" s="51"/>
      <c r="W151" s="51"/>
      <c r="X151" s="46">
        <v>48.9</v>
      </c>
      <c r="Y151" s="47">
        <f t="shared" si="47"/>
        <v>1.8404907975460016E-2</v>
      </c>
      <c r="Z151" s="46">
        <f t="shared" si="34"/>
        <v>49.8</v>
      </c>
      <c r="AA151" s="12">
        <f t="shared" si="35"/>
        <v>-2.1000000000000014</v>
      </c>
      <c r="AB151" s="12">
        <f t="shared" si="36"/>
        <v>27.39</v>
      </c>
      <c r="AC151" s="12">
        <f t="shared" si="37"/>
        <v>-1.1600000000000001</v>
      </c>
      <c r="AD151" s="12">
        <f t="shared" si="38"/>
        <v>29.38</v>
      </c>
      <c r="AE151" s="12">
        <f t="shared" si="39"/>
        <v>-1.240000000000002</v>
      </c>
      <c r="AF151" s="12"/>
      <c r="AJ151" s="11" t="e">
        <f>+#REF!*$AE151</f>
        <v>#REF!</v>
      </c>
      <c r="AK151" s="11" t="e">
        <f>+#REF!*$AA151</f>
        <v>#REF!</v>
      </c>
      <c r="AL151" s="11" t="e">
        <f>+#REF!*$AC151</f>
        <v>#REF!</v>
      </c>
    </row>
    <row r="152" spans="1:38" x14ac:dyDescent="0.3">
      <c r="A152" s="4">
        <v>693465243114</v>
      </c>
      <c r="B152" s="5" t="s">
        <v>297</v>
      </c>
      <c r="C152" s="5" t="s">
        <v>298</v>
      </c>
      <c r="D152" s="12">
        <f t="shared" si="40"/>
        <v>29.9</v>
      </c>
      <c r="E152" s="12">
        <v>14.95</v>
      </c>
      <c r="F152" s="47">
        <f t="shared" si="41"/>
        <v>-0.5</v>
      </c>
      <c r="G152" s="12">
        <f t="shared" si="42"/>
        <v>11.21</v>
      </c>
      <c r="H152" s="12">
        <f t="shared" si="33"/>
        <v>17.64</v>
      </c>
      <c r="I152" s="12">
        <f t="shared" si="33"/>
        <v>16.45</v>
      </c>
      <c r="L152" s="46">
        <v>15.9</v>
      </c>
      <c r="M152" s="46">
        <f t="shared" si="43"/>
        <v>-0.95000000000000107</v>
      </c>
      <c r="N152" s="46">
        <v>11.561678200692041</v>
      </c>
      <c r="O152" s="46">
        <f t="shared" si="44"/>
        <v>-0.35167820069204048</v>
      </c>
      <c r="P152" s="46"/>
      <c r="Q152" s="39">
        <v>5349.5042126992021</v>
      </c>
      <c r="R152" s="38">
        <f t="shared" si="45"/>
        <v>-1881.3040161165459</v>
      </c>
      <c r="S152" s="47"/>
      <c r="T152" s="39">
        <v>4677.5042126992021</v>
      </c>
      <c r="U152" s="38">
        <f t="shared" si="46"/>
        <v>-1644.9762652514949</v>
      </c>
      <c r="V152" s="51"/>
      <c r="W152" s="51"/>
      <c r="X152" s="46">
        <v>29.9</v>
      </c>
      <c r="Y152" s="47">
        <f t="shared" si="47"/>
        <v>6.3545150501672421E-2</v>
      </c>
      <c r="Z152" s="46">
        <f t="shared" si="34"/>
        <v>31.8</v>
      </c>
      <c r="AA152" s="12">
        <f t="shared" si="35"/>
        <v>1.9000000000000021</v>
      </c>
      <c r="AB152" s="12">
        <f t="shared" si="36"/>
        <v>17.489999999999998</v>
      </c>
      <c r="AC152" s="12">
        <f t="shared" si="37"/>
        <v>1.0399999999999991</v>
      </c>
      <c r="AD152" s="12">
        <f t="shared" si="38"/>
        <v>18.760000000000002</v>
      </c>
      <c r="AE152" s="12">
        <f t="shared" si="39"/>
        <v>1.120000000000001</v>
      </c>
      <c r="AF152" s="12"/>
      <c r="AJ152" s="11" t="e">
        <f>+#REF!*$AE152</f>
        <v>#REF!</v>
      </c>
      <c r="AK152" s="11" t="e">
        <f>+#REF!*$AA152</f>
        <v>#REF!</v>
      </c>
      <c r="AL152" s="11" t="e">
        <f>+#REF!*$AC152</f>
        <v>#REF!</v>
      </c>
    </row>
    <row r="153" spans="1:38" x14ac:dyDescent="0.3">
      <c r="B153" s="5" t="s">
        <v>299</v>
      </c>
      <c r="C153" s="5" t="s">
        <v>300</v>
      </c>
      <c r="D153" s="12">
        <f t="shared" si="40"/>
        <v>29.9</v>
      </c>
      <c r="E153" s="12">
        <v>14.95</v>
      </c>
      <c r="F153" s="47">
        <f t="shared" si="41"/>
        <v>-0.5</v>
      </c>
      <c r="G153" s="12">
        <f t="shared" si="42"/>
        <v>11.21</v>
      </c>
      <c r="H153" s="12">
        <f t="shared" si="33"/>
        <v>17.64</v>
      </c>
      <c r="I153" s="12">
        <f t="shared" si="33"/>
        <v>16.45</v>
      </c>
      <c r="L153" s="46">
        <v>15.9</v>
      </c>
      <c r="M153" s="46">
        <f t="shared" si="43"/>
        <v>-0.95000000000000107</v>
      </c>
      <c r="N153" s="46">
        <v>11.561678200692041</v>
      </c>
      <c r="O153" s="46">
        <f t="shared" si="44"/>
        <v>-0.35167820069204048</v>
      </c>
      <c r="P153" s="46"/>
      <c r="Q153" s="39">
        <v>1138.0131137817289</v>
      </c>
      <c r="R153" s="38">
        <f t="shared" si="45"/>
        <v>-400.21440421870471</v>
      </c>
      <c r="S153" s="47"/>
      <c r="T153" s="39">
        <v>982.01311378172898</v>
      </c>
      <c r="U153" s="38">
        <f t="shared" si="46"/>
        <v>-345.35260491074644</v>
      </c>
      <c r="V153" s="51"/>
      <c r="W153" s="51"/>
      <c r="X153" s="46">
        <v>29.9</v>
      </c>
      <c r="Y153" s="47">
        <f t="shared" si="47"/>
        <v>6.3545150501672421E-2</v>
      </c>
      <c r="Z153" s="46">
        <f t="shared" si="34"/>
        <v>31.8</v>
      </c>
      <c r="AA153" s="12">
        <f t="shared" si="35"/>
        <v>1.9000000000000021</v>
      </c>
      <c r="AB153" s="12">
        <f t="shared" si="36"/>
        <v>17.489999999999998</v>
      </c>
      <c r="AC153" s="12">
        <f t="shared" si="37"/>
        <v>1.0399999999999991</v>
      </c>
      <c r="AD153" s="12">
        <f t="shared" si="38"/>
        <v>18.760000000000002</v>
      </c>
      <c r="AE153" s="12">
        <f t="shared" si="39"/>
        <v>1.120000000000001</v>
      </c>
      <c r="AF153" s="12"/>
      <c r="AJ153" s="11" t="e">
        <f>+#REF!*$AE153</f>
        <v>#REF!</v>
      </c>
      <c r="AK153" s="11" t="e">
        <f>+#REF!*$AA153</f>
        <v>#REF!</v>
      </c>
      <c r="AL153" s="11" t="e">
        <f>+#REF!*$AC153</f>
        <v>#REF!</v>
      </c>
    </row>
    <row r="154" spans="1:38" x14ac:dyDescent="0.3">
      <c r="A154" s="4">
        <v>693465529119</v>
      </c>
      <c r="B154" s="5" t="s">
        <v>301</v>
      </c>
      <c r="C154" s="5" t="s">
        <v>302</v>
      </c>
      <c r="D154" s="12">
        <f t="shared" si="40"/>
        <v>43.9</v>
      </c>
      <c r="E154" s="12">
        <v>21.95</v>
      </c>
      <c r="F154" s="47">
        <f t="shared" si="41"/>
        <v>-0.5</v>
      </c>
      <c r="G154" s="12">
        <f t="shared" si="42"/>
        <v>16.46</v>
      </c>
      <c r="H154" s="12">
        <f t="shared" si="33"/>
        <v>25.9</v>
      </c>
      <c r="I154" s="12">
        <f t="shared" si="33"/>
        <v>24.15</v>
      </c>
      <c r="L154" s="46">
        <v>22.9</v>
      </c>
      <c r="M154" s="46">
        <f t="shared" si="43"/>
        <v>-0.94999999999999929</v>
      </c>
      <c r="N154" s="46">
        <v>17.18</v>
      </c>
      <c r="O154" s="46">
        <f t="shared" si="44"/>
        <v>-0.71999999999999886</v>
      </c>
      <c r="P154" s="46"/>
      <c r="Q154" s="39">
        <v>1496.0249682066767</v>
      </c>
      <c r="R154" s="38">
        <f t="shared" si="45"/>
        <v>-1077.1379771088054</v>
      </c>
      <c r="S154" s="47"/>
      <c r="T154" s="39">
        <v>1280.0249682066767</v>
      </c>
      <c r="U154" s="38">
        <f t="shared" si="46"/>
        <v>-921.6179771088058</v>
      </c>
      <c r="V154" s="51"/>
      <c r="W154" s="51"/>
      <c r="X154" s="46">
        <v>43.9</v>
      </c>
      <c r="Y154" s="47">
        <f t="shared" si="47"/>
        <v>4.3280182232346309E-2</v>
      </c>
      <c r="Z154" s="46">
        <f t="shared" si="34"/>
        <v>45.8</v>
      </c>
      <c r="AA154" s="12">
        <f t="shared" si="35"/>
        <v>1.8999999999999986</v>
      </c>
      <c r="AB154" s="12">
        <f t="shared" si="36"/>
        <v>25.19</v>
      </c>
      <c r="AC154" s="12">
        <f t="shared" si="37"/>
        <v>1.0400000000000027</v>
      </c>
      <c r="AD154" s="12">
        <f t="shared" si="38"/>
        <v>27.02</v>
      </c>
      <c r="AE154" s="12">
        <f t="shared" si="39"/>
        <v>1.120000000000001</v>
      </c>
      <c r="AF154" s="12"/>
      <c r="AJ154" s="11" t="e">
        <f>+#REF!*$AE154</f>
        <v>#REF!</v>
      </c>
      <c r="AK154" s="11" t="e">
        <f>+#REF!*$AA154</f>
        <v>#REF!</v>
      </c>
      <c r="AL154" s="11" t="e">
        <f>+#REF!*$AC154</f>
        <v>#REF!</v>
      </c>
    </row>
    <row r="155" spans="1:38" x14ac:dyDescent="0.3">
      <c r="A155" s="4">
        <v>693465436110</v>
      </c>
      <c r="B155" s="5" t="s">
        <v>303</v>
      </c>
      <c r="C155" s="5" t="s">
        <v>304</v>
      </c>
      <c r="D155" s="12">
        <f t="shared" si="40"/>
        <v>31.9</v>
      </c>
      <c r="E155" s="12">
        <v>15.95</v>
      </c>
      <c r="F155" s="47">
        <f t="shared" si="41"/>
        <v>-0.5</v>
      </c>
      <c r="G155" s="12">
        <f t="shared" si="42"/>
        <v>11.96</v>
      </c>
      <c r="H155" s="12">
        <f t="shared" si="33"/>
        <v>18.82</v>
      </c>
      <c r="I155" s="12">
        <f t="shared" si="33"/>
        <v>17.55</v>
      </c>
      <c r="L155" s="46">
        <v>16.899999999999999</v>
      </c>
      <c r="M155" s="46">
        <f t="shared" si="43"/>
        <v>-0.94999999999999929</v>
      </c>
      <c r="N155" s="46">
        <v>12.68</v>
      </c>
      <c r="O155" s="46">
        <f t="shared" si="44"/>
        <v>-0.71999999999999886</v>
      </c>
      <c r="P155" s="46"/>
      <c r="Q155" s="39">
        <v>17094.462791992628</v>
      </c>
      <c r="R155" s="38">
        <f t="shared" si="45"/>
        <v>-12308.013210234672</v>
      </c>
      <c r="S155" s="47"/>
      <c r="T155" s="39">
        <v>14790.462791992628</v>
      </c>
      <c r="U155" s="38">
        <f t="shared" si="46"/>
        <v>-10649.133210234675</v>
      </c>
      <c r="V155" s="51"/>
      <c r="W155" s="51"/>
      <c r="X155" s="46">
        <v>31.9</v>
      </c>
      <c r="Y155" s="47">
        <f t="shared" si="47"/>
        <v>5.9561128526645746E-2</v>
      </c>
      <c r="Z155" s="46">
        <f t="shared" si="34"/>
        <v>33.799999999999997</v>
      </c>
      <c r="AA155" s="12">
        <f t="shared" si="35"/>
        <v>1.8999999999999986</v>
      </c>
      <c r="AB155" s="12">
        <f t="shared" si="36"/>
        <v>18.59</v>
      </c>
      <c r="AC155" s="12">
        <f t="shared" si="37"/>
        <v>1.0399999999999991</v>
      </c>
      <c r="AD155" s="12">
        <f t="shared" si="38"/>
        <v>19.940000000000001</v>
      </c>
      <c r="AE155" s="12">
        <f t="shared" si="39"/>
        <v>1.120000000000001</v>
      </c>
      <c r="AF155" s="12"/>
      <c r="AJ155" s="11" t="e">
        <f>+#REF!*$AE155</f>
        <v>#REF!</v>
      </c>
      <c r="AK155" s="11" t="e">
        <f>+#REF!*$AA155</f>
        <v>#REF!</v>
      </c>
      <c r="AL155" s="11" t="e">
        <f>+#REF!*$AC155</f>
        <v>#REF!</v>
      </c>
    </row>
    <row r="156" spans="1:38" x14ac:dyDescent="0.3">
      <c r="A156" s="4">
        <v>693465000045</v>
      </c>
      <c r="B156" s="5" t="s">
        <v>305</v>
      </c>
      <c r="C156" s="5" t="s">
        <v>306</v>
      </c>
      <c r="D156" s="12">
        <f t="shared" si="40"/>
        <v>59.9</v>
      </c>
      <c r="E156" s="12">
        <v>29.95</v>
      </c>
      <c r="F156" s="47">
        <f t="shared" si="41"/>
        <v>-0.5</v>
      </c>
      <c r="G156" s="12">
        <f t="shared" si="42"/>
        <v>22.46</v>
      </c>
      <c r="H156" s="12">
        <f t="shared" si="33"/>
        <v>35.340000000000003</v>
      </c>
      <c r="I156" s="12">
        <f t="shared" si="33"/>
        <v>32.950000000000003</v>
      </c>
      <c r="L156" s="46">
        <v>29.9</v>
      </c>
      <c r="M156" s="46">
        <f t="shared" si="43"/>
        <v>5.0000000000000711E-2</v>
      </c>
      <c r="N156" s="46">
        <v>22.43</v>
      </c>
      <c r="O156" s="46">
        <f t="shared" si="44"/>
        <v>3.0000000000001137E-2</v>
      </c>
      <c r="P156" s="46"/>
      <c r="Q156" s="39">
        <v>1201.7012940361471</v>
      </c>
      <c r="R156" s="38">
        <f t="shared" si="45"/>
        <v>36.051038821085783</v>
      </c>
      <c r="S156" s="47"/>
      <c r="T156" s="39">
        <v>949.70129403614715</v>
      </c>
      <c r="U156" s="38">
        <f t="shared" si="46"/>
        <v>28.491038821085493</v>
      </c>
      <c r="V156" s="51"/>
      <c r="W156" s="51"/>
      <c r="X156" s="46">
        <v>59.9</v>
      </c>
      <c r="Y156" s="47">
        <f t="shared" si="47"/>
        <v>-1.6694490818029983E-3</v>
      </c>
      <c r="Z156" s="46">
        <f t="shared" si="34"/>
        <v>59.8</v>
      </c>
      <c r="AA156" s="12">
        <f t="shared" si="35"/>
        <v>-0.10000000000000142</v>
      </c>
      <c r="AB156" s="12">
        <f t="shared" si="36"/>
        <v>32.89</v>
      </c>
      <c r="AC156" s="12">
        <f t="shared" si="37"/>
        <v>-6.0000000000002274E-2</v>
      </c>
      <c r="AD156" s="12">
        <f t="shared" si="38"/>
        <v>35.28</v>
      </c>
      <c r="AE156" s="12">
        <f t="shared" si="39"/>
        <v>-6.0000000000002274E-2</v>
      </c>
      <c r="AF156" s="12"/>
      <c r="AJ156" s="11" t="e">
        <f>+#REF!*$AE156</f>
        <v>#REF!</v>
      </c>
      <c r="AK156" s="11" t="e">
        <f>+#REF!*$AA156</f>
        <v>#REF!</v>
      </c>
      <c r="AL156" s="11" t="e">
        <f>+#REF!*$AC156</f>
        <v>#REF!</v>
      </c>
    </row>
    <row r="157" spans="1:38" x14ac:dyDescent="0.3">
      <c r="A157" s="4">
        <v>693465442111</v>
      </c>
      <c r="B157" s="5" t="s">
        <v>307</v>
      </c>
      <c r="C157" s="5" t="s">
        <v>308</v>
      </c>
      <c r="D157" s="12">
        <f t="shared" si="40"/>
        <v>13.9</v>
      </c>
      <c r="E157" s="12">
        <v>6.95</v>
      </c>
      <c r="F157" s="47">
        <f t="shared" si="41"/>
        <v>-0.5</v>
      </c>
      <c r="G157" s="12">
        <f t="shared" si="42"/>
        <v>5.21</v>
      </c>
      <c r="H157" s="12">
        <f t="shared" si="33"/>
        <v>8.1999999999999993</v>
      </c>
      <c r="I157" s="12">
        <f t="shared" si="33"/>
        <v>7.65</v>
      </c>
      <c r="L157" s="46">
        <v>7.9</v>
      </c>
      <c r="M157" s="46">
        <f t="shared" si="43"/>
        <v>-0.95000000000000018</v>
      </c>
      <c r="N157" s="46">
        <v>5.93</v>
      </c>
      <c r="O157" s="46">
        <f t="shared" si="44"/>
        <v>-0.71999999999999975</v>
      </c>
      <c r="P157" s="46"/>
      <c r="Q157" s="39">
        <v>1700.9986635727548</v>
      </c>
      <c r="R157" s="38">
        <f t="shared" si="45"/>
        <v>-1224.719037772383</v>
      </c>
      <c r="S157" s="47"/>
      <c r="T157" s="39">
        <v>1100.9986635727548</v>
      </c>
      <c r="U157" s="38">
        <f t="shared" si="46"/>
        <v>-792.71903777238322</v>
      </c>
      <c r="V157" s="51"/>
      <c r="W157" s="51"/>
      <c r="X157" s="46">
        <v>13.9</v>
      </c>
      <c r="Y157" s="47">
        <f t="shared" si="47"/>
        <v>0.13669064748201443</v>
      </c>
      <c r="Z157" s="46">
        <f t="shared" si="34"/>
        <v>15.8</v>
      </c>
      <c r="AA157" s="12">
        <f t="shared" si="35"/>
        <v>1.9000000000000004</v>
      </c>
      <c r="AB157" s="12">
        <f t="shared" si="36"/>
        <v>8.69</v>
      </c>
      <c r="AC157" s="12">
        <f t="shared" si="37"/>
        <v>1.0399999999999991</v>
      </c>
      <c r="AD157" s="12">
        <f t="shared" si="38"/>
        <v>9.32</v>
      </c>
      <c r="AE157" s="12">
        <f t="shared" si="39"/>
        <v>1.120000000000001</v>
      </c>
      <c r="AF157" s="12"/>
      <c r="AJ157" s="11" t="e">
        <f>+#REF!*$AE157</f>
        <v>#REF!</v>
      </c>
      <c r="AK157" s="11" t="e">
        <f>+#REF!*$AA157</f>
        <v>#REF!</v>
      </c>
      <c r="AL157" s="11" t="e">
        <f>+#REF!*$AC157</f>
        <v>#REF!</v>
      </c>
    </row>
    <row r="158" spans="1:38" x14ac:dyDescent="0.3">
      <c r="A158" s="4">
        <v>693465486115</v>
      </c>
      <c r="B158" s="5" t="s">
        <v>309</v>
      </c>
      <c r="C158" s="5" t="s">
        <v>310</v>
      </c>
      <c r="D158" s="12">
        <f t="shared" si="40"/>
        <v>48.9</v>
      </c>
      <c r="E158" s="12">
        <v>24.45</v>
      </c>
      <c r="F158" s="47">
        <f t="shared" si="41"/>
        <v>-0.5</v>
      </c>
      <c r="G158" s="12">
        <f t="shared" si="42"/>
        <v>18.34</v>
      </c>
      <c r="H158" s="12">
        <f t="shared" si="33"/>
        <v>28.85</v>
      </c>
      <c r="I158" s="12">
        <f t="shared" si="33"/>
        <v>26.9</v>
      </c>
      <c r="L158" s="46">
        <v>29.9</v>
      </c>
      <c r="M158" s="46">
        <f t="shared" si="43"/>
        <v>-5.4499999999999993</v>
      </c>
      <c r="N158" s="46">
        <v>22.43</v>
      </c>
      <c r="O158" s="46">
        <f t="shared" si="44"/>
        <v>-4.09</v>
      </c>
      <c r="P158" s="46"/>
      <c r="Q158" s="39">
        <v>5197.2091006441278</v>
      </c>
      <c r="R158" s="38">
        <f t="shared" si="45"/>
        <v>-21256.585221634483</v>
      </c>
      <c r="S158" s="47"/>
      <c r="T158" s="39">
        <v>4465.2091006441278</v>
      </c>
      <c r="U158" s="38">
        <f t="shared" si="46"/>
        <v>-18262.705221634482</v>
      </c>
      <c r="V158" s="51"/>
      <c r="W158" s="51"/>
      <c r="X158" s="46">
        <v>48.9</v>
      </c>
      <c r="Y158" s="47">
        <f t="shared" si="47"/>
        <v>0.22290388548057249</v>
      </c>
      <c r="Z158" s="46">
        <f t="shared" si="34"/>
        <v>59.8</v>
      </c>
      <c r="AA158" s="12">
        <f t="shared" si="35"/>
        <v>10.899999999999999</v>
      </c>
      <c r="AB158" s="12">
        <f t="shared" si="36"/>
        <v>32.89</v>
      </c>
      <c r="AC158" s="12">
        <f t="shared" si="37"/>
        <v>5.990000000000002</v>
      </c>
      <c r="AD158" s="12">
        <f t="shared" si="38"/>
        <v>35.28</v>
      </c>
      <c r="AE158" s="12">
        <f t="shared" si="39"/>
        <v>6.43</v>
      </c>
      <c r="AF158" s="12"/>
      <c r="AJ158" s="11" t="e">
        <f>+#REF!*$AE158</f>
        <v>#REF!</v>
      </c>
      <c r="AK158" s="11" t="e">
        <f>+#REF!*$AA158</f>
        <v>#REF!</v>
      </c>
      <c r="AL158" s="11" t="e">
        <f>+#REF!*$AC158</f>
        <v>#REF!</v>
      </c>
    </row>
    <row r="159" spans="1:38" x14ac:dyDescent="0.3">
      <c r="A159" s="4">
        <v>693465229118</v>
      </c>
      <c r="B159" s="5" t="s">
        <v>311</v>
      </c>
      <c r="C159" s="5" t="s">
        <v>312</v>
      </c>
      <c r="D159" s="12">
        <f t="shared" si="40"/>
        <v>31.9</v>
      </c>
      <c r="E159" s="12">
        <v>15.95</v>
      </c>
      <c r="F159" s="47">
        <f t="shared" si="41"/>
        <v>-0.5</v>
      </c>
      <c r="G159" s="12">
        <f t="shared" si="42"/>
        <v>11.96</v>
      </c>
      <c r="H159" s="12">
        <f t="shared" si="33"/>
        <v>18.82</v>
      </c>
      <c r="I159" s="12">
        <f t="shared" si="33"/>
        <v>17.55</v>
      </c>
      <c r="L159" s="46">
        <v>16.899999999999999</v>
      </c>
      <c r="M159" s="46">
        <f t="shared" si="43"/>
        <v>-0.94999999999999929</v>
      </c>
      <c r="N159" s="46">
        <v>12.310922330097087</v>
      </c>
      <c r="O159" s="46">
        <f t="shared" si="44"/>
        <v>-0.35092233009708629</v>
      </c>
      <c r="P159" s="46"/>
      <c r="Q159" s="39">
        <v>12021.253428847973</v>
      </c>
      <c r="R159" s="38">
        <f t="shared" si="45"/>
        <v>-4218.5262639389184</v>
      </c>
      <c r="S159" s="47"/>
      <c r="T159" s="39">
        <v>10401.253428847975</v>
      </c>
      <c r="U159" s="38">
        <f t="shared" si="46"/>
        <v>-3650.0320891816395</v>
      </c>
      <c r="V159" s="51"/>
      <c r="W159" s="51"/>
      <c r="X159" s="46">
        <v>31.9</v>
      </c>
      <c r="Y159" s="47">
        <f t="shared" si="47"/>
        <v>5.9561128526645746E-2</v>
      </c>
      <c r="Z159" s="46">
        <f t="shared" si="34"/>
        <v>33.799999999999997</v>
      </c>
      <c r="AA159" s="12">
        <f t="shared" si="35"/>
        <v>1.8999999999999986</v>
      </c>
      <c r="AB159" s="12">
        <f t="shared" si="36"/>
        <v>18.59</v>
      </c>
      <c r="AC159" s="12">
        <f t="shared" si="37"/>
        <v>1.0399999999999991</v>
      </c>
      <c r="AD159" s="12">
        <f t="shared" si="38"/>
        <v>19.940000000000001</v>
      </c>
      <c r="AE159" s="12">
        <f t="shared" si="39"/>
        <v>1.120000000000001</v>
      </c>
      <c r="AF159" s="12"/>
      <c r="AJ159" s="11" t="e">
        <f>+#REF!*$AE159</f>
        <v>#REF!</v>
      </c>
      <c r="AK159" s="11" t="e">
        <f>+#REF!*$AA159</f>
        <v>#REF!</v>
      </c>
      <c r="AL159" s="11" t="e">
        <f>+#REF!*$AC159</f>
        <v>#REF!</v>
      </c>
    </row>
    <row r="160" spans="1:38" x14ac:dyDescent="0.3">
      <c r="A160" s="35">
        <v>693465229217</v>
      </c>
      <c r="B160" s="36" t="s">
        <v>313</v>
      </c>
      <c r="C160" s="36" t="s">
        <v>314</v>
      </c>
      <c r="D160" s="50">
        <f t="shared" si="40"/>
        <v>54.9</v>
      </c>
      <c r="E160" s="50">
        <v>27.45</v>
      </c>
      <c r="F160" s="47">
        <f t="shared" si="41"/>
        <v>-0.5</v>
      </c>
      <c r="G160" s="50">
        <f t="shared" si="42"/>
        <v>20.59</v>
      </c>
      <c r="H160" s="50">
        <f t="shared" si="33"/>
        <v>32.39</v>
      </c>
      <c r="I160" s="50">
        <f t="shared" si="33"/>
        <v>30.2</v>
      </c>
      <c r="L160" s="46">
        <v>34.9</v>
      </c>
      <c r="M160" s="46">
        <f t="shared" si="43"/>
        <v>-7.4499999999999993</v>
      </c>
      <c r="N160" s="46">
        <v>20.925000000000001</v>
      </c>
      <c r="O160" s="46">
        <f t="shared" si="44"/>
        <v>-0.33500000000000085</v>
      </c>
      <c r="P160" s="46"/>
      <c r="Q160" s="39">
        <v>2673.7548839539445</v>
      </c>
      <c r="R160" s="38">
        <f t="shared" si="45"/>
        <v>-895.70788612457363</v>
      </c>
      <c r="S160" s="47"/>
      <c r="T160" s="39">
        <v>2349.7548839539436</v>
      </c>
      <c r="U160" s="38">
        <f t="shared" si="46"/>
        <v>-787.1678861245731</v>
      </c>
      <c r="V160" s="51"/>
      <c r="W160" s="51"/>
      <c r="X160" s="46">
        <v>53.9</v>
      </c>
      <c r="Y160" s="47">
        <f t="shared" si="47"/>
        <v>0.29499072356215206</v>
      </c>
      <c r="Z160" s="46">
        <f t="shared" si="34"/>
        <v>69.8</v>
      </c>
      <c r="AA160" s="12">
        <f t="shared" si="35"/>
        <v>14.899999999999999</v>
      </c>
      <c r="AB160" s="12">
        <f t="shared" si="36"/>
        <v>38.39</v>
      </c>
      <c r="AC160" s="12">
        <f t="shared" si="37"/>
        <v>8.1900000000000013</v>
      </c>
      <c r="AD160" s="12">
        <f t="shared" si="38"/>
        <v>41.18</v>
      </c>
      <c r="AE160" s="12">
        <f t="shared" si="39"/>
        <v>8.7899999999999991</v>
      </c>
      <c r="AF160" s="12"/>
      <c r="AJ160" s="11" t="e">
        <f>+#REF!*$AE160</f>
        <v>#REF!</v>
      </c>
      <c r="AK160" s="11" t="e">
        <f>+#REF!*$AA160</f>
        <v>#REF!</v>
      </c>
      <c r="AL160" s="11" t="e">
        <f>+#REF!*$AC160</f>
        <v>#REF!</v>
      </c>
    </row>
    <row r="161" spans="1:38" x14ac:dyDescent="0.3">
      <c r="A161" s="4">
        <v>693465275115</v>
      </c>
      <c r="B161" s="5" t="s">
        <v>315</v>
      </c>
      <c r="C161" s="5" t="s">
        <v>316</v>
      </c>
      <c r="D161" s="12">
        <f t="shared" si="40"/>
        <v>53.9</v>
      </c>
      <c r="E161" s="12">
        <v>26.95</v>
      </c>
      <c r="F161" s="47">
        <f t="shared" si="41"/>
        <v>-0.5</v>
      </c>
      <c r="G161" s="12">
        <f t="shared" si="42"/>
        <v>20.21</v>
      </c>
      <c r="H161" s="12">
        <f t="shared" ref="H161:I189" si="48">ROUND($D161*(1-H$5),2)</f>
        <v>31.8</v>
      </c>
      <c r="I161" s="12">
        <f t="shared" si="48"/>
        <v>29.65</v>
      </c>
      <c r="L161" s="46">
        <v>27.9</v>
      </c>
      <c r="M161" s="46">
        <f t="shared" si="43"/>
        <v>-0.94999999999999929</v>
      </c>
      <c r="N161" s="46">
        <v>20.93</v>
      </c>
      <c r="O161" s="46">
        <f t="shared" si="44"/>
        <v>-0.71999999999999886</v>
      </c>
      <c r="P161" s="46"/>
      <c r="Q161" s="39">
        <v>8826.1631842948937</v>
      </c>
      <c r="R161" s="38">
        <f t="shared" si="45"/>
        <v>-6354.8374926923134</v>
      </c>
      <c r="S161" s="47"/>
      <c r="T161" s="39">
        <v>7734.1631842948937</v>
      </c>
      <c r="U161" s="38">
        <f t="shared" si="46"/>
        <v>-5568.5974926923145</v>
      </c>
      <c r="V161" s="51"/>
      <c r="W161" s="51"/>
      <c r="X161" s="46">
        <v>53.9</v>
      </c>
      <c r="Y161" s="47">
        <f t="shared" si="47"/>
        <v>3.5250463821892453E-2</v>
      </c>
      <c r="Z161" s="46">
        <f t="shared" si="34"/>
        <v>55.8</v>
      </c>
      <c r="AA161" s="12">
        <f t="shared" si="35"/>
        <v>1.8999999999999986</v>
      </c>
      <c r="AB161" s="12">
        <f t="shared" si="36"/>
        <v>30.69</v>
      </c>
      <c r="AC161" s="12">
        <f t="shared" si="37"/>
        <v>1.0400000000000027</v>
      </c>
      <c r="AD161" s="12">
        <f t="shared" si="38"/>
        <v>32.92</v>
      </c>
      <c r="AE161" s="12">
        <f t="shared" si="39"/>
        <v>1.120000000000001</v>
      </c>
      <c r="AF161" s="12"/>
      <c r="AJ161" s="11" t="e">
        <f>+#REF!*$AE161</f>
        <v>#REF!</v>
      </c>
      <c r="AK161" s="11" t="e">
        <f>+#REF!*$AA161</f>
        <v>#REF!</v>
      </c>
      <c r="AL161" s="11" t="e">
        <f>+#REF!*$AC161</f>
        <v>#REF!</v>
      </c>
    </row>
    <row r="162" spans="1:38" x14ac:dyDescent="0.3">
      <c r="A162" s="4">
        <v>693465000052</v>
      </c>
      <c r="B162" s="5" t="s">
        <v>317</v>
      </c>
      <c r="C162" s="5" t="s">
        <v>318</v>
      </c>
      <c r="D162" s="12">
        <f t="shared" si="40"/>
        <v>101.9</v>
      </c>
      <c r="E162" s="12">
        <v>50.95</v>
      </c>
      <c r="F162" s="47">
        <f t="shared" si="41"/>
        <v>-0.5</v>
      </c>
      <c r="G162" s="12">
        <f t="shared" si="42"/>
        <v>38.21</v>
      </c>
      <c r="H162" s="12">
        <f t="shared" si="48"/>
        <v>60.12</v>
      </c>
      <c r="I162" s="12">
        <f t="shared" si="48"/>
        <v>56.05</v>
      </c>
      <c r="L162" s="46">
        <v>49.9</v>
      </c>
      <c r="M162" s="46">
        <f t="shared" si="43"/>
        <v>1.0500000000000043</v>
      </c>
      <c r="N162" s="46">
        <v>37.43</v>
      </c>
      <c r="O162" s="46">
        <f t="shared" si="44"/>
        <v>0.78000000000000114</v>
      </c>
      <c r="P162" s="46"/>
      <c r="Q162" s="39">
        <v>1645.7815443651571</v>
      </c>
      <c r="R162" s="38">
        <f t="shared" si="45"/>
        <v>1283.7096046048243</v>
      </c>
      <c r="S162" s="47"/>
      <c r="T162" s="39">
        <v>1393.7815443651571</v>
      </c>
      <c r="U162" s="38">
        <f t="shared" si="46"/>
        <v>1087.1496046048242</v>
      </c>
      <c r="V162" s="51"/>
      <c r="W162" s="51"/>
      <c r="X162" s="46">
        <v>99.9</v>
      </c>
      <c r="Y162" s="47">
        <f t="shared" si="47"/>
        <v>-1.0010010010010895E-3</v>
      </c>
      <c r="Z162" s="46">
        <f t="shared" si="34"/>
        <v>99.8</v>
      </c>
      <c r="AA162" s="12">
        <f t="shared" si="35"/>
        <v>-2.1000000000000085</v>
      </c>
      <c r="AB162" s="12">
        <f t="shared" si="36"/>
        <v>54.89</v>
      </c>
      <c r="AC162" s="12">
        <f t="shared" si="37"/>
        <v>-1.1599999999999966</v>
      </c>
      <c r="AD162" s="12">
        <f t="shared" si="38"/>
        <v>58.88</v>
      </c>
      <c r="AE162" s="12">
        <f t="shared" si="39"/>
        <v>-1.2399999999999949</v>
      </c>
      <c r="AF162" s="12"/>
      <c r="AJ162" s="11" t="e">
        <f>+#REF!*$AE162</f>
        <v>#REF!</v>
      </c>
      <c r="AK162" s="11" t="e">
        <f>+#REF!*$AA162</f>
        <v>#REF!</v>
      </c>
      <c r="AL162" s="11" t="e">
        <f>+#REF!*$AC162</f>
        <v>#REF!</v>
      </c>
    </row>
    <row r="163" spans="1:38" x14ac:dyDescent="0.3">
      <c r="A163" s="34">
        <v>693465105214</v>
      </c>
      <c r="B163" s="5" t="s">
        <v>319</v>
      </c>
      <c r="C163" s="5" t="s">
        <v>320</v>
      </c>
      <c r="D163" s="12">
        <f t="shared" si="40"/>
        <v>78.900000000000006</v>
      </c>
      <c r="E163" s="12">
        <v>39.450000000000003</v>
      </c>
      <c r="F163" s="47">
        <f t="shared" si="41"/>
        <v>-0.5</v>
      </c>
      <c r="G163" s="12">
        <f t="shared" si="42"/>
        <v>29.59</v>
      </c>
      <c r="H163" s="12">
        <f t="shared" si="48"/>
        <v>46.55</v>
      </c>
      <c r="I163" s="12">
        <f t="shared" si="48"/>
        <v>43.4</v>
      </c>
      <c r="L163" s="46">
        <v>39.9</v>
      </c>
      <c r="M163" s="46">
        <f t="shared" si="43"/>
        <v>-0.44999999999999574</v>
      </c>
      <c r="N163" s="46">
        <v>29.93</v>
      </c>
      <c r="O163" s="46">
        <f t="shared" si="44"/>
        <v>-0.33999999999999986</v>
      </c>
      <c r="P163" s="46"/>
      <c r="Q163" s="39">
        <v>895.94471787766668</v>
      </c>
      <c r="R163" s="38">
        <f t="shared" si="45"/>
        <v>-304.62120407840655</v>
      </c>
      <c r="S163" s="47"/>
      <c r="T163" s="39">
        <v>775.94471787766668</v>
      </c>
      <c r="U163" s="38">
        <f t="shared" si="46"/>
        <v>-263.82120407840654</v>
      </c>
      <c r="V163" s="51"/>
      <c r="W163" s="51"/>
      <c r="X163" s="46">
        <v>78.900000000000006</v>
      </c>
      <c r="Y163" s="47">
        <f t="shared" si="47"/>
        <v>1.1406844106463865E-2</v>
      </c>
      <c r="Z163" s="46">
        <f t="shared" si="34"/>
        <v>79.8</v>
      </c>
      <c r="AA163" s="12">
        <f t="shared" si="35"/>
        <v>0.89999999999999147</v>
      </c>
      <c r="AB163" s="12">
        <f t="shared" si="36"/>
        <v>43.89</v>
      </c>
      <c r="AC163" s="12">
        <f t="shared" si="37"/>
        <v>0.49000000000000199</v>
      </c>
      <c r="AD163" s="12">
        <f t="shared" si="38"/>
        <v>47.08</v>
      </c>
      <c r="AE163" s="12">
        <f t="shared" si="39"/>
        <v>0.53000000000000114</v>
      </c>
      <c r="AF163" s="12"/>
      <c r="AJ163" s="11" t="e">
        <f>+#REF!*$AE163</f>
        <v>#REF!</v>
      </c>
      <c r="AK163" s="11" t="e">
        <f>+#REF!*$AA163</f>
        <v>#REF!</v>
      </c>
      <c r="AL163" s="11" t="e">
        <f>+#REF!*$AC163</f>
        <v>#REF!</v>
      </c>
    </row>
    <row r="164" spans="1:38" x14ac:dyDescent="0.3">
      <c r="A164" s="4">
        <v>693465257111</v>
      </c>
      <c r="B164" s="5" t="s">
        <v>321</v>
      </c>
      <c r="C164" s="5" t="s">
        <v>322</v>
      </c>
      <c r="D164" s="12">
        <f t="shared" si="40"/>
        <v>22.9</v>
      </c>
      <c r="E164" s="12">
        <v>11.45</v>
      </c>
      <c r="F164" s="47">
        <f t="shared" si="41"/>
        <v>-0.5</v>
      </c>
      <c r="G164" s="12">
        <f t="shared" si="42"/>
        <v>8.59</v>
      </c>
      <c r="H164" s="12">
        <f t="shared" si="48"/>
        <v>13.51</v>
      </c>
      <c r="I164" s="12">
        <f t="shared" si="48"/>
        <v>12.6</v>
      </c>
      <c r="L164" s="46">
        <v>11.9</v>
      </c>
      <c r="M164" s="46">
        <f t="shared" si="43"/>
        <v>-0.45000000000000107</v>
      </c>
      <c r="N164" s="46">
        <v>8.93</v>
      </c>
      <c r="O164" s="46">
        <f t="shared" si="44"/>
        <v>-0.33999999999999986</v>
      </c>
      <c r="P164" s="46"/>
      <c r="Q164" s="39">
        <v>3837.3999152178039</v>
      </c>
      <c r="R164" s="38">
        <f t="shared" si="45"/>
        <v>-1304.7159711740528</v>
      </c>
      <c r="S164" s="47"/>
      <c r="T164" s="39">
        <v>3393.3999152178039</v>
      </c>
      <c r="U164" s="38">
        <f t="shared" si="46"/>
        <v>-1153.7559711740528</v>
      </c>
      <c r="V164" s="51"/>
      <c r="W164" s="51"/>
      <c r="X164" s="46">
        <v>22.9</v>
      </c>
      <c r="Y164" s="47">
        <f t="shared" si="47"/>
        <v>3.9301310043668325E-2</v>
      </c>
      <c r="Z164" s="46">
        <f t="shared" si="34"/>
        <v>23.8</v>
      </c>
      <c r="AA164" s="12">
        <f t="shared" si="35"/>
        <v>0.90000000000000213</v>
      </c>
      <c r="AB164" s="12">
        <f t="shared" si="36"/>
        <v>13.09</v>
      </c>
      <c r="AC164" s="12">
        <f t="shared" si="37"/>
        <v>0.49000000000000021</v>
      </c>
      <c r="AD164" s="12">
        <f t="shared" si="38"/>
        <v>14.04</v>
      </c>
      <c r="AE164" s="12">
        <f t="shared" si="39"/>
        <v>0.52999999999999936</v>
      </c>
      <c r="AF164" s="12"/>
      <c r="AJ164" s="11" t="e">
        <f>+#REF!*$AE164</f>
        <v>#REF!</v>
      </c>
      <c r="AK164" s="11" t="e">
        <f>+#REF!*$AA164</f>
        <v>#REF!</v>
      </c>
      <c r="AL164" s="11" t="e">
        <f>+#REF!*$AC164</f>
        <v>#REF!</v>
      </c>
    </row>
    <row r="165" spans="1:38" x14ac:dyDescent="0.3">
      <c r="A165" s="4">
        <v>693465257210</v>
      </c>
      <c r="B165" s="5" t="s">
        <v>323</v>
      </c>
      <c r="C165" s="5" t="s">
        <v>324</v>
      </c>
      <c r="D165" s="12">
        <f t="shared" si="40"/>
        <v>42.9</v>
      </c>
      <c r="E165" s="12">
        <v>21.45</v>
      </c>
      <c r="F165" s="47">
        <f t="shared" si="41"/>
        <v>-0.5</v>
      </c>
      <c r="G165" s="12">
        <f t="shared" si="42"/>
        <v>16.09</v>
      </c>
      <c r="H165" s="12">
        <f t="shared" si="48"/>
        <v>25.31</v>
      </c>
      <c r="I165" s="12">
        <f t="shared" si="48"/>
        <v>23.6</v>
      </c>
      <c r="L165" s="46">
        <v>21.9</v>
      </c>
      <c r="M165" s="46">
        <f t="shared" si="43"/>
        <v>-0.44999999999999929</v>
      </c>
      <c r="N165" s="46">
        <v>16.43</v>
      </c>
      <c r="O165" s="46">
        <f t="shared" si="44"/>
        <v>-0.33999999999999986</v>
      </c>
      <c r="P165" s="46"/>
      <c r="Q165" s="39">
        <v>1968.6526994412318</v>
      </c>
      <c r="R165" s="38">
        <f t="shared" si="45"/>
        <v>-669.34191781001857</v>
      </c>
      <c r="S165" s="47"/>
      <c r="T165" s="39">
        <v>1692.6526994412318</v>
      </c>
      <c r="U165" s="38">
        <f t="shared" si="46"/>
        <v>-575.50191781001854</v>
      </c>
      <c r="V165" s="51"/>
      <c r="W165" s="51"/>
      <c r="X165" s="46">
        <v>42.9</v>
      </c>
      <c r="Y165" s="47">
        <f t="shared" si="47"/>
        <v>2.0979020979021046E-2</v>
      </c>
      <c r="Z165" s="46">
        <f t="shared" si="34"/>
        <v>43.8</v>
      </c>
      <c r="AA165" s="12">
        <f t="shared" si="35"/>
        <v>0.89999999999999858</v>
      </c>
      <c r="AB165" s="12">
        <f t="shared" si="36"/>
        <v>24.09</v>
      </c>
      <c r="AC165" s="12">
        <f t="shared" si="37"/>
        <v>0.48999999999999844</v>
      </c>
      <c r="AD165" s="12">
        <f t="shared" si="38"/>
        <v>25.84</v>
      </c>
      <c r="AE165" s="12">
        <f t="shared" si="39"/>
        <v>0.53000000000000114</v>
      </c>
      <c r="AF165" s="12"/>
      <c r="AJ165" s="11" t="e">
        <f>+#REF!*$AE165</f>
        <v>#REF!</v>
      </c>
      <c r="AK165" s="11" t="e">
        <f>+#REF!*$AA165</f>
        <v>#REF!</v>
      </c>
      <c r="AL165" s="11" t="e">
        <f>+#REF!*$AC165</f>
        <v>#REF!</v>
      </c>
    </row>
    <row r="166" spans="1:38" x14ac:dyDescent="0.3">
      <c r="A166" s="4">
        <v>693465431115</v>
      </c>
      <c r="B166" s="5" t="s">
        <v>325</v>
      </c>
      <c r="C166" s="5" t="s">
        <v>326</v>
      </c>
      <c r="D166" s="12">
        <f t="shared" si="40"/>
        <v>37.9</v>
      </c>
      <c r="E166" s="12">
        <v>18.95</v>
      </c>
      <c r="F166" s="47">
        <f t="shared" si="41"/>
        <v>-0.5</v>
      </c>
      <c r="G166" s="12">
        <f t="shared" si="42"/>
        <v>14.21</v>
      </c>
      <c r="H166" s="12">
        <f t="shared" si="48"/>
        <v>22.36</v>
      </c>
      <c r="I166" s="12">
        <f t="shared" si="48"/>
        <v>20.85</v>
      </c>
      <c r="L166" s="46">
        <v>18.899999999999999</v>
      </c>
      <c r="M166" s="46">
        <f t="shared" si="43"/>
        <v>5.0000000000000711E-2</v>
      </c>
      <c r="N166" s="46">
        <v>14.18</v>
      </c>
      <c r="O166" s="46">
        <f t="shared" si="44"/>
        <v>3.0000000000001137E-2</v>
      </c>
      <c r="P166" s="46"/>
      <c r="Q166" s="39">
        <v>2428.9433814504214</v>
      </c>
      <c r="R166" s="38">
        <f t="shared" si="45"/>
        <v>72.868301443515406</v>
      </c>
      <c r="S166" s="47"/>
      <c r="T166" s="39">
        <v>1828.9433814504212</v>
      </c>
      <c r="U166" s="38">
        <f t="shared" si="46"/>
        <v>54.868301443514717</v>
      </c>
      <c r="V166" s="51"/>
      <c r="W166" s="51"/>
      <c r="X166" s="46">
        <v>37.9</v>
      </c>
      <c r="Y166" s="47">
        <f t="shared" si="47"/>
        <v>-2.6385224274406704E-3</v>
      </c>
      <c r="Z166" s="46">
        <f t="shared" si="34"/>
        <v>37.799999999999997</v>
      </c>
      <c r="AA166" s="12">
        <f t="shared" si="35"/>
        <v>-0.10000000000000142</v>
      </c>
      <c r="AB166" s="12">
        <f t="shared" si="36"/>
        <v>20.79</v>
      </c>
      <c r="AC166" s="12">
        <f t="shared" si="37"/>
        <v>-6.0000000000002274E-2</v>
      </c>
      <c r="AD166" s="12">
        <f t="shared" si="38"/>
        <v>22.3</v>
      </c>
      <c r="AE166" s="12">
        <f t="shared" si="39"/>
        <v>-5.9999999999998721E-2</v>
      </c>
      <c r="AF166" s="12"/>
      <c r="AJ166" s="11" t="e">
        <f>+#REF!*$AE166</f>
        <v>#REF!</v>
      </c>
      <c r="AK166" s="11" t="e">
        <f>+#REF!*$AA166</f>
        <v>#REF!</v>
      </c>
      <c r="AL166" s="11" t="e">
        <f>+#REF!*$AC166</f>
        <v>#REF!</v>
      </c>
    </row>
    <row r="167" spans="1:38" x14ac:dyDescent="0.3">
      <c r="B167" s="5" t="s">
        <v>327</v>
      </c>
      <c r="C167" s="5" t="s">
        <v>328</v>
      </c>
      <c r="D167" s="12">
        <f t="shared" si="40"/>
        <v>29.9</v>
      </c>
      <c r="E167" s="12">
        <v>14.95</v>
      </c>
      <c r="F167" s="47">
        <f t="shared" si="41"/>
        <v>-0.5</v>
      </c>
      <c r="G167" s="12">
        <f t="shared" si="42"/>
        <v>11.21</v>
      </c>
      <c r="H167" s="12">
        <f t="shared" si="48"/>
        <v>17.64</v>
      </c>
      <c r="I167" s="12">
        <f t="shared" si="48"/>
        <v>16.45</v>
      </c>
      <c r="L167" s="46">
        <v>14.9</v>
      </c>
      <c r="M167" s="46">
        <f t="shared" si="43"/>
        <v>4.9999999999998934E-2</v>
      </c>
      <c r="N167" s="46">
        <v>11.18</v>
      </c>
      <c r="O167" s="46">
        <f t="shared" si="44"/>
        <v>3.0000000000001137E-2</v>
      </c>
      <c r="P167" s="46"/>
      <c r="Q167" s="39">
        <v>0</v>
      </c>
      <c r="R167" s="38">
        <f t="shared" si="45"/>
        <v>0</v>
      </c>
      <c r="S167" s="47"/>
      <c r="T167" s="39">
        <v>0</v>
      </c>
      <c r="U167" s="38">
        <f t="shared" si="46"/>
        <v>0</v>
      </c>
      <c r="V167" s="51"/>
      <c r="W167" s="51"/>
      <c r="X167" s="46">
        <v>29.9</v>
      </c>
      <c r="Y167" s="47">
        <f t="shared" si="47"/>
        <v>-3.3444816053510573E-3</v>
      </c>
      <c r="Z167" s="46">
        <f t="shared" si="34"/>
        <v>29.8</v>
      </c>
      <c r="AA167" s="12">
        <f t="shared" si="35"/>
        <v>-9.9999999999997868E-2</v>
      </c>
      <c r="AB167" s="12">
        <f t="shared" si="36"/>
        <v>16.39</v>
      </c>
      <c r="AC167" s="12">
        <f t="shared" si="37"/>
        <v>-5.9999999999998721E-2</v>
      </c>
      <c r="AD167" s="12">
        <f t="shared" si="38"/>
        <v>17.579999999999998</v>
      </c>
      <c r="AE167" s="12">
        <f t="shared" si="39"/>
        <v>-6.0000000000002274E-2</v>
      </c>
      <c r="AF167" s="12"/>
      <c r="AJ167" s="11" t="e">
        <f>+#REF!*$AE167</f>
        <v>#REF!</v>
      </c>
      <c r="AK167" s="11" t="e">
        <f>+#REF!*$AA167</f>
        <v>#REF!</v>
      </c>
      <c r="AL167" s="11" t="e">
        <f>+#REF!*$AC167</f>
        <v>#REF!</v>
      </c>
    </row>
    <row r="168" spans="1:38" x14ac:dyDescent="0.3">
      <c r="A168" s="34">
        <v>693465492216</v>
      </c>
      <c r="B168" s="5" t="s">
        <v>329</v>
      </c>
      <c r="C168" s="5" t="s">
        <v>330</v>
      </c>
      <c r="D168" s="12">
        <f t="shared" si="40"/>
        <v>31.9</v>
      </c>
      <c r="E168" s="12">
        <v>15.95</v>
      </c>
      <c r="F168" s="47">
        <f t="shared" si="41"/>
        <v>-0.5</v>
      </c>
      <c r="G168" s="12">
        <f t="shared" si="42"/>
        <v>11.96</v>
      </c>
      <c r="H168" s="12">
        <f t="shared" si="48"/>
        <v>18.82</v>
      </c>
      <c r="I168" s="12">
        <f t="shared" si="48"/>
        <v>17.55</v>
      </c>
      <c r="L168" s="46">
        <v>15.9</v>
      </c>
      <c r="M168" s="46">
        <f t="shared" si="43"/>
        <v>4.9999999999998934E-2</v>
      </c>
      <c r="N168" s="46">
        <v>11.93</v>
      </c>
      <c r="O168" s="46">
        <f t="shared" si="44"/>
        <v>3.0000000000001137E-2</v>
      </c>
      <c r="P168" s="46"/>
      <c r="Q168" s="39">
        <v>4419.7235893883335</v>
      </c>
      <c r="R168" s="38">
        <f t="shared" si="45"/>
        <v>132.59170768165504</v>
      </c>
      <c r="S168" s="47"/>
      <c r="T168" s="39">
        <v>3831.7235893883335</v>
      </c>
      <c r="U168" s="38">
        <f t="shared" si="46"/>
        <v>114.95170768165436</v>
      </c>
      <c r="V168" s="51"/>
      <c r="W168" s="51"/>
      <c r="X168" s="46">
        <v>31.9</v>
      </c>
      <c r="Y168" s="47">
        <f t="shared" si="47"/>
        <v>-3.1347962382444194E-3</v>
      </c>
      <c r="Z168" s="46">
        <f t="shared" si="34"/>
        <v>31.8</v>
      </c>
      <c r="AA168" s="12">
        <f t="shared" si="35"/>
        <v>-9.9999999999997868E-2</v>
      </c>
      <c r="AB168" s="12">
        <f t="shared" si="36"/>
        <v>17.489999999999998</v>
      </c>
      <c r="AC168" s="12">
        <f t="shared" si="37"/>
        <v>-6.0000000000002274E-2</v>
      </c>
      <c r="AD168" s="12">
        <f t="shared" si="38"/>
        <v>18.760000000000002</v>
      </c>
      <c r="AE168" s="12">
        <f t="shared" si="39"/>
        <v>-5.9999999999998721E-2</v>
      </c>
      <c r="AF168" s="12"/>
      <c r="AJ168" s="11" t="e">
        <f>+#REF!*$AE168</f>
        <v>#REF!</v>
      </c>
      <c r="AK168" s="11" t="e">
        <f>+#REF!*$AA168</f>
        <v>#REF!</v>
      </c>
      <c r="AL168" s="11" t="e">
        <f>+#REF!*$AC168</f>
        <v>#REF!</v>
      </c>
    </row>
    <row r="169" spans="1:38" x14ac:dyDescent="0.3">
      <c r="A169" s="4">
        <v>693465492215</v>
      </c>
      <c r="B169" s="5" t="s">
        <v>331</v>
      </c>
      <c r="C169" s="5" t="s">
        <v>332</v>
      </c>
      <c r="D169" s="12">
        <f t="shared" si="40"/>
        <v>85.9</v>
      </c>
      <c r="E169" s="12">
        <v>42.95</v>
      </c>
      <c r="F169" s="47">
        <f t="shared" si="41"/>
        <v>-0.5</v>
      </c>
      <c r="G169" s="12">
        <f t="shared" si="42"/>
        <v>32.21</v>
      </c>
      <c r="H169" s="12">
        <f t="shared" si="48"/>
        <v>50.68</v>
      </c>
      <c r="I169" s="12">
        <f t="shared" si="48"/>
        <v>47.25</v>
      </c>
      <c r="L169" s="46">
        <v>42.9</v>
      </c>
      <c r="M169" s="46">
        <f t="shared" si="43"/>
        <v>5.0000000000004263E-2</v>
      </c>
      <c r="N169" s="46">
        <v>32.18</v>
      </c>
      <c r="O169" s="46">
        <f t="shared" si="44"/>
        <v>3.0000000000001137E-2</v>
      </c>
      <c r="P169" s="46"/>
      <c r="Q169" s="39">
        <v>693.48551125579411</v>
      </c>
      <c r="R169" s="38">
        <f t="shared" si="45"/>
        <v>20.80456533767461</v>
      </c>
      <c r="S169" s="47"/>
      <c r="T169" s="39">
        <v>609.48551125579411</v>
      </c>
      <c r="U169" s="38">
        <f t="shared" si="46"/>
        <v>18.284565337674515</v>
      </c>
      <c r="V169" s="51"/>
      <c r="W169" s="51"/>
      <c r="X169" s="46">
        <v>85.9</v>
      </c>
      <c r="Y169" s="47">
        <f t="shared" si="47"/>
        <v>-1.1641443538999985E-3</v>
      </c>
      <c r="Z169" s="46">
        <f t="shared" si="34"/>
        <v>85.8</v>
      </c>
      <c r="AA169" s="12">
        <f t="shared" si="35"/>
        <v>-0.10000000000000853</v>
      </c>
      <c r="AB169" s="12">
        <f t="shared" si="36"/>
        <v>47.19</v>
      </c>
      <c r="AC169" s="12">
        <f t="shared" si="37"/>
        <v>-6.0000000000002274E-2</v>
      </c>
      <c r="AD169" s="12">
        <f t="shared" si="38"/>
        <v>50.62</v>
      </c>
      <c r="AE169" s="12">
        <f t="shared" si="39"/>
        <v>-6.0000000000002274E-2</v>
      </c>
      <c r="AF169" s="12"/>
      <c r="AJ169" s="11" t="e">
        <f>+#REF!*$AE169</f>
        <v>#REF!</v>
      </c>
      <c r="AK169" s="11" t="e">
        <f>+#REF!*$AA169</f>
        <v>#REF!</v>
      </c>
      <c r="AL169" s="11" t="e">
        <f>+#REF!*$AC169</f>
        <v>#REF!</v>
      </c>
    </row>
    <row r="170" spans="1:38" x14ac:dyDescent="0.3">
      <c r="A170" s="4">
        <v>693465269114</v>
      </c>
      <c r="B170" s="5" t="s">
        <v>333</v>
      </c>
      <c r="C170" s="5" t="s">
        <v>334</v>
      </c>
      <c r="D170" s="12">
        <f t="shared" si="40"/>
        <v>36.9</v>
      </c>
      <c r="E170" s="12">
        <v>18.45</v>
      </c>
      <c r="F170" s="47">
        <f t="shared" si="41"/>
        <v>-0.5</v>
      </c>
      <c r="G170" s="12">
        <f t="shared" si="42"/>
        <v>13.84</v>
      </c>
      <c r="H170" s="12">
        <f t="shared" si="48"/>
        <v>21.77</v>
      </c>
      <c r="I170" s="12">
        <f t="shared" si="48"/>
        <v>20.3</v>
      </c>
      <c r="L170" s="46">
        <v>19.899999999999999</v>
      </c>
      <c r="M170" s="46">
        <f t="shared" si="43"/>
        <v>-1.4499999999999993</v>
      </c>
      <c r="N170" s="46">
        <v>14.56984679665738</v>
      </c>
      <c r="O170" s="46">
        <f t="shared" si="44"/>
        <v>-0.72984679665738028</v>
      </c>
      <c r="P170" s="46"/>
      <c r="Q170" s="39">
        <v>6277.9063100625444</v>
      </c>
      <c r="R170" s="38">
        <f t="shared" si="45"/>
        <v>-4581.9098101143027</v>
      </c>
      <c r="S170" s="47"/>
      <c r="T170" s="39">
        <v>5329.9063100625444</v>
      </c>
      <c r="U170" s="38">
        <f t="shared" si="46"/>
        <v>-3890.0150468831062</v>
      </c>
      <c r="V170" s="51"/>
      <c r="W170" s="51"/>
      <c r="X170" s="46">
        <v>36.9</v>
      </c>
      <c r="Y170" s="47">
        <f t="shared" si="47"/>
        <v>7.8590785907858951E-2</v>
      </c>
      <c r="Z170" s="46">
        <f t="shared" si="34"/>
        <v>39.799999999999997</v>
      </c>
      <c r="AA170" s="12">
        <f t="shared" si="35"/>
        <v>2.8999999999999986</v>
      </c>
      <c r="AB170" s="12">
        <f t="shared" si="36"/>
        <v>21.89</v>
      </c>
      <c r="AC170" s="12">
        <f t="shared" si="37"/>
        <v>1.5899999999999999</v>
      </c>
      <c r="AD170" s="12">
        <f t="shared" si="38"/>
        <v>23.48</v>
      </c>
      <c r="AE170" s="12">
        <f t="shared" si="39"/>
        <v>1.7100000000000009</v>
      </c>
      <c r="AF170" s="12"/>
      <c r="AJ170" s="11" t="e">
        <f>+#REF!*$AE170</f>
        <v>#REF!</v>
      </c>
      <c r="AK170" s="11" t="e">
        <f>+#REF!*$AA170</f>
        <v>#REF!</v>
      </c>
      <c r="AL170" s="11" t="e">
        <f>+#REF!*$AC170</f>
        <v>#REF!</v>
      </c>
    </row>
    <row r="171" spans="1:38" x14ac:dyDescent="0.3">
      <c r="A171" s="4">
        <v>693465251119</v>
      </c>
      <c r="B171" s="5" t="s">
        <v>335</v>
      </c>
      <c r="C171" s="5" t="s">
        <v>336</v>
      </c>
      <c r="D171" s="12">
        <f t="shared" si="40"/>
        <v>32.9</v>
      </c>
      <c r="E171" s="12">
        <v>16.45</v>
      </c>
      <c r="F171" s="47">
        <f t="shared" si="41"/>
        <v>-0.5</v>
      </c>
      <c r="G171" s="12">
        <f t="shared" si="42"/>
        <v>12.34</v>
      </c>
      <c r="H171" s="12">
        <f t="shared" si="48"/>
        <v>19.41</v>
      </c>
      <c r="I171" s="12">
        <f t="shared" si="48"/>
        <v>18.100000000000001</v>
      </c>
      <c r="L171" s="46">
        <v>16.899999999999999</v>
      </c>
      <c r="M171" s="46">
        <f t="shared" si="43"/>
        <v>-0.44999999999999929</v>
      </c>
      <c r="N171" s="46">
        <v>12.68</v>
      </c>
      <c r="O171" s="46">
        <f t="shared" si="44"/>
        <v>-0.33999999999999986</v>
      </c>
      <c r="P171" s="46"/>
      <c r="Q171" s="39">
        <v>3702.2380781325392</v>
      </c>
      <c r="R171" s="38">
        <f t="shared" si="45"/>
        <v>-1258.7609465650628</v>
      </c>
      <c r="S171" s="47"/>
      <c r="T171" s="39">
        <v>3234.2380781325392</v>
      </c>
      <c r="U171" s="38">
        <f t="shared" si="46"/>
        <v>-1099.6409465650629</v>
      </c>
      <c r="V171" s="51"/>
      <c r="W171" s="51"/>
      <c r="X171" s="46">
        <v>32.9</v>
      </c>
      <c r="Y171" s="47">
        <f t="shared" si="47"/>
        <v>2.7355623100303816E-2</v>
      </c>
      <c r="Z171" s="46">
        <f t="shared" si="34"/>
        <v>33.799999999999997</v>
      </c>
      <c r="AA171" s="12">
        <f t="shared" si="35"/>
        <v>0.89999999999999858</v>
      </c>
      <c r="AB171" s="12">
        <f t="shared" si="36"/>
        <v>18.59</v>
      </c>
      <c r="AC171" s="12">
        <f t="shared" si="37"/>
        <v>0.48999999999999844</v>
      </c>
      <c r="AD171" s="12">
        <f t="shared" si="38"/>
        <v>19.940000000000001</v>
      </c>
      <c r="AE171" s="12">
        <f t="shared" si="39"/>
        <v>0.53000000000000114</v>
      </c>
      <c r="AF171" s="12"/>
      <c r="AJ171" s="11" t="e">
        <f>+#REF!*$AE171</f>
        <v>#REF!</v>
      </c>
      <c r="AK171" s="11" t="e">
        <f>+#REF!*$AA171</f>
        <v>#REF!</v>
      </c>
      <c r="AL171" s="11" t="e">
        <f>+#REF!*$AC171</f>
        <v>#REF!</v>
      </c>
    </row>
    <row r="172" spans="1:38" x14ac:dyDescent="0.3">
      <c r="A172" s="4">
        <v>693465308110</v>
      </c>
      <c r="B172" s="5" t="s">
        <v>337</v>
      </c>
      <c r="C172" s="5" t="s">
        <v>338</v>
      </c>
      <c r="D172" s="12">
        <f t="shared" si="40"/>
        <v>17.899999999999999</v>
      </c>
      <c r="E172" s="12">
        <v>8.9499999999999993</v>
      </c>
      <c r="F172" s="47">
        <f t="shared" si="41"/>
        <v>-0.5</v>
      </c>
      <c r="G172" s="12">
        <f t="shared" si="42"/>
        <v>6.71</v>
      </c>
      <c r="H172" s="12">
        <f t="shared" si="48"/>
        <v>10.56</v>
      </c>
      <c r="I172" s="12">
        <f t="shared" si="48"/>
        <v>9.85</v>
      </c>
      <c r="L172" s="46">
        <v>9.9</v>
      </c>
      <c r="M172" s="46">
        <f t="shared" si="43"/>
        <v>-0.95000000000000107</v>
      </c>
      <c r="N172" s="46">
        <v>7.43</v>
      </c>
      <c r="O172" s="46">
        <f t="shared" si="44"/>
        <v>-0.71999999999999975</v>
      </c>
      <c r="P172" s="46"/>
      <c r="Q172" s="39">
        <v>2724.8880993280882</v>
      </c>
      <c r="R172" s="38">
        <f t="shared" si="45"/>
        <v>-1961.9194315162229</v>
      </c>
      <c r="S172" s="47"/>
      <c r="T172" s="39">
        <v>2376.8880993280882</v>
      </c>
      <c r="U172" s="38">
        <f t="shared" si="46"/>
        <v>-1711.3594315162229</v>
      </c>
      <c r="V172" s="51"/>
      <c r="W172" s="51"/>
      <c r="X172" s="46">
        <v>17.899999999999999</v>
      </c>
      <c r="Y172" s="47">
        <f t="shared" si="47"/>
        <v>0.1061452513966481</v>
      </c>
      <c r="Z172" s="46">
        <f t="shared" si="34"/>
        <v>19.8</v>
      </c>
      <c r="AA172" s="12">
        <f t="shared" si="35"/>
        <v>1.9000000000000021</v>
      </c>
      <c r="AB172" s="12">
        <f t="shared" si="36"/>
        <v>10.89</v>
      </c>
      <c r="AC172" s="12">
        <f t="shared" si="37"/>
        <v>1.0400000000000009</v>
      </c>
      <c r="AD172" s="12">
        <f t="shared" si="38"/>
        <v>11.68</v>
      </c>
      <c r="AE172" s="12">
        <f t="shared" si="39"/>
        <v>1.1199999999999992</v>
      </c>
      <c r="AF172" s="12"/>
      <c r="AJ172" s="11" t="e">
        <f>+#REF!*$AE172</f>
        <v>#REF!</v>
      </c>
      <c r="AK172" s="11" t="e">
        <f>+#REF!*$AA172</f>
        <v>#REF!</v>
      </c>
      <c r="AL172" s="11" t="e">
        <f>+#REF!*$AC172</f>
        <v>#REF!</v>
      </c>
    </row>
    <row r="173" spans="1:38" x14ac:dyDescent="0.3">
      <c r="A173" s="35">
        <v>693465253113</v>
      </c>
      <c r="B173" s="36" t="s">
        <v>339</v>
      </c>
      <c r="C173" s="36" t="s">
        <v>340</v>
      </c>
      <c r="D173" s="50">
        <f t="shared" si="40"/>
        <v>54.9</v>
      </c>
      <c r="E173" s="50">
        <v>27.45</v>
      </c>
      <c r="F173" s="47">
        <f t="shared" si="41"/>
        <v>-0.5</v>
      </c>
      <c r="G173" s="50">
        <f t="shared" si="42"/>
        <v>20.59</v>
      </c>
      <c r="H173" s="50">
        <f t="shared" si="48"/>
        <v>32.39</v>
      </c>
      <c r="I173" s="50">
        <f t="shared" si="48"/>
        <v>30.2</v>
      </c>
      <c r="L173" s="46">
        <v>26.9</v>
      </c>
      <c r="M173" s="46">
        <f t="shared" si="43"/>
        <v>0.55000000000000071</v>
      </c>
      <c r="N173" s="46">
        <v>20.18</v>
      </c>
      <c r="O173" s="46">
        <f t="shared" si="44"/>
        <v>0.41000000000000014</v>
      </c>
      <c r="P173" s="46"/>
      <c r="Q173" s="39">
        <v>3300.2996023065421</v>
      </c>
      <c r="R173" s="38">
        <f t="shared" si="45"/>
        <v>1353.1228369456828</v>
      </c>
      <c r="S173" s="47"/>
      <c r="T173" s="39">
        <v>2820.2996023065421</v>
      </c>
      <c r="U173" s="38">
        <f t="shared" si="46"/>
        <v>1156.3228369456826</v>
      </c>
      <c r="V173" s="51"/>
      <c r="W173" s="51"/>
      <c r="X173" s="46">
        <v>52.9</v>
      </c>
      <c r="Y173" s="47">
        <f t="shared" si="47"/>
        <v>1.7013232514177634E-2</v>
      </c>
      <c r="Z173" s="46">
        <f t="shared" si="34"/>
        <v>53.8</v>
      </c>
      <c r="AA173" s="12">
        <f t="shared" si="35"/>
        <v>-1.1000000000000014</v>
      </c>
      <c r="AB173" s="12">
        <f t="shared" si="36"/>
        <v>29.59</v>
      </c>
      <c r="AC173" s="12">
        <f t="shared" si="37"/>
        <v>-0.60999999999999943</v>
      </c>
      <c r="AD173" s="12">
        <f t="shared" si="38"/>
        <v>31.74</v>
      </c>
      <c r="AE173" s="12">
        <f t="shared" si="39"/>
        <v>-0.65000000000000213</v>
      </c>
      <c r="AF173" s="12"/>
      <c r="AJ173" s="11" t="e">
        <f>+#REF!*$AE173</f>
        <v>#REF!</v>
      </c>
      <c r="AK173" s="11" t="e">
        <f>+#REF!*$AA173</f>
        <v>#REF!</v>
      </c>
      <c r="AL173" s="11" t="e">
        <f>+#REF!*$AC173</f>
        <v>#REF!</v>
      </c>
    </row>
    <row r="174" spans="1:38" x14ac:dyDescent="0.3">
      <c r="B174" s="5" t="s">
        <v>341</v>
      </c>
      <c r="C174" s="5" t="s">
        <v>342</v>
      </c>
      <c r="D174" s="12">
        <f t="shared" si="40"/>
        <v>52.9</v>
      </c>
      <c r="E174" s="12">
        <v>26.45</v>
      </c>
      <c r="F174" s="47">
        <f t="shared" si="41"/>
        <v>-0.5</v>
      </c>
      <c r="G174" s="12">
        <f t="shared" si="42"/>
        <v>19.84</v>
      </c>
      <c r="H174" s="12">
        <f t="shared" si="48"/>
        <v>31.21</v>
      </c>
      <c r="I174" s="12">
        <f t="shared" si="48"/>
        <v>29.1</v>
      </c>
      <c r="L174" s="46">
        <v>26.9</v>
      </c>
      <c r="M174" s="46">
        <f t="shared" si="43"/>
        <v>-0.44999999999999929</v>
      </c>
      <c r="N174" s="46">
        <v>20.18</v>
      </c>
      <c r="O174" s="46">
        <f t="shared" si="44"/>
        <v>-0.33999999999999986</v>
      </c>
      <c r="P174" s="46"/>
      <c r="Q174" s="39">
        <v>518.67498940222561</v>
      </c>
      <c r="R174" s="38">
        <f t="shared" si="45"/>
        <v>-176.34949639675662</v>
      </c>
      <c r="S174" s="47"/>
      <c r="T174" s="39">
        <v>422.67498940222561</v>
      </c>
      <c r="U174" s="38">
        <f t="shared" si="46"/>
        <v>-143.70949639675663</v>
      </c>
      <c r="V174" s="51"/>
      <c r="W174" s="51"/>
      <c r="X174" s="46">
        <v>52.9</v>
      </c>
      <c r="Y174" s="47">
        <f t="shared" si="47"/>
        <v>1.7013232514177634E-2</v>
      </c>
      <c r="Z174" s="46">
        <f t="shared" si="34"/>
        <v>53.8</v>
      </c>
      <c r="AA174" s="12">
        <f t="shared" si="35"/>
        <v>0.89999999999999858</v>
      </c>
      <c r="AB174" s="12">
        <f t="shared" si="36"/>
        <v>29.59</v>
      </c>
      <c r="AC174" s="12">
        <f t="shared" si="37"/>
        <v>0.48999999999999844</v>
      </c>
      <c r="AD174" s="12">
        <f t="shared" si="38"/>
        <v>31.74</v>
      </c>
      <c r="AE174" s="12">
        <f t="shared" si="39"/>
        <v>0.52999999999999758</v>
      </c>
      <c r="AF174" s="12"/>
      <c r="AJ174" s="11" t="e">
        <f>+#REF!*$AE174</f>
        <v>#REF!</v>
      </c>
      <c r="AK174" s="11" t="e">
        <f>+#REF!*$AA174</f>
        <v>#REF!</v>
      </c>
      <c r="AL174" s="11" t="e">
        <f>+#REF!*$AC174</f>
        <v>#REF!</v>
      </c>
    </row>
    <row r="175" spans="1:38" x14ac:dyDescent="0.3">
      <c r="A175" s="35">
        <v>693465268117</v>
      </c>
      <c r="B175" s="36" t="s">
        <v>343</v>
      </c>
      <c r="C175" s="36" t="s">
        <v>344</v>
      </c>
      <c r="D175" s="50">
        <f t="shared" si="40"/>
        <v>68.900000000000006</v>
      </c>
      <c r="E175" s="50">
        <v>34.450000000000003</v>
      </c>
      <c r="F175" s="47">
        <f t="shared" si="41"/>
        <v>-0.5</v>
      </c>
      <c r="G175" s="50">
        <f t="shared" si="42"/>
        <v>25.84</v>
      </c>
      <c r="H175" s="50">
        <f t="shared" si="48"/>
        <v>40.65</v>
      </c>
      <c r="I175" s="50">
        <f t="shared" si="48"/>
        <v>37.9</v>
      </c>
      <c r="L175" s="46">
        <v>34.9</v>
      </c>
      <c r="M175" s="46">
        <f t="shared" si="43"/>
        <v>-0.44999999999999574</v>
      </c>
      <c r="N175" s="46">
        <v>25.810811836115327</v>
      </c>
      <c r="O175" s="46">
        <f t="shared" si="44"/>
        <v>2.9188163884672491E-2</v>
      </c>
      <c r="P175" s="46"/>
      <c r="Q175" s="39">
        <v>4824.5242211521318</v>
      </c>
      <c r="R175" s="38">
        <f t="shared" si="45"/>
        <v>140.81900363256034</v>
      </c>
      <c r="S175" s="47"/>
      <c r="T175" s="39">
        <v>4152.5242211521318</v>
      </c>
      <c r="U175" s="38">
        <f t="shared" si="46"/>
        <v>121.20455750206041</v>
      </c>
      <c r="V175" s="51"/>
      <c r="W175" s="51"/>
      <c r="X175" s="46">
        <v>66.900000000000006</v>
      </c>
      <c r="Y175" s="47">
        <f t="shared" si="47"/>
        <v>4.334828101644228E-2</v>
      </c>
      <c r="Z175" s="46">
        <f t="shared" si="34"/>
        <v>69.8</v>
      </c>
      <c r="AA175" s="12">
        <f t="shared" si="35"/>
        <v>0.89999999999999147</v>
      </c>
      <c r="AB175" s="12">
        <f t="shared" si="36"/>
        <v>38.39</v>
      </c>
      <c r="AC175" s="12">
        <f t="shared" si="37"/>
        <v>0.49000000000000199</v>
      </c>
      <c r="AD175" s="12">
        <f t="shared" si="38"/>
        <v>41.18</v>
      </c>
      <c r="AE175" s="12">
        <f t="shared" si="39"/>
        <v>0.53000000000000114</v>
      </c>
      <c r="AF175" s="12"/>
      <c r="AJ175" s="11" t="e">
        <f>+#REF!*$AE175</f>
        <v>#REF!</v>
      </c>
      <c r="AK175" s="11" t="e">
        <f>+#REF!*$AA175</f>
        <v>#REF!</v>
      </c>
      <c r="AL175" s="11" t="e">
        <f>+#REF!*$AC175</f>
        <v>#REF!</v>
      </c>
    </row>
    <row r="176" spans="1:38" x14ac:dyDescent="0.3">
      <c r="A176" s="4">
        <v>693465237113</v>
      </c>
      <c r="B176" s="5" t="s">
        <v>345</v>
      </c>
      <c r="C176" s="5" t="s">
        <v>346</v>
      </c>
      <c r="D176" s="12">
        <f t="shared" si="40"/>
        <v>38.9</v>
      </c>
      <c r="E176" s="12">
        <v>19.45</v>
      </c>
      <c r="F176" s="47">
        <f t="shared" si="41"/>
        <v>-0.5</v>
      </c>
      <c r="G176" s="12">
        <f t="shared" si="42"/>
        <v>14.59</v>
      </c>
      <c r="H176" s="12">
        <f t="shared" si="48"/>
        <v>22.95</v>
      </c>
      <c r="I176" s="12">
        <f t="shared" si="48"/>
        <v>21.4</v>
      </c>
      <c r="L176" s="46">
        <v>19.899999999999999</v>
      </c>
      <c r="M176" s="46">
        <f t="shared" si="43"/>
        <v>-0.44999999999999929</v>
      </c>
      <c r="N176" s="46">
        <v>14.93</v>
      </c>
      <c r="O176" s="46">
        <f t="shared" si="44"/>
        <v>-0.33999999999999986</v>
      </c>
      <c r="P176" s="46"/>
      <c r="Q176" s="39">
        <v>12400.766843665462</v>
      </c>
      <c r="R176" s="38">
        <f t="shared" si="45"/>
        <v>-4216.2607268462552</v>
      </c>
      <c r="S176" s="47"/>
      <c r="T176" s="39">
        <v>10636.766843665462</v>
      </c>
      <c r="U176" s="38">
        <f t="shared" si="46"/>
        <v>-3616.5007268462555</v>
      </c>
      <c r="V176" s="51"/>
      <c r="W176" s="51"/>
      <c r="X176" s="46">
        <v>38.9</v>
      </c>
      <c r="Y176" s="47">
        <f t="shared" si="47"/>
        <v>2.3136246786632286E-2</v>
      </c>
      <c r="Z176" s="46">
        <f t="shared" si="34"/>
        <v>39.799999999999997</v>
      </c>
      <c r="AA176" s="12">
        <f t="shared" si="35"/>
        <v>0.89999999999999858</v>
      </c>
      <c r="AB176" s="12">
        <f t="shared" si="36"/>
        <v>21.89</v>
      </c>
      <c r="AC176" s="12">
        <f t="shared" si="37"/>
        <v>0.49000000000000199</v>
      </c>
      <c r="AD176" s="12">
        <f t="shared" si="38"/>
        <v>23.48</v>
      </c>
      <c r="AE176" s="12">
        <f t="shared" si="39"/>
        <v>0.53000000000000114</v>
      </c>
      <c r="AF176" s="12"/>
      <c r="AJ176" s="11" t="e">
        <f>+#REF!*$AE176</f>
        <v>#REF!</v>
      </c>
      <c r="AK176" s="11" t="e">
        <f>+#REF!*$AA176</f>
        <v>#REF!</v>
      </c>
      <c r="AL176" s="11" t="e">
        <f>+#REF!*$AC176</f>
        <v>#REF!</v>
      </c>
    </row>
    <row r="177" spans="1:38" x14ac:dyDescent="0.3">
      <c r="A177" s="4">
        <v>693465312117</v>
      </c>
      <c r="B177" s="5" t="s">
        <v>347</v>
      </c>
      <c r="C177" s="5" t="s">
        <v>348</v>
      </c>
      <c r="D177" s="12">
        <f t="shared" si="40"/>
        <v>24.9</v>
      </c>
      <c r="E177" s="12">
        <v>12.45</v>
      </c>
      <c r="F177" s="47">
        <f t="shared" si="41"/>
        <v>-0.5</v>
      </c>
      <c r="G177" s="12">
        <f t="shared" si="42"/>
        <v>9.34</v>
      </c>
      <c r="H177" s="12">
        <f t="shared" si="48"/>
        <v>14.69</v>
      </c>
      <c r="I177" s="12">
        <f t="shared" si="48"/>
        <v>13.7</v>
      </c>
      <c r="L177" s="46">
        <v>12.9</v>
      </c>
      <c r="M177" s="46">
        <f t="shared" si="43"/>
        <v>-0.45000000000000107</v>
      </c>
      <c r="N177" s="46">
        <v>9.68</v>
      </c>
      <c r="O177" s="46">
        <f t="shared" si="44"/>
        <v>-0.33999999999999986</v>
      </c>
      <c r="P177" s="46"/>
      <c r="Q177" s="39">
        <v>4364.4262198517263</v>
      </c>
      <c r="R177" s="38">
        <f t="shared" si="45"/>
        <v>-1483.9049147495864</v>
      </c>
      <c r="S177" s="47"/>
      <c r="T177" s="39">
        <v>3860.4262198517258</v>
      </c>
      <c r="U177" s="38">
        <f t="shared" si="46"/>
        <v>-1312.5449147495863</v>
      </c>
      <c r="V177" s="51"/>
      <c r="W177" s="51"/>
      <c r="X177" s="46">
        <v>24.9</v>
      </c>
      <c r="Y177" s="47">
        <f t="shared" si="47"/>
        <v>3.6144578313253017E-2</v>
      </c>
      <c r="Z177" s="46">
        <f t="shared" si="34"/>
        <v>25.8</v>
      </c>
      <c r="AA177" s="12">
        <f t="shared" si="35"/>
        <v>0.90000000000000213</v>
      </c>
      <c r="AB177" s="12">
        <f t="shared" si="36"/>
        <v>14.19</v>
      </c>
      <c r="AC177" s="12">
        <f t="shared" si="37"/>
        <v>0.49000000000000021</v>
      </c>
      <c r="AD177" s="12">
        <f t="shared" si="38"/>
        <v>15.22</v>
      </c>
      <c r="AE177" s="12">
        <f t="shared" si="39"/>
        <v>0.53000000000000114</v>
      </c>
      <c r="AF177" s="12"/>
      <c r="AJ177" s="11" t="e">
        <f>+#REF!*$AE177</f>
        <v>#REF!</v>
      </c>
      <c r="AK177" s="11" t="e">
        <f>+#REF!*$AA177</f>
        <v>#REF!</v>
      </c>
      <c r="AL177" s="11" t="e">
        <f>+#REF!*$AC177</f>
        <v>#REF!</v>
      </c>
    </row>
    <row r="178" spans="1:38" x14ac:dyDescent="0.3">
      <c r="A178" s="4">
        <v>693465116111</v>
      </c>
      <c r="B178" s="5" t="s">
        <v>349</v>
      </c>
      <c r="C178" s="5" t="s">
        <v>350</v>
      </c>
      <c r="D178" s="12">
        <f t="shared" si="40"/>
        <v>23.9</v>
      </c>
      <c r="E178" s="12">
        <v>11.95</v>
      </c>
      <c r="F178" s="47">
        <f t="shared" si="41"/>
        <v>-0.5</v>
      </c>
      <c r="G178" s="12">
        <f t="shared" si="42"/>
        <v>8.9600000000000009</v>
      </c>
      <c r="H178" s="12">
        <f t="shared" si="48"/>
        <v>14.1</v>
      </c>
      <c r="I178" s="12">
        <f t="shared" si="48"/>
        <v>13.15</v>
      </c>
      <c r="L178" s="46">
        <v>11.9</v>
      </c>
      <c r="M178" s="46">
        <f t="shared" si="43"/>
        <v>4.9999999999998934E-2</v>
      </c>
      <c r="N178" s="46">
        <v>8.93</v>
      </c>
      <c r="O178" s="46">
        <f t="shared" si="44"/>
        <v>3.0000000000001137E-2</v>
      </c>
      <c r="P178" s="46"/>
      <c r="Q178" s="39">
        <v>2064.807848999078</v>
      </c>
      <c r="R178" s="38">
        <f t="shared" si="45"/>
        <v>61.944235469974686</v>
      </c>
      <c r="S178" s="47"/>
      <c r="T178" s="39">
        <v>1824.8078489990785</v>
      </c>
      <c r="U178" s="38">
        <f t="shared" si="46"/>
        <v>54.744235469974427</v>
      </c>
      <c r="V178" s="51"/>
      <c r="W178" s="51"/>
      <c r="X178" s="46">
        <v>23.9</v>
      </c>
      <c r="Y178" s="47">
        <f t="shared" si="47"/>
        <v>-4.1841004184099972E-3</v>
      </c>
      <c r="Z178" s="46">
        <f t="shared" si="34"/>
        <v>23.8</v>
      </c>
      <c r="AA178" s="12">
        <f t="shared" si="35"/>
        <v>-9.9999999999997868E-2</v>
      </c>
      <c r="AB178" s="12">
        <f t="shared" si="36"/>
        <v>13.09</v>
      </c>
      <c r="AC178" s="12">
        <f t="shared" si="37"/>
        <v>-6.0000000000000497E-2</v>
      </c>
      <c r="AD178" s="12">
        <f t="shared" si="38"/>
        <v>14.04</v>
      </c>
      <c r="AE178" s="12">
        <f t="shared" si="39"/>
        <v>-6.0000000000000497E-2</v>
      </c>
      <c r="AF178" s="12"/>
      <c r="AJ178" s="11" t="e">
        <f>+#REF!*$AE178</f>
        <v>#REF!</v>
      </c>
      <c r="AK178" s="11" t="e">
        <f>+#REF!*$AA178</f>
        <v>#REF!</v>
      </c>
      <c r="AL178" s="11" t="e">
        <f>+#REF!*$AC178</f>
        <v>#REF!</v>
      </c>
    </row>
    <row r="179" spans="1:38" x14ac:dyDescent="0.3">
      <c r="A179" s="4">
        <v>693465508114</v>
      </c>
      <c r="B179" s="5" t="s">
        <v>351</v>
      </c>
      <c r="C179" s="5" t="s">
        <v>352</v>
      </c>
      <c r="D179" s="12">
        <f t="shared" si="40"/>
        <v>24.9</v>
      </c>
      <c r="E179" s="12">
        <v>12.45</v>
      </c>
      <c r="F179" s="47">
        <f t="shared" si="41"/>
        <v>-0.5</v>
      </c>
      <c r="G179" s="12">
        <f t="shared" si="42"/>
        <v>9.34</v>
      </c>
      <c r="H179" s="12">
        <f t="shared" si="48"/>
        <v>14.69</v>
      </c>
      <c r="I179" s="12">
        <f t="shared" si="48"/>
        <v>13.7</v>
      </c>
      <c r="L179" s="46">
        <v>13.9</v>
      </c>
      <c r="M179" s="46">
        <f t="shared" si="43"/>
        <v>-1.4500000000000011</v>
      </c>
      <c r="N179" s="46">
        <v>10.079811715481171</v>
      </c>
      <c r="O179" s="46">
        <f t="shared" si="44"/>
        <v>-0.73981171548117075</v>
      </c>
      <c r="P179" s="46"/>
      <c r="Q179" s="39">
        <v>1594.7169368040925</v>
      </c>
      <c r="R179" s="38">
        <f t="shared" si="45"/>
        <v>-1179.7902727239134</v>
      </c>
      <c r="S179" s="47"/>
      <c r="T179" s="39">
        <v>1366.7169368040929</v>
      </c>
      <c r="U179" s="38">
        <f t="shared" si="46"/>
        <v>-1011.1132015942069</v>
      </c>
      <c r="V179" s="51"/>
      <c r="W179" s="51"/>
      <c r="X179" s="46">
        <v>24.9</v>
      </c>
      <c r="Y179" s="47">
        <f t="shared" si="47"/>
        <v>0.11646586345381538</v>
      </c>
      <c r="Z179" s="46">
        <f t="shared" si="34"/>
        <v>27.8</v>
      </c>
      <c r="AA179" s="12">
        <f t="shared" si="35"/>
        <v>2.9000000000000021</v>
      </c>
      <c r="AB179" s="12">
        <f t="shared" si="36"/>
        <v>15.29</v>
      </c>
      <c r="AC179" s="12">
        <f t="shared" si="37"/>
        <v>1.5899999999999999</v>
      </c>
      <c r="AD179" s="12">
        <f t="shared" si="38"/>
        <v>16.399999999999999</v>
      </c>
      <c r="AE179" s="12">
        <f t="shared" si="39"/>
        <v>1.7099999999999991</v>
      </c>
      <c r="AF179" s="12"/>
      <c r="AJ179" s="11" t="e">
        <f>+#REF!*$AE179</f>
        <v>#REF!</v>
      </c>
      <c r="AK179" s="11" t="e">
        <f>+#REF!*$AA179</f>
        <v>#REF!</v>
      </c>
      <c r="AL179" s="11" t="e">
        <f>+#REF!*$AC179</f>
        <v>#REF!</v>
      </c>
    </row>
    <row r="180" spans="1:38" x14ac:dyDescent="0.3">
      <c r="A180" s="4">
        <v>693465263112</v>
      </c>
      <c r="B180" s="5" t="s">
        <v>353</v>
      </c>
      <c r="C180" s="5" t="s">
        <v>354</v>
      </c>
      <c r="D180" s="12">
        <f t="shared" si="40"/>
        <v>36.9</v>
      </c>
      <c r="E180" s="12">
        <v>18.45</v>
      </c>
      <c r="F180" s="47">
        <f t="shared" si="41"/>
        <v>-0.5</v>
      </c>
      <c r="G180" s="12">
        <f t="shared" si="42"/>
        <v>13.84</v>
      </c>
      <c r="H180" s="12">
        <f t="shared" si="48"/>
        <v>21.77</v>
      </c>
      <c r="I180" s="12">
        <f t="shared" si="48"/>
        <v>20.3</v>
      </c>
      <c r="L180" s="46">
        <v>18.899999999999999</v>
      </c>
      <c r="M180" s="46">
        <f t="shared" si="43"/>
        <v>-0.44999999999999929</v>
      </c>
      <c r="N180" s="46">
        <v>14.18</v>
      </c>
      <c r="O180" s="46">
        <f t="shared" si="44"/>
        <v>-0.33999999999999986</v>
      </c>
      <c r="P180" s="46"/>
      <c r="Q180" s="39">
        <v>13198.143572579582</v>
      </c>
      <c r="R180" s="38">
        <f t="shared" si="45"/>
        <v>-4487.3688146770555</v>
      </c>
      <c r="S180" s="47"/>
      <c r="T180" s="39">
        <v>11518.143572579582</v>
      </c>
      <c r="U180" s="38">
        <f t="shared" si="46"/>
        <v>-3916.1688146770562</v>
      </c>
      <c r="V180" s="51"/>
      <c r="W180" s="51"/>
      <c r="X180" s="46">
        <v>36.9</v>
      </c>
      <c r="Y180" s="47">
        <f t="shared" si="47"/>
        <v>2.4390243902439046E-2</v>
      </c>
      <c r="Z180" s="46">
        <f t="shared" si="34"/>
        <v>37.799999999999997</v>
      </c>
      <c r="AA180" s="12">
        <f t="shared" si="35"/>
        <v>0.89999999999999858</v>
      </c>
      <c r="AB180" s="12">
        <f t="shared" si="36"/>
        <v>20.79</v>
      </c>
      <c r="AC180" s="12">
        <f t="shared" si="37"/>
        <v>0.48999999999999844</v>
      </c>
      <c r="AD180" s="12">
        <f t="shared" si="38"/>
        <v>22.3</v>
      </c>
      <c r="AE180" s="12">
        <f t="shared" si="39"/>
        <v>0.53000000000000114</v>
      </c>
      <c r="AF180" s="12"/>
      <c r="AJ180" s="11" t="e">
        <f>+#REF!*$AE180</f>
        <v>#REF!</v>
      </c>
      <c r="AK180" s="11" t="e">
        <f>+#REF!*$AA180</f>
        <v>#REF!</v>
      </c>
      <c r="AL180" s="11" t="e">
        <f>+#REF!*$AC180</f>
        <v>#REF!</v>
      </c>
    </row>
    <row r="181" spans="1:38" x14ac:dyDescent="0.3">
      <c r="A181" s="4">
        <v>693465263310</v>
      </c>
      <c r="B181" s="5" t="s">
        <v>355</v>
      </c>
      <c r="C181" s="5" t="s">
        <v>356</v>
      </c>
      <c r="D181" s="12">
        <f t="shared" si="40"/>
        <v>68.900000000000006</v>
      </c>
      <c r="E181" s="12">
        <v>34.450000000000003</v>
      </c>
      <c r="F181" s="47">
        <f t="shared" si="41"/>
        <v>-0.5</v>
      </c>
      <c r="G181" s="12">
        <f t="shared" si="42"/>
        <v>25.84</v>
      </c>
      <c r="H181" s="12">
        <f t="shared" si="48"/>
        <v>40.65</v>
      </c>
      <c r="I181" s="12">
        <f t="shared" si="48"/>
        <v>37.9</v>
      </c>
      <c r="L181" s="46">
        <v>34.9</v>
      </c>
      <c r="M181" s="46">
        <f t="shared" si="43"/>
        <v>-0.44999999999999574</v>
      </c>
      <c r="N181" s="46">
        <v>26.18</v>
      </c>
      <c r="O181" s="46">
        <f t="shared" si="44"/>
        <v>-0.33999999999999986</v>
      </c>
      <c r="P181" s="46"/>
      <c r="Q181" s="39">
        <v>1853.8888722192785</v>
      </c>
      <c r="R181" s="38">
        <f t="shared" si="45"/>
        <v>-630.32221655455442</v>
      </c>
      <c r="S181" s="47"/>
      <c r="T181" s="39">
        <v>1457.8888722192785</v>
      </c>
      <c r="U181" s="38">
        <f t="shared" si="46"/>
        <v>-495.68221655455449</v>
      </c>
      <c r="V181" s="51"/>
      <c r="W181" s="51"/>
      <c r="X181" s="46">
        <v>66.900000000000006</v>
      </c>
      <c r="Y181" s="47">
        <f t="shared" si="47"/>
        <v>4.334828101644228E-2</v>
      </c>
      <c r="Z181" s="46">
        <f t="shared" si="34"/>
        <v>69.8</v>
      </c>
      <c r="AA181" s="12">
        <f t="shared" si="35"/>
        <v>0.89999999999999147</v>
      </c>
      <c r="AB181" s="12">
        <f t="shared" si="36"/>
        <v>38.39</v>
      </c>
      <c r="AC181" s="12">
        <f t="shared" si="37"/>
        <v>0.49000000000000199</v>
      </c>
      <c r="AD181" s="12">
        <f t="shared" si="38"/>
        <v>41.18</v>
      </c>
      <c r="AE181" s="12">
        <f t="shared" si="39"/>
        <v>0.53000000000000114</v>
      </c>
      <c r="AF181" s="12"/>
      <c r="AJ181" s="11" t="e">
        <f>+#REF!*$AE181</f>
        <v>#REF!</v>
      </c>
      <c r="AK181" s="11" t="e">
        <f>+#REF!*$AA181</f>
        <v>#REF!</v>
      </c>
      <c r="AL181" s="11" t="e">
        <f>+#REF!*$AC181</f>
        <v>#REF!</v>
      </c>
    </row>
    <row r="182" spans="1:38" x14ac:dyDescent="0.3">
      <c r="A182" s="4">
        <v>693465309117</v>
      </c>
      <c r="B182" s="5" t="s">
        <v>357</v>
      </c>
      <c r="C182" s="5" t="s">
        <v>358</v>
      </c>
      <c r="D182" s="12">
        <f t="shared" si="40"/>
        <v>24.9</v>
      </c>
      <c r="E182" s="12">
        <v>12.45</v>
      </c>
      <c r="F182" s="47">
        <f t="shared" si="41"/>
        <v>-0.5</v>
      </c>
      <c r="G182" s="12">
        <f t="shared" si="42"/>
        <v>9.34</v>
      </c>
      <c r="H182" s="12">
        <f t="shared" si="48"/>
        <v>14.69</v>
      </c>
      <c r="I182" s="12">
        <f t="shared" si="48"/>
        <v>13.7</v>
      </c>
      <c r="L182" s="46">
        <v>13.9</v>
      </c>
      <c r="M182" s="46">
        <f t="shared" si="43"/>
        <v>-1.4500000000000011</v>
      </c>
      <c r="N182" s="46">
        <v>10.43</v>
      </c>
      <c r="O182" s="46">
        <f t="shared" si="44"/>
        <v>-1.0899999999999999</v>
      </c>
      <c r="P182" s="46"/>
      <c r="Q182" s="39">
        <v>33470.257727586199</v>
      </c>
      <c r="R182" s="38">
        <f t="shared" si="45"/>
        <v>-36482.580923068948</v>
      </c>
      <c r="S182" s="47"/>
      <c r="T182" s="39">
        <v>28922.257727586199</v>
      </c>
      <c r="U182" s="38">
        <f t="shared" si="46"/>
        <v>-31525.260923068952</v>
      </c>
      <c r="V182" s="51"/>
      <c r="W182" s="51"/>
      <c r="X182" s="46">
        <v>24.9</v>
      </c>
      <c r="Y182" s="47">
        <f t="shared" si="47"/>
        <v>0.11646586345381538</v>
      </c>
      <c r="Z182" s="46">
        <f t="shared" si="34"/>
        <v>27.8</v>
      </c>
      <c r="AA182" s="12">
        <f t="shared" si="35"/>
        <v>2.9000000000000021</v>
      </c>
      <c r="AB182" s="12">
        <f t="shared" si="36"/>
        <v>15.29</v>
      </c>
      <c r="AC182" s="12">
        <f t="shared" si="37"/>
        <v>1.5899999999999999</v>
      </c>
      <c r="AD182" s="12">
        <f t="shared" si="38"/>
        <v>16.399999999999999</v>
      </c>
      <c r="AE182" s="12">
        <f t="shared" si="39"/>
        <v>1.7099999999999991</v>
      </c>
      <c r="AF182" s="12"/>
      <c r="AJ182" s="11" t="e">
        <f>+#REF!*$AE182</f>
        <v>#REF!</v>
      </c>
      <c r="AK182" s="11" t="e">
        <f>+#REF!*$AA182</f>
        <v>#REF!</v>
      </c>
      <c r="AL182" s="11" t="e">
        <f>+#REF!*$AC182</f>
        <v>#REF!</v>
      </c>
    </row>
    <row r="183" spans="1:38" x14ac:dyDescent="0.3">
      <c r="A183" s="4">
        <v>693465309216</v>
      </c>
      <c r="B183" s="5" t="s">
        <v>359</v>
      </c>
      <c r="C183" s="5" t="s">
        <v>360</v>
      </c>
      <c r="D183" s="12">
        <f t="shared" si="40"/>
        <v>46.9</v>
      </c>
      <c r="E183" s="12">
        <v>23.45</v>
      </c>
      <c r="F183" s="47">
        <f t="shared" si="41"/>
        <v>-0.5</v>
      </c>
      <c r="G183" s="12">
        <f t="shared" si="42"/>
        <v>17.59</v>
      </c>
      <c r="H183" s="12">
        <f t="shared" si="48"/>
        <v>27.67</v>
      </c>
      <c r="I183" s="12">
        <f t="shared" si="48"/>
        <v>25.8</v>
      </c>
      <c r="L183" s="46">
        <v>24.9</v>
      </c>
      <c r="M183" s="46">
        <f t="shared" si="43"/>
        <v>-1.4499999999999993</v>
      </c>
      <c r="N183" s="46">
        <v>17.940033407572379</v>
      </c>
      <c r="O183" s="46">
        <f t="shared" si="44"/>
        <v>-0.35003340757237922</v>
      </c>
      <c r="P183" s="46"/>
      <c r="Q183" s="39">
        <v>25685.928795195239</v>
      </c>
      <c r="R183" s="38">
        <f t="shared" si="45"/>
        <v>-8990.9331828436862</v>
      </c>
      <c r="S183" s="47"/>
      <c r="T183" s="39">
        <v>21929.928795195239</v>
      </c>
      <c r="U183" s="38">
        <f t="shared" si="46"/>
        <v>-7676.2077040018303</v>
      </c>
      <c r="V183" s="51"/>
      <c r="W183" s="51"/>
      <c r="X183" s="46">
        <v>46.9</v>
      </c>
      <c r="Y183" s="47">
        <f t="shared" si="47"/>
        <v>6.1833688699360234E-2</v>
      </c>
      <c r="Z183" s="46">
        <f t="shared" si="34"/>
        <v>49.8</v>
      </c>
      <c r="AA183" s="12">
        <f t="shared" si="35"/>
        <v>2.8999999999999986</v>
      </c>
      <c r="AB183" s="12">
        <f t="shared" si="36"/>
        <v>27.39</v>
      </c>
      <c r="AC183" s="12">
        <f t="shared" si="37"/>
        <v>1.5899999999999999</v>
      </c>
      <c r="AD183" s="12">
        <f t="shared" si="38"/>
        <v>29.38</v>
      </c>
      <c r="AE183" s="12">
        <f t="shared" si="39"/>
        <v>1.7099999999999973</v>
      </c>
      <c r="AF183" s="12"/>
      <c r="AJ183" s="11" t="e">
        <f>+#REF!*$AE183</f>
        <v>#REF!</v>
      </c>
      <c r="AK183" s="11" t="e">
        <f>+#REF!*$AA183</f>
        <v>#REF!</v>
      </c>
      <c r="AL183" s="11" t="e">
        <f>+#REF!*$AC183</f>
        <v>#REF!</v>
      </c>
    </row>
    <row r="184" spans="1:38" x14ac:dyDescent="0.3">
      <c r="A184" s="4">
        <v>693465510117</v>
      </c>
      <c r="B184" s="5" t="s">
        <v>361</v>
      </c>
      <c r="C184" s="5" t="s">
        <v>362</v>
      </c>
      <c r="D184" s="12">
        <f t="shared" si="40"/>
        <v>15.9</v>
      </c>
      <c r="E184" s="12">
        <v>7.95</v>
      </c>
      <c r="F184" s="47">
        <f t="shared" si="41"/>
        <v>-0.5</v>
      </c>
      <c r="G184" s="12">
        <f t="shared" si="42"/>
        <v>5.96</v>
      </c>
      <c r="H184" s="12">
        <f t="shared" si="48"/>
        <v>9.3800000000000008</v>
      </c>
      <c r="I184" s="12">
        <f t="shared" si="48"/>
        <v>8.75</v>
      </c>
      <c r="L184" s="46">
        <v>8.9</v>
      </c>
      <c r="M184" s="46">
        <f t="shared" si="43"/>
        <v>-0.95000000000000018</v>
      </c>
      <c r="N184" s="46">
        <v>6.3226510067114097</v>
      </c>
      <c r="O184" s="46">
        <f t="shared" si="44"/>
        <v>-0.36265100671140971</v>
      </c>
      <c r="P184" s="46"/>
      <c r="Q184" s="39">
        <v>4389.587407160192</v>
      </c>
      <c r="R184" s="38">
        <f t="shared" si="45"/>
        <v>-1591.8882922543703</v>
      </c>
      <c r="S184" s="47"/>
      <c r="T184" s="39">
        <v>3729.5874071601925</v>
      </c>
      <c r="U184" s="38">
        <f t="shared" si="46"/>
        <v>-1352.53862782484</v>
      </c>
      <c r="V184" s="51"/>
      <c r="W184" s="51"/>
      <c r="X184" s="46">
        <v>15.9</v>
      </c>
      <c r="Y184" s="47">
        <f t="shared" si="47"/>
        <v>0.11949685534591192</v>
      </c>
      <c r="Z184" s="46">
        <f t="shared" si="34"/>
        <v>17.8</v>
      </c>
      <c r="AA184" s="12">
        <f t="shared" si="35"/>
        <v>1.9000000000000004</v>
      </c>
      <c r="AB184" s="12">
        <f t="shared" si="36"/>
        <v>9.7899999999999991</v>
      </c>
      <c r="AC184" s="12">
        <f t="shared" si="37"/>
        <v>1.0399999999999991</v>
      </c>
      <c r="AD184" s="12">
        <f t="shared" si="38"/>
        <v>10.5</v>
      </c>
      <c r="AE184" s="12">
        <f t="shared" si="39"/>
        <v>1.1199999999999992</v>
      </c>
      <c r="AF184" s="12"/>
      <c r="AJ184" s="11" t="e">
        <f>+#REF!*$AE184</f>
        <v>#REF!</v>
      </c>
      <c r="AK184" s="11" t="e">
        <f>+#REF!*$AA184</f>
        <v>#REF!</v>
      </c>
      <c r="AL184" s="11" t="e">
        <f>+#REF!*$AC184</f>
        <v>#REF!</v>
      </c>
    </row>
    <row r="185" spans="1:38" x14ac:dyDescent="0.3">
      <c r="A185" s="4">
        <v>693465512111</v>
      </c>
      <c r="B185" s="5" t="s">
        <v>363</v>
      </c>
      <c r="C185" s="5" t="s">
        <v>364</v>
      </c>
      <c r="D185" s="12">
        <f t="shared" si="40"/>
        <v>29.9</v>
      </c>
      <c r="E185" s="12">
        <v>14.95</v>
      </c>
      <c r="F185" s="47">
        <f t="shared" si="41"/>
        <v>-0.5</v>
      </c>
      <c r="G185" s="12">
        <f t="shared" si="42"/>
        <v>11.21</v>
      </c>
      <c r="H185" s="12">
        <f t="shared" si="48"/>
        <v>17.64</v>
      </c>
      <c r="I185" s="12">
        <f t="shared" si="48"/>
        <v>16.45</v>
      </c>
      <c r="L185" s="46">
        <v>15.9</v>
      </c>
      <c r="M185" s="46">
        <f t="shared" si="43"/>
        <v>-0.95000000000000107</v>
      </c>
      <c r="N185" s="46">
        <v>11.93</v>
      </c>
      <c r="O185" s="46">
        <f t="shared" si="44"/>
        <v>-0.71999999999999886</v>
      </c>
      <c r="P185" s="46"/>
      <c r="Q185" s="39">
        <v>7114.2131153170558</v>
      </c>
      <c r="R185" s="38">
        <f t="shared" si="45"/>
        <v>-5122.2334430282717</v>
      </c>
      <c r="S185" s="47"/>
      <c r="T185" s="39">
        <v>6166.2131153170558</v>
      </c>
      <c r="U185" s="38">
        <f t="shared" si="46"/>
        <v>-4439.6734430282731</v>
      </c>
      <c r="V185" s="51"/>
      <c r="W185" s="51"/>
      <c r="X185" s="46">
        <v>29.9</v>
      </c>
      <c r="Y185" s="47">
        <f t="shared" si="47"/>
        <v>6.3545150501672421E-2</v>
      </c>
      <c r="Z185" s="46">
        <f t="shared" si="34"/>
        <v>31.8</v>
      </c>
      <c r="AA185" s="12">
        <f t="shared" si="35"/>
        <v>1.9000000000000021</v>
      </c>
      <c r="AB185" s="12">
        <f t="shared" si="36"/>
        <v>17.489999999999998</v>
      </c>
      <c r="AC185" s="12">
        <f t="shared" si="37"/>
        <v>1.0399999999999991</v>
      </c>
      <c r="AD185" s="12">
        <f t="shared" si="38"/>
        <v>18.760000000000002</v>
      </c>
      <c r="AE185" s="12">
        <f t="shared" si="39"/>
        <v>1.120000000000001</v>
      </c>
      <c r="AF185" s="12"/>
      <c r="AJ185" s="11" t="e">
        <f>+#REF!*$AE185</f>
        <v>#REF!</v>
      </c>
      <c r="AK185" s="11" t="e">
        <f>+#REF!*$AA185</f>
        <v>#REF!</v>
      </c>
      <c r="AL185" s="11" t="e">
        <f>+#REF!*$AC185</f>
        <v>#REF!</v>
      </c>
    </row>
    <row r="186" spans="1:38" x14ac:dyDescent="0.3">
      <c r="A186" s="4">
        <v>693465000007</v>
      </c>
      <c r="B186" s="5" t="s">
        <v>365</v>
      </c>
      <c r="C186" s="5" t="s">
        <v>366</v>
      </c>
      <c r="D186" s="12">
        <f t="shared" si="40"/>
        <v>51.9</v>
      </c>
      <c r="E186" s="12">
        <v>25.95</v>
      </c>
      <c r="F186" s="47">
        <f t="shared" si="41"/>
        <v>-0.5</v>
      </c>
      <c r="G186" s="12">
        <f t="shared" si="42"/>
        <v>19.46</v>
      </c>
      <c r="H186" s="12">
        <f t="shared" si="48"/>
        <v>30.62</v>
      </c>
      <c r="I186" s="12">
        <f t="shared" si="48"/>
        <v>28.55</v>
      </c>
      <c r="L186" s="46">
        <v>25.9</v>
      </c>
      <c r="M186" s="46">
        <f t="shared" si="43"/>
        <v>5.0000000000000711E-2</v>
      </c>
      <c r="N186" s="46">
        <v>19.43</v>
      </c>
      <c r="O186" s="46">
        <f t="shared" si="44"/>
        <v>3.0000000000001137E-2</v>
      </c>
      <c r="P186" s="46"/>
      <c r="Q186" s="39">
        <v>500.2764160028587</v>
      </c>
      <c r="R186" s="38">
        <f t="shared" si="45"/>
        <v>15.008292480086329</v>
      </c>
      <c r="S186" s="47"/>
      <c r="T186" s="39">
        <v>404.27641600285864</v>
      </c>
      <c r="U186" s="38">
        <f t="shared" si="46"/>
        <v>12.128292480086218</v>
      </c>
      <c r="V186" s="51"/>
      <c r="W186" s="51"/>
      <c r="X186" s="46">
        <v>51.9</v>
      </c>
      <c r="Y186" s="47">
        <f t="shared" si="47"/>
        <v>-1.9267822736031004E-3</v>
      </c>
      <c r="Z186" s="46">
        <f t="shared" si="34"/>
        <v>51.8</v>
      </c>
      <c r="AA186" s="12">
        <f t="shared" si="35"/>
        <v>-0.10000000000000142</v>
      </c>
      <c r="AB186" s="12">
        <f t="shared" si="36"/>
        <v>28.49</v>
      </c>
      <c r="AC186" s="12">
        <f t="shared" si="37"/>
        <v>-6.0000000000002274E-2</v>
      </c>
      <c r="AD186" s="12">
        <f t="shared" si="38"/>
        <v>30.56</v>
      </c>
      <c r="AE186" s="12">
        <f t="shared" si="39"/>
        <v>-6.0000000000002274E-2</v>
      </c>
      <c r="AF186" s="12"/>
      <c r="AJ186" s="11" t="e">
        <f>+#REF!*$AE186</f>
        <v>#REF!</v>
      </c>
      <c r="AK186" s="11" t="e">
        <f>+#REF!*$AA186</f>
        <v>#REF!</v>
      </c>
      <c r="AL186" s="11" t="e">
        <f>+#REF!*$AC186</f>
        <v>#REF!</v>
      </c>
    </row>
    <row r="187" spans="1:38" x14ac:dyDescent="0.3">
      <c r="A187" s="4">
        <v>693465545119</v>
      </c>
      <c r="B187" s="5" t="s">
        <v>367</v>
      </c>
      <c r="C187" s="5" t="s">
        <v>368</v>
      </c>
      <c r="D187" s="12">
        <f t="shared" si="40"/>
        <v>22.9</v>
      </c>
      <c r="E187" s="12">
        <v>11.45</v>
      </c>
      <c r="F187" s="47">
        <f t="shared" si="41"/>
        <v>-0.5</v>
      </c>
      <c r="G187" s="12">
        <f t="shared" si="42"/>
        <v>8.59</v>
      </c>
      <c r="H187" s="12">
        <f t="shared" si="48"/>
        <v>13.51</v>
      </c>
      <c r="I187" s="12">
        <f t="shared" si="48"/>
        <v>12.6</v>
      </c>
      <c r="L187" s="46">
        <v>11.9</v>
      </c>
      <c r="M187" s="46">
        <f t="shared" si="43"/>
        <v>-0.45000000000000107</v>
      </c>
      <c r="N187" s="46">
        <v>8.93</v>
      </c>
      <c r="O187" s="46">
        <f t="shared" si="44"/>
        <v>-0.33999999999999986</v>
      </c>
      <c r="P187" s="46"/>
      <c r="Q187" s="39">
        <v>3431.3473059499602</v>
      </c>
      <c r="R187" s="38">
        <f t="shared" si="45"/>
        <v>-1166.658084022986</v>
      </c>
      <c r="S187" s="47"/>
      <c r="T187" s="39">
        <v>2723.3473059499602</v>
      </c>
      <c r="U187" s="38">
        <f t="shared" si="46"/>
        <v>-925.93808402298612</v>
      </c>
      <c r="V187" s="51"/>
      <c r="W187" s="51"/>
      <c r="X187" s="46">
        <v>22.9</v>
      </c>
      <c r="Y187" s="47">
        <f t="shared" si="47"/>
        <v>3.9301310043668325E-2</v>
      </c>
      <c r="Z187" s="46">
        <f t="shared" si="34"/>
        <v>23.8</v>
      </c>
      <c r="AA187" s="12">
        <f t="shared" si="35"/>
        <v>0.90000000000000213</v>
      </c>
      <c r="AB187" s="12">
        <f t="shared" si="36"/>
        <v>13.09</v>
      </c>
      <c r="AC187" s="12">
        <f t="shared" si="37"/>
        <v>0.49000000000000021</v>
      </c>
      <c r="AD187" s="12">
        <f t="shared" si="38"/>
        <v>14.04</v>
      </c>
      <c r="AE187" s="12">
        <f t="shared" si="39"/>
        <v>0.52999999999999936</v>
      </c>
      <c r="AF187" s="12"/>
      <c r="AJ187" s="11" t="e">
        <f>+#REF!*$AE187</f>
        <v>#REF!</v>
      </c>
      <c r="AK187" s="11" t="e">
        <f>+#REF!*$AA187</f>
        <v>#REF!</v>
      </c>
      <c r="AL187" s="11" t="e">
        <f>+#REF!*$AC187</f>
        <v>#REF!</v>
      </c>
    </row>
    <row r="188" spans="1:38" x14ac:dyDescent="0.3">
      <c r="A188" s="4">
        <v>693465513118</v>
      </c>
      <c r="B188" s="5" t="s">
        <v>369</v>
      </c>
      <c r="C188" s="5" t="s">
        <v>370</v>
      </c>
      <c r="D188" s="12">
        <f t="shared" si="40"/>
        <v>16.899999999999999</v>
      </c>
      <c r="E188" s="12">
        <v>8.4499999999999993</v>
      </c>
      <c r="F188" s="47">
        <f t="shared" si="41"/>
        <v>-0.5</v>
      </c>
      <c r="G188" s="12">
        <f t="shared" si="42"/>
        <v>6.34</v>
      </c>
      <c r="H188" s="12">
        <f t="shared" si="48"/>
        <v>9.9700000000000006</v>
      </c>
      <c r="I188" s="12">
        <f t="shared" si="48"/>
        <v>9.3000000000000007</v>
      </c>
      <c r="L188" s="46">
        <v>8.9</v>
      </c>
      <c r="M188" s="46">
        <f t="shared" si="43"/>
        <v>-0.45000000000000107</v>
      </c>
      <c r="N188" s="46">
        <v>6.68</v>
      </c>
      <c r="O188" s="46">
        <f t="shared" si="44"/>
        <v>-0.33999999999999986</v>
      </c>
      <c r="P188" s="46"/>
      <c r="Q188" s="39">
        <v>4511.0209589249416</v>
      </c>
      <c r="R188" s="38">
        <f t="shared" si="45"/>
        <v>-1533.7471260344796</v>
      </c>
      <c r="S188" s="47"/>
      <c r="T188" s="39">
        <v>3851.0209589249416</v>
      </c>
      <c r="U188" s="38">
        <f t="shared" si="46"/>
        <v>-1309.3471260344795</v>
      </c>
      <c r="V188" s="51"/>
      <c r="W188" s="51"/>
      <c r="X188" s="46">
        <v>16.899999999999999</v>
      </c>
      <c r="Y188" s="47">
        <f t="shared" si="47"/>
        <v>5.3254437869822535E-2</v>
      </c>
      <c r="Z188" s="46">
        <f t="shared" si="34"/>
        <v>17.8</v>
      </c>
      <c r="AA188" s="12">
        <f t="shared" si="35"/>
        <v>0.90000000000000213</v>
      </c>
      <c r="AB188" s="12">
        <f t="shared" si="36"/>
        <v>9.7899999999999991</v>
      </c>
      <c r="AC188" s="12">
        <f t="shared" si="37"/>
        <v>0.48999999999999844</v>
      </c>
      <c r="AD188" s="12">
        <f t="shared" si="38"/>
        <v>10.5</v>
      </c>
      <c r="AE188" s="12">
        <f t="shared" si="39"/>
        <v>0.52999999999999936</v>
      </c>
      <c r="AF188" s="12"/>
      <c r="AJ188" s="11" t="e">
        <f>+#REF!*$AE188</f>
        <v>#REF!</v>
      </c>
      <c r="AK188" s="11" t="e">
        <f>+#REF!*$AA188</f>
        <v>#REF!</v>
      </c>
      <c r="AL188" s="11" t="e">
        <f>+#REF!*$AC188</f>
        <v>#REF!</v>
      </c>
    </row>
    <row r="189" spans="1:38" x14ac:dyDescent="0.3">
      <c r="A189" s="4">
        <v>693465517215</v>
      </c>
      <c r="B189" s="5" t="s">
        <v>371</v>
      </c>
      <c r="C189" s="5" t="s">
        <v>372</v>
      </c>
      <c r="D189" s="12">
        <f t="shared" si="40"/>
        <v>21.9</v>
      </c>
      <c r="E189" s="12">
        <v>10.95</v>
      </c>
      <c r="F189" s="47">
        <f t="shared" si="41"/>
        <v>-0.5</v>
      </c>
      <c r="G189" s="12">
        <f t="shared" si="42"/>
        <v>8.2100000000000009</v>
      </c>
      <c r="H189" s="12">
        <f t="shared" si="48"/>
        <v>12.92</v>
      </c>
      <c r="I189" s="12">
        <f t="shared" si="48"/>
        <v>12.05</v>
      </c>
      <c r="L189" s="46">
        <v>11.9</v>
      </c>
      <c r="M189" s="46">
        <f t="shared" si="43"/>
        <v>-0.95000000000000107</v>
      </c>
      <c r="N189" s="46">
        <v>8.93</v>
      </c>
      <c r="O189" s="46">
        <f t="shared" si="44"/>
        <v>-0.71999999999999886</v>
      </c>
      <c r="P189" s="46"/>
      <c r="Q189" s="39">
        <v>14611.115486042669</v>
      </c>
      <c r="R189" s="38">
        <f t="shared" si="45"/>
        <v>-10520.003149950704</v>
      </c>
      <c r="S189" s="47"/>
      <c r="T189" s="39">
        <v>12415.115486042669</v>
      </c>
      <c r="U189" s="38">
        <f t="shared" si="46"/>
        <v>-8938.8831499507069</v>
      </c>
      <c r="V189" s="51"/>
      <c r="W189" s="51"/>
      <c r="X189" s="46">
        <v>21.9</v>
      </c>
      <c r="Y189" s="47">
        <f t="shared" si="47"/>
        <v>8.6757990867579959E-2</v>
      </c>
      <c r="Z189" s="46">
        <f t="shared" si="34"/>
        <v>23.8</v>
      </c>
      <c r="AA189" s="12">
        <f t="shared" si="35"/>
        <v>1.9000000000000021</v>
      </c>
      <c r="AB189" s="12">
        <f t="shared" si="36"/>
        <v>13.09</v>
      </c>
      <c r="AC189" s="12">
        <f t="shared" si="37"/>
        <v>1.0399999999999991</v>
      </c>
      <c r="AD189" s="12">
        <f t="shared" si="38"/>
        <v>14.04</v>
      </c>
      <c r="AE189" s="12">
        <f t="shared" si="39"/>
        <v>1.1199999999999992</v>
      </c>
      <c r="AF189" s="12"/>
      <c r="AJ189" s="11" t="e">
        <f>+#REF!*$AE189</f>
        <v>#REF!</v>
      </c>
      <c r="AK189" s="11" t="e">
        <f>+#REF!*$AA189</f>
        <v>#REF!</v>
      </c>
      <c r="AL189" s="11" t="e">
        <f>+#REF!*$AC189</f>
        <v>#REF!</v>
      </c>
    </row>
    <row r="190" spans="1:38" x14ac:dyDescent="0.3">
      <c r="A190" s="4">
        <v>693465517116</v>
      </c>
      <c r="B190" s="5" t="s">
        <v>373</v>
      </c>
      <c r="C190" s="5" t="s">
        <v>374</v>
      </c>
      <c r="D190" s="12">
        <f t="shared" si="40"/>
        <v>36.9</v>
      </c>
      <c r="E190" s="12">
        <v>18.45</v>
      </c>
      <c r="F190" s="47">
        <f t="shared" si="41"/>
        <v>-0.5</v>
      </c>
      <c r="G190" s="12">
        <f t="shared" si="42"/>
        <v>13.84</v>
      </c>
      <c r="H190" s="12">
        <f t="shared" ref="H190:I209" si="49">ROUND($D190*(1-H$5),2)</f>
        <v>21.77</v>
      </c>
      <c r="I190" s="12">
        <f t="shared" si="49"/>
        <v>20.3</v>
      </c>
      <c r="L190" s="46">
        <v>19.899999999999999</v>
      </c>
      <c r="M190" s="46">
        <f t="shared" si="43"/>
        <v>-1.4499999999999993</v>
      </c>
      <c r="N190" s="46">
        <v>14.56984679665738</v>
      </c>
      <c r="O190" s="46">
        <f t="shared" si="44"/>
        <v>-0.72984679665738028</v>
      </c>
      <c r="P190" s="46"/>
      <c r="Q190" s="39">
        <v>8227.2000942145951</v>
      </c>
      <c r="R190" s="38">
        <f t="shared" si="45"/>
        <v>-6004.5956342218196</v>
      </c>
      <c r="S190" s="47"/>
      <c r="T190" s="39">
        <v>7195.200094214596</v>
      </c>
      <c r="U190" s="38">
        <f t="shared" si="46"/>
        <v>-5251.393740071404</v>
      </c>
      <c r="V190" s="51"/>
      <c r="W190" s="51"/>
      <c r="X190" s="46">
        <v>36.9</v>
      </c>
      <c r="Y190" s="47">
        <f t="shared" si="47"/>
        <v>7.8590785907858951E-2</v>
      </c>
      <c r="Z190" s="46">
        <f t="shared" si="34"/>
        <v>39.799999999999997</v>
      </c>
      <c r="AA190" s="12">
        <f t="shared" si="35"/>
        <v>2.8999999999999986</v>
      </c>
      <c r="AB190" s="12">
        <f t="shared" si="36"/>
        <v>21.89</v>
      </c>
      <c r="AC190" s="12">
        <f t="shared" si="37"/>
        <v>1.5899999999999999</v>
      </c>
      <c r="AD190" s="12">
        <f t="shared" si="38"/>
        <v>23.48</v>
      </c>
      <c r="AE190" s="12">
        <f t="shared" si="39"/>
        <v>1.7100000000000009</v>
      </c>
      <c r="AF190" s="12"/>
      <c r="AJ190" s="11" t="e">
        <f>+#REF!*$AE190</f>
        <v>#REF!</v>
      </c>
      <c r="AK190" s="11" t="e">
        <f>+#REF!*$AA190</f>
        <v>#REF!</v>
      </c>
      <c r="AL190" s="11" t="e">
        <f>+#REF!*$AC190</f>
        <v>#REF!</v>
      </c>
    </row>
    <row r="191" spans="1:38" x14ac:dyDescent="0.3">
      <c r="A191" s="4">
        <v>693465518113</v>
      </c>
      <c r="B191" s="5" t="s">
        <v>375</v>
      </c>
      <c r="C191" s="5" t="s">
        <v>376</v>
      </c>
      <c r="D191" s="12">
        <f t="shared" si="40"/>
        <v>22.9</v>
      </c>
      <c r="E191" s="12">
        <v>11.45</v>
      </c>
      <c r="F191" s="47">
        <f t="shared" si="41"/>
        <v>-0.5</v>
      </c>
      <c r="G191" s="12">
        <f t="shared" si="42"/>
        <v>8.59</v>
      </c>
      <c r="H191" s="12">
        <f t="shared" si="49"/>
        <v>13.51</v>
      </c>
      <c r="I191" s="12">
        <f t="shared" si="49"/>
        <v>12.6</v>
      </c>
      <c r="L191" s="46">
        <v>12.9</v>
      </c>
      <c r="M191" s="46">
        <f t="shared" si="43"/>
        <v>-1.4500000000000011</v>
      </c>
      <c r="N191" s="46">
        <v>9.3325342465753423</v>
      </c>
      <c r="O191" s="46">
        <f t="shared" si="44"/>
        <v>-0.74253424657534239</v>
      </c>
      <c r="P191" s="46"/>
      <c r="Q191" s="39">
        <v>10436.586591327399</v>
      </c>
      <c r="R191" s="38">
        <f t="shared" si="45"/>
        <v>-7749.5229614096115</v>
      </c>
      <c r="S191" s="47"/>
      <c r="T191" s="39">
        <v>8960.5865913273992</v>
      </c>
      <c r="U191" s="38">
        <f t="shared" si="46"/>
        <v>-6653.5424134644063</v>
      </c>
      <c r="V191" s="51"/>
      <c r="W191" s="51"/>
      <c r="X191" s="46">
        <v>22.9</v>
      </c>
      <c r="Y191" s="47">
        <f t="shared" si="47"/>
        <v>0.12663755458515302</v>
      </c>
      <c r="Z191" s="46">
        <f t="shared" si="34"/>
        <v>25.8</v>
      </c>
      <c r="AA191" s="12">
        <f t="shared" si="35"/>
        <v>2.9000000000000021</v>
      </c>
      <c r="AB191" s="12">
        <f t="shared" si="36"/>
        <v>14.19</v>
      </c>
      <c r="AC191" s="12">
        <f t="shared" si="37"/>
        <v>1.5899999999999999</v>
      </c>
      <c r="AD191" s="12">
        <f t="shared" si="38"/>
        <v>15.22</v>
      </c>
      <c r="AE191" s="12">
        <f t="shared" si="39"/>
        <v>1.7100000000000009</v>
      </c>
      <c r="AF191" s="12"/>
      <c r="AJ191" s="11" t="e">
        <f>+#REF!*$AE191</f>
        <v>#REF!</v>
      </c>
      <c r="AK191" s="11" t="e">
        <f>+#REF!*$AA191</f>
        <v>#REF!</v>
      </c>
      <c r="AL191" s="11" t="e">
        <f>+#REF!*$AC191</f>
        <v>#REF!</v>
      </c>
    </row>
    <row r="192" spans="1:38" x14ac:dyDescent="0.3">
      <c r="A192" s="4">
        <v>693465518212</v>
      </c>
      <c r="B192" s="5" t="s">
        <v>377</v>
      </c>
      <c r="C192" s="5" t="s">
        <v>378</v>
      </c>
      <c r="D192" s="12">
        <f t="shared" si="40"/>
        <v>44.9</v>
      </c>
      <c r="E192" s="12">
        <v>22.45</v>
      </c>
      <c r="F192" s="47">
        <f t="shared" si="41"/>
        <v>-0.5</v>
      </c>
      <c r="G192" s="12">
        <f t="shared" si="42"/>
        <v>16.84</v>
      </c>
      <c r="H192" s="12">
        <f t="shared" si="49"/>
        <v>26.49</v>
      </c>
      <c r="I192" s="12">
        <f t="shared" si="49"/>
        <v>24.7</v>
      </c>
      <c r="L192" s="46">
        <v>23.9</v>
      </c>
      <c r="M192" s="46">
        <f t="shared" si="43"/>
        <v>-1.4499999999999993</v>
      </c>
      <c r="N192" s="46">
        <v>17.566230068337131</v>
      </c>
      <c r="O192" s="46">
        <f t="shared" si="44"/>
        <v>-0.72623006833713077</v>
      </c>
      <c r="P192" s="46"/>
      <c r="Q192" s="39">
        <v>7043.2846478132087</v>
      </c>
      <c r="R192" s="38">
        <f t="shared" si="45"/>
        <v>-5115.0450910992504</v>
      </c>
      <c r="S192" s="47"/>
      <c r="T192" s="39">
        <v>5939.2846478132087</v>
      </c>
      <c r="U192" s="38">
        <f t="shared" si="46"/>
        <v>-4313.2870956550587</v>
      </c>
      <c r="V192" s="51"/>
      <c r="W192" s="51"/>
      <c r="X192" s="46">
        <v>44.9</v>
      </c>
      <c r="Y192" s="47">
        <f t="shared" si="47"/>
        <v>6.4587973273942056E-2</v>
      </c>
      <c r="Z192" s="46">
        <f t="shared" si="34"/>
        <v>47.8</v>
      </c>
      <c r="AA192" s="12">
        <f t="shared" si="35"/>
        <v>2.8999999999999986</v>
      </c>
      <c r="AB192" s="12">
        <f t="shared" si="36"/>
        <v>26.29</v>
      </c>
      <c r="AC192" s="12">
        <f t="shared" si="37"/>
        <v>1.5899999999999999</v>
      </c>
      <c r="AD192" s="12">
        <f t="shared" si="38"/>
        <v>28.2</v>
      </c>
      <c r="AE192" s="12">
        <f t="shared" si="39"/>
        <v>1.7100000000000009</v>
      </c>
      <c r="AF192" s="12"/>
      <c r="AJ192" s="11" t="e">
        <f>+#REF!*$AE192</f>
        <v>#REF!</v>
      </c>
      <c r="AK192" s="11" t="e">
        <f>+#REF!*$AA192</f>
        <v>#REF!</v>
      </c>
      <c r="AL192" s="11" t="e">
        <f>+#REF!*$AC192</f>
        <v>#REF!</v>
      </c>
    </row>
    <row r="193" spans="1:38" x14ac:dyDescent="0.3">
      <c r="A193" s="4">
        <v>693465541111</v>
      </c>
      <c r="B193" s="5" t="s">
        <v>379</v>
      </c>
      <c r="C193" s="5" t="s">
        <v>380</v>
      </c>
      <c r="D193" s="12">
        <f t="shared" si="40"/>
        <v>25.9</v>
      </c>
      <c r="E193" s="12">
        <v>12.95</v>
      </c>
      <c r="F193" s="47">
        <f t="shared" si="41"/>
        <v>-0.5</v>
      </c>
      <c r="G193" s="12">
        <f t="shared" si="42"/>
        <v>9.7100000000000009</v>
      </c>
      <c r="H193" s="12">
        <f t="shared" si="49"/>
        <v>15.28</v>
      </c>
      <c r="I193" s="12">
        <f t="shared" si="49"/>
        <v>14.25</v>
      </c>
      <c r="L193" s="46">
        <v>13.9</v>
      </c>
      <c r="M193" s="46">
        <f t="shared" si="43"/>
        <v>-0.95000000000000107</v>
      </c>
      <c r="N193" s="46">
        <v>10.43</v>
      </c>
      <c r="O193" s="46">
        <f t="shared" si="44"/>
        <v>-0.71999999999999886</v>
      </c>
      <c r="P193" s="46"/>
      <c r="Q193" s="39">
        <v>2144.1052185356862</v>
      </c>
      <c r="R193" s="38">
        <f t="shared" si="45"/>
        <v>-1543.7557573456916</v>
      </c>
      <c r="S193" s="47"/>
      <c r="T193" s="39">
        <v>1832.1052185356864</v>
      </c>
      <c r="U193" s="38">
        <f t="shared" si="46"/>
        <v>-1319.1157573456921</v>
      </c>
      <c r="V193" s="51"/>
      <c r="W193" s="51"/>
      <c r="X193" s="46">
        <v>25.9</v>
      </c>
      <c r="Y193" s="47">
        <f t="shared" si="47"/>
        <v>7.3359073359073435E-2</v>
      </c>
      <c r="Z193" s="46">
        <f t="shared" si="34"/>
        <v>27.8</v>
      </c>
      <c r="AA193" s="12">
        <f t="shared" si="35"/>
        <v>1.9000000000000021</v>
      </c>
      <c r="AB193" s="12">
        <f t="shared" si="36"/>
        <v>15.29</v>
      </c>
      <c r="AC193" s="12">
        <f t="shared" si="37"/>
        <v>1.0399999999999991</v>
      </c>
      <c r="AD193" s="12">
        <f t="shared" si="38"/>
        <v>16.399999999999999</v>
      </c>
      <c r="AE193" s="12">
        <f t="shared" si="39"/>
        <v>1.1199999999999992</v>
      </c>
      <c r="AF193" s="12"/>
      <c r="AJ193" s="11" t="e">
        <f>+#REF!*$AE193</f>
        <v>#REF!</v>
      </c>
      <c r="AK193" s="11" t="e">
        <f>+#REF!*$AA193</f>
        <v>#REF!</v>
      </c>
      <c r="AL193" s="11" t="e">
        <f>+#REF!*$AC193</f>
        <v>#REF!</v>
      </c>
    </row>
    <row r="194" spans="1:38" x14ac:dyDescent="0.3">
      <c r="A194" s="4">
        <v>693465537114</v>
      </c>
      <c r="B194" s="5" t="s">
        <v>381</v>
      </c>
      <c r="C194" s="5" t="s">
        <v>382</v>
      </c>
      <c r="D194" s="12">
        <f t="shared" si="40"/>
        <v>20.9</v>
      </c>
      <c r="E194" s="12">
        <v>10.45</v>
      </c>
      <c r="F194" s="47">
        <f t="shared" si="41"/>
        <v>-0.5</v>
      </c>
      <c r="G194" s="12">
        <f t="shared" si="42"/>
        <v>7.84</v>
      </c>
      <c r="H194" s="12">
        <f t="shared" si="49"/>
        <v>12.33</v>
      </c>
      <c r="I194" s="12">
        <f t="shared" si="49"/>
        <v>11.5</v>
      </c>
      <c r="L194" s="46">
        <v>10.9</v>
      </c>
      <c r="M194" s="46">
        <f t="shared" si="43"/>
        <v>-0.45000000000000107</v>
      </c>
      <c r="N194" s="46">
        <v>8.18</v>
      </c>
      <c r="O194" s="46">
        <f t="shared" si="44"/>
        <v>-0.33999999999999986</v>
      </c>
      <c r="P194" s="46"/>
      <c r="Q194" s="39">
        <v>12944.495778762775</v>
      </c>
      <c r="R194" s="38">
        <f t="shared" si="45"/>
        <v>-4401.128564779342</v>
      </c>
      <c r="S194" s="47"/>
      <c r="T194" s="39">
        <v>11108.495778762775</v>
      </c>
      <c r="U194" s="38">
        <f t="shared" si="46"/>
        <v>-3776.8885647793422</v>
      </c>
      <c r="V194" s="51"/>
      <c r="W194" s="51"/>
      <c r="X194" s="46">
        <v>20.9</v>
      </c>
      <c r="Y194" s="47">
        <f t="shared" si="47"/>
        <v>4.3062200956937913E-2</v>
      </c>
      <c r="Z194" s="46">
        <f t="shared" si="34"/>
        <v>21.8</v>
      </c>
      <c r="AA194" s="12">
        <f t="shared" si="35"/>
        <v>0.90000000000000213</v>
      </c>
      <c r="AB194" s="12">
        <f t="shared" si="36"/>
        <v>11.99</v>
      </c>
      <c r="AC194" s="12">
        <f t="shared" si="37"/>
        <v>0.49000000000000021</v>
      </c>
      <c r="AD194" s="12">
        <f t="shared" si="38"/>
        <v>12.86</v>
      </c>
      <c r="AE194" s="12">
        <f t="shared" si="39"/>
        <v>0.52999999999999936</v>
      </c>
      <c r="AF194" s="12"/>
      <c r="AJ194" s="11" t="e">
        <f>+#REF!*$AE194</f>
        <v>#REF!</v>
      </c>
      <c r="AK194" s="11" t="e">
        <f>+#REF!*$AA194</f>
        <v>#REF!</v>
      </c>
      <c r="AL194" s="11" t="e">
        <f>+#REF!*$AC194</f>
        <v>#REF!</v>
      </c>
    </row>
    <row r="195" spans="1:38" x14ac:dyDescent="0.3">
      <c r="A195" s="4">
        <v>693465539118</v>
      </c>
      <c r="B195" s="5" t="s">
        <v>383</v>
      </c>
      <c r="C195" s="5" t="s">
        <v>384</v>
      </c>
      <c r="D195" s="12">
        <f t="shared" si="40"/>
        <v>23.9</v>
      </c>
      <c r="E195" s="12">
        <v>11.95</v>
      </c>
      <c r="F195" s="47">
        <f t="shared" si="41"/>
        <v>-0.5</v>
      </c>
      <c r="G195" s="12">
        <f t="shared" si="42"/>
        <v>8.9600000000000009</v>
      </c>
      <c r="H195" s="12">
        <f t="shared" si="49"/>
        <v>14.1</v>
      </c>
      <c r="I195" s="12">
        <f t="shared" si="49"/>
        <v>13.15</v>
      </c>
      <c r="L195" s="46">
        <v>12.9</v>
      </c>
      <c r="M195" s="46">
        <f t="shared" si="43"/>
        <v>-0.95000000000000107</v>
      </c>
      <c r="N195" s="46">
        <v>9.68</v>
      </c>
      <c r="O195" s="46">
        <f t="shared" si="44"/>
        <v>-0.71999999999999886</v>
      </c>
      <c r="P195" s="46"/>
      <c r="Q195" s="39">
        <v>8039.5024608990007</v>
      </c>
      <c r="R195" s="38">
        <f t="shared" si="45"/>
        <v>-5788.4417718472714</v>
      </c>
      <c r="S195" s="47"/>
      <c r="T195" s="39">
        <v>6923.5024608990007</v>
      </c>
      <c r="U195" s="38">
        <f t="shared" si="46"/>
        <v>-4984.9217718472728</v>
      </c>
      <c r="V195" s="51"/>
      <c r="W195" s="51"/>
      <c r="X195" s="46">
        <v>23.9</v>
      </c>
      <c r="Y195" s="47">
        <f t="shared" si="47"/>
        <v>7.9497907949790836E-2</v>
      </c>
      <c r="Z195" s="46">
        <f t="shared" si="34"/>
        <v>25.8</v>
      </c>
      <c r="AA195" s="12">
        <f t="shared" si="35"/>
        <v>1.9000000000000021</v>
      </c>
      <c r="AB195" s="12">
        <f t="shared" si="36"/>
        <v>14.19</v>
      </c>
      <c r="AC195" s="12">
        <f t="shared" si="37"/>
        <v>1.0399999999999991</v>
      </c>
      <c r="AD195" s="12">
        <f t="shared" si="38"/>
        <v>15.22</v>
      </c>
      <c r="AE195" s="12">
        <f t="shared" si="39"/>
        <v>1.120000000000001</v>
      </c>
      <c r="AF195" s="12"/>
      <c r="AJ195" s="11" t="e">
        <f>+#REF!*$AE195</f>
        <v>#REF!</v>
      </c>
      <c r="AK195" s="11" t="e">
        <f>+#REF!*$AA195</f>
        <v>#REF!</v>
      </c>
      <c r="AL195" s="11" t="e">
        <f>+#REF!*$AC195</f>
        <v>#REF!</v>
      </c>
    </row>
    <row r="196" spans="1:38" x14ac:dyDescent="0.3">
      <c r="A196" s="4">
        <v>693465539217</v>
      </c>
      <c r="B196" s="5" t="s">
        <v>385</v>
      </c>
      <c r="C196" s="5" t="s">
        <v>386</v>
      </c>
      <c r="D196" s="12">
        <f t="shared" si="40"/>
        <v>43.9</v>
      </c>
      <c r="E196" s="12">
        <v>21.95</v>
      </c>
      <c r="F196" s="47">
        <f t="shared" si="41"/>
        <v>-0.5</v>
      </c>
      <c r="G196" s="12">
        <f t="shared" si="42"/>
        <v>16.46</v>
      </c>
      <c r="H196" s="12">
        <f t="shared" si="49"/>
        <v>25.9</v>
      </c>
      <c r="I196" s="12">
        <f t="shared" si="49"/>
        <v>24.15</v>
      </c>
      <c r="L196" s="46">
        <v>22.9</v>
      </c>
      <c r="M196" s="46">
        <f t="shared" si="43"/>
        <v>-0.94999999999999929</v>
      </c>
      <c r="N196" s="46">
        <v>16.424999999999997</v>
      </c>
      <c r="O196" s="46">
        <f t="shared" si="44"/>
        <v>3.5000000000003695E-2</v>
      </c>
      <c r="P196" s="46"/>
      <c r="Q196" s="39">
        <v>1265.1605019375827</v>
      </c>
      <c r="R196" s="38">
        <f t="shared" si="45"/>
        <v>44.280617567820066</v>
      </c>
      <c r="S196" s="47"/>
      <c r="T196" s="39">
        <v>1109.1605019375827</v>
      </c>
      <c r="U196" s="38">
        <f t="shared" si="46"/>
        <v>38.82061756781949</v>
      </c>
      <c r="V196" s="51"/>
      <c r="W196" s="51"/>
      <c r="X196" s="46">
        <v>41.9</v>
      </c>
      <c r="Y196" s="47">
        <f t="shared" si="47"/>
        <v>9.3078758949880713E-2</v>
      </c>
      <c r="Z196" s="46">
        <f t="shared" si="34"/>
        <v>45.8</v>
      </c>
      <c r="AA196" s="12">
        <f t="shared" si="35"/>
        <v>1.8999999999999986</v>
      </c>
      <c r="AB196" s="12">
        <f t="shared" si="36"/>
        <v>25.19</v>
      </c>
      <c r="AC196" s="12">
        <f t="shared" si="37"/>
        <v>1.0400000000000027</v>
      </c>
      <c r="AD196" s="12">
        <f t="shared" si="38"/>
        <v>27.02</v>
      </c>
      <c r="AE196" s="12">
        <f t="shared" si="39"/>
        <v>1.120000000000001</v>
      </c>
      <c r="AF196" s="12"/>
      <c r="AJ196" s="11" t="e">
        <f>+#REF!*$AE196</f>
        <v>#REF!</v>
      </c>
      <c r="AK196" s="11" t="e">
        <f>+#REF!*$AA196</f>
        <v>#REF!</v>
      </c>
      <c r="AL196" s="11" t="e">
        <f>+#REF!*$AC196</f>
        <v>#REF!</v>
      </c>
    </row>
    <row r="197" spans="1:38" x14ac:dyDescent="0.3">
      <c r="A197" s="35">
        <v>693465521113</v>
      </c>
      <c r="B197" s="36" t="s">
        <v>387</v>
      </c>
      <c r="C197" s="36" t="s">
        <v>388</v>
      </c>
      <c r="D197" s="50">
        <f t="shared" si="40"/>
        <v>28.9</v>
      </c>
      <c r="E197" s="50">
        <v>14.45</v>
      </c>
      <c r="F197" s="47">
        <f t="shared" si="41"/>
        <v>-0.5</v>
      </c>
      <c r="G197" s="50">
        <f t="shared" si="42"/>
        <v>10.84</v>
      </c>
      <c r="H197" s="50">
        <f t="shared" si="49"/>
        <v>17.05</v>
      </c>
      <c r="I197" s="50">
        <f t="shared" si="49"/>
        <v>15.9</v>
      </c>
      <c r="L197" s="46">
        <v>13.9</v>
      </c>
      <c r="M197" s="46">
        <f t="shared" si="43"/>
        <v>0.54999999999999893</v>
      </c>
      <c r="N197" s="46">
        <v>10.43</v>
      </c>
      <c r="O197" s="46">
        <f t="shared" si="44"/>
        <v>0.41000000000000014</v>
      </c>
      <c r="P197" s="46"/>
      <c r="Q197" s="39">
        <v>8979.7984940083643</v>
      </c>
      <c r="R197" s="38">
        <f t="shared" si="45"/>
        <v>3681.7173825434306</v>
      </c>
      <c r="S197" s="47"/>
      <c r="T197" s="39">
        <v>7731.7984940083643</v>
      </c>
      <c r="U197" s="38">
        <f t="shared" si="46"/>
        <v>3170.0373825434303</v>
      </c>
      <c r="V197" s="51"/>
      <c r="W197" s="51"/>
      <c r="X197" s="46">
        <v>26.9</v>
      </c>
      <c r="Y197" s="47">
        <f t="shared" si="47"/>
        <v>3.3457249070631967E-2</v>
      </c>
      <c r="Z197" s="46">
        <f t="shared" si="34"/>
        <v>27.8</v>
      </c>
      <c r="AA197" s="12">
        <f t="shared" si="35"/>
        <v>-1.0999999999999979</v>
      </c>
      <c r="AB197" s="12">
        <f t="shared" si="36"/>
        <v>15.29</v>
      </c>
      <c r="AC197" s="12">
        <f t="shared" si="37"/>
        <v>-0.61000000000000121</v>
      </c>
      <c r="AD197" s="12">
        <f t="shared" si="38"/>
        <v>16.399999999999999</v>
      </c>
      <c r="AE197" s="12">
        <f t="shared" si="39"/>
        <v>-0.65000000000000213</v>
      </c>
      <c r="AF197" s="12"/>
      <c r="AJ197" s="11" t="e">
        <f>+#REF!*$AE197</f>
        <v>#REF!</v>
      </c>
      <c r="AK197" s="11" t="e">
        <f>+#REF!*$AA197</f>
        <v>#REF!</v>
      </c>
      <c r="AL197" s="11" t="e">
        <f>+#REF!*$AC197</f>
        <v>#REF!</v>
      </c>
    </row>
    <row r="198" spans="1:38" x14ac:dyDescent="0.3">
      <c r="A198" s="4">
        <v>693465548110</v>
      </c>
      <c r="B198" s="5" t="s">
        <v>389</v>
      </c>
      <c r="C198" s="5" t="s">
        <v>390</v>
      </c>
      <c r="D198" s="12">
        <f t="shared" si="40"/>
        <v>31.9</v>
      </c>
      <c r="E198" s="12">
        <v>15.95</v>
      </c>
      <c r="F198" s="47">
        <f t="shared" si="41"/>
        <v>-0.5</v>
      </c>
      <c r="G198" s="12">
        <f t="shared" si="42"/>
        <v>11.96</v>
      </c>
      <c r="H198" s="12">
        <f t="shared" si="49"/>
        <v>18.82</v>
      </c>
      <c r="I198" s="12">
        <f t="shared" si="49"/>
        <v>17.55</v>
      </c>
      <c r="L198" s="46">
        <v>16.899999999999999</v>
      </c>
      <c r="M198" s="46">
        <f t="shared" si="43"/>
        <v>-0.94999999999999929</v>
      </c>
      <c r="N198" s="46">
        <v>12.310922330097087</v>
      </c>
      <c r="O198" s="46">
        <f t="shared" si="44"/>
        <v>-0.35092233009708629</v>
      </c>
      <c r="P198" s="46"/>
      <c r="Q198" s="39">
        <v>11369.558037449591</v>
      </c>
      <c r="R198" s="38">
        <f t="shared" si="45"/>
        <v>-3989.8317986758661</v>
      </c>
      <c r="S198" s="47"/>
      <c r="T198" s="39">
        <v>9845.5580374495894</v>
      </c>
      <c r="U198" s="38">
        <f t="shared" si="46"/>
        <v>-3455.0261676079058</v>
      </c>
      <c r="V198" s="51"/>
      <c r="W198" s="51"/>
      <c r="X198" s="46">
        <v>31.9</v>
      </c>
      <c r="Y198" s="47">
        <f t="shared" si="47"/>
        <v>5.9561128526645746E-2</v>
      </c>
      <c r="Z198" s="46">
        <f t="shared" si="34"/>
        <v>33.799999999999997</v>
      </c>
      <c r="AA198" s="12">
        <f t="shared" si="35"/>
        <v>1.8999999999999986</v>
      </c>
      <c r="AB198" s="12">
        <f t="shared" si="36"/>
        <v>18.59</v>
      </c>
      <c r="AC198" s="12">
        <f t="shared" si="37"/>
        <v>1.0399999999999991</v>
      </c>
      <c r="AD198" s="12">
        <f t="shared" si="38"/>
        <v>19.940000000000001</v>
      </c>
      <c r="AE198" s="12">
        <f t="shared" si="39"/>
        <v>1.120000000000001</v>
      </c>
      <c r="AF198" s="12"/>
      <c r="AJ198" s="11" t="e">
        <f>+#REF!*$AE198</f>
        <v>#REF!</v>
      </c>
      <c r="AK198" s="11" t="e">
        <f>+#REF!*$AA198</f>
        <v>#REF!</v>
      </c>
      <c r="AL198" s="11" t="e">
        <f>+#REF!*$AC198</f>
        <v>#REF!</v>
      </c>
    </row>
    <row r="199" spans="1:38" x14ac:dyDescent="0.3">
      <c r="A199" s="4">
        <v>693465549117</v>
      </c>
      <c r="B199" s="5" t="s">
        <v>391</v>
      </c>
      <c r="C199" s="5" t="s">
        <v>392</v>
      </c>
      <c r="D199" s="12">
        <f t="shared" si="40"/>
        <v>31.9</v>
      </c>
      <c r="E199" s="12">
        <v>15.95</v>
      </c>
      <c r="F199" s="47">
        <f t="shared" si="41"/>
        <v>-0.5</v>
      </c>
      <c r="G199" s="12">
        <f t="shared" si="42"/>
        <v>11.96</v>
      </c>
      <c r="H199" s="12">
        <f t="shared" si="49"/>
        <v>18.82</v>
      </c>
      <c r="I199" s="12">
        <f t="shared" si="49"/>
        <v>17.55</v>
      </c>
      <c r="L199" s="46">
        <v>16.899999999999999</v>
      </c>
      <c r="M199" s="46">
        <f t="shared" si="43"/>
        <v>-0.94999999999999929</v>
      </c>
      <c r="N199" s="46">
        <v>12.310922330097087</v>
      </c>
      <c r="O199" s="46">
        <f t="shared" si="44"/>
        <v>-0.35092233009708629</v>
      </c>
      <c r="P199" s="46"/>
      <c r="Q199" s="39">
        <v>27985.119360437351</v>
      </c>
      <c r="R199" s="38">
        <f t="shared" si="45"/>
        <v>-9820.6032940097557</v>
      </c>
      <c r="S199" s="47"/>
      <c r="T199" s="39">
        <v>24565.119360437351</v>
      </c>
      <c r="U199" s="38">
        <f t="shared" si="46"/>
        <v>-8620.4489250777206</v>
      </c>
      <c r="V199" s="51"/>
      <c r="W199" s="51"/>
      <c r="X199" s="46">
        <v>31.9</v>
      </c>
      <c r="Y199" s="47">
        <f t="shared" si="47"/>
        <v>5.9561128526645746E-2</v>
      </c>
      <c r="Z199" s="46">
        <f t="shared" ref="Z199:Z232" si="50">+L199*2</f>
        <v>33.799999999999997</v>
      </c>
      <c r="AA199" s="12">
        <f t="shared" ref="AA199:AA232" si="51">+Z199-D199</f>
        <v>1.8999999999999986</v>
      </c>
      <c r="AB199" s="12">
        <f t="shared" ref="AB199:AB232" si="52">ROUND($Z199*(1-AB$5),2)</f>
        <v>18.59</v>
      </c>
      <c r="AC199" s="12">
        <f t="shared" ref="AC199:AC232" si="53">+AB199-I199</f>
        <v>1.0399999999999991</v>
      </c>
      <c r="AD199" s="12">
        <f t="shared" ref="AD199:AD232" si="54">ROUND($Z199*(1-AD$5),2)</f>
        <v>19.940000000000001</v>
      </c>
      <c r="AE199" s="12">
        <f t="shared" ref="AE199:AE232" si="55">+AD199-H199</f>
        <v>1.120000000000001</v>
      </c>
      <c r="AF199" s="12"/>
      <c r="AJ199" s="11" t="e">
        <f>+#REF!*$AE199</f>
        <v>#REF!</v>
      </c>
      <c r="AK199" s="11" t="e">
        <f>+#REF!*$AA199</f>
        <v>#REF!</v>
      </c>
      <c r="AL199" s="11" t="e">
        <f>+#REF!*$AC199</f>
        <v>#REF!</v>
      </c>
    </row>
    <row r="200" spans="1:38" x14ac:dyDescent="0.3">
      <c r="A200" s="4">
        <v>693465000021</v>
      </c>
      <c r="B200" s="5" t="s">
        <v>393</v>
      </c>
      <c r="C200" s="5" t="s">
        <v>394</v>
      </c>
      <c r="D200" s="12">
        <f t="shared" ref="D200:D232" si="56">+E200*2</f>
        <v>58.9</v>
      </c>
      <c r="E200" s="12">
        <v>29.45</v>
      </c>
      <c r="F200" s="47">
        <f t="shared" ref="F200:F232" si="57">+E200/D200-1</f>
        <v>-0.5</v>
      </c>
      <c r="G200" s="12">
        <f t="shared" ref="G200:G220" si="58">ROUND($E200*(1-G$5),2)</f>
        <v>22.09</v>
      </c>
      <c r="H200" s="12">
        <f t="shared" si="49"/>
        <v>34.75</v>
      </c>
      <c r="I200" s="12">
        <f t="shared" si="49"/>
        <v>32.4</v>
      </c>
      <c r="L200" s="46">
        <v>27.9</v>
      </c>
      <c r="M200" s="46">
        <f t="shared" ref="M200:M232" si="59">+E200-L200</f>
        <v>1.5500000000000007</v>
      </c>
      <c r="N200" s="46">
        <v>20.93</v>
      </c>
      <c r="O200" s="46">
        <f t="shared" ref="O200:O232" si="60">+G200-N200</f>
        <v>1.1600000000000001</v>
      </c>
      <c r="P200" s="46"/>
      <c r="Q200" s="39">
        <v>2626.2131099258631</v>
      </c>
      <c r="R200" s="38">
        <f t="shared" ref="R200:R232" si="61">+Q200*O200</f>
        <v>3046.4072075140016</v>
      </c>
      <c r="S200" s="47"/>
      <c r="T200" s="39">
        <v>2086.2131099258627</v>
      </c>
      <c r="U200" s="38">
        <f t="shared" ref="U200:U232" si="62">+T200*$O200</f>
        <v>2420.007207514001</v>
      </c>
      <c r="V200" s="51"/>
      <c r="W200" s="51"/>
      <c r="X200" s="46">
        <v>56.9</v>
      </c>
      <c r="Y200" s="47">
        <f t="shared" ref="Y200:Y232" si="63">IFERROR(Z200/X200-1,0)</f>
        <v>-1.9332161687170446E-2</v>
      </c>
      <c r="Z200" s="46">
        <f t="shared" si="50"/>
        <v>55.8</v>
      </c>
      <c r="AA200" s="12">
        <f t="shared" si="51"/>
        <v>-3.1000000000000014</v>
      </c>
      <c r="AB200" s="12">
        <f t="shared" si="52"/>
        <v>30.69</v>
      </c>
      <c r="AC200" s="12">
        <f t="shared" si="53"/>
        <v>-1.7099999999999973</v>
      </c>
      <c r="AD200" s="12">
        <f t="shared" si="54"/>
        <v>32.92</v>
      </c>
      <c r="AE200" s="12">
        <f t="shared" si="55"/>
        <v>-1.8299999999999983</v>
      </c>
      <c r="AF200" s="12"/>
      <c r="AJ200" s="11" t="e">
        <f>+#REF!*$AE200</f>
        <v>#REF!</v>
      </c>
      <c r="AK200" s="11" t="e">
        <f>+#REF!*$AA200</f>
        <v>#REF!</v>
      </c>
      <c r="AL200" s="11" t="e">
        <f>+#REF!*$AC200</f>
        <v>#REF!</v>
      </c>
    </row>
    <row r="201" spans="1:38" x14ac:dyDescent="0.3">
      <c r="A201" s="4">
        <v>693465489116</v>
      </c>
      <c r="B201" s="5" t="s">
        <v>395</v>
      </c>
      <c r="C201" s="5" t="s">
        <v>396</v>
      </c>
      <c r="D201" s="12">
        <f t="shared" si="56"/>
        <v>62.9</v>
      </c>
      <c r="E201" s="12">
        <v>31.45</v>
      </c>
      <c r="F201" s="47">
        <f t="shared" si="57"/>
        <v>-0.5</v>
      </c>
      <c r="G201" s="12">
        <f t="shared" si="58"/>
        <v>23.59</v>
      </c>
      <c r="H201" s="12">
        <f t="shared" si="49"/>
        <v>37.11</v>
      </c>
      <c r="I201" s="12">
        <f t="shared" si="49"/>
        <v>34.6</v>
      </c>
      <c r="L201" s="46">
        <v>32.9</v>
      </c>
      <c r="M201" s="46">
        <f t="shared" si="59"/>
        <v>-1.4499999999999993</v>
      </c>
      <c r="N201" s="46">
        <v>24.68</v>
      </c>
      <c r="O201" s="46">
        <f t="shared" si="60"/>
        <v>-1.0899999999999999</v>
      </c>
      <c r="P201" s="46"/>
      <c r="Q201" s="39">
        <v>5131.4525244856468</v>
      </c>
      <c r="R201" s="38">
        <f t="shared" si="61"/>
        <v>-5593.2832516893541</v>
      </c>
      <c r="S201" s="47"/>
      <c r="T201" s="39">
        <v>4363.4525244856477</v>
      </c>
      <c r="U201" s="38">
        <f t="shared" si="62"/>
        <v>-4756.1632516893551</v>
      </c>
      <c r="V201" s="51"/>
      <c r="W201" s="51"/>
      <c r="X201" s="46">
        <v>62.9</v>
      </c>
      <c r="Y201" s="47">
        <f t="shared" si="63"/>
        <v>4.6104928457869621E-2</v>
      </c>
      <c r="Z201" s="46">
        <f t="shared" si="50"/>
        <v>65.8</v>
      </c>
      <c r="AA201" s="12">
        <f t="shared" si="51"/>
        <v>2.8999999999999986</v>
      </c>
      <c r="AB201" s="12">
        <f t="shared" si="52"/>
        <v>36.19</v>
      </c>
      <c r="AC201" s="12">
        <f t="shared" si="53"/>
        <v>1.5899999999999963</v>
      </c>
      <c r="AD201" s="12">
        <f t="shared" si="54"/>
        <v>38.82</v>
      </c>
      <c r="AE201" s="12">
        <f t="shared" si="55"/>
        <v>1.7100000000000009</v>
      </c>
      <c r="AF201" s="12"/>
      <c r="AJ201" s="11" t="e">
        <f>+#REF!*$AE201</f>
        <v>#REF!</v>
      </c>
      <c r="AK201" s="11" t="e">
        <f>+#REF!*$AA201</f>
        <v>#REF!</v>
      </c>
      <c r="AL201" s="11" t="e">
        <f>+#REF!*$AC201</f>
        <v>#REF!</v>
      </c>
    </row>
    <row r="202" spans="1:38" x14ac:dyDescent="0.3">
      <c r="A202" s="4">
        <v>693465234112</v>
      </c>
      <c r="B202" s="5" t="s">
        <v>397</v>
      </c>
      <c r="C202" s="5" t="s">
        <v>398</v>
      </c>
      <c r="D202" s="12">
        <f t="shared" si="56"/>
        <v>26.9</v>
      </c>
      <c r="E202" s="12">
        <v>13.45</v>
      </c>
      <c r="F202" s="47">
        <f t="shared" si="57"/>
        <v>-0.5</v>
      </c>
      <c r="G202" s="12">
        <f t="shared" si="58"/>
        <v>10.09</v>
      </c>
      <c r="H202" s="12">
        <f t="shared" si="49"/>
        <v>15.87</v>
      </c>
      <c r="I202" s="12">
        <f t="shared" si="49"/>
        <v>14.8</v>
      </c>
      <c r="L202" s="46">
        <v>14.9</v>
      </c>
      <c r="M202" s="46">
        <f t="shared" si="59"/>
        <v>-1.4500000000000011</v>
      </c>
      <c r="N202" s="46">
        <v>10.827509652509653</v>
      </c>
      <c r="O202" s="46">
        <f t="shared" si="60"/>
        <v>-0.73750965250965272</v>
      </c>
      <c r="P202" s="46"/>
      <c r="Q202" s="39">
        <v>3238.8035718806163</v>
      </c>
      <c r="R202" s="38">
        <f t="shared" si="61"/>
        <v>-2388.6488968446956</v>
      </c>
      <c r="S202" s="47"/>
      <c r="T202" s="39">
        <v>2614.8035718806163</v>
      </c>
      <c r="U202" s="38">
        <f t="shared" si="62"/>
        <v>-1928.4428736786722</v>
      </c>
      <c r="V202" s="51"/>
      <c r="W202" s="51"/>
      <c r="X202" s="46">
        <v>26.9</v>
      </c>
      <c r="Y202" s="47">
        <f t="shared" si="63"/>
        <v>0.10780669144981414</v>
      </c>
      <c r="Z202" s="46">
        <f t="shared" si="50"/>
        <v>29.8</v>
      </c>
      <c r="AA202" s="12">
        <f t="shared" si="51"/>
        <v>2.9000000000000021</v>
      </c>
      <c r="AB202" s="12">
        <f t="shared" si="52"/>
        <v>16.39</v>
      </c>
      <c r="AC202" s="12">
        <f t="shared" si="53"/>
        <v>1.5899999999999999</v>
      </c>
      <c r="AD202" s="12">
        <f t="shared" si="54"/>
        <v>17.579999999999998</v>
      </c>
      <c r="AE202" s="12">
        <f t="shared" si="55"/>
        <v>1.7099999999999991</v>
      </c>
      <c r="AF202" s="12"/>
      <c r="AJ202" s="11" t="e">
        <f>+#REF!*$AE202</f>
        <v>#REF!</v>
      </c>
      <c r="AK202" s="11" t="e">
        <f>+#REF!*$AA202</f>
        <v>#REF!</v>
      </c>
      <c r="AL202" s="11" t="e">
        <f>+#REF!*$AC202</f>
        <v>#REF!</v>
      </c>
    </row>
    <row r="203" spans="1:38" x14ac:dyDescent="0.3">
      <c r="A203" s="4">
        <v>693465234211</v>
      </c>
      <c r="B203" s="5" t="s">
        <v>399</v>
      </c>
      <c r="C203" s="5" t="s">
        <v>400</v>
      </c>
      <c r="D203" s="12">
        <f t="shared" si="56"/>
        <v>49.9</v>
      </c>
      <c r="E203" s="12">
        <v>24.95</v>
      </c>
      <c r="F203" s="47">
        <f t="shared" si="57"/>
        <v>-0.5</v>
      </c>
      <c r="G203" s="12">
        <f t="shared" si="58"/>
        <v>18.71</v>
      </c>
      <c r="H203" s="12">
        <f t="shared" si="49"/>
        <v>29.44</v>
      </c>
      <c r="I203" s="12">
        <f t="shared" si="49"/>
        <v>27.45</v>
      </c>
      <c r="L203" s="46">
        <v>24.9</v>
      </c>
      <c r="M203" s="46">
        <f t="shared" si="59"/>
        <v>5.0000000000000711E-2</v>
      </c>
      <c r="N203" s="46">
        <v>18.307196162046907</v>
      </c>
      <c r="O203" s="46">
        <f t="shared" si="60"/>
        <v>0.40280383795309405</v>
      </c>
      <c r="P203" s="46"/>
      <c r="Q203" s="39">
        <v>3771.9495849421078</v>
      </c>
      <c r="R203" s="38">
        <f t="shared" si="61"/>
        <v>1519.3557693802611</v>
      </c>
      <c r="S203" s="47"/>
      <c r="T203" s="39">
        <v>3015.9495849421078</v>
      </c>
      <c r="U203" s="38">
        <f t="shared" si="62"/>
        <v>1214.836067887722</v>
      </c>
      <c r="V203" s="51"/>
      <c r="W203" s="51"/>
      <c r="X203" s="46">
        <v>47.9</v>
      </c>
      <c r="Y203" s="47">
        <f t="shared" si="63"/>
        <v>3.9665970772442494E-2</v>
      </c>
      <c r="Z203" s="46">
        <f t="shared" si="50"/>
        <v>49.8</v>
      </c>
      <c r="AA203" s="12">
        <f t="shared" si="51"/>
        <v>-0.10000000000000142</v>
      </c>
      <c r="AB203" s="12">
        <f t="shared" si="52"/>
        <v>27.39</v>
      </c>
      <c r="AC203" s="12">
        <f t="shared" si="53"/>
        <v>-5.9999999999998721E-2</v>
      </c>
      <c r="AD203" s="12">
        <f t="shared" si="54"/>
        <v>29.38</v>
      </c>
      <c r="AE203" s="12">
        <f t="shared" si="55"/>
        <v>-6.0000000000002274E-2</v>
      </c>
      <c r="AF203" s="12"/>
      <c r="AJ203" s="11" t="e">
        <f>+#REF!*$AE203</f>
        <v>#REF!</v>
      </c>
      <c r="AK203" s="11" t="e">
        <f>+#REF!*$AA203</f>
        <v>#REF!</v>
      </c>
      <c r="AL203" s="11" t="e">
        <f>+#REF!*$AC203</f>
        <v>#REF!</v>
      </c>
    </row>
    <row r="204" spans="1:38" x14ac:dyDescent="0.3">
      <c r="B204" s="5" t="s">
        <v>401</v>
      </c>
      <c r="C204" s="5" t="s">
        <v>401</v>
      </c>
      <c r="D204" s="12">
        <f t="shared" si="56"/>
        <v>47.9</v>
      </c>
      <c r="E204" s="12">
        <v>23.95</v>
      </c>
      <c r="F204" s="47">
        <f t="shared" si="57"/>
        <v>-0.5</v>
      </c>
      <c r="G204" s="12">
        <f t="shared" si="58"/>
        <v>17.96</v>
      </c>
      <c r="H204" s="12">
        <f t="shared" si="49"/>
        <v>28.26</v>
      </c>
      <c r="I204" s="12">
        <f t="shared" si="49"/>
        <v>26.35</v>
      </c>
      <c r="L204" s="46">
        <v>24.9</v>
      </c>
      <c r="M204" s="46">
        <f t="shared" si="59"/>
        <v>-0.94999999999999929</v>
      </c>
      <c r="N204" s="46">
        <v>18.307196162046907</v>
      </c>
      <c r="O204" s="46">
        <f t="shared" si="60"/>
        <v>-0.34719616204690595</v>
      </c>
      <c r="P204" s="46"/>
      <c r="Q204" s="39">
        <v>274.48102495640933</v>
      </c>
      <c r="R204" s="38">
        <f t="shared" si="61"/>
        <v>-95.298758419566326</v>
      </c>
      <c r="S204" s="47"/>
      <c r="T204" s="39">
        <v>190.48102495640936</v>
      </c>
      <c r="U204" s="38">
        <f t="shared" si="62"/>
        <v>-66.13428080762624</v>
      </c>
      <c r="V204" s="51"/>
      <c r="W204" s="51"/>
      <c r="X204" s="46">
        <v>47.9</v>
      </c>
      <c r="Y204" s="47">
        <f t="shared" si="63"/>
        <v>3.9665970772442494E-2</v>
      </c>
      <c r="Z204" s="46">
        <f t="shared" si="50"/>
        <v>49.8</v>
      </c>
      <c r="AA204" s="12">
        <f t="shared" si="51"/>
        <v>1.8999999999999986</v>
      </c>
      <c r="AB204" s="12">
        <f t="shared" si="52"/>
        <v>27.39</v>
      </c>
      <c r="AC204" s="12">
        <f t="shared" si="53"/>
        <v>1.0399999999999991</v>
      </c>
      <c r="AD204" s="12">
        <f t="shared" si="54"/>
        <v>29.38</v>
      </c>
      <c r="AE204" s="12">
        <f t="shared" si="55"/>
        <v>1.1199999999999974</v>
      </c>
      <c r="AF204" s="12"/>
      <c r="AJ204" s="11" t="e">
        <f>+#REF!*$AE204</f>
        <v>#REF!</v>
      </c>
      <c r="AK204" s="11" t="e">
        <f>+#REF!*$AA204</f>
        <v>#REF!</v>
      </c>
      <c r="AL204" s="11" t="e">
        <f>+#REF!*$AC204</f>
        <v>#REF!</v>
      </c>
    </row>
    <row r="205" spans="1:38" x14ac:dyDescent="0.3">
      <c r="B205" s="5" t="s">
        <v>402</v>
      </c>
      <c r="C205" s="5" t="s">
        <v>403</v>
      </c>
      <c r="D205" s="12">
        <f t="shared" si="56"/>
        <v>26.9</v>
      </c>
      <c r="E205" s="12">
        <v>13.45</v>
      </c>
      <c r="F205" s="47">
        <f t="shared" si="57"/>
        <v>-0.5</v>
      </c>
      <c r="G205" s="12">
        <f t="shared" si="58"/>
        <v>10.09</v>
      </c>
      <c r="H205" s="12">
        <f t="shared" si="49"/>
        <v>15.87</v>
      </c>
      <c r="I205" s="12">
        <f t="shared" si="49"/>
        <v>14.8</v>
      </c>
      <c r="L205" s="46">
        <v>14.9</v>
      </c>
      <c r="M205" s="46">
        <f t="shared" si="59"/>
        <v>-1.4500000000000011</v>
      </c>
      <c r="N205" s="46">
        <v>11.18</v>
      </c>
      <c r="O205" s="46">
        <f t="shared" si="60"/>
        <v>-1.0899999999999999</v>
      </c>
      <c r="P205" s="46"/>
      <c r="Q205" s="39">
        <v>346.45920662187251</v>
      </c>
      <c r="R205" s="38">
        <f t="shared" si="61"/>
        <v>-377.64053521784098</v>
      </c>
      <c r="S205" s="47"/>
      <c r="T205" s="39">
        <v>202.4592066218726</v>
      </c>
      <c r="U205" s="38">
        <f t="shared" si="62"/>
        <v>-220.68053521784111</v>
      </c>
      <c r="V205" s="51"/>
      <c r="W205" s="51"/>
      <c r="X205" s="46">
        <v>26.9</v>
      </c>
      <c r="Y205" s="47">
        <f t="shared" si="63"/>
        <v>0.10780669144981414</v>
      </c>
      <c r="Z205" s="46">
        <f t="shared" si="50"/>
        <v>29.8</v>
      </c>
      <c r="AA205" s="12">
        <f t="shared" si="51"/>
        <v>2.9000000000000021</v>
      </c>
      <c r="AB205" s="12">
        <f t="shared" si="52"/>
        <v>16.39</v>
      </c>
      <c r="AC205" s="12">
        <f t="shared" si="53"/>
        <v>1.5899999999999999</v>
      </c>
      <c r="AD205" s="12">
        <f t="shared" si="54"/>
        <v>17.579999999999998</v>
      </c>
      <c r="AE205" s="12">
        <f t="shared" si="55"/>
        <v>1.7099999999999991</v>
      </c>
      <c r="AF205" s="12"/>
      <c r="AJ205" s="11" t="e">
        <f>+#REF!*$AE205</f>
        <v>#REF!</v>
      </c>
      <c r="AK205" s="11" t="e">
        <f>+#REF!*$AA205</f>
        <v>#REF!</v>
      </c>
      <c r="AL205" s="11" t="e">
        <f>+#REF!*$AC205</f>
        <v>#REF!</v>
      </c>
    </row>
    <row r="206" spans="1:38" x14ac:dyDescent="0.3">
      <c r="A206" s="4">
        <v>693465267110</v>
      </c>
      <c r="B206" s="5" t="s">
        <v>404</v>
      </c>
      <c r="C206" s="5" t="s">
        <v>405</v>
      </c>
      <c r="D206" s="12">
        <f t="shared" si="56"/>
        <v>53.9</v>
      </c>
      <c r="E206" s="12">
        <v>26.95</v>
      </c>
      <c r="F206" s="47">
        <f t="shared" si="57"/>
        <v>-0.5</v>
      </c>
      <c r="G206" s="12">
        <f t="shared" si="58"/>
        <v>20.21</v>
      </c>
      <c r="H206" s="12">
        <f t="shared" si="49"/>
        <v>31.8</v>
      </c>
      <c r="I206" s="12">
        <f t="shared" si="49"/>
        <v>29.65</v>
      </c>
      <c r="L206" s="46">
        <v>27.9</v>
      </c>
      <c r="M206" s="46">
        <f t="shared" si="59"/>
        <v>-0.94999999999999929</v>
      </c>
      <c r="N206" s="46">
        <v>20.93</v>
      </c>
      <c r="O206" s="46">
        <f t="shared" si="60"/>
        <v>-0.71999999999999886</v>
      </c>
      <c r="P206" s="46"/>
      <c r="Q206" s="39">
        <v>5674.5394623420752</v>
      </c>
      <c r="R206" s="38">
        <f t="shared" si="61"/>
        <v>-4085.6684128862876</v>
      </c>
      <c r="S206" s="47"/>
      <c r="T206" s="39">
        <v>4894.5394623420752</v>
      </c>
      <c r="U206" s="38">
        <f t="shared" si="62"/>
        <v>-3524.0684128862886</v>
      </c>
      <c r="V206" s="51"/>
      <c r="W206" s="51"/>
      <c r="X206" s="46">
        <v>53.9</v>
      </c>
      <c r="Y206" s="47">
        <f t="shared" si="63"/>
        <v>3.5250463821892453E-2</v>
      </c>
      <c r="Z206" s="46">
        <f t="shared" si="50"/>
        <v>55.8</v>
      </c>
      <c r="AA206" s="12">
        <f t="shared" si="51"/>
        <v>1.8999999999999986</v>
      </c>
      <c r="AB206" s="12">
        <f t="shared" si="52"/>
        <v>30.69</v>
      </c>
      <c r="AC206" s="12">
        <f t="shared" si="53"/>
        <v>1.0400000000000027</v>
      </c>
      <c r="AD206" s="12">
        <f t="shared" si="54"/>
        <v>32.92</v>
      </c>
      <c r="AE206" s="12">
        <f t="shared" si="55"/>
        <v>1.120000000000001</v>
      </c>
      <c r="AF206" s="12"/>
      <c r="AJ206" s="11" t="e">
        <f>+#REF!*$AE206</f>
        <v>#REF!</v>
      </c>
      <c r="AK206" s="11" t="e">
        <f>+#REF!*$AA206</f>
        <v>#REF!</v>
      </c>
      <c r="AL206" s="11" t="e">
        <f>+#REF!*$AC206</f>
        <v>#REF!</v>
      </c>
    </row>
    <row r="207" spans="1:38" x14ac:dyDescent="0.3">
      <c r="A207" s="4">
        <v>693465522110</v>
      </c>
      <c r="B207" s="5" t="s">
        <v>406</v>
      </c>
      <c r="C207" s="5" t="s">
        <v>407</v>
      </c>
      <c r="D207" s="12">
        <f t="shared" si="56"/>
        <v>16.899999999999999</v>
      </c>
      <c r="E207" s="12">
        <v>8.4499999999999993</v>
      </c>
      <c r="F207" s="47">
        <f t="shared" si="57"/>
        <v>-0.5</v>
      </c>
      <c r="G207" s="12">
        <f t="shared" si="58"/>
        <v>6.34</v>
      </c>
      <c r="H207" s="12">
        <f t="shared" si="49"/>
        <v>9.9700000000000006</v>
      </c>
      <c r="I207" s="12">
        <f t="shared" si="49"/>
        <v>9.3000000000000007</v>
      </c>
      <c r="L207" s="46">
        <v>8.9</v>
      </c>
      <c r="M207" s="46">
        <f t="shared" si="59"/>
        <v>-0.45000000000000107</v>
      </c>
      <c r="N207" s="46">
        <v>6.68</v>
      </c>
      <c r="O207" s="46">
        <f t="shared" si="60"/>
        <v>-0.33999999999999986</v>
      </c>
      <c r="P207" s="46"/>
      <c r="Q207" s="39">
        <v>4747.9393721686865</v>
      </c>
      <c r="R207" s="38">
        <f t="shared" si="61"/>
        <v>-1614.2993865373528</v>
      </c>
      <c r="S207" s="47"/>
      <c r="T207" s="39">
        <v>4159.9393721686865</v>
      </c>
      <c r="U207" s="38">
        <f t="shared" si="62"/>
        <v>-1414.3793865373527</v>
      </c>
      <c r="V207" s="51"/>
      <c r="W207" s="51"/>
      <c r="X207" s="46">
        <v>16.899999999999999</v>
      </c>
      <c r="Y207" s="47">
        <f t="shared" si="63"/>
        <v>5.3254437869822535E-2</v>
      </c>
      <c r="Z207" s="46">
        <f t="shared" si="50"/>
        <v>17.8</v>
      </c>
      <c r="AA207" s="12">
        <f t="shared" si="51"/>
        <v>0.90000000000000213</v>
      </c>
      <c r="AB207" s="12">
        <f t="shared" si="52"/>
        <v>9.7899999999999991</v>
      </c>
      <c r="AC207" s="12">
        <f t="shared" si="53"/>
        <v>0.48999999999999844</v>
      </c>
      <c r="AD207" s="12">
        <f t="shared" si="54"/>
        <v>10.5</v>
      </c>
      <c r="AE207" s="12">
        <f t="shared" si="55"/>
        <v>0.52999999999999936</v>
      </c>
      <c r="AF207" s="12"/>
      <c r="AJ207" s="11" t="e">
        <f>+#REF!*$AE207</f>
        <v>#REF!</v>
      </c>
      <c r="AK207" s="11" t="e">
        <f>+#REF!*$AA207</f>
        <v>#REF!</v>
      </c>
      <c r="AL207" s="11" t="e">
        <f>+#REF!*$AC207</f>
        <v>#REF!</v>
      </c>
    </row>
    <row r="208" spans="1:38" x14ac:dyDescent="0.3">
      <c r="A208" s="4">
        <v>693465000069</v>
      </c>
      <c r="B208" s="5" t="s">
        <v>408</v>
      </c>
      <c r="C208" s="5" t="s">
        <v>409</v>
      </c>
      <c r="D208" s="12">
        <f t="shared" si="56"/>
        <v>31.9</v>
      </c>
      <c r="E208" s="12">
        <v>15.95</v>
      </c>
      <c r="F208" s="47">
        <f t="shared" si="57"/>
        <v>-0.5</v>
      </c>
      <c r="G208" s="12">
        <f t="shared" si="58"/>
        <v>11.96</v>
      </c>
      <c r="H208" s="12">
        <f t="shared" si="49"/>
        <v>18.82</v>
      </c>
      <c r="I208" s="12">
        <f t="shared" si="49"/>
        <v>17.55</v>
      </c>
      <c r="L208" s="46">
        <v>15.9</v>
      </c>
      <c r="M208" s="46">
        <f t="shared" si="59"/>
        <v>4.9999999999998934E-2</v>
      </c>
      <c r="N208" s="46">
        <v>11.93</v>
      </c>
      <c r="O208" s="46">
        <f t="shared" si="60"/>
        <v>3.0000000000001137E-2</v>
      </c>
      <c r="P208" s="46"/>
      <c r="Q208" s="39">
        <v>162.81052185356864</v>
      </c>
      <c r="R208" s="38">
        <f t="shared" si="61"/>
        <v>4.884315655607244</v>
      </c>
      <c r="S208" s="47"/>
      <c r="T208" s="39">
        <v>162.81052185356864</v>
      </c>
      <c r="U208" s="38">
        <f t="shared" si="62"/>
        <v>4.884315655607244</v>
      </c>
      <c r="V208" s="51"/>
      <c r="W208" s="51"/>
      <c r="X208" s="46">
        <v>31.9</v>
      </c>
      <c r="Y208" s="47">
        <f t="shared" si="63"/>
        <v>-3.1347962382444194E-3</v>
      </c>
      <c r="Z208" s="46">
        <f t="shared" si="50"/>
        <v>31.8</v>
      </c>
      <c r="AA208" s="12">
        <f t="shared" si="51"/>
        <v>-9.9999999999997868E-2</v>
      </c>
      <c r="AB208" s="12">
        <f t="shared" si="52"/>
        <v>17.489999999999998</v>
      </c>
      <c r="AC208" s="12">
        <f t="shared" si="53"/>
        <v>-6.0000000000002274E-2</v>
      </c>
      <c r="AD208" s="12">
        <f t="shared" si="54"/>
        <v>18.760000000000002</v>
      </c>
      <c r="AE208" s="12">
        <f t="shared" si="55"/>
        <v>-5.9999999999998721E-2</v>
      </c>
      <c r="AF208" s="12"/>
      <c r="AJ208" s="11" t="e">
        <f>+#REF!*$AE208</f>
        <v>#REF!</v>
      </c>
      <c r="AK208" s="11" t="e">
        <f>+#REF!*$AA208</f>
        <v>#REF!</v>
      </c>
      <c r="AL208" s="11" t="e">
        <f>+#REF!*$AC208</f>
        <v>#REF!</v>
      </c>
    </row>
    <row r="209" spans="1:38" x14ac:dyDescent="0.3">
      <c r="A209" s="34">
        <v>693465237212</v>
      </c>
      <c r="B209" s="5" t="s">
        <v>410</v>
      </c>
      <c r="C209" s="29" t="s">
        <v>411</v>
      </c>
      <c r="D209" s="12">
        <f t="shared" si="56"/>
        <v>72.900000000000006</v>
      </c>
      <c r="E209" s="12">
        <v>36.450000000000003</v>
      </c>
      <c r="F209" s="47">
        <f t="shared" si="57"/>
        <v>-0.5</v>
      </c>
      <c r="G209" s="12">
        <f t="shared" si="58"/>
        <v>27.34</v>
      </c>
      <c r="H209" s="12">
        <f t="shared" si="49"/>
        <v>43.01</v>
      </c>
      <c r="I209" s="12">
        <f t="shared" si="49"/>
        <v>40.1</v>
      </c>
      <c r="L209" s="46">
        <v>35.9</v>
      </c>
      <c r="M209" s="46">
        <f t="shared" si="59"/>
        <v>0.55000000000000426</v>
      </c>
      <c r="N209" s="46">
        <v>26.93</v>
      </c>
      <c r="O209" s="46">
        <f t="shared" si="60"/>
        <v>0.41000000000000014</v>
      </c>
      <c r="P209" s="46"/>
      <c r="Q209" s="39">
        <v>3080.1105696358591</v>
      </c>
      <c r="R209" s="38">
        <f t="shared" si="61"/>
        <v>1262.8453335507027</v>
      </c>
      <c r="S209" s="47"/>
      <c r="T209" s="39">
        <v>2672.1105696358591</v>
      </c>
      <c r="U209" s="38">
        <f t="shared" si="62"/>
        <v>1095.5653335507027</v>
      </c>
      <c r="V209" s="51"/>
      <c r="W209" s="51"/>
      <c r="X209" s="46">
        <v>69.900000000000006</v>
      </c>
      <c r="Y209" s="47">
        <f t="shared" si="63"/>
        <v>2.7181688125893944E-2</v>
      </c>
      <c r="Z209" s="46">
        <f t="shared" si="50"/>
        <v>71.8</v>
      </c>
      <c r="AA209" s="12">
        <f t="shared" si="51"/>
        <v>-1.1000000000000085</v>
      </c>
      <c r="AB209" s="12">
        <f t="shared" si="52"/>
        <v>39.49</v>
      </c>
      <c r="AC209" s="12">
        <f t="shared" si="53"/>
        <v>-0.60999999999999943</v>
      </c>
      <c r="AD209" s="12">
        <f t="shared" si="54"/>
        <v>42.36</v>
      </c>
      <c r="AE209" s="12">
        <f t="shared" si="55"/>
        <v>-0.64999999999999858</v>
      </c>
      <c r="AF209" s="12"/>
      <c r="AJ209" s="11" t="e">
        <f>+#REF!*$AE209</f>
        <v>#REF!</v>
      </c>
      <c r="AK209" s="11" t="e">
        <f>+#REF!*$AA209</f>
        <v>#REF!</v>
      </c>
      <c r="AL209" s="11" t="e">
        <f>+#REF!*$AC209</f>
        <v>#REF!</v>
      </c>
    </row>
    <row r="210" spans="1:38" ht="15.6" customHeight="1" x14ac:dyDescent="0.3">
      <c r="A210" s="4">
        <v>693465400111</v>
      </c>
      <c r="B210" s="5" t="s">
        <v>412</v>
      </c>
      <c r="C210" s="5" t="s">
        <v>413</v>
      </c>
      <c r="D210" s="12">
        <f t="shared" si="56"/>
        <v>26.9</v>
      </c>
      <c r="E210" s="12">
        <v>13.45</v>
      </c>
      <c r="F210" s="47">
        <f t="shared" si="57"/>
        <v>-0.5</v>
      </c>
      <c r="G210" s="12">
        <f t="shared" si="58"/>
        <v>10.09</v>
      </c>
      <c r="H210" s="12">
        <f t="shared" ref="H210:I225" si="64">ROUND($D210*(1-H$5),2)</f>
        <v>15.87</v>
      </c>
      <c r="I210" s="12">
        <f t="shared" si="64"/>
        <v>14.8</v>
      </c>
      <c r="L210" s="46">
        <v>13.9</v>
      </c>
      <c r="M210" s="46">
        <f t="shared" si="59"/>
        <v>-0.45000000000000107</v>
      </c>
      <c r="N210" s="46">
        <v>10.43</v>
      </c>
      <c r="O210" s="46">
        <f t="shared" si="60"/>
        <v>-0.33999999999999986</v>
      </c>
      <c r="P210" s="46"/>
      <c r="Q210" s="39">
        <v>0</v>
      </c>
      <c r="R210" s="38">
        <f t="shared" si="61"/>
        <v>0</v>
      </c>
      <c r="S210" s="47"/>
      <c r="T210" s="39">
        <v>0</v>
      </c>
      <c r="U210" s="38">
        <f t="shared" si="62"/>
        <v>0</v>
      </c>
      <c r="X210" s="46">
        <v>26.9</v>
      </c>
      <c r="Y210" s="47">
        <f t="shared" si="63"/>
        <v>3.3457249070631967E-2</v>
      </c>
      <c r="Z210" s="46">
        <f t="shared" si="50"/>
        <v>27.8</v>
      </c>
      <c r="AA210" s="12">
        <f t="shared" si="51"/>
        <v>0.90000000000000213</v>
      </c>
      <c r="AB210" s="12">
        <f t="shared" si="52"/>
        <v>15.29</v>
      </c>
      <c r="AC210" s="12">
        <f t="shared" si="53"/>
        <v>0.48999999999999844</v>
      </c>
      <c r="AD210" s="12">
        <f t="shared" si="54"/>
        <v>16.399999999999999</v>
      </c>
      <c r="AE210" s="12">
        <f t="shared" si="55"/>
        <v>0.52999999999999936</v>
      </c>
      <c r="AF210" s="12"/>
      <c r="AJ210" s="11" t="e">
        <f>+#REF!*$AE210</f>
        <v>#REF!</v>
      </c>
      <c r="AK210" s="11" t="e">
        <f>+#REF!*$AA210</f>
        <v>#REF!</v>
      </c>
      <c r="AL210" s="11" t="e">
        <f>+#REF!*$AC210</f>
        <v>#REF!</v>
      </c>
    </row>
    <row r="211" spans="1:38" x14ac:dyDescent="0.3">
      <c r="A211" s="4">
        <v>693465109113</v>
      </c>
      <c r="B211" s="5" t="s">
        <v>414</v>
      </c>
      <c r="C211" s="5" t="s">
        <v>415</v>
      </c>
      <c r="D211" s="12">
        <f t="shared" si="56"/>
        <v>33.9</v>
      </c>
      <c r="E211" s="12">
        <v>16.95</v>
      </c>
      <c r="F211" s="47">
        <f t="shared" si="57"/>
        <v>-0.5</v>
      </c>
      <c r="G211" s="12">
        <f t="shared" si="58"/>
        <v>12.71</v>
      </c>
      <c r="H211" s="12">
        <f t="shared" si="64"/>
        <v>20</v>
      </c>
      <c r="I211" s="12">
        <f t="shared" si="64"/>
        <v>18.649999999999999</v>
      </c>
      <c r="L211" s="46">
        <v>16.899999999999999</v>
      </c>
      <c r="M211" s="46">
        <f t="shared" si="59"/>
        <v>5.0000000000000711E-2</v>
      </c>
      <c r="N211" s="46">
        <v>12.68</v>
      </c>
      <c r="O211" s="46">
        <f t="shared" si="60"/>
        <v>3.0000000000001137E-2</v>
      </c>
      <c r="P211" s="46"/>
      <c r="Q211" s="39">
        <v>0</v>
      </c>
      <c r="R211" s="38">
        <f t="shared" si="61"/>
        <v>0</v>
      </c>
      <c r="S211" s="47"/>
      <c r="T211" s="39">
        <v>0</v>
      </c>
      <c r="U211" s="38">
        <f t="shared" si="62"/>
        <v>0</v>
      </c>
      <c r="X211" s="46">
        <v>33.9</v>
      </c>
      <c r="Y211" s="47">
        <f t="shared" si="63"/>
        <v>-2.9498525073746729E-3</v>
      </c>
      <c r="Z211" s="46">
        <f t="shared" si="50"/>
        <v>33.799999999999997</v>
      </c>
      <c r="AA211" s="12">
        <f t="shared" si="51"/>
        <v>-0.10000000000000142</v>
      </c>
      <c r="AB211" s="12">
        <f t="shared" si="52"/>
        <v>18.59</v>
      </c>
      <c r="AC211" s="12">
        <f t="shared" si="53"/>
        <v>-5.9999999999998721E-2</v>
      </c>
      <c r="AD211" s="12">
        <f t="shared" si="54"/>
        <v>19.940000000000001</v>
      </c>
      <c r="AE211" s="12">
        <f t="shared" si="55"/>
        <v>-5.9999999999998721E-2</v>
      </c>
      <c r="AF211" s="12"/>
      <c r="AJ211" s="11" t="e">
        <f>+#REF!*$AE211</f>
        <v>#REF!</v>
      </c>
      <c r="AK211" s="11" t="e">
        <f>+#REF!*$AA211</f>
        <v>#REF!</v>
      </c>
      <c r="AL211" s="11" t="e">
        <f>+#REF!*$AC211</f>
        <v>#REF!</v>
      </c>
    </row>
    <row r="212" spans="1:38" x14ac:dyDescent="0.3">
      <c r="A212" s="4">
        <v>693465188118</v>
      </c>
      <c r="B212" s="5" t="s">
        <v>416</v>
      </c>
      <c r="C212" s="5" t="s">
        <v>417</v>
      </c>
      <c r="D212" s="12">
        <f t="shared" si="56"/>
        <v>27.9</v>
      </c>
      <c r="E212" s="12">
        <v>13.95</v>
      </c>
      <c r="F212" s="47">
        <f t="shared" si="57"/>
        <v>-0.5</v>
      </c>
      <c r="G212" s="12">
        <f t="shared" si="58"/>
        <v>10.46</v>
      </c>
      <c r="H212" s="12">
        <f t="shared" si="64"/>
        <v>16.46</v>
      </c>
      <c r="I212" s="12">
        <f t="shared" si="64"/>
        <v>15.35</v>
      </c>
      <c r="L212" s="46">
        <v>13.9</v>
      </c>
      <c r="M212" s="46">
        <f t="shared" si="59"/>
        <v>4.9999999999998934E-2</v>
      </c>
      <c r="N212" s="46">
        <v>10.43</v>
      </c>
      <c r="O212" s="46">
        <f t="shared" si="60"/>
        <v>3.0000000000001137E-2</v>
      </c>
      <c r="P212" s="46"/>
      <c r="Q212" s="39">
        <v>0</v>
      </c>
      <c r="R212" s="38">
        <f t="shared" si="61"/>
        <v>0</v>
      </c>
      <c r="S212" s="47"/>
      <c r="T212" s="39">
        <v>0</v>
      </c>
      <c r="U212" s="38">
        <f t="shared" si="62"/>
        <v>0</v>
      </c>
      <c r="X212" s="46">
        <v>27.9</v>
      </c>
      <c r="Y212" s="47">
        <f t="shared" si="63"/>
        <v>-3.5842293906809264E-3</v>
      </c>
      <c r="Z212" s="46">
        <f t="shared" si="50"/>
        <v>27.8</v>
      </c>
      <c r="AA212" s="12">
        <f t="shared" si="51"/>
        <v>-9.9999999999997868E-2</v>
      </c>
      <c r="AB212" s="12">
        <f t="shared" si="52"/>
        <v>15.29</v>
      </c>
      <c r="AC212" s="12">
        <f t="shared" si="53"/>
        <v>-6.0000000000000497E-2</v>
      </c>
      <c r="AD212" s="12">
        <f t="shared" si="54"/>
        <v>16.399999999999999</v>
      </c>
      <c r="AE212" s="12">
        <f t="shared" si="55"/>
        <v>-6.0000000000002274E-2</v>
      </c>
      <c r="AF212" s="12"/>
      <c r="AJ212" s="11" t="e">
        <f>+#REF!*$AE212</f>
        <v>#REF!</v>
      </c>
      <c r="AK212" s="11" t="e">
        <f>+#REF!*$AA212</f>
        <v>#REF!</v>
      </c>
      <c r="AL212" s="11" t="e">
        <f>+#REF!*$AC212</f>
        <v>#REF!</v>
      </c>
    </row>
    <row r="213" spans="1:38" x14ac:dyDescent="0.3">
      <c r="A213" s="4">
        <v>693465204115</v>
      </c>
      <c r="B213" s="5" t="s">
        <v>418</v>
      </c>
      <c r="C213" s="5" t="s">
        <v>419</v>
      </c>
      <c r="D213" s="12">
        <f t="shared" si="56"/>
        <v>32.9</v>
      </c>
      <c r="E213" s="12">
        <v>16.45</v>
      </c>
      <c r="F213" s="47">
        <f t="shared" si="57"/>
        <v>-0.5</v>
      </c>
      <c r="G213" s="12">
        <f t="shared" si="58"/>
        <v>12.34</v>
      </c>
      <c r="H213" s="12">
        <f t="shared" si="64"/>
        <v>19.41</v>
      </c>
      <c r="I213" s="12">
        <f t="shared" si="64"/>
        <v>18.100000000000001</v>
      </c>
      <c r="L213" s="46">
        <v>16.899999999999999</v>
      </c>
      <c r="M213" s="46">
        <f t="shared" si="59"/>
        <v>-0.44999999999999929</v>
      </c>
      <c r="N213" s="46">
        <v>12.68</v>
      </c>
      <c r="O213" s="46">
        <f t="shared" si="60"/>
        <v>-0.33999999999999986</v>
      </c>
      <c r="P213" s="46"/>
      <c r="Q213" s="39">
        <v>0</v>
      </c>
      <c r="R213" s="38">
        <f t="shared" si="61"/>
        <v>0</v>
      </c>
      <c r="S213" s="47"/>
      <c r="T213" s="39">
        <v>0</v>
      </c>
      <c r="U213" s="38">
        <f t="shared" si="62"/>
        <v>0</v>
      </c>
      <c r="X213" s="46">
        <v>32.9</v>
      </c>
      <c r="Y213" s="47">
        <f t="shared" si="63"/>
        <v>2.7355623100303816E-2</v>
      </c>
      <c r="Z213" s="46">
        <f t="shared" si="50"/>
        <v>33.799999999999997</v>
      </c>
      <c r="AA213" s="12">
        <f t="shared" si="51"/>
        <v>0.89999999999999858</v>
      </c>
      <c r="AB213" s="12">
        <f t="shared" si="52"/>
        <v>18.59</v>
      </c>
      <c r="AC213" s="12">
        <f t="shared" si="53"/>
        <v>0.48999999999999844</v>
      </c>
      <c r="AD213" s="12">
        <f t="shared" si="54"/>
        <v>19.940000000000001</v>
      </c>
      <c r="AE213" s="12">
        <f t="shared" si="55"/>
        <v>0.53000000000000114</v>
      </c>
      <c r="AF213" s="12"/>
      <c r="AJ213" s="11" t="e">
        <f>+#REF!*$AE213</f>
        <v>#REF!</v>
      </c>
      <c r="AK213" s="11" t="e">
        <f>+#REF!*$AA213</f>
        <v>#REF!</v>
      </c>
      <c r="AL213" s="11" t="e">
        <f>+#REF!*$AC213</f>
        <v>#REF!</v>
      </c>
    </row>
    <row r="214" spans="1:38" x14ac:dyDescent="0.3">
      <c r="A214" s="4">
        <v>693465205211</v>
      </c>
      <c r="B214" s="5" t="s">
        <v>420</v>
      </c>
      <c r="C214" s="5" t="s">
        <v>421</v>
      </c>
      <c r="D214" s="12">
        <f t="shared" si="56"/>
        <v>66.900000000000006</v>
      </c>
      <c r="E214" s="12">
        <v>33.450000000000003</v>
      </c>
      <c r="F214" s="47">
        <f t="shared" si="57"/>
        <v>-0.5</v>
      </c>
      <c r="G214" s="12">
        <f t="shared" si="58"/>
        <v>25.09</v>
      </c>
      <c r="H214" s="12">
        <f t="shared" si="64"/>
        <v>39.47</v>
      </c>
      <c r="I214" s="12">
        <f t="shared" si="64"/>
        <v>36.799999999999997</v>
      </c>
      <c r="L214" s="46">
        <v>34.9</v>
      </c>
      <c r="M214" s="46">
        <f t="shared" si="59"/>
        <v>-1.4499999999999957</v>
      </c>
      <c r="N214" s="46">
        <v>26.18</v>
      </c>
      <c r="O214" s="46">
        <f t="shared" si="60"/>
        <v>-1.0899999999999999</v>
      </c>
      <c r="P214" s="46"/>
      <c r="Q214" s="39">
        <v>0</v>
      </c>
      <c r="R214" s="38">
        <f t="shared" si="61"/>
        <v>0</v>
      </c>
      <c r="S214" s="47"/>
      <c r="T214" s="39">
        <v>0</v>
      </c>
      <c r="U214" s="38">
        <f t="shared" si="62"/>
        <v>0</v>
      </c>
      <c r="X214" s="46">
        <v>66.900000000000006</v>
      </c>
      <c r="Y214" s="47">
        <f t="shared" si="63"/>
        <v>4.334828101644228E-2</v>
      </c>
      <c r="Z214" s="46">
        <f t="shared" si="50"/>
        <v>69.8</v>
      </c>
      <c r="AA214" s="12">
        <f t="shared" si="51"/>
        <v>2.8999999999999915</v>
      </c>
      <c r="AB214" s="12">
        <f t="shared" si="52"/>
        <v>38.39</v>
      </c>
      <c r="AC214" s="12">
        <f t="shared" si="53"/>
        <v>1.5900000000000034</v>
      </c>
      <c r="AD214" s="12">
        <f t="shared" si="54"/>
        <v>41.18</v>
      </c>
      <c r="AE214" s="12">
        <f t="shared" si="55"/>
        <v>1.7100000000000009</v>
      </c>
      <c r="AF214" s="12"/>
      <c r="AJ214" s="11" t="e">
        <f>+#REF!*$AE214</f>
        <v>#REF!</v>
      </c>
      <c r="AK214" s="11" t="e">
        <f>+#REF!*$AA214</f>
        <v>#REF!</v>
      </c>
      <c r="AL214" s="11" t="e">
        <f>+#REF!*$AC214</f>
        <v>#REF!</v>
      </c>
    </row>
    <row r="215" spans="1:38" x14ac:dyDescent="0.3">
      <c r="A215" s="4">
        <v>693465207116</v>
      </c>
      <c r="B215" s="5" t="s">
        <v>422</v>
      </c>
      <c r="C215" s="5" t="s">
        <v>423</v>
      </c>
      <c r="D215" s="12">
        <f t="shared" si="56"/>
        <v>26.9</v>
      </c>
      <c r="E215" s="12">
        <v>13.45</v>
      </c>
      <c r="F215" s="47">
        <f t="shared" si="57"/>
        <v>-0.5</v>
      </c>
      <c r="G215" s="12">
        <f t="shared" si="58"/>
        <v>10.09</v>
      </c>
      <c r="H215" s="12">
        <f t="shared" si="64"/>
        <v>15.87</v>
      </c>
      <c r="I215" s="12">
        <f t="shared" si="64"/>
        <v>14.8</v>
      </c>
      <c r="L215" s="46">
        <v>13.9</v>
      </c>
      <c r="M215" s="46">
        <f t="shared" si="59"/>
        <v>-0.45000000000000107</v>
      </c>
      <c r="N215" s="46">
        <v>10.43</v>
      </c>
      <c r="O215" s="46">
        <f t="shared" si="60"/>
        <v>-0.33999999999999986</v>
      </c>
      <c r="P215" s="46"/>
      <c r="Q215" s="39">
        <v>0</v>
      </c>
      <c r="R215" s="38">
        <f t="shared" si="61"/>
        <v>0</v>
      </c>
      <c r="S215" s="47"/>
      <c r="T215" s="39">
        <v>0</v>
      </c>
      <c r="U215" s="38">
        <f t="shared" si="62"/>
        <v>0</v>
      </c>
      <c r="X215" s="46">
        <v>26.9</v>
      </c>
      <c r="Y215" s="47">
        <f t="shared" si="63"/>
        <v>3.3457249070631967E-2</v>
      </c>
      <c r="Z215" s="46">
        <f t="shared" si="50"/>
        <v>27.8</v>
      </c>
      <c r="AA215" s="12">
        <f t="shared" si="51"/>
        <v>0.90000000000000213</v>
      </c>
      <c r="AB215" s="12">
        <f t="shared" si="52"/>
        <v>15.29</v>
      </c>
      <c r="AC215" s="12">
        <f t="shared" si="53"/>
        <v>0.48999999999999844</v>
      </c>
      <c r="AD215" s="12">
        <f t="shared" si="54"/>
        <v>16.399999999999999</v>
      </c>
      <c r="AE215" s="12">
        <f t="shared" si="55"/>
        <v>0.52999999999999936</v>
      </c>
      <c r="AF215" s="12"/>
      <c r="AJ215" s="11" t="e">
        <f>+#REF!*$AE215</f>
        <v>#REF!</v>
      </c>
      <c r="AK215" s="11" t="e">
        <f>+#REF!*$AA215</f>
        <v>#REF!</v>
      </c>
      <c r="AL215" s="11" t="e">
        <f>+#REF!*$AC215</f>
        <v>#REF!</v>
      </c>
    </row>
    <row r="216" spans="1:38" x14ac:dyDescent="0.3">
      <c r="A216" s="4">
        <v>693465430118</v>
      </c>
      <c r="B216" s="5" t="s">
        <v>424</v>
      </c>
      <c r="C216" s="5" t="s">
        <v>425</v>
      </c>
      <c r="D216" s="12">
        <f t="shared" si="56"/>
        <v>41.9</v>
      </c>
      <c r="E216" s="12">
        <v>20.95</v>
      </c>
      <c r="F216" s="47">
        <f t="shared" si="57"/>
        <v>-0.5</v>
      </c>
      <c r="G216" s="12">
        <f t="shared" si="58"/>
        <v>15.71</v>
      </c>
      <c r="H216" s="12">
        <f t="shared" si="64"/>
        <v>24.72</v>
      </c>
      <c r="I216" s="12">
        <f t="shared" si="64"/>
        <v>23.05</v>
      </c>
      <c r="L216" s="46">
        <v>21.9</v>
      </c>
      <c r="M216" s="46">
        <f t="shared" si="59"/>
        <v>-0.94999999999999929</v>
      </c>
      <c r="N216" s="46">
        <v>16.43</v>
      </c>
      <c r="O216" s="46">
        <f t="shared" si="60"/>
        <v>-0.71999999999999886</v>
      </c>
      <c r="P216" s="46"/>
      <c r="Q216" s="39">
        <v>0</v>
      </c>
      <c r="R216" s="38">
        <f t="shared" si="61"/>
        <v>0</v>
      </c>
      <c r="S216" s="47"/>
      <c r="T216" s="39">
        <v>0</v>
      </c>
      <c r="U216" s="38">
        <f t="shared" si="62"/>
        <v>0</v>
      </c>
      <c r="X216" s="46">
        <v>41.9</v>
      </c>
      <c r="Y216" s="47">
        <f t="shared" si="63"/>
        <v>4.5346062052505909E-2</v>
      </c>
      <c r="Z216" s="46">
        <f t="shared" si="50"/>
        <v>43.8</v>
      </c>
      <c r="AA216" s="12">
        <f t="shared" si="51"/>
        <v>1.8999999999999986</v>
      </c>
      <c r="AB216" s="12">
        <f t="shared" si="52"/>
        <v>24.09</v>
      </c>
      <c r="AC216" s="12">
        <f t="shared" si="53"/>
        <v>1.0399999999999991</v>
      </c>
      <c r="AD216" s="12">
        <f t="shared" si="54"/>
        <v>25.84</v>
      </c>
      <c r="AE216" s="12">
        <f t="shared" si="55"/>
        <v>1.120000000000001</v>
      </c>
      <c r="AF216" s="12"/>
      <c r="AJ216" s="11" t="e">
        <f>+#REF!*$AE216</f>
        <v>#REF!</v>
      </c>
      <c r="AK216" s="11" t="e">
        <f>+#REF!*$AA216</f>
        <v>#REF!</v>
      </c>
      <c r="AL216" s="11" t="e">
        <f>+#REF!*$AC216</f>
        <v>#REF!</v>
      </c>
    </row>
    <row r="217" spans="1:38" x14ac:dyDescent="0.3">
      <c r="A217" s="4">
        <v>693465265116</v>
      </c>
      <c r="B217" s="5" t="s">
        <v>426</v>
      </c>
      <c r="C217" s="5" t="s">
        <v>427</v>
      </c>
      <c r="D217" s="12">
        <f t="shared" si="56"/>
        <v>61.9</v>
      </c>
      <c r="E217" s="12">
        <v>30.95</v>
      </c>
      <c r="F217" s="47">
        <f t="shared" si="57"/>
        <v>-0.5</v>
      </c>
      <c r="G217" s="12">
        <f t="shared" si="58"/>
        <v>23.21</v>
      </c>
      <c r="H217" s="12">
        <f t="shared" si="64"/>
        <v>36.520000000000003</v>
      </c>
      <c r="I217" s="12">
        <f t="shared" si="64"/>
        <v>34.049999999999997</v>
      </c>
      <c r="L217" s="46">
        <v>31.9</v>
      </c>
      <c r="M217" s="46">
        <f t="shared" si="59"/>
        <v>-0.94999999999999929</v>
      </c>
      <c r="N217" s="46">
        <v>23.93</v>
      </c>
      <c r="O217" s="46">
        <f t="shared" si="60"/>
        <v>-0.71999999999999886</v>
      </c>
      <c r="P217" s="46"/>
      <c r="Q217" s="39">
        <v>0</v>
      </c>
      <c r="R217" s="38">
        <f t="shared" si="61"/>
        <v>0</v>
      </c>
      <c r="S217" s="47"/>
      <c r="T217" s="39">
        <v>0</v>
      </c>
      <c r="U217" s="38">
        <f t="shared" si="62"/>
        <v>0</v>
      </c>
      <c r="X217" s="46">
        <v>61.9</v>
      </c>
      <c r="Y217" s="47">
        <f t="shared" si="63"/>
        <v>3.0694668820678395E-2</v>
      </c>
      <c r="Z217" s="46">
        <f t="shared" si="50"/>
        <v>63.8</v>
      </c>
      <c r="AA217" s="12">
        <f t="shared" si="51"/>
        <v>1.8999999999999986</v>
      </c>
      <c r="AB217" s="12">
        <f t="shared" si="52"/>
        <v>35.090000000000003</v>
      </c>
      <c r="AC217" s="12">
        <f t="shared" si="53"/>
        <v>1.0400000000000063</v>
      </c>
      <c r="AD217" s="12">
        <f t="shared" si="54"/>
        <v>37.64</v>
      </c>
      <c r="AE217" s="12">
        <f t="shared" si="55"/>
        <v>1.1199999999999974</v>
      </c>
      <c r="AF217" s="12"/>
      <c r="AJ217" s="11" t="e">
        <f>+#REF!*$AE217</f>
        <v>#REF!</v>
      </c>
      <c r="AK217" s="11" t="e">
        <f>+#REF!*$AA217</f>
        <v>#REF!</v>
      </c>
      <c r="AL217" s="11" t="e">
        <f>+#REF!*$AC217</f>
        <v>#REF!</v>
      </c>
    </row>
    <row r="218" spans="1:38" x14ac:dyDescent="0.3">
      <c r="A218" s="4">
        <v>693465216118</v>
      </c>
      <c r="B218" s="5" t="s">
        <v>428</v>
      </c>
      <c r="C218" s="5" t="s">
        <v>429</v>
      </c>
      <c r="D218" s="12">
        <f t="shared" si="56"/>
        <v>30.9</v>
      </c>
      <c r="E218" s="12">
        <v>15.45</v>
      </c>
      <c r="F218" s="47">
        <f t="shared" si="57"/>
        <v>-0.5</v>
      </c>
      <c r="G218" s="12">
        <f t="shared" si="58"/>
        <v>11.59</v>
      </c>
      <c r="H218" s="12">
        <f t="shared" si="64"/>
        <v>18.23</v>
      </c>
      <c r="I218" s="12">
        <f t="shared" si="64"/>
        <v>17</v>
      </c>
      <c r="L218" s="46">
        <v>15.9</v>
      </c>
      <c r="M218" s="46">
        <f t="shared" si="59"/>
        <v>-0.45000000000000107</v>
      </c>
      <c r="N218" s="46">
        <v>11.93</v>
      </c>
      <c r="O218" s="46">
        <f t="shared" si="60"/>
        <v>-0.33999999999999986</v>
      </c>
      <c r="P218" s="46"/>
      <c r="Q218" s="39">
        <v>0</v>
      </c>
      <c r="R218" s="38">
        <f t="shared" si="61"/>
        <v>0</v>
      </c>
      <c r="S218" s="47"/>
      <c r="T218" s="39">
        <v>0</v>
      </c>
      <c r="U218" s="38">
        <f t="shared" si="62"/>
        <v>0</v>
      </c>
      <c r="X218" s="46">
        <v>30.9</v>
      </c>
      <c r="Y218" s="47">
        <f t="shared" si="63"/>
        <v>2.9126213592232997E-2</v>
      </c>
      <c r="Z218" s="46">
        <f t="shared" si="50"/>
        <v>31.8</v>
      </c>
      <c r="AA218" s="12">
        <f t="shared" si="51"/>
        <v>0.90000000000000213</v>
      </c>
      <c r="AB218" s="12">
        <f t="shared" si="52"/>
        <v>17.489999999999998</v>
      </c>
      <c r="AC218" s="12">
        <f t="shared" si="53"/>
        <v>0.48999999999999844</v>
      </c>
      <c r="AD218" s="12">
        <f t="shared" si="54"/>
        <v>18.760000000000002</v>
      </c>
      <c r="AE218" s="12">
        <f t="shared" si="55"/>
        <v>0.53000000000000114</v>
      </c>
      <c r="AF218" s="12"/>
      <c r="AJ218" s="11" t="e">
        <f>+#REF!*$AE218</f>
        <v>#REF!</v>
      </c>
      <c r="AK218" s="11" t="e">
        <f>+#REF!*$AA218</f>
        <v>#REF!</v>
      </c>
      <c r="AL218" s="11" t="e">
        <f>+#REF!*$AC218</f>
        <v>#REF!</v>
      </c>
    </row>
    <row r="219" spans="1:38" x14ac:dyDescent="0.3">
      <c r="A219" s="4">
        <v>693465220115</v>
      </c>
      <c r="B219" s="5" t="s">
        <v>430</v>
      </c>
      <c r="C219" s="5" t="s">
        <v>431</v>
      </c>
      <c r="D219" s="12">
        <f t="shared" si="56"/>
        <v>21.9</v>
      </c>
      <c r="E219" s="12">
        <v>10.95</v>
      </c>
      <c r="F219" s="47">
        <f t="shared" si="57"/>
        <v>-0.5</v>
      </c>
      <c r="G219" s="12">
        <f t="shared" si="58"/>
        <v>8.2100000000000009</v>
      </c>
      <c r="H219" s="12">
        <f t="shared" si="64"/>
        <v>12.92</v>
      </c>
      <c r="I219" s="12">
        <f t="shared" si="64"/>
        <v>12.05</v>
      </c>
      <c r="L219" s="46">
        <v>10.9</v>
      </c>
      <c r="M219" s="46">
        <f t="shared" si="59"/>
        <v>4.9999999999998934E-2</v>
      </c>
      <c r="N219" s="46">
        <v>8.18</v>
      </c>
      <c r="O219" s="46">
        <f t="shared" si="60"/>
        <v>3.0000000000001137E-2</v>
      </c>
      <c r="P219" s="46"/>
      <c r="Q219" s="39">
        <v>0</v>
      </c>
      <c r="R219" s="38">
        <f t="shared" si="61"/>
        <v>0</v>
      </c>
      <c r="S219" s="47"/>
      <c r="T219" s="39">
        <v>0</v>
      </c>
      <c r="U219" s="38">
        <f t="shared" si="62"/>
        <v>0</v>
      </c>
      <c r="X219" s="46">
        <v>21.9</v>
      </c>
      <c r="Y219" s="47">
        <f t="shared" si="63"/>
        <v>-4.5662100456620447E-3</v>
      </c>
      <c r="Z219" s="46">
        <f t="shared" si="50"/>
        <v>21.8</v>
      </c>
      <c r="AA219" s="12">
        <f t="shared" si="51"/>
        <v>-9.9999999999997868E-2</v>
      </c>
      <c r="AB219" s="12">
        <f t="shared" si="52"/>
        <v>11.99</v>
      </c>
      <c r="AC219" s="12">
        <f t="shared" si="53"/>
        <v>-6.0000000000000497E-2</v>
      </c>
      <c r="AD219" s="12">
        <f t="shared" si="54"/>
        <v>12.86</v>
      </c>
      <c r="AE219" s="12">
        <f t="shared" si="55"/>
        <v>-6.0000000000000497E-2</v>
      </c>
      <c r="AF219" s="12"/>
      <c r="AJ219" s="11" t="e">
        <f>+#REF!*$AE219</f>
        <v>#REF!</v>
      </c>
      <c r="AK219" s="11" t="e">
        <f>+#REF!*$AA219</f>
        <v>#REF!</v>
      </c>
      <c r="AL219" s="11" t="e">
        <f>+#REF!*$AC219</f>
        <v>#REF!</v>
      </c>
    </row>
    <row r="220" spans="1:38" x14ac:dyDescent="0.3">
      <c r="A220" s="4">
        <v>693465226117</v>
      </c>
      <c r="B220" s="5" t="s">
        <v>432</v>
      </c>
      <c r="C220" s="5" t="s">
        <v>433</v>
      </c>
      <c r="D220" s="12">
        <f t="shared" si="56"/>
        <v>31.9</v>
      </c>
      <c r="E220" s="12">
        <v>15.95</v>
      </c>
      <c r="F220" s="47">
        <f t="shared" si="57"/>
        <v>-0.5</v>
      </c>
      <c r="G220" s="12">
        <f t="shared" si="58"/>
        <v>11.96</v>
      </c>
      <c r="H220" s="12">
        <f t="shared" si="64"/>
        <v>18.82</v>
      </c>
      <c r="I220" s="12">
        <f t="shared" si="64"/>
        <v>17.55</v>
      </c>
      <c r="L220" s="46">
        <v>16.899999999999999</v>
      </c>
      <c r="M220" s="46">
        <f t="shared" si="59"/>
        <v>-0.94999999999999929</v>
      </c>
      <c r="N220" s="46">
        <v>12.68</v>
      </c>
      <c r="O220" s="46">
        <f t="shared" si="60"/>
        <v>-0.71999999999999886</v>
      </c>
      <c r="P220" s="46"/>
      <c r="Q220" s="39">
        <v>0</v>
      </c>
      <c r="R220" s="38">
        <f t="shared" si="61"/>
        <v>0</v>
      </c>
      <c r="S220" s="47"/>
      <c r="T220" s="39">
        <v>0</v>
      </c>
      <c r="U220" s="38">
        <f t="shared" si="62"/>
        <v>0</v>
      </c>
      <c r="X220" s="46">
        <v>31.9</v>
      </c>
      <c r="Y220" s="47">
        <f t="shared" si="63"/>
        <v>5.9561128526645746E-2</v>
      </c>
      <c r="Z220" s="46">
        <f t="shared" si="50"/>
        <v>33.799999999999997</v>
      </c>
      <c r="AA220" s="12">
        <f t="shared" si="51"/>
        <v>1.8999999999999986</v>
      </c>
      <c r="AB220" s="12">
        <f t="shared" si="52"/>
        <v>18.59</v>
      </c>
      <c r="AC220" s="12">
        <f t="shared" si="53"/>
        <v>1.0399999999999991</v>
      </c>
      <c r="AD220" s="12">
        <f t="shared" si="54"/>
        <v>19.940000000000001</v>
      </c>
      <c r="AE220" s="12">
        <f t="shared" si="55"/>
        <v>1.120000000000001</v>
      </c>
      <c r="AF220" s="12"/>
      <c r="AJ220" s="11" t="e">
        <f>+#REF!*$AE220</f>
        <v>#REF!</v>
      </c>
      <c r="AK220" s="11" t="e">
        <f>+#REF!*$AA220</f>
        <v>#REF!</v>
      </c>
      <c r="AL220" s="11" t="e">
        <f>+#REF!*$AC220</f>
        <v>#REF!</v>
      </c>
    </row>
    <row r="221" spans="1:38" x14ac:dyDescent="0.3">
      <c r="A221" s="4">
        <v>693465314210</v>
      </c>
      <c r="B221" s="5" t="s">
        <v>434</v>
      </c>
      <c r="C221" s="5" t="s">
        <v>435</v>
      </c>
      <c r="D221" s="12">
        <f t="shared" si="56"/>
        <v>17.899999999999999</v>
      </c>
      <c r="E221" s="12">
        <v>8.9499999999999993</v>
      </c>
      <c r="F221" s="47">
        <f t="shared" si="57"/>
        <v>-0.5</v>
      </c>
      <c r="G221" s="12">
        <v>7.0699704142011832</v>
      </c>
      <c r="H221" s="12">
        <f t="shared" si="64"/>
        <v>10.56</v>
      </c>
      <c r="I221" s="12">
        <f t="shared" si="64"/>
        <v>9.85</v>
      </c>
      <c r="L221" s="46">
        <v>9.9</v>
      </c>
      <c r="M221" s="46">
        <f t="shared" si="59"/>
        <v>-0.95000000000000107</v>
      </c>
      <c r="N221" s="46">
        <v>7.0699704142011832</v>
      </c>
      <c r="O221" s="46">
        <f t="shared" si="60"/>
        <v>0</v>
      </c>
      <c r="P221" s="46"/>
      <c r="Q221" s="39">
        <v>0</v>
      </c>
      <c r="R221" s="38">
        <f t="shared" si="61"/>
        <v>0</v>
      </c>
      <c r="S221" s="47"/>
      <c r="T221" s="39">
        <v>0</v>
      </c>
      <c r="U221" s="38">
        <f t="shared" si="62"/>
        <v>0</v>
      </c>
      <c r="X221" s="46">
        <v>17.899999999999999</v>
      </c>
      <c r="Y221" s="47">
        <f t="shared" si="63"/>
        <v>0.1061452513966481</v>
      </c>
      <c r="Z221" s="46">
        <f t="shared" si="50"/>
        <v>19.8</v>
      </c>
      <c r="AA221" s="12">
        <f t="shared" si="51"/>
        <v>1.9000000000000021</v>
      </c>
      <c r="AB221" s="12">
        <f t="shared" si="52"/>
        <v>10.89</v>
      </c>
      <c r="AC221" s="12">
        <f t="shared" si="53"/>
        <v>1.0400000000000009</v>
      </c>
      <c r="AD221" s="12">
        <f t="shared" si="54"/>
        <v>11.68</v>
      </c>
      <c r="AE221" s="12">
        <f t="shared" si="55"/>
        <v>1.1199999999999992</v>
      </c>
      <c r="AF221" s="12"/>
      <c r="AJ221" s="11" t="e">
        <f>+#REF!*$AE221</f>
        <v>#REF!</v>
      </c>
      <c r="AK221" s="11" t="e">
        <f>+#REF!*$AA221</f>
        <v>#REF!</v>
      </c>
      <c r="AL221" s="11" t="e">
        <f>+#REF!*$AC221</f>
        <v>#REF!</v>
      </c>
    </row>
    <row r="222" spans="1:38" x14ac:dyDescent="0.3">
      <c r="A222" s="4">
        <v>693465509111</v>
      </c>
      <c r="B222" s="5" t="s">
        <v>436</v>
      </c>
      <c r="C222" s="5" t="s">
        <v>437</v>
      </c>
      <c r="D222" s="12">
        <f t="shared" si="56"/>
        <v>11.9</v>
      </c>
      <c r="E222" s="12">
        <v>5.95</v>
      </c>
      <c r="F222" s="47">
        <f t="shared" si="57"/>
        <v>-0.5</v>
      </c>
      <c r="G222" s="12">
        <v>4.8309633027522931</v>
      </c>
      <c r="H222" s="12">
        <f t="shared" si="64"/>
        <v>7.02</v>
      </c>
      <c r="I222" s="12">
        <f t="shared" si="64"/>
        <v>6.55</v>
      </c>
      <c r="L222" s="46">
        <v>6.9</v>
      </c>
      <c r="M222" s="46">
        <f t="shared" si="59"/>
        <v>-0.95000000000000018</v>
      </c>
      <c r="N222" s="46">
        <v>4.8309633027522931</v>
      </c>
      <c r="O222" s="46">
        <f t="shared" si="60"/>
        <v>0</v>
      </c>
      <c r="P222" s="46"/>
      <c r="Q222" s="39">
        <v>0</v>
      </c>
      <c r="R222" s="38">
        <f t="shared" si="61"/>
        <v>0</v>
      </c>
      <c r="S222" s="47"/>
      <c r="T222" s="39">
        <v>0</v>
      </c>
      <c r="U222" s="38">
        <f t="shared" si="62"/>
        <v>0</v>
      </c>
      <c r="X222" s="46">
        <v>11.9</v>
      </c>
      <c r="Y222" s="47">
        <f t="shared" si="63"/>
        <v>0.15966386554621859</v>
      </c>
      <c r="Z222" s="46">
        <f t="shared" si="50"/>
        <v>13.8</v>
      </c>
      <c r="AA222" s="12">
        <f t="shared" si="51"/>
        <v>1.9000000000000004</v>
      </c>
      <c r="AB222" s="12">
        <f t="shared" si="52"/>
        <v>7.59</v>
      </c>
      <c r="AC222" s="12">
        <f t="shared" si="53"/>
        <v>1.04</v>
      </c>
      <c r="AD222" s="12">
        <f t="shared" si="54"/>
        <v>8.14</v>
      </c>
      <c r="AE222" s="12">
        <f t="shared" si="55"/>
        <v>1.120000000000001</v>
      </c>
      <c r="AF222" s="12"/>
      <c r="AJ222" s="11" t="e">
        <f>+#REF!*$AE222</f>
        <v>#REF!</v>
      </c>
      <c r="AK222" s="11" t="e">
        <f>+#REF!*$AA222</f>
        <v>#REF!</v>
      </c>
      <c r="AL222" s="11" t="e">
        <f>+#REF!*$AC222</f>
        <v>#REF!</v>
      </c>
    </row>
    <row r="223" spans="1:38" x14ac:dyDescent="0.3">
      <c r="A223" s="4">
        <v>693465451113</v>
      </c>
      <c r="B223" s="5" t="s">
        <v>438</v>
      </c>
      <c r="C223" s="5" t="s">
        <v>439</v>
      </c>
      <c r="D223" s="12">
        <f t="shared" si="56"/>
        <v>65.900000000000006</v>
      </c>
      <c r="E223" s="12">
        <v>32.950000000000003</v>
      </c>
      <c r="F223" s="47">
        <f t="shared" si="57"/>
        <v>-0.5</v>
      </c>
      <c r="G223" s="12">
        <f t="shared" ref="G223:G232" si="65">ROUND($E223*(1-G$5),2)</f>
        <v>24.71</v>
      </c>
      <c r="H223" s="12">
        <f t="shared" si="64"/>
        <v>38.880000000000003</v>
      </c>
      <c r="I223" s="12">
        <f t="shared" si="64"/>
        <v>36.25</v>
      </c>
      <c r="L223" s="46">
        <v>33.9</v>
      </c>
      <c r="M223" s="46">
        <f t="shared" si="59"/>
        <v>-0.94999999999999574</v>
      </c>
      <c r="N223" s="46">
        <v>25.43</v>
      </c>
      <c r="O223" s="46">
        <f t="shared" si="60"/>
        <v>-0.71999999999999886</v>
      </c>
      <c r="P223" s="46"/>
      <c r="Q223" s="39">
        <v>0</v>
      </c>
      <c r="R223" s="38">
        <f t="shared" si="61"/>
        <v>0</v>
      </c>
      <c r="S223" s="47"/>
      <c r="T223" s="39">
        <v>0</v>
      </c>
      <c r="U223" s="38">
        <f t="shared" si="62"/>
        <v>0</v>
      </c>
      <c r="V223" s="51"/>
      <c r="W223" s="51"/>
      <c r="X223" s="46">
        <v>65.900000000000006</v>
      </c>
      <c r="Y223" s="47">
        <f t="shared" si="63"/>
        <v>2.8831562974203306E-2</v>
      </c>
      <c r="Z223" s="46">
        <f t="shared" si="50"/>
        <v>67.8</v>
      </c>
      <c r="AA223" s="12">
        <f t="shared" si="51"/>
        <v>1.8999999999999915</v>
      </c>
      <c r="AB223" s="12">
        <f t="shared" si="52"/>
        <v>37.29</v>
      </c>
      <c r="AC223" s="12">
        <f t="shared" si="53"/>
        <v>1.0399999999999991</v>
      </c>
      <c r="AD223" s="12">
        <f t="shared" si="54"/>
        <v>40</v>
      </c>
      <c r="AE223" s="12">
        <f t="shared" si="55"/>
        <v>1.1199999999999974</v>
      </c>
      <c r="AF223" s="12"/>
      <c r="AJ223" s="11" t="e">
        <f>+#REF!*$AE223</f>
        <v>#REF!</v>
      </c>
      <c r="AK223" s="11" t="e">
        <f>+#REF!*$AA223</f>
        <v>#REF!</v>
      </c>
      <c r="AL223" s="11" t="e">
        <f>+#REF!*$AC223</f>
        <v>#REF!</v>
      </c>
    </row>
    <row r="224" spans="1:38" x14ac:dyDescent="0.3">
      <c r="B224" s="5" t="s">
        <v>440</v>
      </c>
      <c r="C224" s="5" t="s">
        <v>441</v>
      </c>
      <c r="D224" s="12">
        <f t="shared" si="56"/>
        <v>65.900000000000006</v>
      </c>
      <c r="E224" s="12">
        <v>32.950000000000003</v>
      </c>
      <c r="F224" s="47">
        <f t="shared" si="57"/>
        <v>-0.5</v>
      </c>
      <c r="G224" s="12">
        <f t="shared" si="65"/>
        <v>24.71</v>
      </c>
      <c r="H224" s="12">
        <f t="shared" si="64"/>
        <v>38.880000000000003</v>
      </c>
      <c r="I224" s="12">
        <f t="shared" si="64"/>
        <v>36.25</v>
      </c>
      <c r="L224" s="46">
        <v>33.9</v>
      </c>
      <c r="M224" s="46">
        <f t="shared" si="59"/>
        <v>-0.94999999999999574</v>
      </c>
      <c r="N224" s="46">
        <v>25.43</v>
      </c>
      <c r="O224" s="46">
        <f t="shared" si="60"/>
        <v>-0.71999999999999886</v>
      </c>
      <c r="P224" s="46"/>
      <c r="Q224" s="39">
        <v>0</v>
      </c>
      <c r="R224" s="38">
        <f t="shared" si="61"/>
        <v>0</v>
      </c>
      <c r="S224" s="47"/>
      <c r="T224" s="39">
        <v>0</v>
      </c>
      <c r="U224" s="38">
        <f t="shared" si="62"/>
        <v>0</v>
      </c>
      <c r="V224" s="51"/>
      <c r="W224" s="51"/>
      <c r="X224" s="46">
        <v>65.900000000000006</v>
      </c>
      <c r="Y224" s="47">
        <f t="shared" si="63"/>
        <v>2.8831562974203306E-2</v>
      </c>
      <c r="Z224" s="46">
        <f t="shared" si="50"/>
        <v>67.8</v>
      </c>
      <c r="AA224" s="12">
        <f t="shared" si="51"/>
        <v>1.8999999999999915</v>
      </c>
      <c r="AB224" s="12">
        <f t="shared" si="52"/>
        <v>37.29</v>
      </c>
      <c r="AC224" s="12">
        <f t="shared" si="53"/>
        <v>1.0399999999999991</v>
      </c>
      <c r="AD224" s="12">
        <f t="shared" si="54"/>
        <v>40</v>
      </c>
      <c r="AE224" s="12">
        <f t="shared" si="55"/>
        <v>1.1199999999999974</v>
      </c>
      <c r="AF224" s="12"/>
      <c r="AJ224" s="11" t="e">
        <f>+#REF!*$AE224</f>
        <v>#REF!</v>
      </c>
      <c r="AK224" s="11" t="e">
        <f>+#REF!*$AA224</f>
        <v>#REF!</v>
      </c>
      <c r="AL224" s="11" t="e">
        <f>+#REF!*$AC224</f>
        <v>#REF!</v>
      </c>
    </row>
    <row r="225" spans="1:38" x14ac:dyDescent="0.3">
      <c r="A225" s="4">
        <v>693465302118</v>
      </c>
      <c r="B225" s="5" t="s">
        <v>442</v>
      </c>
      <c r="C225" s="5" t="s">
        <v>443</v>
      </c>
      <c r="D225" s="12">
        <f t="shared" si="56"/>
        <v>16.899999999999999</v>
      </c>
      <c r="E225" s="12">
        <v>8.4499999999999993</v>
      </c>
      <c r="F225" s="47">
        <f t="shared" si="57"/>
        <v>-0.5</v>
      </c>
      <c r="G225" s="12">
        <f t="shared" si="65"/>
        <v>6.34</v>
      </c>
      <c r="H225" s="12">
        <f t="shared" si="64"/>
        <v>9.9700000000000006</v>
      </c>
      <c r="I225" s="12">
        <f t="shared" si="64"/>
        <v>9.3000000000000007</v>
      </c>
      <c r="L225" s="46">
        <v>9.9</v>
      </c>
      <c r="M225" s="46">
        <f t="shared" si="59"/>
        <v>-1.4500000000000011</v>
      </c>
      <c r="N225" s="46">
        <v>7.094811320754717</v>
      </c>
      <c r="O225" s="46">
        <f t="shared" si="60"/>
        <v>-0.75481132075471713</v>
      </c>
      <c r="P225" s="46"/>
      <c r="Q225" s="39">
        <v>0</v>
      </c>
      <c r="R225" s="38">
        <f t="shared" si="61"/>
        <v>0</v>
      </c>
      <c r="S225" s="47"/>
      <c r="T225" s="39">
        <v>0</v>
      </c>
      <c r="U225" s="38">
        <f t="shared" si="62"/>
        <v>0</v>
      </c>
      <c r="V225" s="51"/>
      <c r="W225" s="51"/>
      <c r="X225" s="46">
        <v>16.899999999999999</v>
      </c>
      <c r="Y225" s="47">
        <f t="shared" si="63"/>
        <v>0.17159763313609488</v>
      </c>
      <c r="Z225" s="46">
        <f t="shared" si="50"/>
        <v>19.8</v>
      </c>
      <c r="AA225" s="12">
        <f t="shared" si="51"/>
        <v>2.9000000000000021</v>
      </c>
      <c r="AB225" s="12">
        <f t="shared" si="52"/>
        <v>10.89</v>
      </c>
      <c r="AC225" s="12">
        <f t="shared" si="53"/>
        <v>1.5899999999999999</v>
      </c>
      <c r="AD225" s="12">
        <f t="shared" si="54"/>
        <v>11.68</v>
      </c>
      <c r="AE225" s="12">
        <f t="shared" si="55"/>
        <v>1.7099999999999991</v>
      </c>
      <c r="AF225" s="12"/>
      <c r="AJ225" s="11" t="e">
        <f>+#REF!*$AE225</f>
        <v>#REF!</v>
      </c>
      <c r="AK225" s="11" t="e">
        <f>+#REF!*$AA225</f>
        <v>#REF!</v>
      </c>
      <c r="AL225" s="11" t="e">
        <f>+#REF!*$AC225</f>
        <v>#REF!</v>
      </c>
    </row>
    <row r="226" spans="1:38" x14ac:dyDescent="0.3">
      <c r="A226" s="4">
        <v>693465535110</v>
      </c>
      <c r="B226" s="5" t="s">
        <v>444</v>
      </c>
      <c r="C226" s="5" t="s">
        <v>445</v>
      </c>
      <c r="D226" s="12">
        <f t="shared" si="56"/>
        <v>33.9</v>
      </c>
      <c r="E226" s="12">
        <v>16.95</v>
      </c>
      <c r="F226" s="47">
        <f t="shared" si="57"/>
        <v>-0.5</v>
      </c>
      <c r="G226" s="12">
        <f t="shared" si="65"/>
        <v>12.71</v>
      </c>
      <c r="H226" s="12">
        <f t="shared" ref="H226:I232" si="66">ROUND($D226*(1-H$5),2)</f>
        <v>20</v>
      </c>
      <c r="I226" s="12">
        <f t="shared" si="66"/>
        <v>18.649999999999999</v>
      </c>
      <c r="L226" s="46">
        <v>16.899999999999999</v>
      </c>
      <c r="M226" s="46">
        <f t="shared" si="59"/>
        <v>5.0000000000000711E-2</v>
      </c>
      <c r="N226" s="46">
        <v>12.68</v>
      </c>
      <c r="O226" s="46">
        <f t="shared" si="60"/>
        <v>3.0000000000001137E-2</v>
      </c>
      <c r="P226" s="46"/>
      <c r="Q226" s="39">
        <v>0</v>
      </c>
      <c r="R226" s="38">
        <f t="shared" si="61"/>
        <v>0</v>
      </c>
      <c r="S226" s="47"/>
      <c r="T226" s="39">
        <v>0</v>
      </c>
      <c r="U226" s="38">
        <f t="shared" si="62"/>
        <v>0</v>
      </c>
      <c r="V226" s="51"/>
      <c r="W226" s="51"/>
      <c r="X226" s="46">
        <v>33.9</v>
      </c>
      <c r="Y226" s="47">
        <f t="shared" si="63"/>
        <v>-2.9498525073746729E-3</v>
      </c>
      <c r="Z226" s="46">
        <f t="shared" si="50"/>
        <v>33.799999999999997</v>
      </c>
      <c r="AA226" s="12">
        <f t="shared" si="51"/>
        <v>-0.10000000000000142</v>
      </c>
      <c r="AB226" s="12">
        <f t="shared" si="52"/>
        <v>18.59</v>
      </c>
      <c r="AC226" s="12">
        <f t="shared" si="53"/>
        <v>-5.9999999999998721E-2</v>
      </c>
      <c r="AD226" s="12">
        <f t="shared" si="54"/>
        <v>19.940000000000001</v>
      </c>
      <c r="AE226" s="12">
        <f t="shared" si="55"/>
        <v>-5.9999999999998721E-2</v>
      </c>
      <c r="AF226" s="12"/>
      <c r="AJ226" s="11" t="e">
        <f>+#REF!*$AE226</f>
        <v>#REF!</v>
      </c>
      <c r="AK226" s="11" t="e">
        <f>+#REF!*$AA226</f>
        <v>#REF!</v>
      </c>
      <c r="AL226" s="11" t="e">
        <f>+#REF!*$AC226</f>
        <v>#REF!</v>
      </c>
    </row>
    <row r="227" spans="1:38" x14ac:dyDescent="0.3">
      <c r="A227" s="4">
        <v>693465261118</v>
      </c>
      <c r="B227" s="5" t="s">
        <v>446</v>
      </c>
      <c r="C227" s="5" t="s">
        <v>447</v>
      </c>
      <c r="D227" s="12">
        <f t="shared" si="56"/>
        <v>139.9</v>
      </c>
      <c r="E227" s="12">
        <v>69.95</v>
      </c>
      <c r="F227" s="47">
        <f t="shared" si="57"/>
        <v>-0.5</v>
      </c>
      <c r="G227" s="12">
        <f t="shared" si="65"/>
        <v>52.46</v>
      </c>
      <c r="H227" s="12">
        <f t="shared" si="66"/>
        <v>82.54</v>
      </c>
      <c r="I227" s="12">
        <f t="shared" si="66"/>
        <v>76.95</v>
      </c>
      <c r="L227" s="46">
        <v>70.900000000000006</v>
      </c>
      <c r="M227" s="46">
        <f t="shared" si="59"/>
        <v>-0.95000000000000284</v>
      </c>
      <c r="N227" s="46">
        <v>52.80242980561556</v>
      </c>
      <c r="O227" s="46">
        <f t="shared" si="60"/>
        <v>-0.34242980561555925</v>
      </c>
      <c r="P227" s="46"/>
      <c r="Q227" s="39">
        <v>0</v>
      </c>
      <c r="R227" s="38">
        <f t="shared" si="61"/>
        <v>0</v>
      </c>
      <c r="S227" s="47"/>
      <c r="T227" s="39">
        <v>0</v>
      </c>
      <c r="U227" s="38">
        <f t="shared" si="62"/>
        <v>0</v>
      </c>
      <c r="V227" s="51"/>
      <c r="W227" s="51"/>
      <c r="X227" s="46">
        <v>139.9</v>
      </c>
      <c r="Y227" s="47">
        <f t="shared" si="63"/>
        <v>1.3581129378127166E-2</v>
      </c>
      <c r="Z227" s="46">
        <f t="shared" si="50"/>
        <v>141.80000000000001</v>
      </c>
      <c r="AA227" s="12">
        <f t="shared" si="51"/>
        <v>1.9000000000000057</v>
      </c>
      <c r="AB227" s="12">
        <f t="shared" si="52"/>
        <v>77.989999999999995</v>
      </c>
      <c r="AC227" s="12">
        <f t="shared" si="53"/>
        <v>1.039999999999992</v>
      </c>
      <c r="AD227" s="12">
        <f t="shared" si="54"/>
        <v>83.66</v>
      </c>
      <c r="AE227" s="12">
        <f t="shared" si="55"/>
        <v>1.1199999999999903</v>
      </c>
      <c r="AF227" s="12"/>
      <c r="AJ227" s="11" t="e">
        <f>+#REF!*$AE227</f>
        <v>#REF!</v>
      </c>
      <c r="AK227" s="11" t="e">
        <f>+#REF!*$AA227</f>
        <v>#REF!</v>
      </c>
      <c r="AL227" s="11" t="e">
        <f>+#REF!*$AC227</f>
        <v>#REF!</v>
      </c>
    </row>
    <row r="228" spans="1:38" x14ac:dyDescent="0.3">
      <c r="B228" s="5" t="s">
        <v>448</v>
      </c>
      <c r="C228" s="5" t="s">
        <v>449</v>
      </c>
      <c r="D228" s="12">
        <f t="shared" si="56"/>
        <v>139.9</v>
      </c>
      <c r="E228" s="12">
        <v>69.95</v>
      </c>
      <c r="F228" s="47">
        <f t="shared" si="57"/>
        <v>-0.5</v>
      </c>
      <c r="G228" s="12">
        <f t="shared" si="65"/>
        <v>52.46</v>
      </c>
      <c r="H228" s="12">
        <f t="shared" si="66"/>
        <v>82.54</v>
      </c>
      <c r="I228" s="12">
        <f t="shared" si="66"/>
        <v>76.95</v>
      </c>
      <c r="L228" s="46">
        <v>70.900000000000006</v>
      </c>
      <c r="M228" s="46">
        <f t="shared" si="59"/>
        <v>-0.95000000000000284</v>
      </c>
      <c r="N228" s="46">
        <v>53.18</v>
      </c>
      <c r="O228" s="46">
        <f t="shared" si="60"/>
        <v>-0.71999999999999886</v>
      </c>
      <c r="P228" s="46"/>
      <c r="Q228" s="39">
        <v>0</v>
      </c>
      <c r="R228" s="38">
        <f t="shared" si="61"/>
        <v>0</v>
      </c>
      <c r="S228" s="47"/>
      <c r="T228" s="39">
        <v>0</v>
      </c>
      <c r="U228" s="38">
        <f t="shared" si="62"/>
        <v>0</v>
      </c>
      <c r="V228" s="51"/>
      <c r="W228" s="51"/>
      <c r="X228" s="46">
        <v>139.9</v>
      </c>
      <c r="Y228" s="47">
        <f t="shared" si="63"/>
        <v>1.3581129378127166E-2</v>
      </c>
      <c r="Z228" s="46">
        <f t="shared" si="50"/>
        <v>141.80000000000001</v>
      </c>
      <c r="AA228" s="12">
        <f t="shared" si="51"/>
        <v>1.9000000000000057</v>
      </c>
      <c r="AB228" s="12">
        <f t="shared" si="52"/>
        <v>77.989999999999995</v>
      </c>
      <c r="AC228" s="12">
        <f t="shared" si="53"/>
        <v>1.039999999999992</v>
      </c>
      <c r="AD228" s="12">
        <f t="shared" si="54"/>
        <v>83.66</v>
      </c>
      <c r="AE228" s="12">
        <f t="shared" si="55"/>
        <v>1.1199999999999903</v>
      </c>
      <c r="AF228" s="12"/>
      <c r="AJ228" s="11" t="e">
        <f>+#REF!*$AE228</f>
        <v>#REF!</v>
      </c>
      <c r="AK228" s="11" t="e">
        <f>+#REF!*$AA228</f>
        <v>#REF!</v>
      </c>
      <c r="AL228" s="11" t="e">
        <f>+#REF!*$AC228</f>
        <v>#REF!</v>
      </c>
    </row>
    <row r="229" spans="1:38" x14ac:dyDescent="0.3">
      <c r="A229" s="4">
        <v>693465230114</v>
      </c>
      <c r="B229" s="5" t="s">
        <v>450</v>
      </c>
      <c r="C229" s="5" t="s">
        <v>451</v>
      </c>
      <c r="D229" s="12">
        <f t="shared" si="56"/>
        <v>29.9</v>
      </c>
      <c r="E229" s="12">
        <v>14.95</v>
      </c>
      <c r="F229" s="47">
        <f t="shared" si="57"/>
        <v>-0.5</v>
      </c>
      <c r="G229" s="12">
        <f t="shared" si="65"/>
        <v>11.21</v>
      </c>
      <c r="H229" s="12">
        <f t="shared" si="66"/>
        <v>17.64</v>
      </c>
      <c r="I229" s="12">
        <f t="shared" si="66"/>
        <v>16.45</v>
      </c>
      <c r="L229" s="46">
        <v>14.9</v>
      </c>
      <c r="M229" s="46">
        <f t="shared" si="59"/>
        <v>4.9999999999998934E-2</v>
      </c>
      <c r="N229" s="46">
        <v>11.18</v>
      </c>
      <c r="O229" s="46">
        <f t="shared" si="60"/>
        <v>3.0000000000001137E-2</v>
      </c>
      <c r="P229" s="46"/>
      <c r="Q229" s="39">
        <v>0</v>
      </c>
      <c r="R229" s="38">
        <f t="shared" si="61"/>
        <v>0</v>
      </c>
      <c r="S229" s="47"/>
      <c r="T229" s="39">
        <v>0</v>
      </c>
      <c r="U229" s="38">
        <f t="shared" si="62"/>
        <v>0</v>
      </c>
      <c r="V229" s="51"/>
      <c r="W229" s="51"/>
      <c r="X229" s="46">
        <v>29.9</v>
      </c>
      <c r="Y229" s="47">
        <f t="shared" si="63"/>
        <v>-3.3444816053510573E-3</v>
      </c>
      <c r="Z229" s="46">
        <f t="shared" si="50"/>
        <v>29.8</v>
      </c>
      <c r="AA229" s="12">
        <f t="shared" si="51"/>
        <v>-9.9999999999997868E-2</v>
      </c>
      <c r="AB229" s="12">
        <f t="shared" si="52"/>
        <v>16.39</v>
      </c>
      <c r="AC229" s="12">
        <f t="shared" si="53"/>
        <v>-5.9999999999998721E-2</v>
      </c>
      <c r="AD229" s="12">
        <f t="shared" si="54"/>
        <v>17.579999999999998</v>
      </c>
      <c r="AE229" s="12">
        <f t="shared" si="55"/>
        <v>-6.0000000000002274E-2</v>
      </c>
      <c r="AF229" s="12"/>
      <c r="AJ229" s="11" t="e">
        <f>+#REF!*$AE229</f>
        <v>#REF!</v>
      </c>
      <c r="AK229" s="11" t="e">
        <f>+#REF!*$AA229</f>
        <v>#REF!</v>
      </c>
      <c r="AL229" s="11" t="e">
        <f>+#REF!*$AC229</f>
        <v>#REF!</v>
      </c>
    </row>
    <row r="230" spans="1:38" x14ac:dyDescent="0.3">
      <c r="A230" s="4">
        <v>693465263211</v>
      </c>
      <c r="B230" s="5" t="s">
        <v>452</v>
      </c>
      <c r="C230" s="5" t="s">
        <v>453</v>
      </c>
      <c r="D230" s="12">
        <f t="shared" si="56"/>
        <v>19.899999999999999</v>
      </c>
      <c r="E230" s="12">
        <v>9.9499999999999993</v>
      </c>
      <c r="F230" s="47">
        <f t="shared" si="57"/>
        <v>-0.5</v>
      </c>
      <c r="G230" s="12">
        <f t="shared" si="65"/>
        <v>7.46</v>
      </c>
      <c r="H230" s="12">
        <f t="shared" si="66"/>
        <v>11.74</v>
      </c>
      <c r="I230" s="12">
        <f t="shared" si="66"/>
        <v>10.95</v>
      </c>
      <c r="L230" s="46">
        <v>9.9</v>
      </c>
      <c r="M230" s="46">
        <f t="shared" si="59"/>
        <v>4.9999999999998934E-2</v>
      </c>
      <c r="N230" s="46">
        <v>7.0281746031746026</v>
      </c>
      <c r="O230" s="46">
        <f t="shared" si="60"/>
        <v>0.43182539682539733</v>
      </c>
      <c r="P230" s="46"/>
      <c r="Q230" s="39">
        <v>0</v>
      </c>
      <c r="R230" s="38">
        <f t="shared" si="61"/>
        <v>0</v>
      </c>
      <c r="S230" s="47"/>
      <c r="T230" s="39">
        <v>0</v>
      </c>
      <c r="U230" s="38">
        <f t="shared" si="62"/>
        <v>0</v>
      </c>
      <c r="V230" s="51"/>
      <c r="W230" s="51"/>
      <c r="X230" s="46">
        <v>19.899999999999999</v>
      </c>
      <c r="Y230" s="47">
        <f t="shared" si="63"/>
        <v>-5.0251256281406143E-3</v>
      </c>
      <c r="Z230" s="46">
        <f t="shared" si="50"/>
        <v>19.8</v>
      </c>
      <c r="AA230" s="12">
        <f t="shared" si="51"/>
        <v>-9.9999999999997868E-2</v>
      </c>
      <c r="AB230" s="12">
        <f t="shared" si="52"/>
        <v>10.89</v>
      </c>
      <c r="AC230" s="12">
        <f t="shared" si="53"/>
        <v>-5.9999999999998721E-2</v>
      </c>
      <c r="AD230" s="12">
        <f t="shared" si="54"/>
        <v>11.68</v>
      </c>
      <c r="AE230" s="12">
        <f t="shared" si="55"/>
        <v>-6.0000000000000497E-2</v>
      </c>
      <c r="AF230" s="12"/>
      <c r="AJ230" s="11" t="e">
        <f>+#REF!*$AE230</f>
        <v>#REF!</v>
      </c>
      <c r="AK230" s="11" t="e">
        <f>+#REF!*$AA230</f>
        <v>#REF!</v>
      </c>
      <c r="AL230" s="11" t="e">
        <f>+#REF!*$AC230</f>
        <v>#REF!</v>
      </c>
    </row>
    <row r="231" spans="1:38" x14ac:dyDescent="0.3">
      <c r="A231" s="4">
        <v>693465112113</v>
      </c>
      <c r="B231" s="5" t="s">
        <v>454</v>
      </c>
      <c r="C231" s="5" t="s">
        <v>455</v>
      </c>
      <c r="D231" s="12">
        <f t="shared" si="56"/>
        <v>48.9</v>
      </c>
      <c r="E231" s="12">
        <v>24.45</v>
      </c>
      <c r="F231" s="47">
        <f t="shared" si="57"/>
        <v>-0.5</v>
      </c>
      <c r="G231" s="12">
        <f t="shared" si="65"/>
        <v>18.34</v>
      </c>
      <c r="H231" s="12">
        <f t="shared" si="66"/>
        <v>28.85</v>
      </c>
      <c r="I231" s="12">
        <f t="shared" si="66"/>
        <v>26.9</v>
      </c>
      <c r="L231" s="46">
        <v>24.9</v>
      </c>
      <c r="M231" s="46">
        <f t="shared" si="59"/>
        <v>-0.44999999999999929</v>
      </c>
      <c r="N231" s="46">
        <v>18.68</v>
      </c>
      <c r="O231" s="46">
        <f t="shared" si="60"/>
        <v>-0.33999999999999986</v>
      </c>
      <c r="P231" s="46"/>
      <c r="Q231" s="39">
        <v>0</v>
      </c>
      <c r="R231" s="38">
        <f t="shared" si="61"/>
        <v>0</v>
      </c>
      <c r="S231" s="47"/>
      <c r="T231" s="39">
        <v>0</v>
      </c>
      <c r="U231" s="38">
        <f t="shared" si="62"/>
        <v>0</v>
      </c>
      <c r="V231" s="51"/>
      <c r="W231" s="51"/>
      <c r="X231" s="46">
        <v>48.9</v>
      </c>
      <c r="Y231" s="47">
        <f t="shared" si="63"/>
        <v>1.8404907975460016E-2</v>
      </c>
      <c r="Z231" s="46">
        <f t="shared" si="50"/>
        <v>49.8</v>
      </c>
      <c r="AA231" s="12">
        <f t="shared" si="51"/>
        <v>0.89999999999999858</v>
      </c>
      <c r="AB231" s="12">
        <f t="shared" si="52"/>
        <v>27.39</v>
      </c>
      <c r="AC231" s="12">
        <f t="shared" si="53"/>
        <v>0.49000000000000199</v>
      </c>
      <c r="AD231" s="12">
        <f t="shared" si="54"/>
        <v>29.38</v>
      </c>
      <c r="AE231" s="12">
        <f t="shared" si="55"/>
        <v>0.52999999999999758</v>
      </c>
      <c r="AF231" s="12"/>
      <c r="AJ231" s="11" t="e">
        <f>+#REF!*$AE231</f>
        <v>#REF!</v>
      </c>
      <c r="AK231" s="11" t="e">
        <f>+#REF!*$AA231</f>
        <v>#REF!</v>
      </c>
      <c r="AL231" s="11" t="e">
        <f>+#REF!*$AC231</f>
        <v>#REF!</v>
      </c>
    </row>
    <row r="232" spans="1:38" x14ac:dyDescent="0.3">
      <c r="A232" s="4">
        <v>693465114117</v>
      </c>
      <c r="B232" s="5" t="s">
        <v>456</v>
      </c>
      <c r="C232" s="5" t="s">
        <v>457</v>
      </c>
      <c r="D232" s="12">
        <f t="shared" si="56"/>
        <v>73.900000000000006</v>
      </c>
      <c r="E232" s="12">
        <v>36.950000000000003</v>
      </c>
      <c r="F232" s="47">
        <f t="shared" si="57"/>
        <v>-0.5</v>
      </c>
      <c r="G232" s="12">
        <f t="shared" si="65"/>
        <v>27.71</v>
      </c>
      <c r="H232" s="12">
        <f t="shared" si="66"/>
        <v>43.6</v>
      </c>
      <c r="I232" s="12">
        <f t="shared" si="66"/>
        <v>40.65</v>
      </c>
      <c r="L232" s="46">
        <v>36.9</v>
      </c>
      <c r="M232" s="46">
        <f t="shared" si="59"/>
        <v>5.0000000000004263E-2</v>
      </c>
      <c r="N232" s="46">
        <v>27.68</v>
      </c>
      <c r="O232" s="46">
        <f t="shared" si="60"/>
        <v>3.0000000000001137E-2</v>
      </c>
      <c r="P232" s="46"/>
      <c r="Q232" s="39">
        <v>0</v>
      </c>
      <c r="R232" s="38">
        <f t="shared" si="61"/>
        <v>0</v>
      </c>
      <c r="S232" s="47"/>
      <c r="T232" s="39">
        <v>0</v>
      </c>
      <c r="U232" s="38">
        <f t="shared" si="62"/>
        <v>0</v>
      </c>
      <c r="V232" s="51"/>
      <c r="W232" s="51"/>
      <c r="X232" s="46">
        <v>73.900000000000006</v>
      </c>
      <c r="Y232" s="47">
        <f t="shared" si="63"/>
        <v>-1.3531799729364913E-3</v>
      </c>
      <c r="Z232" s="46">
        <f t="shared" si="50"/>
        <v>73.8</v>
      </c>
      <c r="AA232" s="12">
        <f t="shared" si="51"/>
        <v>-0.10000000000000853</v>
      </c>
      <c r="AB232" s="12">
        <f t="shared" si="52"/>
        <v>40.590000000000003</v>
      </c>
      <c r="AC232" s="12">
        <f t="shared" si="53"/>
        <v>-5.9999999999995168E-2</v>
      </c>
      <c r="AD232" s="12">
        <f t="shared" si="54"/>
        <v>43.54</v>
      </c>
      <c r="AE232" s="12">
        <f t="shared" si="55"/>
        <v>-6.0000000000002274E-2</v>
      </c>
      <c r="AF232" s="12"/>
      <c r="AJ232" s="11" t="e">
        <f>+#REF!*$AE232</f>
        <v>#REF!</v>
      </c>
      <c r="AK232" s="11" t="e">
        <f>+#REF!*$AA232</f>
        <v>#REF!</v>
      </c>
      <c r="AL232" s="11" t="e">
        <f>+#REF!*$AC232</f>
        <v>#REF!</v>
      </c>
    </row>
    <row r="233" spans="1:38" x14ac:dyDescent="0.3">
      <c r="B233" s="5"/>
      <c r="C233" s="5"/>
      <c r="D233" s="12"/>
      <c r="E233" s="12"/>
      <c r="F233" s="5"/>
      <c r="G233" s="12"/>
      <c r="H233" s="12"/>
      <c r="I233" s="12"/>
      <c r="R233" s="32"/>
      <c r="S233" s="47"/>
    </row>
    <row r="234" spans="1:38" x14ac:dyDescent="0.3">
      <c r="A234" s="5"/>
      <c r="B234" s="5" t="s">
        <v>458</v>
      </c>
      <c r="C234" s="5" t="s">
        <v>1729</v>
      </c>
      <c r="D234" s="12"/>
      <c r="E234" s="12">
        <v>9.9</v>
      </c>
      <c r="F234" s="13"/>
      <c r="R234" s="32"/>
      <c r="S234" s="47"/>
    </row>
    <row r="235" spans="1:38" x14ac:dyDescent="0.3">
      <c r="A235" s="5"/>
      <c r="B235" s="5" t="s">
        <v>459</v>
      </c>
      <c r="C235" s="5" t="s">
        <v>460</v>
      </c>
      <c r="D235" s="12"/>
      <c r="E235" s="12">
        <v>27.9</v>
      </c>
      <c r="F235" s="13"/>
      <c r="R235" s="32"/>
      <c r="S235" s="47"/>
    </row>
    <row r="236" spans="1:38" x14ac:dyDescent="0.3">
      <c r="A236" s="5"/>
      <c r="B236" s="5" t="s">
        <v>461</v>
      </c>
      <c r="C236" s="5" t="s">
        <v>462</v>
      </c>
      <c r="D236" s="12"/>
      <c r="E236" s="12">
        <v>14.9</v>
      </c>
      <c r="F236" s="13"/>
      <c r="R236" s="32"/>
      <c r="S236" s="47"/>
    </row>
    <row r="237" spans="1:38" x14ac:dyDescent="0.3">
      <c r="A237" s="5"/>
      <c r="B237" s="5" t="s">
        <v>463</v>
      </c>
      <c r="C237" s="5" t="s">
        <v>464</v>
      </c>
      <c r="D237" s="12"/>
      <c r="E237" s="12">
        <v>13.9</v>
      </c>
      <c r="F237" s="13"/>
      <c r="R237" s="32"/>
      <c r="S237" s="47"/>
    </row>
    <row r="238" spans="1:38" x14ac:dyDescent="0.3">
      <c r="A238" s="5"/>
      <c r="B238" s="5" t="s">
        <v>465</v>
      </c>
      <c r="C238" s="5" t="s">
        <v>466</v>
      </c>
      <c r="D238" s="12"/>
      <c r="E238" s="12">
        <v>35.9</v>
      </c>
      <c r="F238" s="13"/>
      <c r="R238" s="32"/>
      <c r="S238" s="47"/>
    </row>
    <row r="239" spans="1:38" x14ac:dyDescent="0.3">
      <c r="A239" s="5"/>
      <c r="B239" s="5" t="s">
        <v>467</v>
      </c>
      <c r="C239" s="5" t="s">
        <v>468</v>
      </c>
      <c r="D239" s="12"/>
      <c r="E239" s="12">
        <v>13.9</v>
      </c>
      <c r="F239" s="13"/>
      <c r="R239" s="32"/>
      <c r="S239" s="47"/>
    </row>
    <row r="240" spans="1:38" x14ac:dyDescent="0.3">
      <c r="A240" s="5"/>
      <c r="B240" s="5" t="s">
        <v>469</v>
      </c>
      <c r="C240" s="5" t="s">
        <v>470</v>
      </c>
      <c r="D240" s="12"/>
      <c r="E240" s="12">
        <v>13.9</v>
      </c>
      <c r="F240" s="13"/>
      <c r="R240" s="32"/>
      <c r="S240" s="47"/>
    </row>
    <row r="241" spans="1:19" x14ac:dyDescent="0.3">
      <c r="A241" s="5"/>
      <c r="B241" s="5" t="s">
        <v>471</v>
      </c>
      <c r="C241" s="5" t="s">
        <v>472</v>
      </c>
      <c r="D241" s="12"/>
      <c r="E241" s="12">
        <v>24.9</v>
      </c>
      <c r="F241" s="13"/>
      <c r="R241" s="32"/>
      <c r="S241" s="47"/>
    </row>
    <row r="242" spans="1:19" x14ac:dyDescent="0.3">
      <c r="A242" s="5"/>
      <c r="B242" s="5" t="s">
        <v>473</v>
      </c>
      <c r="C242" s="5" t="s">
        <v>474</v>
      </c>
      <c r="D242" s="12"/>
      <c r="E242" s="12">
        <v>17.899999999999999</v>
      </c>
      <c r="F242" s="13"/>
      <c r="R242" s="32"/>
      <c r="S242" s="47"/>
    </row>
    <row r="243" spans="1:19" x14ac:dyDescent="0.3">
      <c r="A243" s="5"/>
      <c r="B243" s="5" t="s">
        <v>475</v>
      </c>
      <c r="C243" s="5" t="s">
        <v>476</v>
      </c>
      <c r="D243" s="12"/>
      <c r="E243" s="12">
        <v>13.9</v>
      </c>
      <c r="F243" s="13"/>
      <c r="R243" s="32"/>
      <c r="S243" s="47"/>
    </row>
    <row r="244" spans="1:19" x14ac:dyDescent="0.3">
      <c r="A244" s="5"/>
      <c r="B244" s="5" t="s">
        <v>477</v>
      </c>
      <c r="C244" s="5" t="s">
        <v>478</v>
      </c>
      <c r="D244" s="12"/>
      <c r="E244" s="12">
        <v>30.9</v>
      </c>
      <c r="F244" s="13"/>
      <c r="R244" s="32"/>
      <c r="S244" s="47"/>
    </row>
    <row r="245" spans="1:19" x14ac:dyDescent="0.3">
      <c r="A245" s="5"/>
      <c r="B245" s="5" t="s">
        <v>479</v>
      </c>
      <c r="C245" s="5" t="s">
        <v>480</v>
      </c>
      <c r="D245" s="12"/>
      <c r="E245" s="12">
        <v>13.9</v>
      </c>
      <c r="F245" s="13"/>
      <c r="R245" s="32"/>
      <c r="S245" s="47"/>
    </row>
    <row r="246" spans="1:19" x14ac:dyDescent="0.3">
      <c r="A246" s="5"/>
      <c r="B246" s="5" t="s">
        <v>481</v>
      </c>
      <c r="C246" s="5" t="s">
        <v>482</v>
      </c>
      <c r="D246" s="12"/>
      <c r="E246" s="12">
        <v>14.9</v>
      </c>
      <c r="F246" s="13"/>
      <c r="R246" s="32"/>
      <c r="S246" s="47"/>
    </row>
    <row r="247" spans="1:19" x14ac:dyDescent="0.3">
      <c r="A247" s="5"/>
      <c r="B247" s="5" t="s">
        <v>483</v>
      </c>
      <c r="C247" s="5" t="s">
        <v>484</v>
      </c>
      <c r="D247" s="12"/>
      <c r="E247" s="12">
        <v>30.9</v>
      </c>
      <c r="F247" s="13"/>
      <c r="R247" s="32"/>
      <c r="S247" s="47"/>
    </row>
    <row r="248" spans="1:19" x14ac:dyDescent="0.3">
      <c r="A248" s="5"/>
      <c r="B248" s="5" t="s">
        <v>485</v>
      </c>
      <c r="C248" s="5" t="s">
        <v>486</v>
      </c>
      <c r="D248" s="12"/>
      <c r="E248" s="12">
        <v>12.9</v>
      </c>
      <c r="F248" s="13"/>
      <c r="R248" s="32"/>
      <c r="S248" s="47"/>
    </row>
    <row r="249" spans="1:19" x14ac:dyDescent="0.3">
      <c r="A249" s="5"/>
      <c r="B249" s="5" t="s">
        <v>487</v>
      </c>
      <c r="C249" s="5" t="s">
        <v>488</v>
      </c>
      <c r="D249" s="12"/>
      <c r="E249" s="12">
        <v>13.9</v>
      </c>
      <c r="F249" s="13"/>
      <c r="R249" s="32"/>
      <c r="S249" s="47"/>
    </row>
    <row r="250" spans="1:19" x14ac:dyDescent="0.3">
      <c r="A250" s="5"/>
      <c r="B250" s="5" t="s">
        <v>489</v>
      </c>
      <c r="C250" s="5" t="s">
        <v>490</v>
      </c>
      <c r="D250" s="12"/>
      <c r="E250" s="12">
        <v>23.9</v>
      </c>
      <c r="F250" s="13"/>
      <c r="R250" s="32"/>
      <c r="S250" s="47"/>
    </row>
    <row r="251" spans="1:19" x14ac:dyDescent="0.3">
      <c r="A251" s="5"/>
      <c r="B251" s="5" t="s">
        <v>491</v>
      </c>
      <c r="C251" s="5" t="s">
        <v>492</v>
      </c>
      <c r="D251" s="12"/>
      <c r="E251" s="12">
        <v>27.9</v>
      </c>
      <c r="F251" s="13"/>
      <c r="R251" s="32"/>
      <c r="S251" s="47"/>
    </row>
    <row r="252" spans="1:19" x14ac:dyDescent="0.3">
      <c r="A252" s="5"/>
      <c r="B252" s="5" t="s">
        <v>493</v>
      </c>
      <c r="C252" s="5" t="s">
        <v>494</v>
      </c>
      <c r="D252" s="12"/>
      <c r="E252" s="12">
        <v>50.9</v>
      </c>
      <c r="F252" s="13"/>
      <c r="R252" s="32"/>
      <c r="S252" s="47"/>
    </row>
    <row r="253" spans="1:19" x14ac:dyDescent="0.3">
      <c r="A253" s="5"/>
      <c r="B253" s="5" t="s">
        <v>495</v>
      </c>
      <c r="C253" s="5" t="s">
        <v>496</v>
      </c>
      <c r="D253" s="12"/>
      <c r="E253" s="12">
        <v>18.899999999999999</v>
      </c>
      <c r="F253" s="13"/>
      <c r="R253" s="32"/>
      <c r="S253" s="47"/>
    </row>
    <row r="254" spans="1:19" x14ac:dyDescent="0.3">
      <c r="A254" s="5"/>
      <c r="B254" s="5" t="s">
        <v>497</v>
      </c>
      <c r="C254" s="5" t="s">
        <v>498</v>
      </c>
      <c r="D254" s="12"/>
      <c r="E254" s="12">
        <v>20.98</v>
      </c>
      <c r="F254" s="13"/>
      <c r="R254" s="32"/>
      <c r="S254" s="47"/>
    </row>
    <row r="255" spans="1:19" x14ac:dyDescent="0.3">
      <c r="A255" s="5"/>
      <c r="B255" s="5" t="s">
        <v>499</v>
      </c>
      <c r="C255" s="5" t="s">
        <v>500</v>
      </c>
      <c r="D255" s="12"/>
      <c r="E255" s="12">
        <v>31.9</v>
      </c>
      <c r="F255" s="13"/>
      <c r="K255" s="28"/>
      <c r="L255" s="31"/>
      <c r="N255" s="31"/>
      <c r="R255" s="32"/>
      <c r="S255" s="47"/>
    </row>
    <row r="256" spans="1:19" x14ac:dyDescent="0.3">
      <c r="A256" s="5"/>
      <c r="B256" s="5" t="s">
        <v>501</v>
      </c>
      <c r="C256" s="5" t="s">
        <v>502</v>
      </c>
      <c r="D256" s="12"/>
      <c r="E256" s="12">
        <v>22.9</v>
      </c>
      <c r="F256" s="13"/>
      <c r="R256" s="32"/>
      <c r="S256" s="47"/>
    </row>
    <row r="257" spans="1:19" x14ac:dyDescent="0.3">
      <c r="A257" s="5"/>
      <c r="B257" s="5" t="s">
        <v>503</v>
      </c>
      <c r="C257" s="5" t="s">
        <v>504</v>
      </c>
      <c r="D257" s="12"/>
      <c r="E257" s="12">
        <v>37.9</v>
      </c>
      <c r="F257" s="13"/>
      <c r="R257" s="32"/>
      <c r="S257" s="47"/>
    </row>
    <row r="258" spans="1:19" x14ac:dyDescent="0.3">
      <c r="A258" s="5"/>
      <c r="B258" s="5" t="s">
        <v>505</v>
      </c>
      <c r="C258" s="5" t="s">
        <v>506</v>
      </c>
      <c r="D258" s="12"/>
      <c r="E258" s="12">
        <v>22.9</v>
      </c>
      <c r="F258" s="13"/>
      <c r="R258" s="32"/>
      <c r="S258" s="47"/>
    </row>
    <row r="259" spans="1:19" x14ac:dyDescent="0.3">
      <c r="A259" s="5"/>
      <c r="B259" s="5" t="s">
        <v>507</v>
      </c>
      <c r="C259" s="5" t="s">
        <v>508</v>
      </c>
      <c r="D259" s="12"/>
      <c r="E259" s="12">
        <v>27.9</v>
      </c>
      <c r="F259" s="13"/>
      <c r="R259" s="32"/>
      <c r="S259" s="47"/>
    </row>
    <row r="260" spans="1:19" x14ac:dyDescent="0.3">
      <c r="A260" s="5"/>
      <c r="B260" s="5" t="s">
        <v>509</v>
      </c>
      <c r="C260" s="5" t="s">
        <v>510</v>
      </c>
      <c r="D260" s="12"/>
      <c r="E260" s="12">
        <v>27.9</v>
      </c>
      <c r="F260" s="13"/>
      <c r="R260" s="32"/>
      <c r="S260" s="47"/>
    </row>
    <row r="261" spans="1:19" x14ac:dyDescent="0.3">
      <c r="A261" s="5"/>
      <c r="B261" s="5" t="s">
        <v>511</v>
      </c>
      <c r="C261" s="5" t="s">
        <v>512</v>
      </c>
      <c r="D261" s="12"/>
      <c r="E261" s="12">
        <v>14.9</v>
      </c>
      <c r="F261" s="13"/>
      <c r="R261" s="32"/>
      <c r="S261" s="47"/>
    </row>
    <row r="262" spans="1:19" x14ac:dyDescent="0.3">
      <c r="A262" s="5"/>
      <c r="B262" s="5" t="s">
        <v>513</v>
      </c>
      <c r="C262" s="5" t="s">
        <v>201</v>
      </c>
      <c r="D262" s="12"/>
      <c r="E262" s="12">
        <v>20.9</v>
      </c>
      <c r="F262" s="13"/>
      <c r="R262" s="32"/>
      <c r="S262" s="47"/>
    </row>
    <row r="263" spans="1:19" x14ac:dyDescent="0.3">
      <c r="A263" s="5"/>
      <c r="B263" s="5" t="s">
        <v>514</v>
      </c>
      <c r="C263" s="5" t="s">
        <v>515</v>
      </c>
      <c r="D263" s="12"/>
      <c r="E263" s="12">
        <v>9.9</v>
      </c>
      <c r="F263" s="13"/>
      <c r="R263" s="32"/>
      <c r="S263" s="47"/>
    </row>
    <row r="264" spans="1:19" x14ac:dyDescent="0.3">
      <c r="A264" s="5"/>
      <c r="B264" s="5" t="s">
        <v>516</v>
      </c>
      <c r="C264" s="5" t="s">
        <v>517</v>
      </c>
      <c r="D264" s="12"/>
      <c r="E264" s="12">
        <v>13.9</v>
      </c>
      <c r="F264" s="13"/>
      <c r="H264" s="5"/>
      <c r="R264" s="32"/>
      <c r="S264" s="47"/>
    </row>
    <row r="265" spans="1:19" x14ac:dyDescent="0.3">
      <c r="A265" s="5"/>
      <c r="B265" s="5" t="s">
        <v>518</v>
      </c>
      <c r="C265" s="5" t="s">
        <v>519</v>
      </c>
      <c r="D265" s="12"/>
      <c r="E265" s="12">
        <v>21.9</v>
      </c>
      <c r="F265" s="13"/>
      <c r="H265" s="5"/>
      <c r="R265" s="32"/>
      <c r="S265" s="47"/>
    </row>
    <row r="266" spans="1:19" x14ac:dyDescent="0.3">
      <c r="A266" s="5"/>
      <c r="B266" s="5" t="s">
        <v>520</v>
      </c>
      <c r="C266" s="5" t="s">
        <v>521</v>
      </c>
      <c r="D266" s="12"/>
      <c r="E266" s="12">
        <v>21.9</v>
      </c>
      <c r="F266" s="13"/>
      <c r="H266" s="5"/>
      <c r="R266" s="32"/>
      <c r="S266" s="47"/>
    </row>
    <row r="267" spans="1:19" x14ac:dyDescent="0.3">
      <c r="A267" s="5"/>
      <c r="B267" s="5" t="s">
        <v>522</v>
      </c>
      <c r="C267" s="5" t="s">
        <v>523</v>
      </c>
      <c r="D267" s="12"/>
      <c r="E267" s="12">
        <v>7.9</v>
      </c>
      <c r="F267" s="13"/>
      <c r="H267" s="5"/>
      <c r="R267" s="32"/>
      <c r="S267" s="47"/>
    </row>
    <row r="268" spans="1:19" x14ac:dyDescent="0.3">
      <c r="A268" s="5"/>
      <c r="B268" s="5" t="s">
        <v>524</v>
      </c>
      <c r="C268" s="5" t="s">
        <v>525</v>
      </c>
      <c r="D268" s="12"/>
      <c r="E268" s="12">
        <v>35.9</v>
      </c>
      <c r="F268" s="13"/>
      <c r="R268" s="32"/>
      <c r="S268" s="47"/>
    </row>
    <row r="269" spans="1:19" x14ac:dyDescent="0.3">
      <c r="A269" s="5"/>
      <c r="B269" s="5" t="s">
        <v>526</v>
      </c>
      <c r="C269" s="5" t="s">
        <v>527</v>
      </c>
      <c r="D269" s="12"/>
      <c r="E269" s="12">
        <v>13.9</v>
      </c>
      <c r="F269" s="13"/>
      <c r="R269" s="32"/>
      <c r="S269" s="47"/>
    </row>
    <row r="270" spans="1:19" x14ac:dyDescent="0.3">
      <c r="A270" s="5"/>
      <c r="B270" s="5" t="s">
        <v>528</v>
      </c>
      <c r="C270" s="5" t="s">
        <v>529</v>
      </c>
      <c r="D270" s="12"/>
      <c r="E270" s="12">
        <v>14.9</v>
      </c>
      <c r="F270" s="13"/>
      <c r="R270" s="32"/>
      <c r="S270" s="47"/>
    </row>
    <row r="271" spans="1:19" x14ac:dyDescent="0.3">
      <c r="A271" s="5"/>
      <c r="B271" s="5" t="s">
        <v>530</v>
      </c>
      <c r="C271" s="5" t="s">
        <v>531</v>
      </c>
      <c r="D271" s="12"/>
      <c r="E271" s="12">
        <v>23.9</v>
      </c>
      <c r="F271" s="13"/>
      <c r="R271" s="32"/>
      <c r="S271" s="47"/>
    </row>
    <row r="272" spans="1:19" x14ac:dyDescent="0.3">
      <c r="A272" s="5"/>
      <c r="B272" s="5" t="s">
        <v>532</v>
      </c>
      <c r="C272" s="5" t="s">
        <v>533</v>
      </c>
      <c r="D272" s="12"/>
      <c r="E272" s="12">
        <v>17.899999999999999</v>
      </c>
      <c r="F272" s="13"/>
      <c r="R272" s="32"/>
      <c r="S272" s="47"/>
    </row>
    <row r="273" spans="1:19" x14ac:dyDescent="0.3">
      <c r="A273" s="5"/>
      <c r="B273" s="5" t="s">
        <v>534</v>
      </c>
      <c r="C273" s="5" t="s">
        <v>535</v>
      </c>
      <c r="D273" s="12"/>
      <c r="E273" s="12">
        <v>20.9</v>
      </c>
      <c r="F273" s="13"/>
      <c r="R273" s="32"/>
      <c r="S273" s="47"/>
    </row>
    <row r="274" spans="1:19" x14ac:dyDescent="0.3">
      <c r="A274" s="5"/>
      <c r="B274" s="5" t="s">
        <v>536</v>
      </c>
      <c r="C274" s="5" t="s">
        <v>537</v>
      </c>
      <c r="D274" s="12"/>
      <c r="E274" s="12">
        <v>14.9</v>
      </c>
      <c r="F274" s="13"/>
      <c r="R274" s="32"/>
      <c r="S274" s="47"/>
    </row>
    <row r="275" spans="1:19" x14ac:dyDescent="0.3">
      <c r="A275" s="5"/>
      <c r="B275" s="5" t="s">
        <v>538</v>
      </c>
      <c r="C275" s="5" t="s">
        <v>539</v>
      </c>
      <c r="D275" s="12"/>
      <c r="E275" s="12">
        <v>19.899999999999999</v>
      </c>
      <c r="F275" s="13"/>
      <c r="R275" s="32"/>
      <c r="S275" s="47"/>
    </row>
    <row r="276" spans="1:19" x14ac:dyDescent="0.3">
      <c r="A276" s="5"/>
      <c r="B276" s="5" t="s">
        <v>540</v>
      </c>
      <c r="C276" s="5" t="s">
        <v>541</v>
      </c>
      <c r="D276" s="12"/>
      <c r="E276" s="12">
        <v>8.9</v>
      </c>
      <c r="F276" s="13"/>
      <c r="R276" s="32"/>
      <c r="S276" s="47"/>
    </row>
    <row r="277" spans="1:19" x14ac:dyDescent="0.3">
      <c r="A277" s="5"/>
      <c r="B277" s="5" t="s">
        <v>542</v>
      </c>
      <c r="C277" s="5" t="s">
        <v>543</v>
      </c>
      <c r="D277" s="12"/>
      <c r="E277" s="12">
        <v>19.899999999999999</v>
      </c>
      <c r="F277" s="13"/>
      <c r="R277" s="32"/>
      <c r="S277" s="47"/>
    </row>
    <row r="278" spans="1:19" x14ac:dyDescent="0.3">
      <c r="A278" s="5"/>
      <c r="B278" s="5" t="s">
        <v>544</v>
      </c>
      <c r="C278" s="5" t="s">
        <v>545</v>
      </c>
      <c r="D278" s="12"/>
      <c r="E278" s="12">
        <v>13.9</v>
      </c>
      <c r="F278" s="13"/>
      <c r="R278" s="32"/>
      <c r="S278" s="47"/>
    </row>
    <row r="279" spans="1:19" x14ac:dyDescent="0.3">
      <c r="A279" s="5"/>
      <c r="B279" s="5" t="s">
        <v>546</v>
      </c>
      <c r="C279" s="5" t="s">
        <v>547</v>
      </c>
      <c r="D279" s="12"/>
      <c r="E279" s="12">
        <v>10.9</v>
      </c>
      <c r="F279" s="13"/>
      <c r="R279" s="32"/>
      <c r="S279" s="47"/>
    </row>
    <row r="280" spans="1:19" x14ac:dyDescent="0.3">
      <c r="A280" s="5"/>
      <c r="B280" s="5" t="s">
        <v>548</v>
      </c>
      <c r="C280" s="5" t="s">
        <v>549</v>
      </c>
      <c r="D280" s="12"/>
      <c r="E280" s="12">
        <v>12.9</v>
      </c>
      <c r="F280" s="13"/>
      <c r="R280" s="32"/>
      <c r="S280" s="47"/>
    </row>
    <row r="281" spans="1:19" x14ac:dyDescent="0.3">
      <c r="A281" s="5"/>
      <c r="B281" s="5" t="s">
        <v>550</v>
      </c>
      <c r="C281" s="5" t="s">
        <v>551</v>
      </c>
      <c r="D281" s="12"/>
      <c r="E281" s="12">
        <v>14.9</v>
      </c>
      <c r="F281" s="13"/>
      <c r="R281" s="32"/>
      <c r="S281" s="47"/>
    </row>
    <row r="282" spans="1:19" x14ac:dyDescent="0.3">
      <c r="A282" s="5"/>
      <c r="B282" s="5" t="s">
        <v>552</v>
      </c>
      <c r="C282" s="5" t="s">
        <v>553</v>
      </c>
      <c r="D282" s="12"/>
      <c r="E282" s="12">
        <v>24.9</v>
      </c>
      <c r="F282" s="13"/>
      <c r="H282" s="5"/>
      <c r="R282" s="32"/>
      <c r="S282" s="47"/>
    </row>
    <row r="283" spans="1:19" x14ac:dyDescent="0.3">
      <c r="A283" s="5"/>
      <c r="B283" s="5" t="s">
        <v>554</v>
      </c>
      <c r="C283" s="5" t="s">
        <v>554</v>
      </c>
      <c r="D283" s="12"/>
      <c r="E283" s="12">
        <v>22.416666666666668</v>
      </c>
      <c r="F283" s="13"/>
      <c r="H283" s="5"/>
      <c r="R283" s="32"/>
      <c r="S283" s="47"/>
    </row>
    <row r="284" spans="1:19" x14ac:dyDescent="0.3">
      <c r="A284" s="5"/>
      <c r="B284" s="5" t="s">
        <v>555</v>
      </c>
      <c r="C284" s="5" t="s">
        <v>556</v>
      </c>
      <c r="D284" s="12"/>
      <c r="E284" s="12">
        <v>36.9</v>
      </c>
      <c r="F284" s="13"/>
      <c r="R284" s="32"/>
      <c r="S284" s="47"/>
    </row>
    <row r="285" spans="1:19" x14ac:dyDescent="0.3">
      <c r="A285" s="5"/>
      <c r="B285" s="5" t="s">
        <v>557</v>
      </c>
      <c r="C285" s="5" t="s">
        <v>558</v>
      </c>
      <c r="D285" s="12"/>
      <c r="E285" s="12">
        <v>8.9</v>
      </c>
      <c r="F285" s="13"/>
      <c r="R285" s="32"/>
      <c r="S285" s="47"/>
    </row>
    <row r="286" spans="1:19" x14ac:dyDescent="0.3">
      <c r="A286" s="5"/>
      <c r="B286" s="5" t="s">
        <v>559</v>
      </c>
      <c r="C286" s="5" t="s">
        <v>169</v>
      </c>
      <c r="D286" s="12"/>
      <c r="E286" s="12">
        <v>25.9</v>
      </c>
      <c r="F286" s="13"/>
      <c r="R286" s="32"/>
      <c r="S286" s="47"/>
    </row>
    <row r="287" spans="1:19" x14ac:dyDescent="0.3">
      <c r="A287" s="5"/>
      <c r="B287" s="5" t="s">
        <v>560</v>
      </c>
      <c r="C287" s="5" t="s">
        <v>561</v>
      </c>
      <c r="D287" s="12"/>
      <c r="E287" s="12">
        <v>25.9</v>
      </c>
      <c r="F287" s="13"/>
      <c r="R287" s="32"/>
      <c r="S287" s="47"/>
    </row>
    <row r="288" spans="1:19" x14ac:dyDescent="0.3">
      <c r="A288" s="5"/>
      <c r="B288" s="5" t="s">
        <v>562</v>
      </c>
      <c r="C288" s="5" t="s">
        <v>563</v>
      </c>
      <c r="D288" s="12"/>
      <c r="E288" s="12">
        <v>12.9</v>
      </c>
      <c r="F288" s="13"/>
      <c r="R288" s="32"/>
      <c r="S288" s="47"/>
    </row>
    <row r="289" spans="1:19" x14ac:dyDescent="0.3">
      <c r="A289" s="5"/>
      <c r="B289" s="5" t="s">
        <v>564</v>
      </c>
      <c r="C289" s="5" t="s">
        <v>565</v>
      </c>
      <c r="D289" s="12"/>
      <c r="E289" s="12">
        <v>13.9</v>
      </c>
      <c r="F289" s="13"/>
      <c r="R289" s="32"/>
      <c r="S289" s="47"/>
    </row>
    <row r="290" spans="1:19" x14ac:dyDescent="0.3">
      <c r="A290" s="5"/>
      <c r="B290" s="5" t="s">
        <v>566</v>
      </c>
      <c r="C290" s="5" t="s">
        <v>567</v>
      </c>
      <c r="D290" s="12"/>
      <c r="E290" s="12">
        <v>16.899999999999999</v>
      </c>
      <c r="F290" s="13"/>
      <c r="R290" s="32"/>
      <c r="S290" s="47"/>
    </row>
    <row r="291" spans="1:19" x14ac:dyDescent="0.3">
      <c r="A291" s="5"/>
      <c r="B291" s="5" t="s">
        <v>568</v>
      </c>
      <c r="C291" s="5" t="s">
        <v>569</v>
      </c>
      <c r="D291" s="12"/>
      <c r="E291" s="12">
        <v>33.9</v>
      </c>
      <c r="F291" s="13"/>
      <c r="R291" s="32"/>
      <c r="S291" s="47"/>
    </row>
    <row r="292" spans="1:19" x14ac:dyDescent="0.3">
      <c r="A292" s="5"/>
      <c r="B292" s="5" t="s">
        <v>570</v>
      </c>
      <c r="C292" s="5" t="s">
        <v>571</v>
      </c>
      <c r="D292" s="12"/>
      <c r="E292" s="12">
        <v>21.9</v>
      </c>
      <c r="F292" s="13"/>
      <c r="R292" s="32"/>
      <c r="S292" s="47"/>
    </row>
    <row r="293" spans="1:19" x14ac:dyDescent="0.3">
      <c r="A293" s="5"/>
      <c r="B293" s="5" t="s">
        <v>572</v>
      </c>
      <c r="C293" s="5" t="s">
        <v>169</v>
      </c>
      <c r="D293" s="12"/>
      <c r="E293" s="12">
        <v>25.9</v>
      </c>
      <c r="F293" s="13"/>
      <c r="R293" s="32"/>
      <c r="S293" s="47"/>
    </row>
    <row r="294" spans="1:19" x14ac:dyDescent="0.3">
      <c r="A294" s="5"/>
      <c r="B294" s="5" t="s">
        <v>573</v>
      </c>
      <c r="C294" s="5" t="s">
        <v>574</v>
      </c>
      <c r="D294" s="12"/>
      <c r="E294" s="12">
        <v>24.9</v>
      </c>
      <c r="F294" s="13"/>
      <c r="R294" s="32"/>
      <c r="S294" s="47"/>
    </row>
    <row r="295" spans="1:19" x14ac:dyDescent="0.3">
      <c r="A295" s="5"/>
      <c r="B295" s="5" t="s">
        <v>575</v>
      </c>
      <c r="C295" s="5" t="s">
        <v>576</v>
      </c>
      <c r="D295" s="12"/>
      <c r="E295" s="12">
        <v>15.9</v>
      </c>
      <c r="F295" s="13"/>
      <c r="R295" s="32"/>
      <c r="S295" s="47"/>
    </row>
    <row r="296" spans="1:19" x14ac:dyDescent="0.3">
      <c r="A296" s="5"/>
      <c r="B296" s="5" t="s">
        <v>577</v>
      </c>
      <c r="C296" s="5" t="s">
        <v>578</v>
      </c>
      <c r="D296" s="12"/>
      <c r="E296" s="12">
        <v>20.9</v>
      </c>
      <c r="F296" s="13"/>
      <c r="R296" s="32"/>
      <c r="S296" s="47"/>
    </row>
    <row r="297" spans="1:19" x14ac:dyDescent="0.3">
      <c r="A297" s="5"/>
      <c r="B297" s="5" t="s">
        <v>579</v>
      </c>
      <c r="C297" s="5" t="s">
        <v>580</v>
      </c>
      <c r="D297" s="12"/>
      <c r="E297" s="12">
        <v>70.900000000000006</v>
      </c>
      <c r="F297" s="13"/>
      <c r="R297" s="32"/>
      <c r="S297" s="47"/>
    </row>
    <row r="298" spans="1:19" x14ac:dyDescent="0.3">
      <c r="A298" s="5"/>
      <c r="B298" s="5" t="s">
        <v>581</v>
      </c>
      <c r="C298" s="5" t="s">
        <v>523</v>
      </c>
      <c r="D298" s="12"/>
      <c r="E298" s="12">
        <v>7.9</v>
      </c>
      <c r="F298" s="13"/>
      <c r="R298" s="32"/>
      <c r="S298" s="47"/>
    </row>
    <row r="299" spans="1:19" x14ac:dyDescent="0.3">
      <c r="A299" s="5"/>
      <c r="B299" s="5" t="s">
        <v>582</v>
      </c>
      <c r="C299" s="5" t="s">
        <v>583</v>
      </c>
      <c r="D299" s="12"/>
      <c r="E299" s="12">
        <v>20.9</v>
      </c>
      <c r="F299" s="13"/>
      <c r="R299" s="32"/>
      <c r="S299" s="47"/>
    </row>
    <row r="300" spans="1:19" x14ac:dyDescent="0.3">
      <c r="A300" s="5"/>
      <c r="B300" s="5" t="s">
        <v>584</v>
      </c>
      <c r="C300" s="5" t="s">
        <v>585</v>
      </c>
      <c r="D300" s="12"/>
      <c r="E300" s="12">
        <v>23.9</v>
      </c>
      <c r="F300" s="13"/>
      <c r="R300" s="32"/>
      <c r="S300" s="47"/>
    </row>
    <row r="301" spans="1:19" x14ac:dyDescent="0.3">
      <c r="A301" s="5"/>
      <c r="B301" s="5" t="s">
        <v>586</v>
      </c>
      <c r="C301" s="5" t="s">
        <v>587</v>
      </c>
      <c r="D301" s="12"/>
      <c r="E301" s="12">
        <v>20.9</v>
      </c>
      <c r="F301" s="13"/>
      <c r="R301" s="32"/>
      <c r="S301" s="47"/>
    </row>
    <row r="302" spans="1:19" x14ac:dyDescent="0.3">
      <c r="A302" s="5"/>
      <c r="B302" s="5" t="s">
        <v>588</v>
      </c>
      <c r="C302" s="5" t="s">
        <v>589</v>
      </c>
      <c r="D302" s="12"/>
      <c r="E302" s="12">
        <v>29.9</v>
      </c>
      <c r="F302" s="13"/>
      <c r="R302" s="32"/>
      <c r="S302" s="47"/>
    </row>
    <row r="303" spans="1:19" x14ac:dyDescent="0.3">
      <c r="A303" s="5"/>
      <c r="B303" s="5" t="s">
        <v>590</v>
      </c>
      <c r="C303" s="5" t="s">
        <v>591</v>
      </c>
      <c r="D303" s="12"/>
      <c r="E303" s="12">
        <v>16.899999999999999</v>
      </c>
      <c r="F303" s="13"/>
      <c r="R303" s="32"/>
      <c r="S303" s="47"/>
    </row>
    <row r="304" spans="1:19" x14ac:dyDescent="0.3">
      <c r="A304" s="5"/>
      <c r="B304" s="5" t="s">
        <v>592</v>
      </c>
      <c r="C304" s="5" t="s">
        <v>593</v>
      </c>
      <c r="D304" s="12"/>
      <c r="E304" s="12">
        <v>15.9</v>
      </c>
      <c r="F304" s="13"/>
      <c r="R304" s="32"/>
      <c r="S304" s="47"/>
    </row>
    <row r="305" spans="1:19" x14ac:dyDescent="0.3">
      <c r="A305" s="5"/>
      <c r="B305" s="5" t="s">
        <v>594</v>
      </c>
      <c r="C305" s="5" t="s">
        <v>541</v>
      </c>
      <c r="D305" s="12"/>
      <c r="E305" s="12">
        <v>8.9</v>
      </c>
      <c r="F305" s="13"/>
      <c r="R305" s="32"/>
      <c r="S305" s="47"/>
    </row>
    <row r="306" spans="1:19" x14ac:dyDescent="0.3">
      <c r="A306" s="5"/>
      <c r="B306" s="5" t="s">
        <v>595</v>
      </c>
      <c r="C306" s="5" t="s">
        <v>596</v>
      </c>
      <c r="D306" s="12"/>
      <c r="E306" s="12">
        <v>36.9</v>
      </c>
      <c r="F306" s="13"/>
      <c r="R306" s="32"/>
      <c r="S306" s="47"/>
    </row>
    <row r="307" spans="1:19" x14ac:dyDescent="0.3">
      <c r="A307" s="5"/>
      <c r="B307" s="5" t="s">
        <v>597</v>
      </c>
      <c r="C307" s="5" t="s">
        <v>598</v>
      </c>
      <c r="D307" s="12"/>
      <c r="E307" s="12">
        <v>17.899999999999999</v>
      </c>
      <c r="F307" s="13"/>
      <c r="R307" s="32"/>
      <c r="S307" s="47"/>
    </row>
    <row r="308" spans="1:19" x14ac:dyDescent="0.3">
      <c r="A308" s="5"/>
      <c r="B308" s="5" t="s">
        <v>599</v>
      </c>
      <c r="C308" s="5" t="s">
        <v>600</v>
      </c>
      <c r="D308" s="12"/>
      <c r="E308" s="12">
        <v>7.008</v>
      </c>
      <c r="F308" s="13"/>
      <c r="R308" s="32"/>
      <c r="S308" s="47"/>
    </row>
    <row r="309" spans="1:19" x14ac:dyDescent="0.3">
      <c r="A309" s="5"/>
      <c r="B309" s="5" t="s">
        <v>601</v>
      </c>
      <c r="C309" s="5" t="s">
        <v>602</v>
      </c>
      <c r="D309" s="12"/>
      <c r="E309" s="12">
        <v>14.9</v>
      </c>
      <c r="F309" s="13"/>
      <c r="R309" s="32"/>
      <c r="S309" s="47"/>
    </row>
    <row r="310" spans="1:19" x14ac:dyDescent="0.3">
      <c r="A310" s="5"/>
      <c r="B310" s="5" t="s">
        <v>603</v>
      </c>
      <c r="C310" s="5" t="s">
        <v>604</v>
      </c>
      <c r="D310" s="12"/>
      <c r="E310" s="12">
        <v>19.899999999999999</v>
      </c>
      <c r="F310" s="13"/>
      <c r="R310" s="32"/>
      <c r="S310" s="47"/>
    </row>
    <row r="311" spans="1:19" x14ac:dyDescent="0.3">
      <c r="A311" s="5"/>
      <c r="B311" s="5" t="s">
        <v>605</v>
      </c>
      <c r="C311" s="5" t="s">
        <v>606</v>
      </c>
      <c r="D311" s="12"/>
      <c r="E311" s="12">
        <v>29.9</v>
      </c>
      <c r="F311" s="13"/>
      <c r="R311" s="32"/>
      <c r="S311" s="47"/>
    </row>
    <row r="312" spans="1:19" x14ac:dyDescent="0.3">
      <c r="A312" s="5"/>
      <c r="B312" s="5" t="s">
        <v>607</v>
      </c>
      <c r="C312" s="5" t="s">
        <v>608</v>
      </c>
      <c r="D312" s="12"/>
      <c r="E312" s="12">
        <v>14.9</v>
      </c>
      <c r="F312" s="13"/>
      <c r="R312" s="32"/>
      <c r="S312" s="47"/>
    </row>
    <row r="313" spans="1:19" x14ac:dyDescent="0.3">
      <c r="A313" s="5"/>
      <c r="B313" s="5" t="s">
        <v>609</v>
      </c>
      <c r="C313" s="5" t="s">
        <v>610</v>
      </c>
      <c r="D313" s="12"/>
      <c r="E313" s="12">
        <v>29.9</v>
      </c>
      <c r="F313" s="13"/>
      <c r="R313" s="32"/>
      <c r="S313" s="47"/>
    </row>
    <row r="314" spans="1:19" x14ac:dyDescent="0.3">
      <c r="A314" s="5"/>
      <c r="B314" s="5" t="s">
        <v>611</v>
      </c>
      <c r="C314" s="5" t="s">
        <v>612</v>
      </c>
      <c r="D314" s="12"/>
      <c r="E314" s="12">
        <v>13.9</v>
      </c>
      <c r="F314" s="13"/>
      <c r="R314" s="32"/>
      <c r="S314" s="47"/>
    </row>
    <row r="315" spans="1:19" x14ac:dyDescent="0.3">
      <c r="A315" s="5"/>
      <c r="B315" s="5" t="s">
        <v>613</v>
      </c>
      <c r="C315" s="5" t="s">
        <v>614</v>
      </c>
      <c r="D315" s="12"/>
      <c r="E315" s="12">
        <v>15.9</v>
      </c>
      <c r="F315" s="13"/>
      <c r="R315" s="32"/>
      <c r="S315" s="47"/>
    </row>
    <row r="316" spans="1:19" x14ac:dyDescent="0.3">
      <c r="A316" s="5"/>
      <c r="B316" s="5" t="s">
        <v>615</v>
      </c>
      <c r="C316" s="5" t="s">
        <v>616</v>
      </c>
      <c r="D316" s="12"/>
      <c r="E316" s="12">
        <v>12.9</v>
      </c>
      <c r="F316" s="13"/>
      <c r="R316" s="32"/>
      <c r="S316" s="47"/>
    </row>
    <row r="317" spans="1:19" x14ac:dyDescent="0.3">
      <c r="A317" s="5"/>
      <c r="B317" s="5" t="s">
        <v>617</v>
      </c>
      <c r="C317" s="5" t="s">
        <v>618</v>
      </c>
      <c r="D317" s="12"/>
      <c r="E317" s="12">
        <v>17.899999999999999</v>
      </c>
      <c r="F317" s="13"/>
      <c r="R317" s="32"/>
      <c r="S317" s="47"/>
    </row>
    <row r="318" spans="1:19" x14ac:dyDescent="0.3">
      <c r="A318" s="5"/>
      <c r="B318" s="5" t="s">
        <v>619</v>
      </c>
      <c r="C318" s="5" t="s">
        <v>41</v>
      </c>
      <c r="D318" s="12"/>
      <c r="E318" s="12">
        <v>25.9</v>
      </c>
      <c r="F318" s="13"/>
      <c r="R318" s="32"/>
      <c r="S318" s="47"/>
    </row>
    <row r="319" spans="1:19" x14ac:dyDescent="0.3">
      <c r="A319" s="5"/>
      <c r="B319" s="5" t="s">
        <v>620</v>
      </c>
      <c r="C319" s="5" t="s">
        <v>621</v>
      </c>
      <c r="D319" s="12"/>
      <c r="E319" s="12">
        <v>21.9</v>
      </c>
      <c r="F319" s="13"/>
      <c r="R319" s="32"/>
      <c r="S319" s="47"/>
    </row>
    <row r="320" spans="1:19" x14ac:dyDescent="0.3">
      <c r="A320" s="5"/>
      <c r="B320" s="5" t="s">
        <v>622</v>
      </c>
      <c r="C320" s="5" t="s">
        <v>623</v>
      </c>
      <c r="D320" s="12"/>
      <c r="E320" s="12">
        <v>9.9</v>
      </c>
      <c r="F320" s="13"/>
      <c r="R320" s="32"/>
      <c r="S320" s="47"/>
    </row>
    <row r="321" spans="1:19" x14ac:dyDescent="0.3">
      <c r="A321" s="5"/>
      <c r="B321" s="5" t="s">
        <v>624</v>
      </c>
      <c r="C321" s="5" t="s">
        <v>625</v>
      </c>
      <c r="D321" s="12"/>
      <c r="E321" s="12">
        <v>21.9</v>
      </c>
      <c r="F321" s="13"/>
      <c r="R321" s="32"/>
      <c r="S321" s="47"/>
    </row>
    <row r="322" spans="1:19" x14ac:dyDescent="0.3">
      <c r="A322" s="5"/>
      <c r="B322" s="5" t="s">
        <v>626</v>
      </c>
      <c r="C322" s="5" t="s">
        <v>627</v>
      </c>
      <c r="D322" s="12"/>
      <c r="E322" s="12">
        <v>12.55</v>
      </c>
      <c r="F322" s="13"/>
      <c r="R322" s="32"/>
      <c r="S322" s="47"/>
    </row>
    <row r="323" spans="1:19" x14ac:dyDescent="0.3">
      <c r="A323" s="5"/>
      <c r="B323" s="5" t="s">
        <v>628</v>
      </c>
      <c r="C323" s="5" t="s">
        <v>629</v>
      </c>
      <c r="D323" s="12"/>
      <c r="E323" s="12">
        <v>15.9</v>
      </c>
      <c r="F323" s="13"/>
      <c r="R323" s="32"/>
      <c r="S323" s="47"/>
    </row>
    <row r="324" spans="1:19" x14ac:dyDescent="0.3">
      <c r="A324" s="5"/>
      <c r="B324" s="5" t="s">
        <v>630</v>
      </c>
      <c r="C324" s="5" t="s">
        <v>631</v>
      </c>
      <c r="D324" s="12"/>
      <c r="E324" s="12">
        <v>11.8</v>
      </c>
      <c r="F324" s="13"/>
      <c r="R324" s="32"/>
      <c r="S324" s="47"/>
    </row>
    <row r="325" spans="1:19" x14ac:dyDescent="0.3">
      <c r="A325" s="5"/>
      <c r="B325" s="5" t="s">
        <v>632</v>
      </c>
      <c r="C325" s="5" t="s">
        <v>633</v>
      </c>
      <c r="D325" s="12"/>
      <c r="E325" s="12">
        <v>12.166767371601209</v>
      </c>
      <c r="F325" s="13"/>
      <c r="R325" s="32"/>
      <c r="S325" s="47"/>
    </row>
    <row r="326" spans="1:19" x14ac:dyDescent="0.3">
      <c r="A326" s="5"/>
      <c r="B326" s="5" t="s">
        <v>634</v>
      </c>
      <c r="C326" s="5" t="s">
        <v>635</v>
      </c>
      <c r="D326" s="12"/>
      <c r="E326" s="12">
        <v>12.9</v>
      </c>
      <c r="F326" s="13"/>
      <c r="R326" s="32"/>
      <c r="S326" s="47"/>
    </row>
    <row r="327" spans="1:19" x14ac:dyDescent="0.3">
      <c r="A327" s="5"/>
      <c r="B327" s="5" t="s">
        <v>636</v>
      </c>
      <c r="C327" s="5" t="s">
        <v>637</v>
      </c>
      <c r="D327" s="12"/>
      <c r="E327" s="12">
        <v>15.9</v>
      </c>
      <c r="F327" s="13"/>
      <c r="R327" s="32"/>
      <c r="S327" s="47"/>
    </row>
    <row r="328" spans="1:19" x14ac:dyDescent="0.3">
      <c r="A328" s="5"/>
      <c r="B328" s="5" t="s">
        <v>638</v>
      </c>
      <c r="C328" s="5" t="s">
        <v>639</v>
      </c>
      <c r="D328" s="12"/>
      <c r="E328" s="12">
        <v>22.9</v>
      </c>
      <c r="F328" s="13"/>
      <c r="R328" s="32"/>
      <c r="S328" s="47"/>
    </row>
    <row r="329" spans="1:19" x14ac:dyDescent="0.3">
      <c r="A329" s="5"/>
      <c r="B329" s="5" t="s">
        <v>640</v>
      </c>
      <c r="C329" s="5" t="s">
        <v>641</v>
      </c>
      <c r="D329" s="12"/>
      <c r="E329" s="12">
        <v>23.9</v>
      </c>
      <c r="F329" s="13"/>
      <c r="R329" s="32"/>
      <c r="S329" s="47"/>
    </row>
    <row r="330" spans="1:19" x14ac:dyDescent="0.3">
      <c r="A330" s="5"/>
      <c r="B330" s="5" t="s">
        <v>642</v>
      </c>
      <c r="C330" s="5" t="s">
        <v>643</v>
      </c>
      <c r="D330" s="12"/>
      <c r="E330" s="12">
        <v>10.9</v>
      </c>
      <c r="F330" s="13"/>
      <c r="R330" s="32"/>
      <c r="S330" s="47"/>
    </row>
    <row r="331" spans="1:19" x14ac:dyDescent="0.3">
      <c r="A331" s="5"/>
      <c r="B331" s="5" t="s">
        <v>644</v>
      </c>
      <c r="C331" s="5" t="s">
        <v>645</v>
      </c>
      <c r="D331" s="12"/>
      <c r="E331" s="12">
        <v>18.899999999999999</v>
      </c>
      <c r="F331" s="13"/>
      <c r="R331" s="32"/>
      <c r="S331" s="47"/>
    </row>
    <row r="332" spans="1:19" x14ac:dyDescent="0.3">
      <c r="A332" s="5"/>
      <c r="B332" s="5" t="s">
        <v>646</v>
      </c>
      <c r="C332" s="5" t="s">
        <v>647</v>
      </c>
      <c r="D332" s="12"/>
      <c r="E332" s="12">
        <v>20.9</v>
      </c>
      <c r="F332" s="13"/>
      <c r="R332" s="32"/>
      <c r="S332" s="47"/>
    </row>
    <row r="333" spans="1:19" x14ac:dyDescent="0.3">
      <c r="A333" s="5"/>
      <c r="B333" s="5" t="s">
        <v>648</v>
      </c>
      <c r="C333" s="5" t="s">
        <v>521</v>
      </c>
      <c r="D333" s="12"/>
      <c r="E333" s="12">
        <v>21.9</v>
      </c>
      <c r="F333" s="13"/>
      <c r="R333" s="32"/>
      <c r="S333" s="47"/>
    </row>
    <row r="334" spans="1:19" x14ac:dyDescent="0.3">
      <c r="A334" s="5"/>
      <c r="B334" s="5" t="s">
        <v>649</v>
      </c>
      <c r="C334" s="5" t="s">
        <v>650</v>
      </c>
      <c r="D334" s="12"/>
      <c r="E334" s="12">
        <v>13.14</v>
      </c>
      <c r="F334" s="13"/>
      <c r="R334" s="32"/>
      <c r="S334" s="47"/>
    </row>
    <row r="335" spans="1:19" x14ac:dyDescent="0.3">
      <c r="A335" s="5"/>
      <c r="B335" s="5" t="s">
        <v>651</v>
      </c>
      <c r="C335" s="5" t="s">
        <v>652</v>
      </c>
      <c r="D335" s="12"/>
      <c r="E335" s="12">
        <v>23.9</v>
      </c>
      <c r="F335" s="13"/>
      <c r="R335" s="32"/>
      <c r="S335" s="47"/>
    </row>
    <row r="336" spans="1:19" x14ac:dyDescent="0.3">
      <c r="A336" s="5"/>
      <c r="B336" s="5" t="s">
        <v>653</v>
      </c>
      <c r="C336" s="5" t="s">
        <v>654</v>
      </c>
      <c r="D336" s="12"/>
      <c r="E336" s="12">
        <v>14.881190476190476</v>
      </c>
      <c r="F336" s="13"/>
      <c r="R336" s="32"/>
      <c r="S336" s="47"/>
    </row>
    <row r="337" spans="1:19" x14ac:dyDescent="0.3">
      <c r="A337" s="5"/>
      <c r="B337" s="5" t="s">
        <v>655</v>
      </c>
      <c r="C337" s="5" t="s">
        <v>656</v>
      </c>
      <c r="D337" s="12"/>
      <c r="E337" s="12">
        <v>13.803046757164404</v>
      </c>
      <c r="F337" s="13"/>
      <c r="R337" s="32"/>
      <c r="S337" s="47"/>
    </row>
    <row r="338" spans="1:19" x14ac:dyDescent="0.3">
      <c r="A338" s="5"/>
      <c r="B338" s="5" t="s">
        <v>657</v>
      </c>
      <c r="C338" s="5" t="s">
        <v>658</v>
      </c>
      <c r="D338" s="12"/>
      <c r="E338" s="12">
        <v>19.899999999999999</v>
      </c>
      <c r="F338" s="13"/>
      <c r="R338" s="32"/>
      <c r="S338" s="47"/>
    </row>
    <row r="339" spans="1:19" x14ac:dyDescent="0.3">
      <c r="A339" s="5"/>
      <c r="B339" s="5" t="s">
        <v>659</v>
      </c>
      <c r="C339" s="5" t="s">
        <v>660</v>
      </c>
      <c r="D339" s="12"/>
      <c r="E339" s="12">
        <v>27.9</v>
      </c>
      <c r="F339" s="13"/>
      <c r="R339" s="32"/>
      <c r="S339" s="47"/>
    </row>
    <row r="340" spans="1:19" x14ac:dyDescent="0.3">
      <c r="A340" s="5"/>
      <c r="B340" s="5" t="s">
        <v>661</v>
      </c>
      <c r="C340" s="5" t="s">
        <v>662</v>
      </c>
      <c r="D340" s="12"/>
      <c r="E340" s="12">
        <v>11.9</v>
      </c>
      <c r="F340" s="13"/>
      <c r="R340" s="32"/>
      <c r="S340" s="47"/>
    </row>
    <row r="341" spans="1:19" x14ac:dyDescent="0.3">
      <c r="A341" s="5"/>
      <c r="B341" s="5" t="s">
        <v>663</v>
      </c>
      <c r="C341" s="5" t="s">
        <v>664</v>
      </c>
      <c r="D341" s="12"/>
      <c r="E341" s="12">
        <v>27.9</v>
      </c>
      <c r="F341" s="13"/>
      <c r="R341" s="32"/>
      <c r="S341" s="47"/>
    </row>
    <row r="342" spans="1:19" x14ac:dyDescent="0.3">
      <c r="A342" s="5"/>
      <c r="B342" s="5" t="s">
        <v>665</v>
      </c>
      <c r="C342" s="5" t="s">
        <v>666</v>
      </c>
      <c r="D342" s="12"/>
      <c r="E342" s="12">
        <v>19.899999999999999</v>
      </c>
      <c r="F342" s="13"/>
      <c r="R342" s="32"/>
      <c r="S342" s="47"/>
    </row>
    <row r="343" spans="1:19" x14ac:dyDescent="0.3">
      <c r="A343" s="5"/>
      <c r="B343" s="5" t="s">
        <v>667</v>
      </c>
      <c r="C343" s="5" t="s">
        <v>668</v>
      </c>
      <c r="D343" s="12"/>
      <c r="E343" s="12">
        <v>19.899999999999999</v>
      </c>
      <c r="F343" s="13"/>
      <c r="R343" s="32"/>
      <c r="S343" s="47"/>
    </row>
    <row r="344" spans="1:19" x14ac:dyDescent="0.3">
      <c r="A344" s="5"/>
      <c r="B344" s="5" t="s">
        <v>669</v>
      </c>
      <c r="C344" s="5" t="s">
        <v>670</v>
      </c>
      <c r="D344" s="12"/>
      <c r="E344" s="12">
        <v>11.9</v>
      </c>
      <c r="F344" s="13"/>
      <c r="R344" s="32"/>
      <c r="S344" s="47"/>
    </row>
    <row r="345" spans="1:19" x14ac:dyDescent="0.3">
      <c r="A345" s="5"/>
      <c r="B345" s="5" t="s">
        <v>671</v>
      </c>
      <c r="C345" s="5" t="s">
        <v>672</v>
      </c>
      <c r="D345" s="12"/>
      <c r="E345" s="12">
        <v>24.9</v>
      </c>
      <c r="F345" s="13"/>
      <c r="R345" s="32"/>
      <c r="S345" s="47"/>
    </row>
    <row r="346" spans="1:19" x14ac:dyDescent="0.3">
      <c r="A346" s="5"/>
      <c r="B346" s="5" t="s">
        <v>673</v>
      </c>
      <c r="C346" s="5" t="s">
        <v>674</v>
      </c>
      <c r="D346" s="12"/>
      <c r="E346" s="12">
        <v>10.9</v>
      </c>
      <c r="F346" s="13"/>
      <c r="R346" s="32"/>
      <c r="S346" s="47"/>
    </row>
    <row r="347" spans="1:19" x14ac:dyDescent="0.3">
      <c r="A347" s="5"/>
      <c r="B347" s="5" t="s">
        <v>675</v>
      </c>
      <c r="C347" s="5" t="s">
        <v>676</v>
      </c>
      <c r="D347" s="12"/>
      <c r="E347" s="12">
        <v>27.9</v>
      </c>
      <c r="F347" s="13"/>
      <c r="R347" s="32"/>
      <c r="S347" s="47"/>
    </row>
    <row r="348" spans="1:19" x14ac:dyDescent="0.3">
      <c r="A348" s="5"/>
      <c r="B348" s="5" t="s">
        <v>677</v>
      </c>
      <c r="C348" s="5" t="s">
        <v>678</v>
      </c>
      <c r="D348" s="12"/>
      <c r="E348" s="12">
        <v>13.9</v>
      </c>
      <c r="F348" s="13"/>
      <c r="R348" s="32"/>
      <c r="S348" s="47"/>
    </row>
    <row r="349" spans="1:19" x14ac:dyDescent="0.3">
      <c r="A349" s="5"/>
      <c r="B349" s="5" t="s">
        <v>679</v>
      </c>
      <c r="C349" s="5" t="s">
        <v>680</v>
      </c>
      <c r="D349" s="12"/>
      <c r="E349" s="12">
        <v>25.9</v>
      </c>
      <c r="F349" s="13"/>
      <c r="R349" s="32"/>
      <c r="S349" s="47"/>
    </row>
    <row r="350" spans="1:19" x14ac:dyDescent="0.3">
      <c r="A350" s="5"/>
      <c r="B350" s="5" t="s">
        <v>681</v>
      </c>
      <c r="C350" s="5" t="s">
        <v>682</v>
      </c>
      <c r="D350" s="12"/>
      <c r="E350" s="12">
        <v>19.899999999999999</v>
      </c>
      <c r="F350" s="13"/>
      <c r="R350" s="32"/>
      <c r="S350" s="47"/>
    </row>
    <row r="351" spans="1:19" x14ac:dyDescent="0.3">
      <c r="A351" s="5"/>
      <c r="B351" s="5" t="s">
        <v>683</v>
      </c>
      <c r="C351" s="5" t="s">
        <v>684</v>
      </c>
      <c r="D351" s="12"/>
      <c r="E351" s="12">
        <v>13.9</v>
      </c>
      <c r="F351" s="13"/>
      <c r="R351" s="32"/>
      <c r="S351" s="47"/>
    </row>
    <row r="352" spans="1:19" x14ac:dyDescent="0.3">
      <c r="A352" s="5"/>
      <c r="B352" s="5" t="s">
        <v>685</v>
      </c>
      <c r="C352" s="5" t="s">
        <v>686</v>
      </c>
      <c r="D352" s="12"/>
      <c r="E352" s="12">
        <v>24.9</v>
      </c>
      <c r="F352" s="13"/>
      <c r="R352" s="32"/>
      <c r="S352" s="47"/>
    </row>
    <row r="353" spans="1:19" x14ac:dyDescent="0.3">
      <c r="A353" s="5"/>
      <c r="B353" s="5" t="s">
        <v>687</v>
      </c>
      <c r="C353" s="5" t="s">
        <v>688</v>
      </c>
      <c r="D353" s="12"/>
      <c r="E353" s="12">
        <v>20.9</v>
      </c>
      <c r="F353" s="13"/>
      <c r="R353" s="32"/>
      <c r="S353" s="47"/>
    </row>
    <row r="354" spans="1:19" x14ac:dyDescent="0.3">
      <c r="A354" s="5"/>
      <c r="B354" s="5" t="s">
        <v>689</v>
      </c>
      <c r="C354" s="5" t="s">
        <v>690</v>
      </c>
      <c r="D354" s="12"/>
      <c r="E354" s="12">
        <v>12.9</v>
      </c>
      <c r="F354" s="13"/>
      <c r="R354" s="32"/>
      <c r="S354" s="47"/>
    </row>
    <row r="355" spans="1:19" x14ac:dyDescent="0.3">
      <c r="A355" s="5"/>
      <c r="B355" s="5" t="s">
        <v>691</v>
      </c>
      <c r="C355" s="5" t="s">
        <v>692</v>
      </c>
      <c r="D355" s="12"/>
      <c r="E355" s="12">
        <v>13.9</v>
      </c>
      <c r="F355" s="13"/>
      <c r="R355" s="32"/>
      <c r="S355" s="47"/>
    </row>
    <row r="356" spans="1:19" x14ac:dyDescent="0.3">
      <c r="A356" s="5"/>
      <c r="B356" s="5" t="s">
        <v>693</v>
      </c>
      <c r="C356" s="5" t="s">
        <v>694</v>
      </c>
      <c r="D356" s="12"/>
      <c r="E356" s="12">
        <v>13.9</v>
      </c>
      <c r="F356" s="13"/>
      <c r="R356" s="32"/>
      <c r="S356" s="47"/>
    </row>
    <row r="357" spans="1:19" x14ac:dyDescent="0.3">
      <c r="A357" s="5"/>
      <c r="B357" s="5" t="s">
        <v>695</v>
      </c>
      <c r="C357" s="5" t="s">
        <v>696</v>
      </c>
      <c r="D357" s="12"/>
      <c r="E357" s="12">
        <v>29.9</v>
      </c>
      <c r="F357" s="13"/>
      <c r="R357" s="32"/>
      <c r="S357" s="47"/>
    </row>
    <row r="358" spans="1:19" x14ac:dyDescent="0.3">
      <c r="A358" s="5"/>
      <c r="B358" s="5" t="s">
        <v>697</v>
      </c>
      <c r="C358" s="5" t="s">
        <v>591</v>
      </c>
      <c r="D358" s="12"/>
      <c r="E358" s="12">
        <v>16.899999999999999</v>
      </c>
      <c r="F358" s="13"/>
      <c r="R358" s="32"/>
      <c r="S358" s="47"/>
    </row>
    <row r="359" spans="1:19" x14ac:dyDescent="0.3">
      <c r="A359" s="5"/>
      <c r="B359" s="5" t="s">
        <v>698</v>
      </c>
      <c r="C359" s="5" t="s">
        <v>699</v>
      </c>
      <c r="D359" s="12"/>
      <c r="E359" s="12">
        <v>27.9</v>
      </c>
      <c r="F359" s="13"/>
      <c r="R359" s="32"/>
      <c r="S359" s="47"/>
    </row>
    <row r="360" spans="1:19" x14ac:dyDescent="0.3">
      <c r="A360" s="5"/>
      <c r="B360" s="5" t="s">
        <v>700</v>
      </c>
      <c r="C360" s="5" t="s">
        <v>701</v>
      </c>
      <c r="D360" s="12"/>
      <c r="E360" s="12">
        <v>11.9</v>
      </c>
      <c r="F360" s="13"/>
      <c r="R360" s="32"/>
      <c r="S360" s="47"/>
    </row>
    <row r="361" spans="1:19" x14ac:dyDescent="0.3">
      <c r="A361" s="5"/>
      <c r="B361" s="5" t="s">
        <v>702</v>
      </c>
      <c r="C361" s="5" t="s">
        <v>703</v>
      </c>
      <c r="D361" s="12"/>
      <c r="E361" s="12">
        <v>24.9</v>
      </c>
      <c r="F361" s="13"/>
      <c r="R361" s="32"/>
      <c r="S361" s="47"/>
    </row>
    <row r="362" spans="1:19" x14ac:dyDescent="0.3">
      <c r="A362" s="5"/>
      <c r="B362" s="5" t="s">
        <v>704</v>
      </c>
      <c r="C362" s="5" t="s">
        <v>705</v>
      </c>
      <c r="D362" s="12"/>
      <c r="E362" s="12">
        <v>13.9</v>
      </c>
      <c r="F362" s="13"/>
      <c r="R362" s="32"/>
      <c r="S362" s="47"/>
    </row>
    <row r="363" spans="1:19" x14ac:dyDescent="0.3">
      <c r="A363" s="5"/>
      <c r="B363" s="5" t="s">
        <v>706</v>
      </c>
      <c r="C363" s="5" t="s">
        <v>707</v>
      </c>
      <c r="D363" s="12"/>
      <c r="E363" s="12">
        <v>20.9</v>
      </c>
      <c r="F363" s="13"/>
      <c r="R363" s="32"/>
      <c r="S363" s="47"/>
    </row>
    <row r="364" spans="1:19" x14ac:dyDescent="0.3">
      <c r="A364" s="5"/>
      <c r="B364" s="5" t="s">
        <v>708</v>
      </c>
      <c r="C364" s="5" t="s">
        <v>709</v>
      </c>
      <c r="D364" s="12"/>
      <c r="E364" s="12">
        <v>12.9</v>
      </c>
      <c r="F364" s="13"/>
      <c r="R364" s="32"/>
      <c r="S364" s="47"/>
    </row>
    <row r="365" spans="1:19" x14ac:dyDescent="0.3">
      <c r="A365" s="5"/>
      <c r="B365" s="5" t="s">
        <v>710</v>
      </c>
      <c r="C365" s="5" t="s">
        <v>711</v>
      </c>
      <c r="D365" s="12"/>
      <c r="E365" s="12">
        <v>13.9</v>
      </c>
      <c r="F365" s="13"/>
      <c r="R365" s="32"/>
      <c r="S365" s="47"/>
    </row>
    <row r="366" spans="1:19" x14ac:dyDescent="0.3">
      <c r="A366" s="5"/>
      <c r="B366" s="5" t="s">
        <v>712</v>
      </c>
      <c r="C366" s="5" t="s">
        <v>713</v>
      </c>
      <c r="D366" s="12"/>
      <c r="E366" s="12">
        <v>16.899999999999999</v>
      </c>
      <c r="F366" s="13"/>
      <c r="R366" s="32"/>
      <c r="S366" s="47"/>
    </row>
    <row r="367" spans="1:19" x14ac:dyDescent="0.3">
      <c r="A367" s="5"/>
      <c r="B367" s="5" t="s">
        <v>714</v>
      </c>
      <c r="C367" s="5" t="s">
        <v>715</v>
      </c>
      <c r="D367" s="12"/>
      <c r="E367" s="12">
        <v>19.899999999999999</v>
      </c>
      <c r="F367" s="13"/>
      <c r="R367" s="32"/>
      <c r="S367" s="47"/>
    </row>
    <row r="368" spans="1:19" x14ac:dyDescent="0.3">
      <c r="A368" s="5"/>
      <c r="B368" s="5" t="s">
        <v>716</v>
      </c>
      <c r="C368" s="5" t="s">
        <v>694</v>
      </c>
      <c r="D368" s="12"/>
      <c r="E368" s="12">
        <v>13.9</v>
      </c>
      <c r="F368" s="13"/>
      <c r="R368" s="32"/>
      <c r="S368" s="47"/>
    </row>
    <row r="369" spans="1:19" x14ac:dyDescent="0.3">
      <c r="A369" s="5"/>
      <c r="B369" s="5" t="s">
        <v>717</v>
      </c>
      <c r="C369" s="5" t="s">
        <v>718</v>
      </c>
      <c r="D369" s="12"/>
      <c r="E369" s="12">
        <v>19.899999999999999</v>
      </c>
      <c r="F369" s="13"/>
      <c r="R369" s="32"/>
      <c r="S369" s="47"/>
    </row>
    <row r="370" spans="1:19" x14ac:dyDescent="0.3">
      <c r="A370" s="5"/>
      <c r="B370" s="5" t="s">
        <v>719</v>
      </c>
      <c r="C370" s="5" t="s">
        <v>565</v>
      </c>
      <c r="D370" s="12"/>
      <c r="E370" s="12">
        <v>13.9</v>
      </c>
      <c r="F370" s="13"/>
      <c r="R370" s="32"/>
      <c r="S370" s="47"/>
    </row>
    <row r="371" spans="1:19" x14ac:dyDescent="0.3">
      <c r="A371" s="5"/>
      <c r="B371" s="5" t="s">
        <v>720</v>
      </c>
      <c r="C371" s="5" t="s">
        <v>621</v>
      </c>
      <c r="D371" s="12"/>
      <c r="E371" s="12">
        <v>12.9</v>
      </c>
      <c r="F371" s="13"/>
      <c r="R371" s="32"/>
      <c r="S371" s="47"/>
    </row>
    <row r="372" spans="1:19" x14ac:dyDescent="0.3">
      <c r="A372" s="5"/>
      <c r="B372" s="5" t="s">
        <v>721</v>
      </c>
      <c r="C372" s="5" t="s">
        <v>722</v>
      </c>
      <c r="D372" s="12"/>
      <c r="E372" s="12">
        <v>6.9</v>
      </c>
      <c r="F372" s="13"/>
      <c r="R372" s="32"/>
      <c r="S372" s="47"/>
    </row>
    <row r="373" spans="1:19" x14ac:dyDescent="0.3">
      <c r="A373" s="5"/>
      <c r="B373" s="5" t="s">
        <v>723</v>
      </c>
      <c r="C373" s="5" t="s">
        <v>515</v>
      </c>
      <c r="D373" s="12"/>
      <c r="E373" s="12">
        <v>9.9</v>
      </c>
      <c r="F373" s="13"/>
      <c r="R373" s="32"/>
      <c r="S373" s="47"/>
    </row>
    <row r="374" spans="1:19" x14ac:dyDescent="0.3">
      <c r="A374" s="5"/>
      <c r="B374" s="5" t="s">
        <v>724</v>
      </c>
      <c r="C374" s="5" t="s">
        <v>725</v>
      </c>
      <c r="D374" s="12"/>
      <c r="E374" s="12">
        <v>20.9</v>
      </c>
      <c r="F374" s="13"/>
      <c r="R374" s="32"/>
      <c r="S374" s="47"/>
    </row>
    <row r="375" spans="1:19" x14ac:dyDescent="0.3">
      <c r="A375" s="5"/>
      <c r="B375" s="5" t="s">
        <v>726</v>
      </c>
      <c r="C375" s="5" t="s">
        <v>727</v>
      </c>
      <c r="D375" s="12"/>
      <c r="E375" s="12">
        <v>19.899999999999999</v>
      </c>
      <c r="F375" s="13"/>
      <c r="R375" s="32"/>
      <c r="S375" s="47"/>
    </row>
    <row r="376" spans="1:19" x14ac:dyDescent="0.3">
      <c r="A376" s="5"/>
      <c r="B376" s="5" t="s">
        <v>728</v>
      </c>
      <c r="C376" s="5" t="s">
        <v>729</v>
      </c>
      <c r="D376" s="12"/>
      <c r="E376" s="12">
        <v>33.9</v>
      </c>
      <c r="F376" s="13"/>
      <c r="R376" s="32"/>
      <c r="S376" s="47"/>
    </row>
    <row r="377" spans="1:19" x14ac:dyDescent="0.3">
      <c r="A377" s="5"/>
      <c r="B377" s="5" t="s">
        <v>730</v>
      </c>
      <c r="C377" s="5" t="s">
        <v>731</v>
      </c>
      <c r="D377" s="12"/>
      <c r="E377" s="12">
        <v>20.9</v>
      </c>
      <c r="F377" s="13"/>
      <c r="R377" s="32"/>
      <c r="S377" s="47"/>
    </row>
    <row r="378" spans="1:19" x14ac:dyDescent="0.3">
      <c r="A378" s="5"/>
      <c r="B378" s="5" t="s">
        <v>732</v>
      </c>
      <c r="C378" s="5" t="s">
        <v>521</v>
      </c>
      <c r="D378" s="12"/>
      <c r="E378" s="12">
        <v>21.9</v>
      </c>
      <c r="F378" s="13"/>
      <c r="R378" s="32"/>
      <c r="S378" s="47"/>
    </row>
    <row r="379" spans="1:19" x14ac:dyDescent="0.3">
      <c r="A379" s="5"/>
      <c r="B379" s="5" t="s">
        <v>733</v>
      </c>
      <c r="C379" s="5" t="s">
        <v>734</v>
      </c>
      <c r="D379" s="12"/>
      <c r="E379" s="12">
        <v>18.899999999999999</v>
      </c>
      <c r="F379" s="13"/>
      <c r="R379" s="32"/>
      <c r="S379" s="47"/>
    </row>
    <row r="380" spans="1:19" x14ac:dyDescent="0.3">
      <c r="A380" s="5"/>
      <c r="B380" s="5" t="s">
        <v>735</v>
      </c>
      <c r="C380" s="5" t="s">
        <v>735</v>
      </c>
      <c r="D380" s="12"/>
      <c r="E380" s="12">
        <v>30.9</v>
      </c>
      <c r="F380" s="13"/>
      <c r="R380" s="32"/>
      <c r="S380" s="47"/>
    </row>
    <row r="381" spans="1:19" x14ac:dyDescent="0.3">
      <c r="A381" s="5"/>
      <c r="B381" s="5" t="s">
        <v>736</v>
      </c>
      <c r="C381" s="5" t="s">
        <v>736</v>
      </c>
      <c r="D381" s="12"/>
      <c r="E381" s="12">
        <v>18.899999999999999</v>
      </c>
      <c r="F381" s="13"/>
      <c r="R381" s="32"/>
      <c r="S381" s="47"/>
    </row>
    <row r="382" spans="1:19" x14ac:dyDescent="0.3">
      <c r="A382" s="5"/>
      <c r="B382" s="5" t="s">
        <v>737</v>
      </c>
      <c r="C382" s="5" t="s">
        <v>738</v>
      </c>
      <c r="D382" s="12"/>
      <c r="E382" s="12">
        <v>30.9</v>
      </c>
      <c r="F382" s="13"/>
      <c r="R382" s="32"/>
      <c r="S382" s="47"/>
    </row>
    <row r="383" spans="1:19" x14ac:dyDescent="0.3">
      <c r="A383" s="5"/>
      <c r="B383" s="5" t="s">
        <v>739</v>
      </c>
      <c r="C383" s="5" t="s">
        <v>740</v>
      </c>
      <c r="D383" s="12"/>
      <c r="E383" s="12">
        <v>19.899999999999999</v>
      </c>
      <c r="F383" s="13"/>
      <c r="R383" s="32"/>
      <c r="S383" s="47"/>
    </row>
    <row r="384" spans="1:19" x14ac:dyDescent="0.3">
      <c r="A384" s="5"/>
      <c r="B384" s="5" t="s">
        <v>741</v>
      </c>
      <c r="C384" s="5" t="s">
        <v>742</v>
      </c>
      <c r="D384" s="12"/>
      <c r="E384" s="12">
        <v>14.9</v>
      </c>
      <c r="F384" s="13"/>
      <c r="R384" s="32"/>
      <c r="S384" s="47"/>
    </row>
    <row r="385" spans="1:19" x14ac:dyDescent="0.3">
      <c r="A385" s="5"/>
      <c r="B385" s="5" t="s">
        <v>743</v>
      </c>
      <c r="C385" s="5" t="s">
        <v>484</v>
      </c>
      <c r="D385" s="12"/>
      <c r="E385" s="12">
        <v>30.9</v>
      </c>
      <c r="F385" s="13"/>
      <c r="R385" s="32"/>
      <c r="S385" s="47"/>
    </row>
    <row r="386" spans="1:19" x14ac:dyDescent="0.3">
      <c r="A386" s="5"/>
      <c r="B386" s="5" t="s">
        <v>744</v>
      </c>
      <c r="C386" s="5" t="s">
        <v>745</v>
      </c>
      <c r="D386" s="12"/>
      <c r="E386" s="12">
        <v>23.9</v>
      </c>
      <c r="F386" s="13"/>
      <c r="R386" s="32"/>
      <c r="S386" s="47"/>
    </row>
    <row r="387" spans="1:19" x14ac:dyDescent="0.3">
      <c r="A387" s="5"/>
      <c r="B387" s="5" t="s">
        <v>746</v>
      </c>
      <c r="C387" s="5" t="s">
        <v>747</v>
      </c>
      <c r="D387" s="12"/>
      <c r="E387" s="12">
        <v>30.9</v>
      </c>
      <c r="F387" s="13"/>
      <c r="R387" s="32"/>
      <c r="S387" s="47"/>
    </row>
    <row r="388" spans="1:19" x14ac:dyDescent="0.3">
      <c r="A388" s="5"/>
      <c r="B388" s="5" t="s">
        <v>748</v>
      </c>
      <c r="C388" s="5" t="s">
        <v>749</v>
      </c>
      <c r="D388" s="12"/>
      <c r="E388" s="12">
        <v>20.9</v>
      </c>
      <c r="F388" s="13"/>
      <c r="R388" s="32"/>
      <c r="S388" s="47"/>
    </row>
    <row r="389" spans="1:19" x14ac:dyDescent="0.3">
      <c r="A389" s="5"/>
      <c r="B389" s="5" t="s">
        <v>750</v>
      </c>
      <c r="C389" s="5" t="s">
        <v>751</v>
      </c>
      <c r="D389" s="12"/>
      <c r="E389" s="12">
        <v>12.9</v>
      </c>
      <c r="F389" s="13"/>
      <c r="R389" s="32"/>
      <c r="S389" s="47"/>
    </row>
    <row r="390" spans="1:19" x14ac:dyDescent="0.3">
      <c r="A390" s="5"/>
      <c r="B390" s="5" t="s">
        <v>752</v>
      </c>
      <c r="C390" s="5" t="s">
        <v>753</v>
      </c>
      <c r="D390" s="12"/>
      <c r="E390" s="12">
        <v>24.9</v>
      </c>
      <c r="F390" s="13"/>
      <c r="R390" s="32"/>
      <c r="S390" s="47"/>
    </row>
    <row r="391" spans="1:19" x14ac:dyDescent="0.3">
      <c r="A391" s="5"/>
      <c r="B391" s="5" t="s">
        <v>754</v>
      </c>
      <c r="C391" s="5" t="s">
        <v>755</v>
      </c>
      <c r="D391" s="12"/>
      <c r="E391" s="12">
        <v>14.9</v>
      </c>
      <c r="F391" s="13"/>
      <c r="R391" s="32"/>
      <c r="S391" s="47"/>
    </row>
    <row r="392" spans="1:19" x14ac:dyDescent="0.3">
      <c r="A392" s="5"/>
      <c r="B392" s="5" t="s">
        <v>756</v>
      </c>
      <c r="C392" s="5" t="s">
        <v>591</v>
      </c>
      <c r="D392" s="12"/>
      <c r="E392" s="12">
        <v>16.899999999999999</v>
      </c>
      <c r="F392" s="13"/>
      <c r="R392" s="32"/>
      <c r="S392" s="47"/>
    </row>
    <row r="393" spans="1:19" x14ac:dyDescent="0.3">
      <c r="A393" s="5"/>
      <c r="B393" s="5" t="s">
        <v>757</v>
      </c>
      <c r="C393" s="5" t="s">
        <v>758</v>
      </c>
      <c r="D393" s="12"/>
      <c r="E393" s="12">
        <v>27.9</v>
      </c>
      <c r="F393" s="13"/>
      <c r="R393" s="32"/>
      <c r="S393" s="47"/>
    </row>
    <row r="394" spans="1:19" x14ac:dyDescent="0.3">
      <c r="A394" s="5"/>
      <c r="B394" s="5" t="s">
        <v>759</v>
      </c>
      <c r="C394" s="5" t="s">
        <v>760</v>
      </c>
      <c r="D394" s="12"/>
      <c r="E394" s="12">
        <v>13.9</v>
      </c>
      <c r="F394" s="13"/>
      <c r="R394" s="32"/>
      <c r="S394" s="47"/>
    </row>
    <row r="395" spans="1:19" x14ac:dyDescent="0.3">
      <c r="A395" s="5"/>
      <c r="B395" s="5" t="s">
        <v>761</v>
      </c>
      <c r="C395" s="5" t="s">
        <v>762</v>
      </c>
      <c r="D395" s="12"/>
      <c r="E395" s="12">
        <v>24.9</v>
      </c>
      <c r="F395" s="13"/>
      <c r="R395" s="32"/>
      <c r="S395" s="47"/>
    </row>
    <row r="396" spans="1:19" x14ac:dyDescent="0.3">
      <c r="A396" s="5"/>
      <c r="B396" s="5" t="s">
        <v>763</v>
      </c>
      <c r="C396" s="5" t="s">
        <v>764</v>
      </c>
      <c r="D396" s="12"/>
      <c r="E396" s="12">
        <v>18.899999999999999</v>
      </c>
      <c r="F396" s="13"/>
      <c r="R396" s="32"/>
      <c r="S396" s="47"/>
    </row>
    <row r="397" spans="1:19" x14ac:dyDescent="0.3">
      <c r="A397" s="5"/>
      <c r="B397" s="5" t="s">
        <v>765</v>
      </c>
      <c r="C397" s="5" t="s">
        <v>766</v>
      </c>
      <c r="D397" s="12"/>
      <c r="E397" s="12">
        <v>13.9</v>
      </c>
      <c r="F397" s="13"/>
      <c r="R397" s="32"/>
      <c r="S397" s="47"/>
    </row>
    <row r="398" spans="1:19" x14ac:dyDescent="0.3">
      <c r="A398" s="5"/>
      <c r="B398" s="5" t="s">
        <v>767</v>
      </c>
      <c r="C398" s="5" t="s">
        <v>768</v>
      </c>
      <c r="D398" s="12"/>
      <c r="E398" s="12">
        <v>30.9</v>
      </c>
      <c r="F398" s="13"/>
      <c r="R398" s="32"/>
      <c r="S398" s="47"/>
    </row>
    <row r="399" spans="1:19" x14ac:dyDescent="0.3">
      <c r="A399" s="5"/>
      <c r="B399" s="5" t="s">
        <v>769</v>
      </c>
      <c r="C399" s="5" t="s">
        <v>770</v>
      </c>
      <c r="D399" s="12"/>
      <c r="E399" s="12">
        <v>14.9</v>
      </c>
      <c r="F399" s="13"/>
      <c r="R399" s="32"/>
      <c r="S399" s="47"/>
    </row>
    <row r="400" spans="1:19" x14ac:dyDescent="0.3">
      <c r="A400" s="5"/>
      <c r="B400" s="5" t="s">
        <v>771</v>
      </c>
      <c r="C400" s="5" t="s">
        <v>621</v>
      </c>
      <c r="D400" s="12"/>
      <c r="E400" s="12">
        <v>12.9</v>
      </c>
      <c r="F400" s="13"/>
      <c r="R400" s="32"/>
      <c r="S400" s="47"/>
    </row>
    <row r="401" spans="1:19" x14ac:dyDescent="0.3">
      <c r="A401" s="5"/>
      <c r="B401" s="5" t="s">
        <v>772</v>
      </c>
      <c r="C401" s="5" t="s">
        <v>773</v>
      </c>
      <c r="D401" s="12"/>
      <c r="E401" s="12">
        <v>13.9</v>
      </c>
      <c r="F401" s="13"/>
      <c r="R401" s="32"/>
      <c r="S401" s="47"/>
    </row>
    <row r="402" spans="1:19" x14ac:dyDescent="0.3">
      <c r="A402" s="5"/>
      <c r="B402" s="5" t="s">
        <v>774</v>
      </c>
      <c r="C402" s="5" t="s">
        <v>775</v>
      </c>
      <c r="D402" s="12"/>
      <c r="E402" s="12">
        <v>18.899999999999999</v>
      </c>
      <c r="F402" s="13"/>
      <c r="R402" s="32"/>
      <c r="S402" s="47"/>
    </row>
    <row r="403" spans="1:19" x14ac:dyDescent="0.3">
      <c r="A403" s="5"/>
      <c r="B403" s="5" t="s">
        <v>776</v>
      </c>
      <c r="C403" s="5" t="s">
        <v>777</v>
      </c>
      <c r="D403" s="12"/>
      <c r="E403" s="12">
        <v>9.9</v>
      </c>
      <c r="F403" s="13"/>
      <c r="R403" s="32"/>
      <c r="S403" s="47"/>
    </row>
    <row r="404" spans="1:19" x14ac:dyDescent="0.3">
      <c r="A404" s="5"/>
      <c r="B404" s="5" t="s">
        <v>778</v>
      </c>
      <c r="C404" s="5" t="s">
        <v>779</v>
      </c>
      <c r="D404" s="12"/>
      <c r="E404" s="12">
        <v>25.9</v>
      </c>
      <c r="F404" s="13"/>
      <c r="R404" s="32"/>
      <c r="S404" s="47"/>
    </row>
    <row r="405" spans="1:19" x14ac:dyDescent="0.3">
      <c r="A405" s="5"/>
      <c r="B405" s="5" t="s">
        <v>780</v>
      </c>
      <c r="C405" s="5" t="s">
        <v>439</v>
      </c>
      <c r="D405" s="12"/>
      <c r="E405" s="12">
        <v>33.9</v>
      </c>
      <c r="F405" s="13"/>
      <c r="R405" s="32"/>
      <c r="S405" s="47"/>
    </row>
    <row r="406" spans="1:19" x14ac:dyDescent="0.3">
      <c r="A406" s="5"/>
      <c r="B406" s="5" t="s">
        <v>781</v>
      </c>
      <c r="C406" s="5" t="s">
        <v>782</v>
      </c>
      <c r="D406" s="12"/>
      <c r="E406" s="12">
        <v>27.9</v>
      </c>
      <c r="F406" s="13"/>
      <c r="R406" s="32"/>
      <c r="S406" s="47"/>
    </row>
    <row r="407" spans="1:19" x14ac:dyDescent="0.3">
      <c r="A407" s="5"/>
      <c r="B407" s="5" t="s">
        <v>783</v>
      </c>
      <c r="C407" s="5" t="s">
        <v>784</v>
      </c>
      <c r="D407" s="12"/>
      <c r="E407" s="12">
        <v>21.9</v>
      </c>
      <c r="F407" s="13"/>
      <c r="R407" s="32"/>
      <c r="S407" s="47"/>
    </row>
    <row r="408" spans="1:19" x14ac:dyDescent="0.3">
      <c r="A408" s="5"/>
      <c r="B408" s="5" t="s">
        <v>785</v>
      </c>
      <c r="C408" s="5" t="s">
        <v>152</v>
      </c>
      <c r="D408" s="12"/>
      <c r="E408" s="12">
        <v>14.9</v>
      </c>
      <c r="F408" s="13"/>
      <c r="R408" s="32"/>
      <c r="S408" s="47"/>
    </row>
    <row r="409" spans="1:19" x14ac:dyDescent="0.3">
      <c r="A409" s="5"/>
      <c r="B409" s="5" t="s">
        <v>786</v>
      </c>
      <c r="C409" s="5" t="s">
        <v>787</v>
      </c>
      <c r="D409" s="12"/>
      <c r="E409" s="12">
        <v>28.9</v>
      </c>
      <c r="F409" s="13"/>
      <c r="R409" s="32"/>
      <c r="S409" s="47"/>
    </row>
    <row r="410" spans="1:19" x14ac:dyDescent="0.3">
      <c r="A410" s="5"/>
      <c r="B410" s="5" t="s">
        <v>788</v>
      </c>
      <c r="C410" s="5" t="s">
        <v>789</v>
      </c>
      <c r="D410" s="12"/>
      <c r="E410" s="12">
        <v>25.9</v>
      </c>
      <c r="F410" s="13"/>
      <c r="R410" s="32"/>
      <c r="S410" s="47"/>
    </row>
    <row r="411" spans="1:19" x14ac:dyDescent="0.3">
      <c r="A411" s="5"/>
      <c r="B411" s="5" t="s">
        <v>790</v>
      </c>
      <c r="C411" s="5" t="s">
        <v>791</v>
      </c>
      <c r="D411" s="12"/>
      <c r="E411" s="12">
        <v>17.899999999999999</v>
      </c>
      <c r="F411" s="13"/>
      <c r="R411" s="32"/>
      <c r="S411" s="47"/>
    </row>
    <row r="412" spans="1:19" x14ac:dyDescent="0.3">
      <c r="A412" s="5"/>
      <c r="B412" s="5" t="s">
        <v>792</v>
      </c>
      <c r="C412" s="5" t="s">
        <v>793</v>
      </c>
      <c r="D412" s="12"/>
      <c r="E412" s="12">
        <v>21.9</v>
      </c>
      <c r="F412" s="13"/>
      <c r="R412" s="32"/>
      <c r="S412" s="47"/>
    </row>
    <row r="413" spans="1:19" x14ac:dyDescent="0.3">
      <c r="A413" s="5"/>
      <c r="B413" s="5" t="s">
        <v>794</v>
      </c>
      <c r="C413" s="5" t="s">
        <v>795</v>
      </c>
      <c r="D413" s="12"/>
      <c r="E413" s="12">
        <v>0</v>
      </c>
      <c r="F413" s="13"/>
      <c r="R413" s="32"/>
      <c r="S413" s="47"/>
    </row>
    <row r="414" spans="1:19" x14ac:dyDescent="0.3">
      <c r="A414" s="5"/>
      <c r="B414" s="5" t="s">
        <v>796</v>
      </c>
      <c r="C414" s="5" t="s">
        <v>797</v>
      </c>
      <c r="D414" s="12"/>
      <c r="E414" s="12">
        <v>20.9</v>
      </c>
      <c r="F414" s="13"/>
      <c r="R414" s="32"/>
      <c r="S414" s="47"/>
    </row>
    <row r="415" spans="1:19" x14ac:dyDescent="0.3">
      <c r="A415" s="5"/>
      <c r="B415" s="5" t="s">
        <v>798</v>
      </c>
      <c r="C415" s="5" t="s">
        <v>799</v>
      </c>
      <c r="D415" s="12"/>
      <c r="E415" s="12">
        <v>13.9</v>
      </c>
      <c r="F415" s="13"/>
      <c r="R415" s="32"/>
      <c r="S415" s="47"/>
    </row>
    <row r="416" spans="1:19" x14ac:dyDescent="0.3">
      <c r="A416" s="5"/>
      <c r="B416" s="5" t="s">
        <v>800</v>
      </c>
      <c r="C416" s="5" t="s">
        <v>801</v>
      </c>
      <c r="D416" s="12"/>
      <c r="E416" s="12">
        <v>23.9</v>
      </c>
      <c r="F416" s="13"/>
      <c r="R416" s="32"/>
      <c r="S416" s="47"/>
    </row>
    <row r="417" spans="1:19" x14ac:dyDescent="0.3">
      <c r="A417" s="5"/>
      <c r="B417" s="5" t="s">
        <v>802</v>
      </c>
      <c r="C417" s="5" t="s">
        <v>803</v>
      </c>
      <c r="D417" s="12"/>
      <c r="E417" s="12">
        <v>23.9</v>
      </c>
      <c r="F417" s="13"/>
      <c r="R417" s="32"/>
      <c r="S417" s="47"/>
    </row>
    <row r="418" spans="1:19" x14ac:dyDescent="0.3">
      <c r="A418" s="5"/>
      <c r="B418" s="5" t="s">
        <v>804</v>
      </c>
      <c r="C418" s="5" t="s">
        <v>805</v>
      </c>
      <c r="D418" s="12"/>
      <c r="E418" s="12">
        <v>13.9</v>
      </c>
      <c r="F418" s="13"/>
      <c r="R418" s="32"/>
      <c r="S418" s="47"/>
    </row>
    <row r="419" spans="1:19" x14ac:dyDescent="0.3">
      <c r="A419" s="5"/>
      <c r="B419" s="5" t="s">
        <v>806</v>
      </c>
      <c r="C419" s="5" t="s">
        <v>807</v>
      </c>
      <c r="D419" s="12"/>
      <c r="E419" s="12">
        <v>23.9</v>
      </c>
      <c r="F419" s="13"/>
      <c r="R419" s="32"/>
      <c r="S419" s="47"/>
    </row>
    <row r="420" spans="1:19" x14ac:dyDescent="0.3">
      <c r="A420" s="5"/>
      <c r="B420" s="5" t="s">
        <v>808</v>
      </c>
      <c r="C420" s="5" t="s">
        <v>809</v>
      </c>
      <c r="D420" s="12"/>
      <c r="E420" s="12">
        <v>19.899999999999999</v>
      </c>
      <c r="F420" s="13"/>
      <c r="R420" s="32"/>
      <c r="S420" s="47"/>
    </row>
    <row r="421" spans="1:19" x14ac:dyDescent="0.3">
      <c r="A421" s="5"/>
      <c r="B421" s="5" t="s">
        <v>810</v>
      </c>
      <c r="C421" s="5" t="s">
        <v>589</v>
      </c>
      <c r="D421" s="12"/>
      <c r="E421" s="12">
        <v>29.9</v>
      </c>
      <c r="F421" s="13"/>
      <c r="R421" s="32"/>
      <c r="S421" s="47"/>
    </row>
    <row r="422" spans="1:19" x14ac:dyDescent="0.3">
      <c r="A422" s="5"/>
      <c r="B422" s="5" t="s">
        <v>811</v>
      </c>
      <c r="C422" s="5" t="s">
        <v>699</v>
      </c>
      <c r="D422" s="12"/>
      <c r="E422" s="12">
        <v>27.9</v>
      </c>
      <c r="F422" s="13"/>
      <c r="R422" s="32"/>
      <c r="S422" s="47"/>
    </row>
    <row r="423" spans="1:19" x14ac:dyDescent="0.3">
      <c r="A423" s="5"/>
      <c r="B423" s="5" t="s">
        <v>812</v>
      </c>
      <c r="C423" s="5" t="s">
        <v>813</v>
      </c>
      <c r="D423" s="12"/>
      <c r="E423" s="12">
        <v>13.9</v>
      </c>
      <c r="F423" s="13"/>
      <c r="R423" s="32"/>
      <c r="S423" s="47"/>
    </row>
    <row r="424" spans="1:19" x14ac:dyDescent="0.3">
      <c r="A424" s="5"/>
      <c r="B424" s="5" t="s">
        <v>814</v>
      </c>
      <c r="C424" s="5" t="s">
        <v>815</v>
      </c>
      <c r="D424" s="12"/>
      <c r="E424" s="12">
        <v>18.899999999999999</v>
      </c>
      <c r="F424" s="13"/>
      <c r="R424" s="32"/>
      <c r="S424" s="47"/>
    </row>
    <row r="425" spans="1:19" x14ac:dyDescent="0.3">
      <c r="A425" s="5"/>
      <c r="B425" s="5" t="s">
        <v>816</v>
      </c>
      <c r="C425" s="5" t="s">
        <v>694</v>
      </c>
      <c r="D425" s="12"/>
      <c r="E425" s="12">
        <v>13.9</v>
      </c>
      <c r="F425" s="13"/>
      <c r="R425" s="32"/>
      <c r="S425" s="47"/>
    </row>
    <row r="426" spans="1:19" x14ac:dyDescent="0.3">
      <c r="A426" s="5"/>
      <c r="B426" s="5" t="s">
        <v>817</v>
      </c>
      <c r="C426" s="5" t="s">
        <v>818</v>
      </c>
      <c r="D426" s="12"/>
      <c r="E426" s="12">
        <v>16.899999999999999</v>
      </c>
      <c r="F426" s="13"/>
      <c r="R426" s="32"/>
      <c r="S426" s="47"/>
    </row>
    <row r="427" spans="1:19" x14ac:dyDescent="0.3">
      <c r="A427" s="5"/>
      <c r="B427" s="5" t="s">
        <v>819</v>
      </c>
      <c r="C427" s="5" t="s">
        <v>820</v>
      </c>
      <c r="D427" s="12"/>
      <c r="E427" s="12">
        <v>18.899999999999999</v>
      </c>
      <c r="F427" s="13"/>
      <c r="R427" s="32"/>
      <c r="S427" s="47"/>
    </row>
    <row r="428" spans="1:19" x14ac:dyDescent="0.3">
      <c r="A428" s="5"/>
      <c r="B428" s="5" t="s">
        <v>821</v>
      </c>
      <c r="C428" s="5" t="s">
        <v>822</v>
      </c>
      <c r="D428" s="12"/>
      <c r="E428" s="12">
        <v>23.9</v>
      </c>
      <c r="F428" s="13"/>
      <c r="R428" s="32"/>
      <c r="S428" s="47"/>
    </row>
    <row r="429" spans="1:19" x14ac:dyDescent="0.3">
      <c r="A429" s="5"/>
      <c r="B429" s="5" t="s">
        <v>823</v>
      </c>
      <c r="C429" s="5" t="s">
        <v>824</v>
      </c>
      <c r="D429" s="12"/>
      <c r="E429" s="12">
        <v>23.9</v>
      </c>
      <c r="F429" s="13"/>
      <c r="R429" s="32"/>
      <c r="S429" s="47"/>
    </row>
    <row r="430" spans="1:19" x14ac:dyDescent="0.3">
      <c r="A430" s="5"/>
      <c r="B430" s="5" t="s">
        <v>825</v>
      </c>
      <c r="C430" s="5" t="s">
        <v>826</v>
      </c>
      <c r="D430" s="12"/>
      <c r="E430" s="12">
        <v>23.9</v>
      </c>
      <c r="F430" s="13"/>
      <c r="R430" s="32"/>
      <c r="S430" s="47"/>
    </row>
    <row r="431" spans="1:19" x14ac:dyDescent="0.3">
      <c r="A431" s="5"/>
      <c r="B431" s="5" t="s">
        <v>827</v>
      </c>
      <c r="C431" s="5" t="s">
        <v>828</v>
      </c>
      <c r="D431" s="12"/>
      <c r="E431" s="12">
        <v>24.9</v>
      </c>
      <c r="F431" s="13"/>
      <c r="R431" s="32"/>
      <c r="S431" s="47"/>
    </row>
    <row r="432" spans="1:19" x14ac:dyDescent="0.3">
      <c r="A432" s="5"/>
      <c r="B432" s="5" t="s">
        <v>829</v>
      </c>
      <c r="C432" s="5" t="s">
        <v>830</v>
      </c>
      <c r="D432" s="12"/>
      <c r="E432" s="12">
        <v>11.9</v>
      </c>
      <c r="F432" s="13"/>
      <c r="R432" s="32"/>
      <c r="S432" s="47"/>
    </row>
    <row r="433" spans="1:19" x14ac:dyDescent="0.3">
      <c r="A433" s="5"/>
      <c r="B433" s="5" t="s">
        <v>831</v>
      </c>
      <c r="C433" s="5" t="s">
        <v>832</v>
      </c>
      <c r="D433" s="12"/>
      <c r="E433" s="12">
        <v>6.9</v>
      </c>
      <c r="F433" s="13"/>
      <c r="R433" s="32"/>
      <c r="S433" s="47"/>
    </row>
    <row r="434" spans="1:19" x14ac:dyDescent="0.3">
      <c r="A434" s="5"/>
      <c r="B434" s="5" t="s">
        <v>833</v>
      </c>
      <c r="C434" s="5" t="s">
        <v>621</v>
      </c>
      <c r="D434" s="12"/>
      <c r="E434" s="12">
        <v>12.9</v>
      </c>
      <c r="F434" s="13"/>
      <c r="R434" s="32"/>
      <c r="S434" s="47"/>
    </row>
    <row r="435" spans="1:19" x14ac:dyDescent="0.3">
      <c r="A435" s="5"/>
      <c r="B435" s="5" t="s">
        <v>834</v>
      </c>
      <c r="C435" s="5" t="s">
        <v>835</v>
      </c>
      <c r="D435" s="12"/>
      <c r="E435" s="12">
        <v>9.9</v>
      </c>
      <c r="F435" s="13"/>
      <c r="R435" s="32"/>
      <c r="S435" s="47"/>
    </row>
    <row r="436" spans="1:19" x14ac:dyDescent="0.3">
      <c r="A436" s="5"/>
      <c r="B436" s="5" t="s">
        <v>836</v>
      </c>
      <c r="C436" s="5" t="s">
        <v>837</v>
      </c>
      <c r="D436" s="12"/>
      <c r="E436" s="12">
        <v>28.9</v>
      </c>
      <c r="F436" s="13"/>
      <c r="R436" s="32"/>
      <c r="S436" s="47"/>
    </row>
    <row r="437" spans="1:19" x14ac:dyDescent="0.3">
      <c r="A437" s="5"/>
      <c r="B437" s="5" t="s">
        <v>838</v>
      </c>
      <c r="C437" s="5" t="s">
        <v>839</v>
      </c>
      <c r="D437" s="12"/>
      <c r="E437" s="12">
        <v>11.9</v>
      </c>
      <c r="F437" s="13"/>
      <c r="R437" s="32"/>
      <c r="S437" s="47"/>
    </row>
    <row r="438" spans="1:19" x14ac:dyDescent="0.3">
      <c r="A438" s="5"/>
      <c r="B438" s="5" t="s">
        <v>840</v>
      </c>
      <c r="C438" s="5" t="s">
        <v>841</v>
      </c>
      <c r="D438" s="12"/>
      <c r="E438" s="12">
        <v>12.9</v>
      </c>
      <c r="F438" s="13"/>
      <c r="R438" s="32"/>
      <c r="S438" s="47"/>
    </row>
    <row r="439" spans="1:19" x14ac:dyDescent="0.3">
      <c r="A439" s="5"/>
      <c r="B439" s="5" t="s">
        <v>842</v>
      </c>
      <c r="C439" s="5" t="s">
        <v>843</v>
      </c>
      <c r="D439" s="12"/>
      <c r="E439" s="12">
        <v>12.9</v>
      </c>
      <c r="F439" s="13"/>
      <c r="R439" s="32"/>
      <c r="S439" s="47"/>
    </row>
    <row r="440" spans="1:19" x14ac:dyDescent="0.3">
      <c r="B440" s="5" t="s">
        <v>844</v>
      </c>
      <c r="C440" s="5"/>
      <c r="D440" s="12"/>
      <c r="E440" s="12">
        <v>17.899999999999999</v>
      </c>
      <c r="R440" s="32"/>
      <c r="S440" s="47"/>
    </row>
    <row r="441" spans="1:19" x14ac:dyDescent="0.3">
      <c r="B441" s="5" t="s">
        <v>845</v>
      </c>
      <c r="C441" s="5"/>
      <c r="D441" s="12"/>
      <c r="E441" s="12">
        <v>12.9</v>
      </c>
      <c r="R441" s="32"/>
      <c r="S441" s="47"/>
    </row>
    <row r="442" spans="1:19" x14ac:dyDescent="0.3">
      <c r="B442" s="5" t="s">
        <v>846</v>
      </c>
      <c r="C442" s="5"/>
      <c r="D442" s="12"/>
      <c r="E442" s="12">
        <v>23.9</v>
      </c>
      <c r="R442" s="32"/>
      <c r="S442" s="47"/>
    </row>
    <row r="443" spans="1:19" x14ac:dyDescent="0.3">
      <c r="B443" s="5" t="s">
        <v>847</v>
      </c>
      <c r="C443" s="5"/>
      <c r="D443" s="12"/>
      <c r="E443" s="12">
        <v>20.9</v>
      </c>
      <c r="R443" s="32"/>
      <c r="S443" s="47"/>
    </row>
    <row r="444" spans="1:19" x14ac:dyDescent="0.3">
      <c r="B444" s="5" t="s">
        <v>848</v>
      </c>
      <c r="C444" s="5"/>
      <c r="D444" s="12"/>
      <c r="E444" s="12">
        <v>24.9</v>
      </c>
      <c r="R444" s="32"/>
      <c r="S444" s="47"/>
    </row>
    <row r="445" spans="1:19" x14ac:dyDescent="0.3">
      <c r="B445" s="5" t="s">
        <v>849</v>
      </c>
      <c r="C445" s="5"/>
      <c r="D445" s="12"/>
      <c r="E445" s="12">
        <v>20.9</v>
      </c>
      <c r="R445" s="32"/>
      <c r="S445" s="47"/>
    </row>
    <row r="446" spans="1:19" x14ac:dyDescent="0.3">
      <c r="B446" s="5" t="s">
        <v>850</v>
      </c>
      <c r="C446" s="5"/>
      <c r="D446" s="12"/>
      <c r="E446" s="12">
        <v>9.9</v>
      </c>
      <c r="R446" s="32"/>
      <c r="S446" s="47"/>
    </row>
    <row r="447" spans="1:19" x14ac:dyDescent="0.3">
      <c r="B447" s="5" t="s">
        <v>851</v>
      </c>
      <c r="C447" s="5"/>
      <c r="D447" s="12"/>
      <c r="E447" s="12">
        <v>20.9</v>
      </c>
      <c r="R447" s="32"/>
      <c r="S447" s="47"/>
    </row>
    <row r="448" spans="1:19" x14ac:dyDescent="0.3">
      <c r="B448" s="5" t="s">
        <v>852</v>
      </c>
      <c r="C448" s="5"/>
      <c r="D448" s="12"/>
      <c r="E448" s="12">
        <v>14.9</v>
      </c>
      <c r="R448" s="32"/>
      <c r="S448" s="47"/>
    </row>
    <row r="449" spans="2:19" x14ac:dyDescent="0.3">
      <c r="B449" s="5" t="s">
        <v>853</v>
      </c>
      <c r="C449" s="5"/>
      <c r="D449" s="12"/>
      <c r="E449" s="12">
        <v>11.9</v>
      </c>
      <c r="R449" s="32"/>
      <c r="S449" s="47"/>
    </row>
    <row r="450" spans="2:19" x14ac:dyDescent="0.3">
      <c r="B450" s="5" t="s">
        <v>854</v>
      </c>
      <c r="C450" s="5"/>
      <c r="D450" s="12"/>
      <c r="E450" s="12">
        <v>19.899999999999999</v>
      </c>
      <c r="R450" s="32"/>
      <c r="S450" s="47"/>
    </row>
    <row r="451" spans="2:19" x14ac:dyDescent="0.3">
      <c r="B451" s="5" t="s">
        <v>855</v>
      </c>
      <c r="C451" s="5"/>
      <c r="D451" s="12"/>
      <c r="E451" s="12">
        <v>12.9</v>
      </c>
      <c r="R451" s="32"/>
      <c r="S451" s="47"/>
    </row>
    <row r="452" spans="2:19" x14ac:dyDescent="0.3">
      <c r="B452" s="5" t="s">
        <v>856</v>
      </c>
      <c r="C452" s="5"/>
      <c r="D452" s="12"/>
      <c r="E452" s="12">
        <v>16.899999999999999</v>
      </c>
      <c r="R452" s="32"/>
      <c r="S452" s="47"/>
    </row>
    <row r="453" spans="2:19" x14ac:dyDescent="0.3">
      <c r="B453" s="5" t="s">
        <v>857</v>
      </c>
      <c r="C453" s="5"/>
      <c r="D453" s="12"/>
      <c r="E453" s="12">
        <v>8.9</v>
      </c>
      <c r="R453" s="32"/>
      <c r="S453" s="47"/>
    </row>
    <row r="454" spans="2:19" x14ac:dyDescent="0.3">
      <c r="B454" s="5" t="s">
        <v>858</v>
      </c>
      <c r="C454" s="5"/>
      <c r="D454" s="12"/>
      <c r="E454" s="12">
        <v>21.9</v>
      </c>
      <c r="R454" s="32"/>
      <c r="S454" s="47"/>
    </row>
    <row r="455" spans="2:19" x14ac:dyDescent="0.3">
      <c r="B455" s="5" t="s">
        <v>859</v>
      </c>
      <c r="C455" s="5"/>
      <c r="D455" s="12"/>
      <c r="E455" s="12">
        <v>16.899999999999999</v>
      </c>
      <c r="R455" s="32"/>
      <c r="S455" s="47"/>
    </row>
    <row r="456" spans="2:19" x14ac:dyDescent="0.3">
      <c r="B456" s="5" t="s">
        <v>860</v>
      </c>
      <c r="C456" s="5"/>
      <c r="D456" s="12"/>
      <c r="E456" s="12">
        <v>18.899999999999999</v>
      </c>
      <c r="R456" s="32"/>
      <c r="S456" s="47"/>
    </row>
    <row r="457" spans="2:19" x14ac:dyDescent="0.3">
      <c r="B457" s="5" t="s">
        <v>861</v>
      </c>
      <c r="C457" s="5"/>
      <c r="D457" s="12"/>
      <c r="E457" s="12">
        <v>16.899999999999999</v>
      </c>
      <c r="R457" s="32"/>
      <c r="S457" s="47"/>
    </row>
    <row r="458" spans="2:19" x14ac:dyDescent="0.3">
      <c r="B458" s="5" t="s">
        <v>862</v>
      </c>
      <c r="C458" s="5"/>
      <c r="D458" s="12"/>
      <c r="E458" s="12">
        <v>31.9</v>
      </c>
      <c r="R458" s="32"/>
      <c r="S458" s="47"/>
    </row>
    <row r="459" spans="2:19" x14ac:dyDescent="0.3">
      <c r="B459" s="5" t="s">
        <v>863</v>
      </c>
      <c r="C459" s="5"/>
      <c r="D459" s="12"/>
      <c r="E459" s="12">
        <v>21.9</v>
      </c>
      <c r="R459" s="32"/>
      <c r="S459" s="47"/>
    </row>
    <row r="460" spans="2:19" x14ac:dyDescent="0.3">
      <c r="B460" s="5" t="s">
        <v>864</v>
      </c>
      <c r="C460" s="5"/>
      <c r="D460" s="12"/>
      <c r="E460" s="12">
        <v>16.899999999999999</v>
      </c>
      <c r="R460" s="32"/>
      <c r="S460" s="47"/>
    </row>
    <row r="461" spans="2:19" x14ac:dyDescent="0.3">
      <c r="B461" s="5" t="s">
        <v>865</v>
      </c>
      <c r="C461" s="5"/>
      <c r="D461" s="12"/>
      <c r="E461" s="12">
        <v>16.899999999999999</v>
      </c>
      <c r="R461" s="32"/>
      <c r="S461" s="47"/>
    </row>
    <row r="462" spans="2:19" x14ac:dyDescent="0.3">
      <c r="B462" s="5" t="s">
        <v>866</v>
      </c>
      <c r="C462" s="5"/>
      <c r="D462" s="12"/>
      <c r="E462" s="12">
        <v>27.9</v>
      </c>
      <c r="R462" s="32"/>
      <c r="S462" s="47"/>
    </row>
    <row r="463" spans="2:19" x14ac:dyDescent="0.3">
      <c r="B463" s="5" t="s">
        <v>867</v>
      </c>
      <c r="C463" s="5"/>
      <c r="D463" s="12"/>
      <c r="E463" s="12">
        <v>17.899999999999999</v>
      </c>
      <c r="R463" s="32"/>
      <c r="S463" s="47"/>
    </row>
    <row r="464" spans="2:19" x14ac:dyDescent="0.3">
      <c r="B464" s="5" t="s">
        <v>868</v>
      </c>
      <c r="C464" s="5"/>
      <c r="D464" s="12"/>
      <c r="E464" s="12">
        <v>17.899999999999999</v>
      </c>
      <c r="R464" s="32"/>
      <c r="S464" s="47"/>
    </row>
    <row r="465" spans="2:19" x14ac:dyDescent="0.3">
      <c r="B465" s="5" t="s">
        <v>869</v>
      </c>
      <c r="C465" s="5"/>
      <c r="D465" s="12"/>
      <c r="E465" s="12">
        <v>25.9</v>
      </c>
      <c r="R465" s="32"/>
      <c r="S465" s="47"/>
    </row>
    <row r="466" spans="2:19" x14ac:dyDescent="0.3">
      <c r="B466" s="5" t="s">
        <v>870</v>
      </c>
      <c r="C466" s="5"/>
      <c r="D466" s="12"/>
      <c r="E466" s="12">
        <v>45.9</v>
      </c>
      <c r="R466" s="32"/>
      <c r="S466" s="47"/>
    </row>
    <row r="467" spans="2:19" x14ac:dyDescent="0.3">
      <c r="B467" s="5" t="s">
        <v>871</v>
      </c>
      <c r="C467" s="5"/>
      <c r="D467" s="12"/>
      <c r="E467" s="12">
        <v>15.9</v>
      </c>
      <c r="R467" s="32"/>
      <c r="S467" s="47"/>
    </row>
    <row r="468" spans="2:19" x14ac:dyDescent="0.3">
      <c r="B468" s="5" t="s">
        <v>872</v>
      </c>
      <c r="C468" s="5"/>
      <c r="D468" s="12"/>
      <c r="E468" s="12">
        <v>26.9</v>
      </c>
      <c r="R468" s="32"/>
      <c r="S468" s="47"/>
    </row>
    <row r="469" spans="2:19" x14ac:dyDescent="0.3">
      <c r="B469" s="5" t="s">
        <v>873</v>
      </c>
      <c r="C469" s="5"/>
      <c r="D469" s="12"/>
      <c r="E469" s="12">
        <v>36.9</v>
      </c>
      <c r="R469" s="32"/>
      <c r="S469" s="47"/>
    </row>
    <row r="470" spans="2:19" x14ac:dyDescent="0.3">
      <c r="B470" s="5" t="s">
        <v>874</v>
      </c>
      <c r="C470" s="5"/>
      <c r="D470" s="12"/>
      <c r="E470" s="12">
        <v>25.9</v>
      </c>
      <c r="R470" s="32"/>
      <c r="S470" s="47"/>
    </row>
    <row r="471" spans="2:19" x14ac:dyDescent="0.3">
      <c r="B471" s="5" t="s">
        <v>875</v>
      </c>
      <c r="C471" s="5"/>
      <c r="D471" s="12"/>
      <c r="E471" s="12">
        <v>13.9</v>
      </c>
      <c r="R471" s="32"/>
      <c r="S471" s="47"/>
    </row>
    <row r="472" spans="2:19" x14ac:dyDescent="0.3">
      <c r="B472" s="5" t="s">
        <v>876</v>
      </c>
      <c r="C472" s="5"/>
      <c r="D472" s="12"/>
      <c r="E472" s="12">
        <v>26.9</v>
      </c>
      <c r="R472" s="32"/>
      <c r="S472" s="47"/>
    </row>
    <row r="473" spans="2:19" x14ac:dyDescent="0.3">
      <c r="B473" s="5" t="s">
        <v>877</v>
      </c>
      <c r="C473" s="5"/>
      <c r="D473" s="12"/>
      <c r="E473" s="12">
        <v>16.899999999999999</v>
      </c>
      <c r="R473" s="32"/>
      <c r="S473" s="47"/>
    </row>
    <row r="474" spans="2:19" x14ac:dyDescent="0.3">
      <c r="B474" s="5" t="s">
        <v>878</v>
      </c>
      <c r="C474" s="5"/>
      <c r="D474" s="12"/>
      <c r="E474" s="12">
        <v>14.9</v>
      </c>
      <c r="R474" s="32"/>
      <c r="S474" s="47"/>
    </row>
    <row r="475" spans="2:19" x14ac:dyDescent="0.3">
      <c r="B475" s="5" t="s">
        <v>879</v>
      </c>
      <c r="C475" s="5"/>
      <c r="D475" s="12"/>
      <c r="E475" s="12">
        <v>13.9</v>
      </c>
      <c r="R475" s="32"/>
      <c r="S475" s="47"/>
    </row>
    <row r="476" spans="2:19" x14ac:dyDescent="0.3">
      <c r="B476" s="5" t="s">
        <v>880</v>
      </c>
      <c r="C476" s="5"/>
      <c r="D476" s="12"/>
      <c r="E476" s="12">
        <v>19.899999999999999</v>
      </c>
      <c r="R476" s="32"/>
      <c r="S476" s="47"/>
    </row>
    <row r="477" spans="2:19" x14ac:dyDescent="0.3">
      <c r="B477" s="5" t="s">
        <v>881</v>
      </c>
      <c r="C477" s="5"/>
      <c r="D477" s="12"/>
      <c r="E477" s="12">
        <v>23.9</v>
      </c>
      <c r="R477" s="32"/>
      <c r="S477" s="47"/>
    </row>
    <row r="478" spans="2:19" x14ac:dyDescent="0.3">
      <c r="B478" s="5" t="s">
        <v>882</v>
      </c>
      <c r="C478" s="5"/>
      <c r="D478" s="12"/>
      <c r="E478" s="12">
        <v>14.9</v>
      </c>
      <c r="R478" s="32"/>
      <c r="S478" s="47"/>
    </row>
    <row r="479" spans="2:19" x14ac:dyDescent="0.3">
      <c r="B479" s="5" t="s">
        <v>883</v>
      </c>
      <c r="C479" s="5"/>
      <c r="D479" s="12"/>
      <c r="E479" s="12">
        <v>16.899999999999999</v>
      </c>
      <c r="R479" s="32"/>
      <c r="S479" s="47"/>
    </row>
    <row r="480" spans="2:19" x14ac:dyDescent="0.3">
      <c r="B480" s="5" t="s">
        <v>884</v>
      </c>
      <c r="C480" s="5"/>
      <c r="D480" s="12"/>
      <c r="E480" s="12">
        <v>16.899999999999999</v>
      </c>
      <c r="R480" s="32"/>
      <c r="S480" s="47"/>
    </row>
    <row r="481" spans="2:19" x14ac:dyDescent="0.3">
      <c r="B481" s="5" t="s">
        <v>885</v>
      </c>
      <c r="C481" s="5"/>
      <c r="D481" s="12"/>
      <c r="E481" s="12">
        <v>6.9</v>
      </c>
      <c r="R481" s="32"/>
      <c r="S481" s="47"/>
    </row>
    <row r="482" spans="2:19" x14ac:dyDescent="0.3">
      <c r="B482" s="5" t="s">
        <v>886</v>
      </c>
      <c r="C482" s="5"/>
      <c r="D482" s="12"/>
      <c r="E482" s="12">
        <v>8.9</v>
      </c>
      <c r="R482" s="32"/>
      <c r="S482" s="47"/>
    </row>
    <row r="483" spans="2:19" x14ac:dyDescent="0.3">
      <c r="B483" s="5" t="s">
        <v>887</v>
      </c>
      <c r="C483" s="5"/>
      <c r="D483" s="12"/>
      <c r="E483" s="12">
        <v>36.9</v>
      </c>
      <c r="R483" s="32"/>
      <c r="S483" s="47"/>
    </row>
    <row r="484" spans="2:19" x14ac:dyDescent="0.3">
      <c r="B484" s="5" t="s">
        <v>888</v>
      </c>
      <c r="C484" s="5"/>
      <c r="D484" s="12"/>
      <c r="E484" s="12">
        <v>18.899999999999999</v>
      </c>
      <c r="R484" s="32"/>
      <c r="S484" s="47"/>
    </row>
    <row r="485" spans="2:19" x14ac:dyDescent="0.3">
      <c r="B485" s="5" t="s">
        <v>889</v>
      </c>
      <c r="C485" s="5"/>
      <c r="D485" s="12"/>
      <c r="E485" s="12">
        <v>16.899999999999999</v>
      </c>
      <c r="R485" s="32"/>
      <c r="S485" s="47"/>
    </row>
    <row r="486" spans="2:19" x14ac:dyDescent="0.3">
      <c r="B486" s="5" t="s">
        <v>890</v>
      </c>
      <c r="C486" s="5"/>
      <c r="D486" s="12"/>
      <c r="E486" s="12">
        <v>14.9</v>
      </c>
      <c r="R486" s="32"/>
      <c r="S486" s="47"/>
    </row>
    <row r="487" spans="2:19" x14ac:dyDescent="0.3">
      <c r="B487" s="5" t="s">
        <v>891</v>
      </c>
      <c r="C487" s="5"/>
      <c r="D487" s="12"/>
      <c r="E487" s="12">
        <v>16.899999999999999</v>
      </c>
      <c r="R487" s="32"/>
      <c r="S487" s="47"/>
    </row>
    <row r="488" spans="2:19" x14ac:dyDescent="0.3">
      <c r="B488" s="5" t="s">
        <v>892</v>
      </c>
      <c r="C488" s="5"/>
      <c r="D488" s="12"/>
      <c r="E488" s="12">
        <v>11.9</v>
      </c>
      <c r="R488" s="32"/>
      <c r="S488" s="47"/>
    </row>
    <row r="489" spans="2:19" x14ac:dyDescent="0.3">
      <c r="B489" s="5" t="s">
        <v>893</v>
      </c>
      <c r="C489" s="5"/>
      <c r="D489" s="12"/>
      <c r="E489" s="12">
        <v>29.9</v>
      </c>
      <c r="R489" s="32"/>
      <c r="S489" s="47"/>
    </row>
    <row r="490" spans="2:19" x14ac:dyDescent="0.3">
      <c r="B490" s="5" t="s">
        <v>894</v>
      </c>
      <c r="C490" s="5"/>
      <c r="D490" s="12"/>
      <c r="E490" s="12">
        <v>30.9</v>
      </c>
      <c r="R490" s="32"/>
      <c r="S490" s="47"/>
    </row>
    <row r="491" spans="2:19" x14ac:dyDescent="0.3">
      <c r="B491" s="5" t="s">
        <v>895</v>
      </c>
      <c r="C491" s="5"/>
      <c r="D491" s="12"/>
      <c r="E491" s="12">
        <v>23.9</v>
      </c>
      <c r="R491" s="32"/>
      <c r="S491" s="47"/>
    </row>
    <row r="492" spans="2:19" x14ac:dyDescent="0.3">
      <c r="B492" s="5" t="s">
        <v>896</v>
      </c>
      <c r="C492" s="5"/>
      <c r="D492" s="12"/>
      <c r="E492" s="12">
        <v>22.9</v>
      </c>
      <c r="R492" s="32"/>
      <c r="S492" s="47"/>
    </row>
    <row r="493" spans="2:19" x14ac:dyDescent="0.3">
      <c r="B493" s="5" t="s">
        <v>897</v>
      </c>
      <c r="C493" s="5"/>
      <c r="D493" s="12"/>
      <c r="E493" s="12">
        <v>17.899999999999999</v>
      </c>
      <c r="R493" s="32"/>
      <c r="S493" s="47"/>
    </row>
    <row r="494" spans="2:19" x14ac:dyDescent="0.3">
      <c r="B494" s="5" t="s">
        <v>898</v>
      </c>
      <c r="C494" s="5"/>
      <c r="D494" s="12"/>
      <c r="E494" s="12">
        <v>11.9</v>
      </c>
      <c r="R494" s="32"/>
      <c r="S494" s="47"/>
    </row>
    <row r="495" spans="2:19" x14ac:dyDescent="0.3">
      <c r="B495" s="5" t="s">
        <v>899</v>
      </c>
      <c r="C495" s="5"/>
      <c r="D495" s="12"/>
      <c r="E495" s="12">
        <v>14.9</v>
      </c>
      <c r="R495" s="32"/>
      <c r="S495" s="47"/>
    </row>
    <row r="496" spans="2:19" x14ac:dyDescent="0.3">
      <c r="B496" s="5" t="s">
        <v>900</v>
      </c>
      <c r="C496" s="5"/>
      <c r="D496" s="12"/>
      <c r="E496" s="12">
        <v>11.9</v>
      </c>
      <c r="R496" s="32"/>
      <c r="S496" s="47"/>
    </row>
    <row r="497" spans="2:19" x14ac:dyDescent="0.3">
      <c r="B497" s="5" t="s">
        <v>901</v>
      </c>
      <c r="C497" s="5"/>
      <c r="D497" s="12"/>
      <c r="E497" s="12">
        <v>16.899999999999999</v>
      </c>
      <c r="R497" s="32"/>
      <c r="S497" s="47"/>
    </row>
    <row r="498" spans="2:19" x14ac:dyDescent="0.3">
      <c r="B498" s="5" t="s">
        <v>902</v>
      </c>
      <c r="C498" s="5"/>
      <c r="D498" s="12"/>
      <c r="E498" s="12">
        <v>35.9</v>
      </c>
      <c r="R498" s="32"/>
      <c r="S498" s="47"/>
    </row>
    <row r="499" spans="2:19" x14ac:dyDescent="0.3">
      <c r="B499" s="5" t="s">
        <v>903</v>
      </c>
      <c r="C499" s="5"/>
      <c r="D499" s="12"/>
      <c r="E499" s="12">
        <v>20.9</v>
      </c>
      <c r="R499" s="32"/>
      <c r="S499" s="47"/>
    </row>
    <row r="500" spans="2:19" x14ac:dyDescent="0.3">
      <c r="B500" s="5" t="s">
        <v>904</v>
      </c>
      <c r="C500" s="5"/>
      <c r="D500" s="12"/>
      <c r="E500" s="12">
        <v>36.9</v>
      </c>
      <c r="R500" s="32"/>
      <c r="S500" s="47"/>
    </row>
    <row r="501" spans="2:19" x14ac:dyDescent="0.3">
      <c r="B501" s="5" t="s">
        <v>905</v>
      </c>
      <c r="C501" s="5"/>
      <c r="D501" s="12"/>
      <c r="E501" s="12">
        <v>29.9</v>
      </c>
      <c r="R501" s="32"/>
      <c r="S501" s="47"/>
    </row>
    <row r="502" spans="2:19" x14ac:dyDescent="0.3">
      <c r="B502" s="5" t="s">
        <v>906</v>
      </c>
      <c r="C502" s="5"/>
      <c r="D502" s="12"/>
      <c r="E502" s="12">
        <v>30.9</v>
      </c>
      <c r="R502" s="32"/>
      <c r="S502" s="47"/>
    </row>
    <row r="503" spans="2:19" x14ac:dyDescent="0.3">
      <c r="B503" s="5" t="s">
        <v>907</v>
      </c>
      <c r="C503" s="5"/>
      <c r="D503" s="12"/>
      <c r="E503" s="12">
        <v>25.9</v>
      </c>
      <c r="R503" s="32"/>
      <c r="S503" s="47"/>
    </row>
    <row r="504" spans="2:19" x14ac:dyDescent="0.3">
      <c r="B504" s="5" t="s">
        <v>908</v>
      </c>
      <c r="C504" s="5"/>
      <c r="D504" s="12"/>
      <c r="E504" s="12">
        <v>14.9</v>
      </c>
      <c r="R504" s="32"/>
      <c r="S504" s="47"/>
    </row>
    <row r="505" spans="2:19" x14ac:dyDescent="0.3">
      <c r="B505" s="5" t="s">
        <v>909</v>
      </c>
      <c r="C505" s="5"/>
      <c r="D505" s="12"/>
      <c r="E505" s="12">
        <v>13.9</v>
      </c>
      <c r="R505" s="32"/>
      <c r="S505" s="47"/>
    </row>
    <row r="506" spans="2:19" x14ac:dyDescent="0.3">
      <c r="B506" s="5" t="s">
        <v>910</v>
      </c>
      <c r="C506" s="5"/>
      <c r="D506" s="12"/>
      <c r="E506" s="12">
        <v>22.9</v>
      </c>
      <c r="R506" s="32"/>
      <c r="S506" s="47"/>
    </row>
    <row r="507" spans="2:19" x14ac:dyDescent="0.3">
      <c r="B507" s="5" t="s">
        <v>911</v>
      </c>
      <c r="C507" s="5"/>
      <c r="D507" s="12"/>
      <c r="E507" s="12">
        <v>37.9</v>
      </c>
      <c r="R507" s="32"/>
      <c r="S507" s="47"/>
    </row>
    <row r="508" spans="2:19" x14ac:dyDescent="0.3">
      <c r="B508" s="5" t="s">
        <v>912</v>
      </c>
      <c r="C508" s="5"/>
      <c r="D508" s="12"/>
      <c r="E508" s="12">
        <v>27.9</v>
      </c>
      <c r="R508" s="32"/>
      <c r="S508" s="47"/>
    </row>
    <row r="509" spans="2:19" x14ac:dyDescent="0.3">
      <c r="B509" s="5" t="s">
        <v>913</v>
      </c>
      <c r="C509" s="5"/>
      <c r="D509" s="12"/>
      <c r="E509" s="12">
        <v>20.9</v>
      </c>
      <c r="R509" s="32"/>
      <c r="S509" s="47"/>
    </row>
    <row r="510" spans="2:19" x14ac:dyDescent="0.3">
      <c r="B510" s="5" t="s">
        <v>914</v>
      </c>
      <c r="C510" s="5"/>
      <c r="D510" s="12"/>
      <c r="E510" s="12">
        <v>13.9</v>
      </c>
      <c r="R510" s="32"/>
      <c r="S510" s="47"/>
    </row>
    <row r="511" spans="2:19" x14ac:dyDescent="0.3">
      <c r="B511" s="5" t="s">
        <v>915</v>
      </c>
      <c r="C511" s="5"/>
      <c r="D511" s="12"/>
      <c r="E511" s="12">
        <v>20.9</v>
      </c>
      <c r="R511" s="32"/>
      <c r="S511" s="47"/>
    </row>
    <row r="512" spans="2:19" x14ac:dyDescent="0.3">
      <c r="B512" s="5" t="s">
        <v>916</v>
      </c>
      <c r="C512" s="5"/>
      <c r="D512" s="12"/>
      <c r="E512" s="12">
        <v>6.9</v>
      </c>
      <c r="R512" s="32"/>
      <c r="S512" s="47"/>
    </row>
    <row r="513" spans="2:19" x14ac:dyDescent="0.3">
      <c r="B513" s="5" t="s">
        <v>917</v>
      </c>
      <c r="C513" s="5"/>
      <c r="D513" s="12"/>
      <c r="E513" s="12">
        <v>10.9</v>
      </c>
      <c r="R513" s="32"/>
      <c r="S513" s="47"/>
    </row>
    <row r="514" spans="2:19" x14ac:dyDescent="0.3">
      <c r="B514" s="5" t="s">
        <v>918</v>
      </c>
      <c r="C514" s="5"/>
      <c r="D514" s="12"/>
      <c r="E514" s="12">
        <v>12.9</v>
      </c>
      <c r="R514" s="32"/>
      <c r="S514" s="47"/>
    </row>
    <row r="515" spans="2:19" x14ac:dyDescent="0.3">
      <c r="B515" s="5" t="s">
        <v>919</v>
      </c>
      <c r="C515" s="5"/>
      <c r="D515" s="12"/>
      <c r="E515" s="12">
        <v>14.9</v>
      </c>
      <c r="R515" s="32"/>
      <c r="S515" s="47"/>
    </row>
    <row r="516" spans="2:19" x14ac:dyDescent="0.3">
      <c r="B516" s="5" t="s">
        <v>920</v>
      </c>
      <c r="C516" s="5"/>
      <c r="D516" s="12"/>
      <c r="E516" s="12">
        <v>27.9</v>
      </c>
      <c r="R516" s="32"/>
      <c r="S516" s="47"/>
    </row>
    <row r="517" spans="2:19" x14ac:dyDescent="0.3">
      <c r="B517" s="5" t="s">
        <v>921</v>
      </c>
      <c r="C517" s="5"/>
      <c r="D517" s="12"/>
      <c r="E517" s="12">
        <v>21.9</v>
      </c>
      <c r="R517" s="32"/>
      <c r="S517" s="47"/>
    </row>
    <row r="518" spans="2:19" x14ac:dyDescent="0.3">
      <c r="B518" s="5" t="s">
        <v>922</v>
      </c>
      <c r="C518" s="5"/>
      <c r="D518" s="12"/>
      <c r="E518" s="12">
        <v>70.900000000000006</v>
      </c>
      <c r="R518" s="32"/>
      <c r="S518" s="47"/>
    </row>
    <row r="519" spans="2:19" x14ac:dyDescent="0.3">
      <c r="B519" s="5" t="s">
        <v>923</v>
      </c>
      <c r="C519" s="5"/>
      <c r="D519" s="12"/>
      <c r="E519" s="12">
        <v>22.9</v>
      </c>
      <c r="R519" s="32"/>
      <c r="S519" s="47"/>
    </row>
    <row r="520" spans="2:19" x14ac:dyDescent="0.3">
      <c r="B520" s="5" t="s">
        <v>924</v>
      </c>
      <c r="C520" s="5"/>
      <c r="D520" s="12"/>
      <c r="E520" s="12">
        <v>13.9</v>
      </c>
      <c r="R520" s="32"/>
      <c r="S520" s="47"/>
    </row>
    <row r="521" spans="2:19" x14ac:dyDescent="0.3">
      <c r="B521" s="5" t="s">
        <v>925</v>
      </c>
      <c r="C521" s="5"/>
      <c r="D521" s="12"/>
      <c r="E521" s="12">
        <v>29.9</v>
      </c>
      <c r="R521" s="32"/>
      <c r="S521" s="47"/>
    </row>
    <row r="522" spans="2:19" x14ac:dyDescent="0.3">
      <c r="B522" s="5" t="s">
        <v>926</v>
      </c>
      <c r="C522" s="5"/>
      <c r="D522" s="12"/>
      <c r="E522" s="12">
        <v>14.9</v>
      </c>
      <c r="R522" s="32"/>
      <c r="S522" s="47"/>
    </row>
    <row r="523" spans="2:19" x14ac:dyDescent="0.3">
      <c r="B523" s="5" t="s">
        <v>927</v>
      </c>
      <c r="C523" s="5"/>
      <c r="D523" s="12"/>
      <c r="E523" s="12">
        <v>20.9</v>
      </c>
      <c r="R523" s="32"/>
      <c r="S523" s="47"/>
    </row>
    <row r="524" spans="2:19" x14ac:dyDescent="0.3">
      <c r="B524" s="5" t="s">
        <v>928</v>
      </c>
      <c r="C524" s="5"/>
      <c r="D524" s="12"/>
      <c r="E524" s="12">
        <v>19.899999999999999</v>
      </c>
      <c r="R524" s="32"/>
      <c r="S524" s="47"/>
    </row>
    <row r="525" spans="2:19" x14ac:dyDescent="0.3">
      <c r="B525" s="5" t="s">
        <v>929</v>
      </c>
      <c r="C525" s="5"/>
      <c r="D525" s="12"/>
      <c r="E525" s="12">
        <v>15.9</v>
      </c>
      <c r="R525" s="32"/>
      <c r="S525" s="47"/>
    </row>
    <row r="526" spans="2:19" x14ac:dyDescent="0.3">
      <c r="B526" s="5" t="s">
        <v>930</v>
      </c>
      <c r="C526" s="5"/>
      <c r="D526" s="12"/>
      <c r="E526" s="12">
        <v>36.9</v>
      </c>
      <c r="R526" s="32"/>
      <c r="S526" s="47"/>
    </row>
    <row r="527" spans="2:19" x14ac:dyDescent="0.3">
      <c r="B527" s="5" t="s">
        <v>931</v>
      </c>
      <c r="C527" s="5"/>
      <c r="D527" s="12"/>
      <c r="E527" s="12">
        <v>8.9</v>
      </c>
      <c r="R527" s="32"/>
      <c r="S527" s="47"/>
    </row>
    <row r="528" spans="2:19" x14ac:dyDescent="0.3">
      <c r="B528" s="5" t="s">
        <v>932</v>
      </c>
      <c r="C528" s="5"/>
      <c r="D528" s="12"/>
      <c r="E528" s="12">
        <v>23.9</v>
      </c>
      <c r="R528" s="32"/>
      <c r="S528" s="47"/>
    </row>
    <row r="529" spans="2:19" x14ac:dyDescent="0.3">
      <c r="B529" s="5" t="s">
        <v>933</v>
      </c>
      <c r="C529" s="5"/>
      <c r="D529" s="12"/>
      <c r="E529" s="12">
        <v>13.9</v>
      </c>
      <c r="R529" s="32"/>
      <c r="S529" s="47"/>
    </row>
    <row r="530" spans="2:19" x14ac:dyDescent="0.3">
      <c r="B530" s="5" t="s">
        <v>934</v>
      </c>
      <c r="C530" s="5"/>
      <c r="D530" s="12"/>
      <c r="E530" s="12">
        <v>33.9</v>
      </c>
      <c r="R530" s="32"/>
      <c r="S530" s="47"/>
    </row>
    <row r="531" spans="2:19" x14ac:dyDescent="0.3">
      <c r="B531" s="5" t="s">
        <v>935</v>
      </c>
      <c r="C531" s="5"/>
      <c r="D531" s="12"/>
      <c r="E531" s="12">
        <v>36.9</v>
      </c>
      <c r="R531" s="32"/>
      <c r="S531" s="47"/>
    </row>
    <row r="532" spans="2:19" x14ac:dyDescent="0.3">
      <c r="B532" s="5" t="s">
        <v>936</v>
      </c>
      <c r="C532" s="5"/>
      <c r="D532" s="12"/>
      <c r="E532" s="12">
        <v>14.9</v>
      </c>
      <c r="R532" s="32"/>
      <c r="S532" s="47"/>
    </row>
    <row r="533" spans="2:19" x14ac:dyDescent="0.3">
      <c r="B533" s="5" t="s">
        <v>937</v>
      </c>
      <c r="C533" s="5"/>
      <c r="D533" s="12"/>
      <c r="E533" s="12">
        <v>24.9</v>
      </c>
      <c r="R533" s="32"/>
      <c r="S533" s="47"/>
    </row>
    <row r="534" spans="2:19" x14ac:dyDescent="0.3">
      <c r="B534" s="5" t="s">
        <v>938</v>
      </c>
      <c r="C534" s="5"/>
      <c r="D534" s="12"/>
      <c r="E534" s="12">
        <v>16.899999999999999</v>
      </c>
      <c r="R534" s="32"/>
      <c r="S534" s="47"/>
    </row>
    <row r="535" spans="2:19" x14ac:dyDescent="0.3">
      <c r="B535" s="5" t="s">
        <v>939</v>
      </c>
      <c r="C535" s="5"/>
      <c r="D535" s="12"/>
      <c r="E535" s="12">
        <v>12.9</v>
      </c>
      <c r="R535" s="32"/>
      <c r="S535" s="47"/>
    </row>
    <row r="536" spans="2:19" x14ac:dyDescent="0.3">
      <c r="B536" s="5" t="s">
        <v>940</v>
      </c>
      <c r="C536" s="5"/>
      <c r="D536" s="12"/>
      <c r="E536" s="12">
        <v>9.9</v>
      </c>
      <c r="R536" s="32"/>
      <c r="S536" s="47"/>
    </row>
    <row r="537" spans="2:19" x14ac:dyDescent="0.3">
      <c r="B537" s="5" t="s">
        <v>941</v>
      </c>
      <c r="C537" s="5"/>
      <c r="D537" s="12"/>
      <c r="E537" s="12">
        <v>11.9</v>
      </c>
      <c r="R537" s="32"/>
      <c r="S537" s="47"/>
    </row>
    <row r="538" spans="2:19" x14ac:dyDescent="0.3">
      <c r="B538" s="5" t="s">
        <v>942</v>
      </c>
      <c r="C538" s="5"/>
      <c r="D538" s="12"/>
      <c r="E538" s="12">
        <v>7.9</v>
      </c>
      <c r="R538" s="32"/>
      <c r="S538" s="47"/>
    </row>
    <row r="539" spans="2:19" x14ac:dyDescent="0.3">
      <c r="B539" s="5" t="s">
        <v>943</v>
      </c>
      <c r="C539" s="5"/>
      <c r="D539" s="12"/>
      <c r="E539" s="12">
        <v>13.9</v>
      </c>
      <c r="R539" s="32"/>
      <c r="S539" s="47"/>
    </row>
    <row r="540" spans="2:19" x14ac:dyDescent="0.3">
      <c r="B540" s="5" t="s">
        <v>944</v>
      </c>
      <c r="C540" s="5"/>
      <c r="D540" s="12"/>
      <c r="E540" s="12">
        <v>11.9</v>
      </c>
      <c r="R540" s="32"/>
      <c r="S540" s="47"/>
    </row>
    <row r="541" spans="2:19" x14ac:dyDescent="0.3">
      <c r="B541" s="5" t="s">
        <v>945</v>
      </c>
      <c r="C541" s="5"/>
      <c r="D541" s="12"/>
      <c r="E541" s="12">
        <v>11.9</v>
      </c>
      <c r="R541" s="32"/>
      <c r="S541" s="47"/>
    </row>
    <row r="542" spans="2:19" x14ac:dyDescent="0.3">
      <c r="B542" s="5" t="s">
        <v>946</v>
      </c>
      <c r="C542" s="5"/>
      <c r="D542" s="12"/>
      <c r="E542" s="12">
        <v>7.9</v>
      </c>
      <c r="R542" s="32"/>
      <c r="S542" s="47"/>
    </row>
    <row r="543" spans="2:19" x14ac:dyDescent="0.3">
      <c r="B543" s="5" t="s">
        <v>947</v>
      </c>
      <c r="C543" s="5"/>
      <c r="D543" s="12"/>
      <c r="E543" s="12">
        <v>13.9</v>
      </c>
      <c r="R543" s="32"/>
      <c r="S543" s="47"/>
    </row>
    <row r="544" spans="2:19" x14ac:dyDescent="0.3">
      <c r="B544" s="5"/>
      <c r="C544" s="5"/>
      <c r="D544" s="12"/>
      <c r="E544" s="12"/>
    </row>
    <row r="545" spans="2:5" x14ac:dyDescent="0.3">
      <c r="B545" s="5"/>
      <c r="C545" s="5"/>
      <c r="D545" s="12"/>
      <c r="E545" s="12"/>
    </row>
    <row r="546" spans="2:5" x14ac:dyDescent="0.3">
      <c r="B546" s="5"/>
      <c r="C546" s="5"/>
      <c r="D546" s="12"/>
      <c r="E546" s="12"/>
    </row>
    <row r="547" spans="2:5" x14ac:dyDescent="0.3">
      <c r="B547" s="5"/>
      <c r="C547" s="5"/>
      <c r="D547" s="12"/>
      <c r="E547" s="12"/>
    </row>
    <row r="548" spans="2:5" x14ac:dyDescent="0.3">
      <c r="B548" s="5"/>
      <c r="C548" s="5"/>
      <c r="D548" s="12"/>
      <c r="E548" s="12"/>
    </row>
    <row r="549" spans="2:5" x14ac:dyDescent="0.3">
      <c r="B549" s="5"/>
      <c r="C549" s="5"/>
      <c r="D549" s="12"/>
      <c r="E549" s="12"/>
    </row>
    <row r="550" spans="2:5" x14ac:dyDescent="0.3">
      <c r="B550" s="5"/>
      <c r="C550" s="5"/>
      <c r="D550" s="12"/>
      <c r="E550" s="12"/>
    </row>
    <row r="551" spans="2:5" x14ac:dyDescent="0.3">
      <c r="B551" s="5"/>
      <c r="C551" s="5"/>
      <c r="D551" s="12"/>
      <c r="E551" s="12"/>
    </row>
    <row r="552" spans="2:5" x14ac:dyDescent="0.3">
      <c r="B552" s="5"/>
      <c r="C552" s="5"/>
      <c r="D552" s="12"/>
      <c r="E552" s="12"/>
    </row>
    <row r="553" spans="2:5" x14ac:dyDescent="0.3">
      <c r="B553" s="5"/>
      <c r="C553" s="5"/>
      <c r="D553" s="12"/>
      <c r="E553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35E7-612D-4711-B0B5-5ECD096D353D}">
  <dimension ref="A1:Q730"/>
  <sheetViews>
    <sheetView tabSelected="1" zoomScale="85" zoomScaleNormal="85" workbookViewId="0">
      <selection activeCell="J9" sqref="J9"/>
    </sheetView>
  </sheetViews>
  <sheetFormatPr defaultRowHeight="15.6" x14ac:dyDescent="0.3"/>
  <cols>
    <col min="1" max="1" width="14.44140625" style="4" bestFit="1" customWidth="1"/>
    <col min="2" max="2" width="23.77734375" style="4" bestFit="1" customWidth="1"/>
    <col min="3" max="3" width="44.33203125" style="4" bestFit="1" customWidth="1"/>
    <col min="4" max="4" width="9.77734375" style="4" bestFit="1" customWidth="1"/>
    <col min="5" max="5" width="11.33203125" style="4" customWidth="1"/>
    <col min="6" max="7" width="8.77734375" style="4" customWidth="1"/>
    <col min="8" max="8" width="8.88671875" style="61"/>
    <col min="9" max="9" width="11.44140625" style="4" customWidth="1"/>
    <col min="10" max="10" width="13.44140625" style="4" customWidth="1"/>
    <col min="11" max="11" width="9.109375" style="4"/>
    <col min="12" max="15" width="13.88671875" customWidth="1"/>
    <col min="16" max="16" width="5.5546875" customWidth="1"/>
    <col min="17" max="17" width="13.88671875" customWidth="1"/>
  </cols>
  <sheetData>
    <row r="1" spans="1:17" ht="83.4" customHeight="1" thickBot="1" x14ac:dyDescent="0.35">
      <c r="A1" s="108" t="s">
        <v>1886</v>
      </c>
      <c r="B1" s="108"/>
      <c r="C1" s="108"/>
      <c r="D1" s="108"/>
      <c r="E1" s="108"/>
      <c r="F1" s="108"/>
      <c r="G1" s="108"/>
      <c r="H1" s="108"/>
      <c r="I1" s="108"/>
      <c r="J1" s="107">
        <v>46055</v>
      </c>
      <c r="L1" s="76" t="s">
        <v>1896</v>
      </c>
      <c r="M1" s="109" t="s">
        <v>1897</v>
      </c>
      <c r="N1" s="77" t="s">
        <v>1893</v>
      </c>
      <c r="O1" s="78" t="s">
        <v>1898</v>
      </c>
      <c r="Q1" s="79" t="str">
        <f>IFERROR(IF(SUM(Q3:Q279)=0, "-", J2+O2), "-")</f>
        <v>-</v>
      </c>
    </row>
    <row r="2" spans="1:17" ht="27" customHeight="1" thickBot="1" x14ac:dyDescent="0.35">
      <c r="A2" s="94" t="s">
        <v>1883</v>
      </c>
      <c r="B2" s="95" t="s">
        <v>6</v>
      </c>
      <c r="C2" s="96" t="s">
        <v>7</v>
      </c>
      <c r="D2" s="97" t="s">
        <v>1894</v>
      </c>
      <c r="E2" s="98" t="s">
        <v>1893</v>
      </c>
      <c r="F2" s="105" t="s">
        <v>1887</v>
      </c>
      <c r="G2" s="99" t="s">
        <v>1900</v>
      </c>
      <c r="H2" s="100" t="s">
        <v>1884</v>
      </c>
      <c r="I2" s="104" t="s">
        <v>1885</v>
      </c>
      <c r="J2" s="53">
        <f>SUM(I3:I31)</f>
        <v>0</v>
      </c>
      <c r="K2" s="52"/>
      <c r="L2" s="80"/>
      <c r="M2" s="110"/>
      <c r="N2" s="81" t="str">
        <f>IF(SUM(N3:N279)=0, "-", SUM(N3:N279))</f>
        <v>-</v>
      </c>
      <c r="O2" s="81" t="str">
        <f>IF(SUM(O3:O279)=0, "-", SUM(O3:O279))</f>
        <v>-</v>
      </c>
      <c r="P2" s="82"/>
      <c r="Q2" s="83" t="s">
        <v>1899</v>
      </c>
    </row>
    <row r="3" spans="1:17" ht="14.4" x14ac:dyDescent="0.3">
      <c r="A3" s="89">
        <v>895749000752</v>
      </c>
      <c r="B3" s="90" t="s">
        <v>990</v>
      </c>
      <c r="C3" s="91" t="s">
        <v>991</v>
      </c>
      <c r="D3" s="72">
        <v>12</v>
      </c>
      <c r="E3" s="101">
        <v>0.15148170788519999</v>
      </c>
      <c r="F3" s="92">
        <v>16</v>
      </c>
      <c r="G3" s="87" t="s">
        <v>1901</v>
      </c>
      <c r="H3" s="60"/>
      <c r="I3" s="93">
        <f t="shared" ref="I3:I31" si="0">H3*F3</f>
        <v>0</v>
      </c>
      <c r="J3"/>
      <c r="K3"/>
      <c r="L3" s="84" t="str">
        <f t="shared" ref="L3:L23" si="1">IFERROR(IF($L$2*E3=0, "-", $L$2*E3), "-")</f>
        <v>-</v>
      </c>
      <c r="M3" s="84" t="str">
        <f t="shared" ref="M3:M23" si="2">IF(H3&gt;0,F3+E3*H3/$N$2*$O$2/H3,"-")</f>
        <v>-</v>
      </c>
      <c r="N3" s="85" t="str">
        <f t="shared" ref="N3:N23" si="3">IF(H3&gt;0,H3*E3, "-")</f>
        <v>-</v>
      </c>
      <c r="O3" s="86" t="str">
        <f>IFERROR(IF($L$2&gt;0, $L$2*N3, "-"), "-")</f>
        <v>-</v>
      </c>
      <c r="Q3" s="86" t="str">
        <f>IFERROR(IF(O3+I3=0, "-", IF(O3&gt;0, O3+I3, "-")), "-")</f>
        <v>-</v>
      </c>
    </row>
    <row r="4" spans="1:17" ht="14.4" x14ac:dyDescent="0.3">
      <c r="A4" s="54">
        <v>896593002275</v>
      </c>
      <c r="B4" s="55" t="s">
        <v>974</v>
      </c>
      <c r="C4" s="67" t="s">
        <v>975</v>
      </c>
      <c r="D4" s="72">
        <v>12</v>
      </c>
      <c r="E4" s="102">
        <v>0.15779344571375001</v>
      </c>
      <c r="F4" s="70">
        <v>20</v>
      </c>
      <c r="G4" s="87" t="s">
        <v>1902</v>
      </c>
      <c r="H4" s="60"/>
      <c r="I4" s="56">
        <f t="shared" si="0"/>
        <v>0</v>
      </c>
      <c r="J4"/>
      <c r="K4"/>
      <c r="L4" s="84" t="str">
        <f t="shared" si="1"/>
        <v>-</v>
      </c>
      <c r="M4" s="84" t="str">
        <f t="shared" si="2"/>
        <v>-</v>
      </c>
      <c r="N4" s="85" t="str">
        <f t="shared" si="3"/>
        <v>-</v>
      </c>
      <c r="O4" s="86" t="str">
        <f t="shared" ref="O4:O23" si="4">IFERROR(IF($L$2&gt;0, $L$2*N4, "-"), "-")</f>
        <v>-</v>
      </c>
      <c r="Q4" s="86" t="str">
        <f t="shared" ref="Q4:Q23" si="5">IFERROR(IF(O4+I4=0, "-", IF(O4&gt;0, O4+I4, "-")), "-")</f>
        <v>-</v>
      </c>
    </row>
    <row r="5" spans="1:17" ht="14.4" x14ac:dyDescent="0.3">
      <c r="A5" s="54">
        <v>850036124139</v>
      </c>
      <c r="B5" s="55" t="s">
        <v>976</v>
      </c>
      <c r="C5" s="67" t="s">
        <v>977</v>
      </c>
      <c r="D5" s="72">
        <v>12</v>
      </c>
      <c r="E5" s="102">
        <v>0.28402820228474995</v>
      </c>
      <c r="F5" s="70">
        <v>36</v>
      </c>
      <c r="G5" s="87" t="s">
        <v>1902</v>
      </c>
      <c r="H5" s="60"/>
      <c r="I5" s="56">
        <f t="shared" si="0"/>
        <v>0</v>
      </c>
      <c r="J5"/>
      <c r="K5"/>
      <c r="L5" s="84" t="str">
        <f t="shared" si="1"/>
        <v>-</v>
      </c>
      <c r="M5" s="84" t="str">
        <f t="shared" si="2"/>
        <v>-</v>
      </c>
      <c r="N5" s="85" t="str">
        <f t="shared" si="3"/>
        <v>-</v>
      </c>
      <c r="O5" s="86" t="str">
        <f t="shared" si="4"/>
        <v>-</v>
      </c>
      <c r="Q5" s="86" t="str">
        <f t="shared" si="5"/>
        <v>-</v>
      </c>
    </row>
    <row r="6" spans="1:17" ht="14.4" x14ac:dyDescent="0.3">
      <c r="A6" s="54">
        <v>850036124078</v>
      </c>
      <c r="B6" s="55" t="s">
        <v>992</v>
      </c>
      <c r="C6" s="67" t="s">
        <v>993</v>
      </c>
      <c r="D6" s="72">
        <v>12</v>
      </c>
      <c r="E6" s="102">
        <v>0.28087233337047501</v>
      </c>
      <c r="F6" s="70">
        <v>28.8</v>
      </c>
      <c r="G6" s="87" t="s">
        <v>1902</v>
      </c>
      <c r="H6" s="60"/>
      <c r="I6" s="56">
        <f t="shared" si="0"/>
        <v>0</v>
      </c>
      <c r="J6"/>
      <c r="K6"/>
      <c r="L6" s="84" t="str">
        <f t="shared" si="1"/>
        <v>-</v>
      </c>
      <c r="M6" s="84" t="str">
        <f t="shared" si="2"/>
        <v>-</v>
      </c>
      <c r="N6" s="85" t="str">
        <f t="shared" si="3"/>
        <v>-</v>
      </c>
      <c r="O6" s="86" t="str">
        <f t="shared" si="4"/>
        <v>-</v>
      </c>
      <c r="Q6" s="86" t="str">
        <f t="shared" si="5"/>
        <v>-</v>
      </c>
    </row>
    <row r="7" spans="1:17" ht="14.4" x14ac:dyDescent="0.3">
      <c r="A7" s="54">
        <v>895749000103</v>
      </c>
      <c r="B7" s="55" t="s">
        <v>978</v>
      </c>
      <c r="C7" s="67" t="s">
        <v>979</v>
      </c>
      <c r="D7" s="72">
        <v>12</v>
      </c>
      <c r="E7" s="102">
        <v>9.4676067428250008E-2</v>
      </c>
      <c r="F7" s="70">
        <v>21.6</v>
      </c>
      <c r="G7" s="87" t="s">
        <v>1903</v>
      </c>
      <c r="H7" s="60"/>
      <c r="I7" s="56">
        <f t="shared" si="0"/>
        <v>0</v>
      </c>
      <c r="J7"/>
      <c r="K7"/>
      <c r="L7" s="84" t="str">
        <f t="shared" si="1"/>
        <v>-</v>
      </c>
      <c r="M7" s="84" t="str">
        <f t="shared" si="2"/>
        <v>-</v>
      </c>
      <c r="N7" s="85" t="str">
        <f t="shared" si="3"/>
        <v>-</v>
      </c>
      <c r="O7" s="86" t="str">
        <f t="shared" si="4"/>
        <v>-</v>
      </c>
      <c r="Q7" s="86" t="str">
        <f t="shared" si="5"/>
        <v>-</v>
      </c>
    </row>
    <row r="8" spans="1:17" ht="14.4" x14ac:dyDescent="0.3">
      <c r="A8" s="54">
        <v>896593002251</v>
      </c>
      <c r="B8" s="55" t="s">
        <v>980</v>
      </c>
      <c r="C8" s="67" t="s">
        <v>981</v>
      </c>
      <c r="D8" s="72">
        <v>12</v>
      </c>
      <c r="E8" s="102">
        <v>0.116767149828175</v>
      </c>
      <c r="F8" s="70">
        <v>22.400000000000002</v>
      </c>
      <c r="G8" s="87" t="s">
        <v>1903</v>
      </c>
      <c r="H8" s="60"/>
      <c r="I8" s="56">
        <f t="shared" si="0"/>
        <v>0</v>
      </c>
      <c r="J8"/>
      <c r="K8"/>
      <c r="L8" s="84" t="str">
        <f t="shared" si="1"/>
        <v>-</v>
      </c>
      <c r="M8" s="84" t="str">
        <f t="shared" si="2"/>
        <v>-</v>
      </c>
      <c r="N8" s="85" t="str">
        <f t="shared" si="3"/>
        <v>-</v>
      </c>
      <c r="O8" s="86" t="str">
        <f t="shared" si="4"/>
        <v>-</v>
      </c>
      <c r="Q8" s="86" t="str">
        <f t="shared" si="5"/>
        <v>-</v>
      </c>
    </row>
    <row r="9" spans="1:17" ht="14.4" x14ac:dyDescent="0.3">
      <c r="A9" s="54">
        <v>895749000189</v>
      </c>
      <c r="B9" s="55" t="s">
        <v>984</v>
      </c>
      <c r="C9" s="67" t="s">
        <v>985</v>
      </c>
      <c r="D9" s="72">
        <v>12</v>
      </c>
      <c r="E9" s="102">
        <v>9.1520198513975012E-2</v>
      </c>
      <c r="F9" s="70">
        <v>21.6</v>
      </c>
      <c r="G9" s="87" t="s">
        <v>1903</v>
      </c>
      <c r="H9" s="60"/>
      <c r="I9" s="56">
        <f t="shared" si="0"/>
        <v>0</v>
      </c>
      <c r="J9"/>
      <c r="K9"/>
      <c r="L9" s="84" t="str">
        <f t="shared" si="1"/>
        <v>-</v>
      </c>
      <c r="M9" s="84" t="str">
        <f t="shared" si="2"/>
        <v>-</v>
      </c>
      <c r="N9" s="85" t="str">
        <f t="shared" si="3"/>
        <v>-</v>
      </c>
      <c r="O9" s="86" t="str">
        <f t="shared" si="4"/>
        <v>-</v>
      </c>
      <c r="Q9" s="86" t="str">
        <f t="shared" si="5"/>
        <v>-</v>
      </c>
    </row>
    <row r="10" spans="1:17" ht="14.4" x14ac:dyDescent="0.3">
      <c r="A10" s="54">
        <v>895749000172</v>
      </c>
      <c r="B10" s="55" t="s">
        <v>988</v>
      </c>
      <c r="C10" s="67" t="s">
        <v>989</v>
      </c>
      <c r="D10" s="72">
        <v>12</v>
      </c>
      <c r="E10" s="102">
        <v>9.1520198513975012E-2</v>
      </c>
      <c r="F10" s="70">
        <v>21.6</v>
      </c>
      <c r="G10" s="87" t="s">
        <v>1903</v>
      </c>
      <c r="H10" s="60"/>
      <c r="I10" s="56">
        <f t="shared" si="0"/>
        <v>0</v>
      </c>
      <c r="J10"/>
      <c r="K10"/>
      <c r="L10" s="84" t="str">
        <f t="shared" si="1"/>
        <v>-</v>
      </c>
      <c r="M10" s="84" t="str">
        <f t="shared" si="2"/>
        <v>-</v>
      </c>
      <c r="N10" s="85" t="str">
        <f t="shared" si="3"/>
        <v>-</v>
      </c>
      <c r="O10" s="86" t="str">
        <f t="shared" si="4"/>
        <v>-</v>
      </c>
      <c r="Q10" s="86" t="str">
        <f t="shared" si="5"/>
        <v>-</v>
      </c>
    </row>
    <row r="11" spans="1:17" ht="14.4" x14ac:dyDescent="0.3">
      <c r="A11" s="54">
        <v>895749000110</v>
      </c>
      <c r="B11" s="55" t="s">
        <v>1002</v>
      </c>
      <c r="C11" s="67" t="s">
        <v>1003</v>
      </c>
      <c r="D11" s="72">
        <v>12</v>
      </c>
      <c r="E11" s="102">
        <v>0.10414367417107499</v>
      </c>
      <c r="F11" s="70">
        <v>17.600000000000001</v>
      </c>
      <c r="G11" s="87" t="s">
        <v>1903</v>
      </c>
      <c r="H11" s="60"/>
      <c r="I11" s="56">
        <f t="shared" si="0"/>
        <v>0</v>
      </c>
      <c r="J11"/>
      <c r="K11"/>
      <c r="L11" s="84" t="str">
        <f t="shared" si="1"/>
        <v>-</v>
      </c>
      <c r="M11" s="84" t="str">
        <f t="shared" si="2"/>
        <v>-</v>
      </c>
      <c r="N11" s="85" t="str">
        <f t="shared" si="3"/>
        <v>-</v>
      </c>
      <c r="O11" s="86" t="str">
        <f t="shared" si="4"/>
        <v>-</v>
      </c>
      <c r="Q11" s="86" t="str">
        <f t="shared" si="5"/>
        <v>-</v>
      </c>
    </row>
    <row r="12" spans="1:17" ht="14.4" x14ac:dyDescent="0.3">
      <c r="A12" s="54">
        <v>895749000158</v>
      </c>
      <c r="B12" s="55" t="s">
        <v>1009</v>
      </c>
      <c r="C12" s="67" t="s">
        <v>1010</v>
      </c>
      <c r="D12" s="72">
        <v>12</v>
      </c>
      <c r="E12" s="102">
        <v>0.10414367417107499</v>
      </c>
      <c r="F12" s="70">
        <v>14.4</v>
      </c>
      <c r="G12" s="87" t="s">
        <v>1903</v>
      </c>
      <c r="H12" s="60"/>
      <c r="I12" s="56">
        <f t="shared" si="0"/>
        <v>0</v>
      </c>
      <c r="J12"/>
      <c r="K12"/>
      <c r="L12" s="84" t="str">
        <f t="shared" si="1"/>
        <v>-</v>
      </c>
      <c r="M12" s="84" t="str">
        <f t="shared" si="2"/>
        <v>-</v>
      </c>
      <c r="N12" s="85" t="str">
        <f t="shared" si="3"/>
        <v>-</v>
      </c>
      <c r="O12" s="86" t="str">
        <f t="shared" si="4"/>
        <v>-</v>
      </c>
      <c r="Q12" s="86" t="str">
        <f t="shared" si="5"/>
        <v>-</v>
      </c>
    </row>
    <row r="13" spans="1:17" ht="14.4" x14ac:dyDescent="0.3">
      <c r="A13" s="54">
        <v>850036124290</v>
      </c>
      <c r="B13" s="55" t="s">
        <v>1895</v>
      </c>
      <c r="C13" s="67" t="s">
        <v>1039</v>
      </c>
      <c r="D13" s="72">
        <v>12</v>
      </c>
      <c r="E13" s="102">
        <v>8.9055999999999996E-2</v>
      </c>
      <c r="F13" s="70">
        <v>28</v>
      </c>
      <c r="G13" s="87" t="s">
        <v>1903</v>
      </c>
      <c r="H13" s="60"/>
      <c r="I13" s="56">
        <f t="shared" si="0"/>
        <v>0</v>
      </c>
      <c r="J13"/>
      <c r="K13"/>
      <c r="L13" s="84" t="str">
        <f t="shared" si="1"/>
        <v>-</v>
      </c>
      <c r="M13" s="84" t="str">
        <f t="shared" si="2"/>
        <v>-</v>
      </c>
      <c r="N13" s="85" t="str">
        <f t="shared" si="3"/>
        <v>-</v>
      </c>
      <c r="O13" s="86" t="str">
        <f t="shared" si="4"/>
        <v>-</v>
      </c>
      <c r="Q13" s="86" t="str">
        <f t="shared" si="5"/>
        <v>-</v>
      </c>
    </row>
    <row r="14" spans="1:17" ht="14.4" x14ac:dyDescent="0.3">
      <c r="A14" s="54">
        <v>850036124115</v>
      </c>
      <c r="B14" s="55" t="s">
        <v>1044</v>
      </c>
      <c r="C14" s="67" t="s">
        <v>1045</v>
      </c>
      <c r="D14" s="72">
        <v>12</v>
      </c>
      <c r="E14" s="102">
        <v>9.1520198513975012E-2</v>
      </c>
      <c r="F14" s="70">
        <v>28</v>
      </c>
      <c r="G14" s="87" t="s">
        <v>1903</v>
      </c>
      <c r="H14" s="60"/>
      <c r="I14" s="56">
        <f t="shared" si="0"/>
        <v>0</v>
      </c>
      <c r="J14"/>
      <c r="K14"/>
      <c r="L14" s="84" t="str">
        <f t="shared" si="1"/>
        <v>-</v>
      </c>
      <c r="M14" s="84" t="str">
        <f t="shared" si="2"/>
        <v>-</v>
      </c>
      <c r="N14" s="85" t="str">
        <f t="shared" si="3"/>
        <v>-</v>
      </c>
      <c r="O14" s="86" t="str">
        <f t="shared" si="4"/>
        <v>-</v>
      </c>
      <c r="Q14" s="86" t="str">
        <f t="shared" si="5"/>
        <v>-</v>
      </c>
    </row>
    <row r="15" spans="1:17" ht="14.4" x14ac:dyDescent="0.3">
      <c r="A15" s="54">
        <v>896593002497</v>
      </c>
      <c r="B15" s="55" t="s">
        <v>994</v>
      </c>
      <c r="C15" s="67" t="s">
        <v>995</v>
      </c>
      <c r="D15" s="72">
        <v>12</v>
      </c>
      <c r="E15" s="102">
        <v>0.16410518354230003</v>
      </c>
      <c r="F15" s="70">
        <v>17.600000000000001</v>
      </c>
      <c r="G15" s="87" t="s">
        <v>1903</v>
      </c>
      <c r="H15" s="60"/>
      <c r="I15" s="56">
        <f t="shared" si="0"/>
        <v>0</v>
      </c>
      <c r="J15"/>
      <c r="K15"/>
      <c r="L15" s="84" t="str">
        <f t="shared" si="1"/>
        <v>-</v>
      </c>
      <c r="M15" s="84" t="str">
        <f t="shared" si="2"/>
        <v>-</v>
      </c>
      <c r="N15" s="85" t="str">
        <f t="shared" si="3"/>
        <v>-</v>
      </c>
      <c r="O15" s="86" t="str">
        <f t="shared" si="4"/>
        <v>-</v>
      </c>
      <c r="Q15" s="86" t="str">
        <f t="shared" si="5"/>
        <v>-</v>
      </c>
    </row>
    <row r="16" spans="1:17" ht="14.4" x14ac:dyDescent="0.3">
      <c r="A16" s="54">
        <v>895749000899</v>
      </c>
      <c r="B16" s="55" t="s">
        <v>996</v>
      </c>
      <c r="C16" s="67" t="s">
        <v>997</v>
      </c>
      <c r="D16" s="72">
        <v>12</v>
      </c>
      <c r="E16" s="102">
        <v>5.9961509371224998E-2</v>
      </c>
      <c r="F16" s="70">
        <v>16.8</v>
      </c>
      <c r="G16" s="87" t="s">
        <v>1903</v>
      </c>
      <c r="H16" s="60"/>
      <c r="I16" s="56">
        <f t="shared" si="0"/>
        <v>0</v>
      </c>
      <c r="J16"/>
      <c r="K16"/>
      <c r="L16" s="84" t="str">
        <f t="shared" si="1"/>
        <v>-</v>
      </c>
      <c r="M16" s="84" t="str">
        <f t="shared" si="2"/>
        <v>-</v>
      </c>
      <c r="N16" s="85" t="str">
        <f t="shared" si="3"/>
        <v>-</v>
      </c>
      <c r="O16" s="86" t="str">
        <f t="shared" si="4"/>
        <v>-</v>
      </c>
      <c r="Q16" s="86" t="str">
        <f t="shared" si="5"/>
        <v>-</v>
      </c>
    </row>
    <row r="17" spans="1:17" ht="14.4" x14ac:dyDescent="0.3">
      <c r="A17" s="54">
        <v>895749000066</v>
      </c>
      <c r="B17" s="55" t="s">
        <v>998</v>
      </c>
      <c r="C17" s="67" t="s">
        <v>999</v>
      </c>
      <c r="D17" s="72">
        <v>12</v>
      </c>
      <c r="E17" s="102">
        <v>0.10729954308535</v>
      </c>
      <c r="F17" s="70">
        <v>17.600000000000001</v>
      </c>
      <c r="G17" s="87" t="s">
        <v>1903</v>
      </c>
      <c r="H17" s="60"/>
      <c r="I17" s="56">
        <f t="shared" si="0"/>
        <v>0</v>
      </c>
      <c r="J17"/>
      <c r="K17"/>
      <c r="L17" s="84" t="str">
        <f t="shared" si="1"/>
        <v>-</v>
      </c>
      <c r="M17" s="84" t="str">
        <f t="shared" si="2"/>
        <v>-</v>
      </c>
      <c r="N17" s="85" t="str">
        <f t="shared" si="3"/>
        <v>-</v>
      </c>
      <c r="O17" s="86" t="str">
        <f t="shared" si="4"/>
        <v>-</v>
      </c>
      <c r="Q17" s="86" t="str">
        <f t="shared" si="5"/>
        <v>-</v>
      </c>
    </row>
    <row r="18" spans="1:17" ht="14.4" x14ac:dyDescent="0.3">
      <c r="A18" s="54">
        <v>896593002480</v>
      </c>
      <c r="B18" s="55" t="s">
        <v>1005</v>
      </c>
      <c r="C18" s="67" t="s">
        <v>1006</v>
      </c>
      <c r="D18" s="72">
        <v>12</v>
      </c>
      <c r="E18" s="102">
        <v>7.5740853942599995E-2</v>
      </c>
      <c r="F18" s="70">
        <v>16</v>
      </c>
      <c r="G18" s="87" t="s">
        <v>1903</v>
      </c>
      <c r="H18" s="60"/>
      <c r="I18" s="56">
        <f t="shared" si="0"/>
        <v>0</v>
      </c>
      <c r="J18"/>
      <c r="K18"/>
      <c r="L18" s="84" t="str">
        <f t="shared" si="1"/>
        <v>-</v>
      </c>
      <c r="M18" s="84" t="str">
        <f t="shared" si="2"/>
        <v>-</v>
      </c>
      <c r="N18" s="85" t="str">
        <f t="shared" si="3"/>
        <v>-</v>
      </c>
      <c r="O18" s="86" t="str">
        <f t="shared" si="4"/>
        <v>-</v>
      </c>
      <c r="Q18" s="86" t="str">
        <f t="shared" si="5"/>
        <v>-</v>
      </c>
    </row>
    <row r="19" spans="1:17" ht="14.4" x14ac:dyDescent="0.3">
      <c r="A19" s="54">
        <v>896593002244</v>
      </c>
      <c r="B19" s="55" t="s">
        <v>1007</v>
      </c>
      <c r="C19" s="67" t="s">
        <v>1008</v>
      </c>
      <c r="D19" s="72">
        <v>12</v>
      </c>
      <c r="E19" s="102">
        <v>5.0493902628400013E-2</v>
      </c>
      <c r="F19" s="70">
        <v>16</v>
      </c>
      <c r="G19" s="87" t="s">
        <v>1903</v>
      </c>
      <c r="H19" s="60"/>
      <c r="I19" s="56">
        <f t="shared" si="0"/>
        <v>0</v>
      </c>
      <c r="J19"/>
      <c r="K19"/>
      <c r="L19" s="84" t="str">
        <f t="shared" si="1"/>
        <v>-</v>
      </c>
      <c r="M19" s="84" t="str">
        <f t="shared" si="2"/>
        <v>-</v>
      </c>
      <c r="N19" s="85" t="str">
        <f t="shared" si="3"/>
        <v>-</v>
      </c>
      <c r="O19" s="86" t="str">
        <f t="shared" si="4"/>
        <v>-</v>
      </c>
      <c r="Q19" s="86" t="str">
        <f t="shared" si="5"/>
        <v>-</v>
      </c>
    </row>
    <row r="20" spans="1:17" ht="14.4" x14ac:dyDescent="0.3">
      <c r="A20" s="54">
        <v>850036124108</v>
      </c>
      <c r="B20" s="55" t="s">
        <v>1040</v>
      </c>
      <c r="C20" s="67" t="s">
        <v>1041</v>
      </c>
      <c r="D20" s="72">
        <v>12</v>
      </c>
      <c r="E20" s="102">
        <v>3.4714558057025002E-2</v>
      </c>
      <c r="F20" s="70">
        <v>28</v>
      </c>
      <c r="G20" s="87" t="s">
        <v>1903</v>
      </c>
      <c r="H20" s="60"/>
      <c r="I20" s="56">
        <f t="shared" si="0"/>
        <v>0</v>
      </c>
      <c r="J20"/>
      <c r="K20"/>
      <c r="L20" s="84" t="str">
        <f t="shared" si="1"/>
        <v>-</v>
      </c>
      <c r="M20" s="84" t="str">
        <f t="shared" si="2"/>
        <v>-</v>
      </c>
      <c r="N20" s="85" t="str">
        <f t="shared" si="3"/>
        <v>-</v>
      </c>
      <c r="O20" s="86" t="str">
        <f t="shared" si="4"/>
        <v>-</v>
      </c>
      <c r="Q20" s="86" t="str">
        <f t="shared" si="5"/>
        <v>-</v>
      </c>
    </row>
    <row r="21" spans="1:17" ht="14.4" x14ac:dyDescent="0.3">
      <c r="A21" s="54">
        <v>850036124122</v>
      </c>
      <c r="B21" s="55" t="s">
        <v>1042</v>
      </c>
      <c r="C21" s="67" t="s">
        <v>1043</v>
      </c>
      <c r="D21" s="72">
        <v>12</v>
      </c>
      <c r="E21" s="102">
        <v>4.4182164799849995E-2</v>
      </c>
      <c r="F21" s="70">
        <v>24</v>
      </c>
      <c r="G21" s="87" t="s">
        <v>1903</v>
      </c>
      <c r="H21" s="60"/>
      <c r="I21" s="56">
        <f t="shared" si="0"/>
        <v>0</v>
      </c>
      <c r="J21"/>
      <c r="K21"/>
      <c r="L21" s="84" t="str">
        <f t="shared" si="1"/>
        <v>-</v>
      </c>
      <c r="M21" s="84" t="str">
        <f t="shared" si="2"/>
        <v>-</v>
      </c>
      <c r="N21" s="85" t="str">
        <f t="shared" si="3"/>
        <v>-</v>
      </c>
      <c r="O21" s="86" t="str">
        <f t="shared" si="4"/>
        <v>-</v>
      </c>
      <c r="Q21" s="86" t="str">
        <f t="shared" si="5"/>
        <v>-</v>
      </c>
    </row>
    <row r="22" spans="1:17" ht="14.4" x14ac:dyDescent="0.3">
      <c r="A22" s="54">
        <v>850036124092</v>
      </c>
      <c r="B22" s="55" t="s">
        <v>1046</v>
      </c>
      <c r="C22" s="67" t="s">
        <v>1047</v>
      </c>
      <c r="D22" s="72">
        <v>12</v>
      </c>
      <c r="E22" s="102">
        <v>6.31173782855E-2</v>
      </c>
      <c r="F22" s="70">
        <v>25.6</v>
      </c>
      <c r="G22" s="87" t="s">
        <v>1903</v>
      </c>
      <c r="H22" s="60"/>
      <c r="I22" s="56">
        <f t="shared" si="0"/>
        <v>0</v>
      </c>
      <c r="J22"/>
      <c r="K22"/>
      <c r="L22" s="84" t="str">
        <f t="shared" si="1"/>
        <v>-</v>
      </c>
      <c r="M22" s="84" t="str">
        <f t="shared" si="2"/>
        <v>-</v>
      </c>
      <c r="N22" s="85" t="str">
        <f t="shared" si="3"/>
        <v>-</v>
      </c>
      <c r="O22" s="86" t="str">
        <f t="shared" si="4"/>
        <v>-</v>
      </c>
      <c r="Q22" s="86" t="str">
        <f t="shared" si="5"/>
        <v>-</v>
      </c>
    </row>
    <row r="23" spans="1:17" ht="14.4" x14ac:dyDescent="0.3">
      <c r="A23" s="54">
        <v>850036124085</v>
      </c>
      <c r="B23" s="55" t="s">
        <v>1048</v>
      </c>
      <c r="C23" s="67" t="s">
        <v>1049</v>
      </c>
      <c r="D23" s="72">
        <v>12</v>
      </c>
      <c r="E23" s="102">
        <v>5.3649771542675001E-2</v>
      </c>
      <c r="F23" s="70">
        <v>17.600000000000001</v>
      </c>
      <c r="G23" s="87" t="s">
        <v>1903</v>
      </c>
      <c r="H23" s="60"/>
      <c r="I23" s="56">
        <f t="shared" si="0"/>
        <v>0</v>
      </c>
      <c r="J23"/>
      <c r="K23"/>
      <c r="L23" s="84" t="str">
        <f t="shared" si="1"/>
        <v>-</v>
      </c>
      <c r="M23" s="84" t="str">
        <f t="shared" si="2"/>
        <v>-</v>
      </c>
      <c r="N23" s="85" t="str">
        <f t="shared" si="3"/>
        <v>-</v>
      </c>
      <c r="O23" s="86" t="str">
        <f t="shared" si="4"/>
        <v>-</v>
      </c>
      <c r="Q23" s="86" t="str">
        <f t="shared" si="5"/>
        <v>-</v>
      </c>
    </row>
    <row r="24" spans="1:17" ht="14.4" x14ac:dyDescent="0.3">
      <c r="A24" s="54">
        <v>850036124009</v>
      </c>
      <c r="B24" s="55" t="s">
        <v>957</v>
      </c>
      <c r="C24" s="67" t="s">
        <v>1906</v>
      </c>
      <c r="D24" s="72">
        <v>12</v>
      </c>
      <c r="E24" s="102">
        <v>0.57436814239805001</v>
      </c>
      <c r="F24" s="70">
        <v>65.600000000000009</v>
      </c>
      <c r="G24" s="87" t="s">
        <v>1903</v>
      </c>
      <c r="H24" s="60"/>
      <c r="I24" s="56">
        <f t="shared" si="0"/>
        <v>0</v>
      </c>
      <c r="J24"/>
      <c r="K24"/>
      <c r="L24" s="84" t="str">
        <f t="shared" ref="L24:L31" si="6">IFERROR(IF($L$2*E24=0, "-", $L$2*E24), "-")</f>
        <v>-</v>
      </c>
      <c r="M24" s="84" t="str">
        <f t="shared" ref="M24:M31" si="7">IF(H24&gt;0,F24+E24*H24/$N$2*$O$2/H24,"-")</f>
        <v>-</v>
      </c>
      <c r="N24" s="85" t="str">
        <f t="shared" ref="N24:N31" si="8">IF(H24&gt;0,H24*E24, "-")</f>
        <v>-</v>
      </c>
      <c r="O24" s="86" t="str">
        <f t="shared" ref="O24:O31" si="9">IFERROR(IF($L$2&gt;0, $L$2*N24, "-"), "-")</f>
        <v>-</v>
      </c>
      <c r="Q24" s="86" t="str">
        <f t="shared" ref="Q24:Q31" si="10">IFERROR(IF(O24+I24=0, "-", IF(O24&gt;0, O24+I24, "-")), "-")</f>
        <v>-</v>
      </c>
    </row>
    <row r="25" spans="1:17" ht="14.4" x14ac:dyDescent="0.3">
      <c r="A25" s="54">
        <v>895749000059</v>
      </c>
      <c r="B25" s="55" t="s">
        <v>961</v>
      </c>
      <c r="C25" s="67" t="s">
        <v>1907</v>
      </c>
      <c r="D25" s="72">
        <v>12</v>
      </c>
      <c r="E25" s="102">
        <v>0.126234756571</v>
      </c>
      <c r="F25" s="70">
        <v>31.200000000000003</v>
      </c>
      <c r="G25" s="87" t="s">
        <v>1903</v>
      </c>
      <c r="H25" s="60"/>
      <c r="I25" s="56">
        <f t="shared" si="0"/>
        <v>0</v>
      </c>
      <c r="J25"/>
      <c r="K25"/>
      <c r="L25" s="84" t="str">
        <f t="shared" si="6"/>
        <v>-</v>
      </c>
      <c r="M25" s="84" t="str">
        <f t="shared" si="7"/>
        <v>-</v>
      </c>
      <c r="N25" s="85" t="str">
        <f t="shared" si="8"/>
        <v>-</v>
      </c>
      <c r="O25" s="86" t="str">
        <f t="shared" si="9"/>
        <v>-</v>
      </c>
      <c r="Q25" s="86" t="str">
        <f t="shared" si="10"/>
        <v>-</v>
      </c>
    </row>
    <row r="26" spans="1:17" ht="14.4" x14ac:dyDescent="0.3">
      <c r="A26" s="54">
        <v>895749000042</v>
      </c>
      <c r="B26" s="55" t="s">
        <v>965</v>
      </c>
      <c r="C26" s="67" t="s">
        <v>1908</v>
      </c>
      <c r="D26" s="72">
        <v>12</v>
      </c>
      <c r="E26" s="102">
        <v>0.126234756571</v>
      </c>
      <c r="F26" s="70">
        <v>31.200000000000003</v>
      </c>
      <c r="G26" s="87" t="s">
        <v>1903</v>
      </c>
      <c r="H26" s="60"/>
      <c r="I26" s="56">
        <f t="shared" si="0"/>
        <v>0</v>
      </c>
      <c r="J26"/>
      <c r="K26"/>
      <c r="L26" s="84" t="str">
        <f t="shared" si="6"/>
        <v>-</v>
      </c>
      <c r="M26" s="84" t="str">
        <f t="shared" si="7"/>
        <v>-</v>
      </c>
      <c r="N26" s="85" t="str">
        <f t="shared" si="8"/>
        <v>-</v>
      </c>
      <c r="O26" s="86" t="str">
        <f t="shared" si="9"/>
        <v>-</v>
      </c>
      <c r="Q26" s="86" t="str">
        <f t="shared" si="10"/>
        <v>-</v>
      </c>
    </row>
    <row r="27" spans="1:17" ht="14.4" x14ac:dyDescent="0.3">
      <c r="A27" s="54">
        <v>850036124146</v>
      </c>
      <c r="B27" s="55" t="s">
        <v>1904</v>
      </c>
      <c r="C27" s="67" t="s">
        <v>1909</v>
      </c>
      <c r="D27" s="72">
        <v>12</v>
      </c>
      <c r="E27" s="102">
        <v>0.16094931462802498</v>
      </c>
      <c r="F27" s="70">
        <v>28</v>
      </c>
      <c r="G27" s="87" t="s">
        <v>1903</v>
      </c>
      <c r="H27" s="60"/>
      <c r="I27" s="56">
        <f t="shared" si="0"/>
        <v>0</v>
      </c>
      <c r="J27"/>
      <c r="K27"/>
      <c r="L27" s="84" t="str">
        <f t="shared" si="6"/>
        <v>-</v>
      </c>
      <c r="M27" s="84" t="str">
        <f t="shared" si="7"/>
        <v>-</v>
      </c>
      <c r="N27" s="85" t="str">
        <f t="shared" si="8"/>
        <v>-</v>
      </c>
      <c r="O27" s="86" t="str">
        <f t="shared" si="9"/>
        <v>-</v>
      </c>
      <c r="Q27" s="86" t="str">
        <f t="shared" si="10"/>
        <v>-</v>
      </c>
    </row>
    <row r="28" spans="1:17" ht="14.4" x14ac:dyDescent="0.3">
      <c r="A28" s="54">
        <v>895749000851</v>
      </c>
      <c r="B28" s="55" t="s">
        <v>970</v>
      </c>
      <c r="C28" s="67" t="s">
        <v>1910</v>
      </c>
      <c r="D28" s="72">
        <v>12</v>
      </c>
      <c r="E28" s="102">
        <v>0.15148170788519999</v>
      </c>
      <c r="F28" s="70">
        <v>29.6</v>
      </c>
      <c r="G28" s="87" t="s">
        <v>1903</v>
      </c>
      <c r="H28" s="60"/>
      <c r="I28" s="56">
        <f t="shared" si="0"/>
        <v>0</v>
      </c>
      <c r="J28"/>
      <c r="K28"/>
      <c r="L28" s="84" t="str">
        <f t="shared" si="6"/>
        <v>-</v>
      </c>
      <c r="M28" s="84" t="str">
        <f t="shared" si="7"/>
        <v>-</v>
      </c>
      <c r="N28" s="85" t="str">
        <f t="shared" si="8"/>
        <v>-</v>
      </c>
      <c r="O28" s="86" t="str">
        <f t="shared" si="9"/>
        <v>-</v>
      </c>
      <c r="Q28" s="86" t="str">
        <f t="shared" si="10"/>
        <v>-</v>
      </c>
    </row>
    <row r="29" spans="1:17" ht="14.4" x14ac:dyDescent="0.3">
      <c r="A29" s="54">
        <v>850036124306</v>
      </c>
      <c r="B29" s="55" t="s">
        <v>1905</v>
      </c>
      <c r="C29" s="67" t="s">
        <v>1911</v>
      </c>
      <c r="D29" s="72">
        <v>12</v>
      </c>
      <c r="E29" s="102">
        <v>5.5660000000000001E-2</v>
      </c>
      <c r="F29" s="70">
        <v>24</v>
      </c>
      <c r="G29" s="87" t="s">
        <v>1903</v>
      </c>
      <c r="H29" s="60"/>
      <c r="I29" s="56">
        <f t="shared" si="0"/>
        <v>0</v>
      </c>
      <c r="J29"/>
      <c r="K29"/>
      <c r="L29" s="84" t="str">
        <f t="shared" si="6"/>
        <v>-</v>
      </c>
      <c r="M29" s="84" t="str">
        <f t="shared" si="7"/>
        <v>-</v>
      </c>
      <c r="N29" s="85" t="str">
        <f t="shared" si="8"/>
        <v>-</v>
      </c>
      <c r="O29" s="86" t="str">
        <f t="shared" si="9"/>
        <v>-</v>
      </c>
      <c r="Q29" s="86" t="str">
        <f t="shared" si="10"/>
        <v>-</v>
      </c>
    </row>
    <row r="30" spans="1:17" ht="14.4" x14ac:dyDescent="0.3">
      <c r="A30" s="54">
        <v>896593002183</v>
      </c>
      <c r="B30" s="55" t="s">
        <v>955</v>
      </c>
      <c r="C30" s="67" t="s">
        <v>1912</v>
      </c>
      <c r="D30" s="72">
        <v>12</v>
      </c>
      <c r="E30" s="102">
        <v>0.22722256182780001</v>
      </c>
      <c r="F30" s="70">
        <v>77.600000000000009</v>
      </c>
      <c r="G30" s="87" t="s">
        <v>1903</v>
      </c>
      <c r="H30" s="60"/>
      <c r="I30" s="56">
        <f t="shared" si="0"/>
        <v>0</v>
      </c>
      <c r="J30"/>
      <c r="K30"/>
      <c r="L30" s="84" t="str">
        <f t="shared" si="6"/>
        <v>-</v>
      </c>
      <c r="M30" s="84" t="str">
        <f t="shared" si="7"/>
        <v>-</v>
      </c>
      <c r="N30" s="85" t="str">
        <f t="shared" si="8"/>
        <v>-</v>
      </c>
      <c r="O30" s="86" t="str">
        <f t="shared" si="9"/>
        <v>-</v>
      </c>
      <c r="Q30" s="86" t="str">
        <f t="shared" si="10"/>
        <v>-</v>
      </c>
    </row>
    <row r="31" spans="1:17" ht="15" thickBot="1" x14ac:dyDescent="0.35">
      <c r="A31" s="57">
        <v>896593002176</v>
      </c>
      <c r="B31" s="58" t="s">
        <v>956</v>
      </c>
      <c r="C31" s="75" t="s">
        <v>1913</v>
      </c>
      <c r="D31" s="73">
        <v>12</v>
      </c>
      <c r="E31" s="103">
        <v>0.236690168570625</v>
      </c>
      <c r="F31" s="71">
        <v>72</v>
      </c>
      <c r="G31" s="88" t="s">
        <v>1903</v>
      </c>
      <c r="H31" s="74"/>
      <c r="I31" s="59">
        <f t="shared" si="0"/>
        <v>0</v>
      </c>
      <c r="J31"/>
      <c r="K31"/>
      <c r="L31" s="84" t="str">
        <f t="shared" si="6"/>
        <v>-</v>
      </c>
      <c r="M31" s="84" t="str">
        <f t="shared" si="7"/>
        <v>-</v>
      </c>
      <c r="N31" s="85" t="str">
        <f t="shared" si="8"/>
        <v>-</v>
      </c>
      <c r="O31" s="86" t="str">
        <f t="shared" si="9"/>
        <v>-</v>
      </c>
      <c r="Q31" s="86" t="str">
        <f t="shared" si="10"/>
        <v>-</v>
      </c>
    </row>
    <row r="32" spans="1:17" x14ac:dyDescent="0.3">
      <c r="L32" s="84"/>
      <c r="M32" s="84"/>
      <c r="N32" s="85"/>
      <c r="O32" s="86"/>
      <c r="Q32" s="86"/>
    </row>
    <row r="33" spans="3:17" ht="16.2" thickBot="1" x14ac:dyDescent="0.35">
      <c r="L33" s="84"/>
      <c r="M33" s="84"/>
      <c r="N33" s="85"/>
      <c r="O33" s="86"/>
      <c r="Q33" s="86"/>
    </row>
    <row r="34" spans="3:17" ht="16.2" thickBot="1" x14ac:dyDescent="0.35">
      <c r="C34" s="106" t="e" vm="1">
        <v>#VALUE!</v>
      </c>
      <c r="D34" s="68"/>
      <c r="E34" s="68"/>
      <c r="L34" s="84"/>
      <c r="M34" s="84"/>
      <c r="N34" s="85"/>
      <c r="O34" s="86"/>
      <c r="Q34" s="86"/>
    </row>
    <row r="35" spans="3:17" x14ac:dyDescent="0.3">
      <c r="C35" s="62" t="s">
        <v>1888</v>
      </c>
      <c r="D35" s="69"/>
      <c r="E35" s="69"/>
      <c r="L35" s="84"/>
      <c r="M35" s="84"/>
      <c r="N35" s="85"/>
      <c r="O35" s="86"/>
      <c r="Q35" s="86"/>
    </row>
    <row r="36" spans="3:17" x14ac:dyDescent="0.3">
      <c r="C36" s="63" t="s">
        <v>1889</v>
      </c>
      <c r="D36" s="69"/>
      <c r="E36" s="69"/>
      <c r="L36" s="84"/>
      <c r="M36" s="84"/>
      <c r="N36" s="85"/>
      <c r="O36" s="86"/>
      <c r="Q36" s="86"/>
    </row>
    <row r="37" spans="3:17" ht="16.2" thickBot="1" x14ac:dyDescent="0.35">
      <c r="C37" s="64" t="s">
        <v>1890</v>
      </c>
      <c r="D37" s="69"/>
      <c r="E37" s="69"/>
      <c r="L37" s="84"/>
      <c r="M37" s="84"/>
      <c r="N37" s="85"/>
      <c r="O37" s="86"/>
      <c r="Q37" s="86"/>
    </row>
    <row r="38" spans="3:17" x14ac:dyDescent="0.3">
      <c r="C38" s="65" t="s">
        <v>1891</v>
      </c>
      <c r="D38" s="69"/>
      <c r="E38" s="69"/>
      <c r="L38" s="84"/>
      <c r="M38" s="84"/>
      <c r="N38" s="85"/>
      <c r="O38" s="86"/>
      <c r="Q38" s="86"/>
    </row>
    <row r="39" spans="3:17" ht="16.2" thickBot="1" x14ac:dyDescent="0.35">
      <c r="C39" s="66" t="s">
        <v>1892</v>
      </c>
      <c r="D39" s="69"/>
      <c r="E39" s="69"/>
      <c r="L39" s="84"/>
      <c r="M39" s="84"/>
      <c r="N39" s="85"/>
      <c r="O39" s="86"/>
      <c r="Q39" s="86"/>
    </row>
    <row r="40" spans="3:17" x14ac:dyDescent="0.3">
      <c r="L40" s="84"/>
      <c r="M40" s="84"/>
      <c r="N40" s="85"/>
      <c r="O40" s="86"/>
      <c r="Q40" s="86"/>
    </row>
    <row r="41" spans="3:17" x14ac:dyDescent="0.3">
      <c r="L41" s="84"/>
      <c r="M41" s="84"/>
      <c r="N41" s="85"/>
      <c r="O41" s="86"/>
      <c r="Q41" s="86"/>
    </row>
    <row r="42" spans="3:17" x14ac:dyDescent="0.3">
      <c r="L42" s="84"/>
      <c r="M42" s="84"/>
      <c r="N42" s="85"/>
      <c r="O42" s="86"/>
      <c r="Q42" s="86"/>
    </row>
    <row r="43" spans="3:17" x14ac:dyDescent="0.3">
      <c r="L43" s="84"/>
      <c r="M43" s="84"/>
      <c r="N43" s="85"/>
      <c r="O43" s="86"/>
      <c r="Q43" s="86"/>
    </row>
    <row r="44" spans="3:17" x14ac:dyDescent="0.3">
      <c r="L44" s="84"/>
      <c r="M44" s="84"/>
      <c r="N44" s="85"/>
      <c r="O44" s="86"/>
      <c r="Q44" s="86"/>
    </row>
    <row r="45" spans="3:17" x14ac:dyDescent="0.3">
      <c r="L45" s="84"/>
      <c r="M45" s="84"/>
      <c r="N45" s="85"/>
      <c r="O45" s="86"/>
      <c r="Q45" s="86"/>
    </row>
    <row r="46" spans="3:17" x14ac:dyDescent="0.3">
      <c r="L46" s="84"/>
      <c r="M46" s="84"/>
      <c r="N46" s="85"/>
      <c r="O46" s="86"/>
      <c r="Q46" s="86"/>
    </row>
    <row r="47" spans="3:17" x14ac:dyDescent="0.3">
      <c r="L47" s="84"/>
      <c r="M47" s="84"/>
      <c r="N47" s="85"/>
      <c r="O47" s="86"/>
      <c r="Q47" s="86"/>
    </row>
    <row r="48" spans="3:17" x14ac:dyDescent="0.3">
      <c r="L48" s="84"/>
      <c r="M48" s="84"/>
      <c r="N48" s="85"/>
      <c r="O48" s="86"/>
      <c r="Q48" s="86"/>
    </row>
    <row r="49" spans="12:17" x14ac:dyDescent="0.3">
      <c r="L49" s="84"/>
      <c r="M49" s="84"/>
      <c r="N49" s="85"/>
      <c r="O49" s="86"/>
      <c r="Q49" s="86"/>
    </row>
    <row r="50" spans="12:17" x14ac:dyDescent="0.3">
      <c r="L50" s="84"/>
      <c r="M50" s="84"/>
      <c r="N50" s="85"/>
      <c r="O50" s="86"/>
      <c r="Q50" s="86"/>
    </row>
    <row r="51" spans="12:17" x14ac:dyDescent="0.3">
      <c r="L51" s="84"/>
      <c r="M51" s="84"/>
      <c r="N51" s="85"/>
      <c r="O51" s="86"/>
      <c r="Q51" s="86"/>
    </row>
    <row r="52" spans="12:17" x14ac:dyDescent="0.3">
      <c r="L52" s="84"/>
      <c r="M52" s="84"/>
      <c r="N52" s="85"/>
      <c r="O52" s="86"/>
      <c r="Q52" s="86"/>
    </row>
    <row r="53" spans="12:17" x14ac:dyDescent="0.3">
      <c r="L53" s="84"/>
      <c r="M53" s="84"/>
      <c r="N53" s="85"/>
      <c r="O53" s="86"/>
      <c r="Q53" s="86"/>
    </row>
    <row r="54" spans="12:17" x14ac:dyDescent="0.3">
      <c r="L54" s="84"/>
      <c r="M54" s="84"/>
      <c r="N54" s="85"/>
      <c r="O54" s="86"/>
      <c r="Q54" s="86"/>
    </row>
    <row r="55" spans="12:17" x14ac:dyDescent="0.3">
      <c r="L55" s="84"/>
      <c r="M55" s="84"/>
      <c r="N55" s="85"/>
      <c r="O55" s="86"/>
      <c r="Q55" s="86"/>
    </row>
    <row r="56" spans="12:17" x14ac:dyDescent="0.3">
      <c r="L56" s="84"/>
      <c r="M56" s="84"/>
      <c r="N56" s="85"/>
      <c r="O56" s="86"/>
      <c r="Q56" s="86"/>
    </row>
    <row r="57" spans="12:17" x14ac:dyDescent="0.3">
      <c r="L57" s="84"/>
      <c r="M57" s="84"/>
      <c r="N57" s="85"/>
      <c r="O57" s="86"/>
      <c r="Q57" s="86"/>
    </row>
    <row r="58" spans="12:17" x14ac:dyDescent="0.3">
      <c r="L58" s="84"/>
      <c r="M58" s="84"/>
      <c r="N58" s="85"/>
      <c r="O58" s="86"/>
      <c r="Q58" s="86"/>
    </row>
    <row r="59" spans="12:17" x14ac:dyDescent="0.3">
      <c r="L59" s="84"/>
      <c r="M59" s="84"/>
      <c r="N59" s="85"/>
      <c r="O59" s="86"/>
      <c r="Q59" s="86"/>
    </row>
    <row r="60" spans="12:17" x14ac:dyDescent="0.3">
      <c r="L60" s="84"/>
      <c r="M60" s="84"/>
      <c r="N60" s="85"/>
      <c r="O60" s="86"/>
      <c r="Q60" s="86"/>
    </row>
    <row r="61" spans="12:17" x14ac:dyDescent="0.3">
      <c r="L61" s="84"/>
      <c r="M61" s="84"/>
      <c r="N61" s="85"/>
      <c r="O61" s="86"/>
      <c r="Q61" s="86"/>
    </row>
    <row r="62" spans="12:17" x14ac:dyDescent="0.3">
      <c r="L62" s="84"/>
      <c r="M62" s="84"/>
      <c r="N62" s="85"/>
      <c r="O62" s="86"/>
      <c r="Q62" s="86"/>
    </row>
    <row r="63" spans="12:17" x14ac:dyDescent="0.3">
      <c r="L63" s="84"/>
      <c r="M63" s="84"/>
      <c r="N63" s="85"/>
      <c r="O63" s="86"/>
      <c r="Q63" s="86"/>
    </row>
    <row r="64" spans="12:17" x14ac:dyDescent="0.3">
      <c r="L64" s="84"/>
      <c r="M64" s="84"/>
      <c r="N64" s="85"/>
      <c r="O64" s="86"/>
      <c r="Q64" s="86"/>
    </row>
    <row r="65" spans="12:17" x14ac:dyDescent="0.3">
      <c r="L65" s="84"/>
      <c r="M65" s="84"/>
      <c r="N65" s="85"/>
      <c r="O65" s="86"/>
      <c r="Q65" s="86"/>
    </row>
    <row r="66" spans="12:17" x14ac:dyDescent="0.3">
      <c r="L66" s="84"/>
      <c r="M66" s="84"/>
      <c r="N66" s="85"/>
      <c r="O66" s="86"/>
      <c r="Q66" s="86"/>
    </row>
    <row r="67" spans="12:17" x14ac:dyDescent="0.3">
      <c r="L67" s="84"/>
      <c r="M67" s="84"/>
      <c r="N67" s="85"/>
      <c r="O67" s="86"/>
      <c r="Q67" s="86"/>
    </row>
    <row r="68" spans="12:17" x14ac:dyDescent="0.3">
      <c r="L68" s="84"/>
      <c r="M68" s="84"/>
      <c r="N68" s="85"/>
      <c r="O68" s="86"/>
      <c r="Q68" s="86"/>
    </row>
    <row r="69" spans="12:17" x14ac:dyDescent="0.3">
      <c r="L69" s="84"/>
      <c r="M69" s="84"/>
      <c r="N69" s="85"/>
      <c r="O69" s="86"/>
      <c r="Q69" s="86"/>
    </row>
    <row r="70" spans="12:17" x14ac:dyDescent="0.3">
      <c r="L70" s="84"/>
      <c r="M70" s="84"/>
      <c r="N70" s="85"/>
      <c r="O70" s="86"/>
      <c r="Q70" s="86"/>
    </row>
    <row r="71" spans="12:17" x14ac:dyDescent="0.3">
      <c r="L71" s="84"/>
      <c r="M71" s="84"/>
      <c r="N71" s="85"/>
      <c r="O71" s="86"/>
      <c r="Q71" s="86"/>
    </row>
    <row r="72" spans="12:17" x14ac:dyDescent="0.3">
      <c r="L72" s="84"/>
      <c r="M72" s="84"/>
      <c r="N72" s="85"/>
      <c r="O72" s="86"/>
      <c r="Q72" s="86"/>
    </row>
    <row r="73" spans="12:17" x14ac:dyDescent="0.3">
      <c r="L73" s="84"/>
      <c r="M73" s="84"/>
      <c r="N73" s="85"/>
      <c r="O73" s="86"/>
      <c r="Q73" s="86"/>
    </row>
    <row r="74" spans="12:17" x14ac:dyDescent="0.3">
      <c r="L74" s="84"/>
      <c r="M74" s="84"/>
      <c r="N74" s="85"/>
      <c r="O74" s="86"/>
      <c r="Q74" s="86"/>
    </row>
    <row r="75" spans="12:17" x14ac:dyDescent="0.3">
      <c r="L75" s="84"/>
      <c r="M75" s="84"/>
      <c r="N75" s="85"/>
      <c r="O75" s="86"/>
      <c r="Q75" s="86"/>
    </row>
    <row r="76" spans="12:17" x14ac:dyDescent="0.3">
      <c r="L76" s="84"/>
      <c r="M76" s="84"/>
      <c r="N76" s="85"/>
      <c r="O76" s="86"/>
      <c r="Q76" s="86"/>
    </row>
    <row r="77" spans="12:17" x14ac:dyDescent="0.3">
      <c r="L77" s="84"/>
      <c r="M77" s="84"/>
      <c r="N77" s="85"/>
      <c r="O77" s="86"/>
      <c r="Q77" s="86"/>
    </row>
    <row r="78" spans="12:17" x14ac:dyDescent="0.3">
      <c r="L78" s="84"/>
      <c r="M78" s="84"/>
      <c r="N78" s="85"/>
      <c r="O78" s="86"/>
      <c r="Q78" s="86"/>
    </row>
    <row r="79" spans="12:17" x14ac:dyDescent="0.3">
      <c r="L79" s="84"/>
      <c r="M79" s="84"/>
      <c r="N79" s="85"/>
      <c r="O79" s="86"/>
      <c r="Q79" s="86"/>
    </row>
    <row r="80" spans="12:17" x14ac:dyDescent="0.3">
      <c r="L80" s="84"/>
      <c r="M80" s="84"/>
      <c r="N80" s="85"/>
      <c r="O80" s="86"/>
      <c r="Q80" s="86"/>
    </row>
    <row r="81" spans="12:17" x14ac:dyDescent="0.3">
      <c r="L81" s="84"/>
      <c r="M81" s="84"/>
      <c r="N81" s="85"/>
      <c r="O81" s="86"/>
      <c r="Q81" s="86"/>
    </row>
    <row r="82" spans="12:17" x14ac:dyDescent="0.3">
      <c r="L82" s="84"/>
      <c r="M82" s="84"/>
      <c r="N82" s="85"/>
      <c r="O82" s="86"/>
      <c r="Q82" s="86"/>
    </row>
    <row r="83" spans="12:17" x14ac:dyDescent="0.3">
      <c r="L83" s="84"/>
      <c r="M83" s="84"/>
      <c r="N83" s="85"/>
      <c r="O83" s="86"/>
      <c r="Q83" s="86"/>
    </row>
    <row r="84" spans="12:17" x14ac:dyDescent="0.3">
      <c r="L84" s="84"/>
      <c r="M84" s="84"/>
      <c r="N84" s="85"/>
      <c r="O84" s="86"/>
      <c r="Q84" s="86"/>
    </row>
    <row r="85" spans="12:17" x14ac:dyDescent="0.3">
      <c r="L85" s="84"/>
      <c r="M85" s="84"/>
      <c r="N85" s="85"/>
      <c r="O85" s="86"/>
      <c r="Q85" s="86"/>
    </row>
    <row r="86" spans="12:17" x14ac:dyDescent="0.3">
      <c r="L86" s="84"/>
      <c r="M86" s="84"/>
      <c r="N86" s="85"/>
      <c r="O86" s="86"/>
      <c r="Q86" s="86"/>
    </row>
    <row r="87" spans="12:17" x14ac:dyDescent="0.3">
      <c r="L87" s="84"/>
      <c r="M87" s="84"/>
      <c r="N87" s="85"/>
      <c r="O87" s="86"/>
      <c r="Q87" s="86"/>
    </row>
    <row r="88" spans="12:17" x14ac:dyDescent="0.3">
      <c r="L88" s="84"/>
      <c r="M88" s="84"/>
      <c r="N88" s="85"/>
      <c r="O88" s="86"/>
      <c r="Q88" s="86"/>
    </row>
    <row r="89" spans="12:17" x14ac:dyDescent="0.3">
      <c r="L89" s="84"/>
      <c r="M89" s="84"/>
      <c r="N89" s="85"/>
      <c r="O89" s="86"/>
      <c r="Q89" s="86"/>
    </row>
    <row r="90" spans="12:17" x14ac:dyDescent="0.3">
      <c r="L90" s="84"/>
      <c r="M90" s="84"/>
      <c r="N90" s="85"/>
      <c r="O90" s="86"/>
      <c r="Q90" s="86"/>
    </row>
    <row r="91" spans="12:17" x14ac:dyDescent="0.3">
      <c r="L91" s="84"/>
      <c r="M91" s="84"/>
      <c r="N91" s="85"/>
      <c r="O91" s="86"/>
      <c r="Q91" s="86"/>
    </row>
    <row r="92" spans="12:17" x14ac:dyDescent="0.3">
      <c r="L92" s="84"/>
      <c r="M92" s="84"/>
      <c r="N92" s="85"/>
      <c r="O92" s="86"/>
      <c r="Q92" s="86"/>
    </row>
    <row r="93" spans="12:17" x14ac:dyDescent="0.3">
      <c r="L93" s="84"/>
      <c r="M93" s="84"/>
      <c r="N93" s="85"/>
      <c r="O93" s="86"/>
      <c r="Q93" s="86"/>
    </row>
    <row r="94" spans="12:17" x14ac:dyDescent="0.3">
      <c r="L94" s="84"/>
      <c r="M94" s="84"/>
      <c r="N94" s="85"/>
      <c r="O94" s="86"/>
      <c r="Q94" s="86"/>
    </row>
    <row r="95" spans="12:17" x14ac:dyDescent="0.3">
      <c r="L95" s="84"/>
      <c r="M95" s="84"/>
      <c r="N95" s="85"/>
      <c r="O95" s="86"/>
      <c r="Q95" s="86"/>
    </row>
    <row r="96" spans="12:17" x14ac:dyDescent="0.3">
      <c r="L96" s="84"/>
      <c r="M96" s="84"/>
      <c r="N96" s="85"/>
      <c r="O96" s="86"/>
      <c r="Q96" s="86"/>
    </row>
    <row r="97" spans="12:17" x14ac:dyDescent="0.3">
      <c r="L97" s="84"/>
      <c r="M97" s="84"/>
      <c r="N97" s="85"/>
      <c r="O97" s="86"/>
      <c r="Q97" s="86"/>
    </row>
    <row r="98" spans="12:17" x14ac:dyDescent="0.3">
      <c r="L98" s="84"/>
      <c r="M98" s="84"/>
      <c r="N98" s="85"/>
      <c r="O98" s="86"/>
      <c r="Q98" s="86"/>
    </row>
    <row r="99" spans="12:17" x14ac:dyDescent="0.3">
      <c r="L99" s="84"/>
      <c r="M99" s="84"/>
      <c r="N99" s="85"/>
      <c r="O99" s="86"/>
      <c r="Q99" s="86"/>
    </row>
    <row r="100" spans="12:17" x14ac:dyDescent="0.3">
      <c r="L100" s="84"/>
      <c r="M100" s="84"/>
      <c r="N100" s="85"/>
      <c r="O100" s="86"/>
      <c r="Q100" s="86"/>
    </row>
    <row r="101" spans="12:17" x14ac:dyDescent="0.3">
      <c r="L101" s="84"/>
      <c r="M101" s="84"/>
      <c r="N101" s="85"/>
      <c r="O101" s="86"/>
      <c r="Q101" s="86"/>
    </row>
    <row r="102" spans="12:17" x14ac:dyDescent="0.3">
      <c r="L102" s="84"/>
      <c r="M102" s="84"/>
      <c r="N102" s="85"/>
      <c r="O102" s="86"/>
      <c r="Q102" s="86"/>
    </row>
    <row r="103" spans="12:17" x14ac:dyDescent="0.3">
      <c r="L103" s="84"/>
      <c r="M103" s="84"/>
      <c r="N103" s="85"/>
      <c r="O103" s="86"/>
      <c r="Q103" s="86"/>
    </row>
    <row r="104" spans="12:17" x14ac:dyDescent="0.3">
      <c r="L104" s="84"/>
      <c r="M104" s="84"/>
      <c r="N104" s="85"/>
      <c r="O104" s="86"/>
      <c r="Q104" s="86"/>
    </row>
    <row r="105" spans="12:17" x14ac:dyDescent="0.3">
      <c r="L105" s="84"/>
      <c r="M105" s="84"/>
      <c r="N105" s="85"/>
      <c r="O105" s="86"/>
      <c r="Q105" s="86"/>
    </row>
    <row r="106" spans="12:17" x14ac:dyDescent="0.3">
      <c r="L106" s="84"/>
      <c r="M106" s="84"/>
      <c r="N106" s="85"/>
      <c r="O106" s="86"/>
      <c r="Q106" s="86"/>
    </row>
    <row r="107" spans="12:17" x14ac:dyDescent="0.3">
      <c r="L107" s="84"/>
      <c r="M107" s="84"/>
      <c r="N107" s="85"/>
      <c r="O107" s="86"/>
      <c r="Q107" s="86"/>
    </row>
    <row r="108" spans="12:17" x14ac:dyDescent="0.3">
      <c r="L108" s="84"/>
      <c r="M108" s="84"/>
      <c r="N108" s="85"/>
      <c r="O108" s="86"/>
      <c r="Q108" s="86"/>
    </row>
    <row r="109" spans="12:17" x14ac:dyDescent="0.3">
      <c r="L109" s="84"/>
      <c r="M109" s="84"/>
      <c r="N109" s="85"/>
      <c r="O109" s="86"/>
      <c r="Q109" s="86"/>
    </row>
    <row r="110" spans="12:17" x14ac:dyDescent="0.3">
      <c r="L110" s="84"/>
      <c r="M110" s="84"/>
      <c r="N110" s="85"/>
      <c r="O110" s="86"/>
      <c r="Q110" s="86"/>
    </row>
    <row r="111" spans="12:17" x14ac:dyDescent="0.3">
      <c r="L111" s="84"/>
      <c r="M111" s="84"/>
      <c r="N111" s="85"/>
      <c r="O111" s="86"/>
      <c r="Q111" s="86"/>
    </row>
    <row r="112" spans="12:17" x14ac:dyDescent="0.3">
      <c r="L112" s="84"/>
      <c r="M112" s="84"/>
      <c r="N112" s="85"/>
      <c r="O112" s="86"/>
      <c r="Q112" s="86"/>
    </row>
    <row r="113" spans="12:17" x14ac:dyDescent="0.3">
      <c r="L113" s="84"/>
      <c r="M113" s="84"/>
      <c r="N113" s="85"/>
      <c r="O113" s="86"/>
      <c r="Q113" s="86"/>
    </row>
    <row r="114" spans="12:17" x14ac:dyDescent="0.3">
      <c r="L114" s="84"/>
      <c r="M114" s="84"/>
      <c r="N114" s="85"/>
      <c r="O114" s="86"/>
      <c r="Q114" s="86"/>
    </row>
    <row r="115" spans="12:17" x14ac:dyDescent="0.3">
      <c r="L115" s="84"/>
      <c r="M115" s="84"/>
      <c r="N115" s="85"/>
      <c r="O115" s="86"/>
      <c r="Q115" s="86"/>
    </row>
    <row r="116" spans="12:17" x14ac:dyDescent="0.3">
      <c r="L116" s="84"/>
      <c r="M116" s="84"/>
      <c r="N116" s="85"/>
      <c r="O116" s="86"/>
      <c r="Q116" s="86"/>
    </row>
    <row r="117" spans="12:17" x14ac:dyDescent="0.3">
      <c r="L117" s="84"/>
      <c r="M117" s="84"/>
      <c r="N117" s="85"/>
      <c r="O117" s="86"/>
      <c r="Q117" s="86"/>
    </row>
    <row r="118" spans="12:17" x14ac:dyDescent="0.3">
      <c r="L118" s="84"/>
      <c r="M118" s="84"/>
      <c r="N118" s="85"/>
      <c r="O118" s="86"/>
      <c r="Q118" s="86"/>
    </row>
    <row r="119" spans="12:17" x14ac:dyDescent="0.3">
      <c r="L119" s="84"/>
      <c r="M119" s="84"/>
      <c r="N119" s="85"/>
      <c r="O119" s="86"/>
      <c r="Q119" s="86"/>
    </row>
    <row r="120" spans="12:17" x14ac:dyDescent="0.3">
      <c r="L120" s="84"/>
      <c r="M120" s="84"/>
      <c r="N120" s="85"/>
      <c r="O120" s="86"/>
      <c r="Q120" s="86"/>
    </row>
    <row r="121" spans="12:17" x14ac:dyDescent="0.3">
      <c r="L121" s="84"/>
      <c r="M121" s="84"/>
      <c r="N121" s="85"/>
      <c r="O121" s="86"/>
      <c r="Q121" s="86"/>
    </row>
    <row r="122" spans="12:17" x14ac:dyDescent="0.3">
      <c r="L122" s="84"/>
      <c r="M122" s="84"/>
      <c r="N122" s="85"/>
      <c r="O122" s="86"/>
      <c r="Q122" s="86"/>
    </row>
    <row r="123" spans="12:17" x14ac:dyDescent="0.3">
      <c r="L123" s="84"/>
      <c r="M123" s="84"/>
      <c r="N123" s="85"/>
      <c r="O123" s="86"/>
      <c r="Q123" s="86"/>
    </row>
    <row r="124" spans="12:17" x14ac:dyDescent="0.3">
      <c r="L124" s="84"/>
      <c r="M124" s="84"/>
      <c r="N124" s="85"/>
      <c r="O124" s="86"/>
      <c r="Q124" s="86"/>
    </row>
    <row r="125" spans="12:17" x14ac:dyDescent="0.3">
      <c r="L125" s="84"/>
      <c r="M125" s="84"/>
      <c r="N125" s="85"/>
      <c r="O125" s="86"/>
      <c r="Q125" s="86"/>
    </row>
    <row r="126" spans="12:17" x14ac:dyDescent="0.3">
      <c r="L126" s="84"/>
      <c r="M126" s="84"/>
      <c r="N126" s="85"/>
      <c r="O126" s="86"/>
      <c r="Q126" s="86"/>
    </row>
    <row r="127" spans="12:17" x14ac:dyDescent="0.3">
      <c r="L127" s="84"/>
      <c r="M127" s="84"/>
      <c r="N127" s="85"/>
      <c r="O127" s="86"/>
      <c r="Q127" s="86"/>
    </row>
    <row r="128" spans="12:17" x14ac:dyDescent="0.3">
      <c r="L128" s="84"/>
      <c r="M128" s="84"/>
      <c r="N128" s="85"/>
      <c r="O128" s="86"/>
      <c r="Q128" s="86"/>
    </row>
    <row r="129" spans="12:17" x14ac:dyDescent="0.3">
      <c r="L129" s="84"/>
      <c r="M129" s="84"/>
      <c r="N129" s="85"/>
      <c r="O129" s="86"/>
      <c r="Q129" s="86"/>
    </row>
    <row r="130" spans="12:17" x14ac:dyDescent="0.3">
      <c r="L130" s="84"/>
      <c r="M130" s="84"/>
      <c r="N130" s="85"/>
      <c r="O130" s="86"/>
      <c r="Q130" s="86"/>
    </row>
    <row r="131" spans="12:17" x14ac:dyDescent="0.3">
      <c r="L131" s="84"/>
      <c r="M131" s="84"/>
      <c r="N131" s="85"/>
      <c r="O131" s="86"/>
      <c r="Q131" s="86"/>
    </row>
    <row r="132" spans="12:17" x14ac:dyDescent="0.3">
      <c r="L132" s="84"/>
      <c r="M132" s="84"/>
      <c r="N132" s="85"/>
      <c r="O132" s="86"/>
      <c r="Q132" s="86"/>
    </row>
    <row r="133" spans="12:17" x14ac:dyDescent="0.3">
      <c r="L133" s="84"/>
      <c r="M133" s="84"/>
      <c r="N133" s="85"/>
      <c r="O133" s="86"/>
      <c r="Q133" s="86"/>
    </row>
    <row r="134" spans="12:17" x14ac:dyDescent="0.3">
      <c r="L134" s="84"/>
      <c r="M134" s="84"/>
      <c r="N134" s="85"/>
      <c r="O134" s="86"/>
      <c r="Q134" s="86"/>
    </row>
    <row r="135" spans="12:17" x14ac:dyDescent="0.3">
      <c r="L135" s="84"/>
      <c r="M135" s="84"/>
      <c r="N135" s="85"/>
      <c r="O135" s="86"/>
      <c r="Q135" s="86"/>
    </row>
    <row r="136" spans="12:17" x14ac:dyDescent="0.3">
      <c r="L136" s="84"/>
      <c r="M136" s="84"/>
      <c r="N136" s="85"/>
      <c r="O136" s="86"/>
      <c r="Q136" s="86"/>
    </row>
    <row r="137" spans="12:17" x14ac:dyDescent="0.3">
      <c r="L137" s="84"/>
      <c r="M137" s="84"/>
      <c r="N137" s="85"/>
      <c r="O137" s="86"/>
      <c r="Q137" s="86"/>
    </row>
    <row r="138" spans="12:17" x14ac:dyDescent="0.3">
      <c r="L138" s="84"/>
      <c r="M138" s="84"/>
      <c r="N138" s="85"/>
      <c r="O138" s="86"/>
      <c r="Q138" s="86"/>
    </row>
    <row r="139" spans="12:17" x14ac:dyDescent="0.3">
      <c r="L139" s="84"/>
      <c r="M139" s="84"/>
      <c r="N139" s="85"/>
      <c r="O139" s="86"/>
      <c r="Q139" s="86"/>
    </row>
    <row r="140" spans="12:17" x14ac:dyDescent="0.3">
      <c r="L140" s="84"/>
      <c r="M140" s="84"/>
      <c r="N140" s="85"/>
      <c r="O140" s="86"/>
      <c r="Q140" s="86"/>
    </row>
    <row r="141" spans="12:17" x14ac:dyDescent="0.3">
      <c r="L141" s="84"/>
      <c r="M141" s="84"/>
      <c r="N141" s="85"/>
      <c r="O141" s="86"/>
      <c r="Q141" s="86"/>
    </row>
    <row r="142" spans="12:17" x14ac:dyDescent="0.3">
      <c r="L142" s="84"/>
      <c r="M142" s="84"/>
      <c r="N142" s="85"/>
      <c r="O142" s="86"/>
      <c r="Q142" s="86"/>
    </row>
    <row r="143" spans="12:17" x14ac:dyDescent="0.3">
      <c r="L143" s="84"/>
      <c r="M143" s="84"/>
      <c r="N143" s="85"/>
      <c r="O143" s="86"/>
      <c r="Q143" s="86"/>
    </row>
    <row r="144" spans="12:17" x14ac:dyDescent="0.3">
      <c r="L144" s="84"/>
      <c r="M144" s="84"/>
      <c r="N144" s="85"/>
      <c r="O144" s="86"/>
      <c r="Q144" s="86"/>
    </row>
    <row r="145" spans="12:17" x14ac:dyDescent="0.3">
      <c r="L145" s="84"/>
      <c r="M145" s="84"/>
      <c r="N145" s="85"/>
      <c r="O145" s="86"/>
      <c r="Q145" s="86"/>
    </row>
    <row r="146" spans="12:17" x14ac:dyDescent="0.3">
      <c r="L146" s="84"/>
      <c r="M146" s="84"/>
      <c r="N146" s="85"/>
      <c r="O146" s="86"/>
      <c r="Q146" s="86"/>
    </row>
    <row r="147" spans="12:17" x14ac:dyDescent="0.3">
      <c r="L147" s="84"/>
      <c r="M147" s="84"/>
      <c r="N147" s="85"/>
      <c r="O147" s="86"/>
      <c r="Q147" s="86"/>
    </row>
    <row r="148" spans="12:17" x14ac:dyDescent="0.3">
      <c r="L148" s="84"/>
      <c r="M148" s="84"/>
      <c r="N148" s="85"/>
      <c r="O148" s="86"/>
      <c r="Q148" s="86"/>
    </row>
    <row r="149" spans="12:17" x14ac:dyDescent="0.3">
      <c r="L149" s="84"/>
      <c r="M149" s="84"/>
      <c r="N149" s="85"/>
      <c r="O149" s="86"/>
      <c r="Q149" s="86"/>
    </row>
    <row r="150" spans="12:17" x14ac:dyDescent="0.3">
      <c r="L150" s="84"/>
      <c r="M150" s="84"/>
      <c r="N150" s="85"/>
      <c r="O150" s="86"/>
      <c r="Q150" s="86"/>
    </row>
    <row r="151" spans="12:17" x14ac:dyDescent="0.3">
      <c r="L151" s="84"/>
      <c r="M151" s="84"/>
      <c r="N151" s="85"/>
      <c r="O151" s="86"/>
      <c r="Q151" s="86"/>
    </row>
    <row r="152" spans="12:17" x14ac:dyDescent="0.3">
      <c r="L152" s="84"/>
      <c r="M152" s="84"/>
      <c r="N152" s="85"/>
      <c r="O152" s="86"/>
      <c r="Q152" s="86"/>
    </row>
    <row r="153" spans="12:17" x14ac:dyDescent="0.3">
      <c r="L153" s="84"/>
      <c r="M153" s="84"/>
      <c r="N153" s="85"/>
      <c r="O153" s="86"/>
      <c r="Q153" s="86"/>
    </row>
    <row r="154" spans="12:17" x14ac:dyDescent="0.3">
      <c r="L154" s="84"/>
      <c r="M154" s="84"/>
      <c r="N154" s="85"/>
      <c r="O154" s="86"/>
      <c r="Q154" s="86"/>
    </row>
    <row r="155" spans="12:17" x14ac:dyDescent="0.3">
      <c r="L155" s="84"/>
      <c r="M155" s="84"/>
      <c r="N155" s="85"/>
      <c r="O155" s="86"/>
      <c r="Q155" s="86"/>
    </row>
    <row r="156" spans="12:17" x14ac:dyDescent="0.3">
      <c r="L156" s="84"/>
      <c r="M156" s="84"/>
      <c r="N156" s="85"/>
      <c r="O156" s="86"/>
      <c r="Q156" s="86"/>
    </row>
    <row r="157" spans="12:17" x14ac:dyDescent="0.3">
      <c r="L157" s="84"/>
      <c r="M157" s="84"/>
      <c r="N157" s="85"/>
      <c r="O157" s="86"/>
      <c r="Q157" s="86"/>
    </row>
    <row r="158" spans="12:17" x14ac:dyDescent="0.3">
      <c r="L158" s="84"/>
      <c r="M158" s="84"/>
      <c r="N158" s="85"/>
      <c r="O158" s="86"/>
      <c r="Q158" s="86"/>
    </row>
    <row r="159" spans="12:17" x14ac:dyDescent="0.3">
      <c r="L159" s="84"/>
      <c r="M159" s="84"/>
      <c r="N159" s="85"/>
      <c r="O159" s="86"/>
      <c r="Q159" s="86"/>
    </row>
    <row r="160" spans="12:17" x14ac:dyDescent="0.3">
      <c r="L160" s="84"/>
      <c r="M160" s="84"/>
      <c r="N160" s="85"/>
      <c r="O160" s="86"/>
      <c r="Q160" s="86"/>
    </row>
    <row r="161" spans="12:17" x14ac:dyDescent="0.3">
      <c r="L161" s="84"/>
      <c r="M161" s="84"/>
      <c r="N161" s="85"/>
      <c r="O161" s="86"/>
      <c r="Q161" s="86"/>
    </row>
    <row r="162" spans="12:17" x14ac:dyDescent="0.3">
      <c r="L162" s="84"/>
      <c r="M162" s="84"/>
      <c r="N162" s="85"/>
      <c r="O162" s="86"/>
      <c r="Q162" s="86"/>
    </row>
    <row r="163" spans="12:17" x14ac:dyDescent="0.3">
      <c r="L163" s="84"/>
      <c r="M163" s="84"/>
      <c r="N163" s="85"/>
      <c r="O163" s="86"/>
      <c r="Q163" s="86"/>
    </row>
    <row r="164" spans="12:17" x14ac:dyDescent="0.3">
      <c r="L164" s="84"/>
      <c r="M164" s="84"/>
      <c r="N164" s="85"/>
      <c r="O164" s="86"/>
      <c r="Q164" s="86"/>
    </row>
    <row r="165" spans="12:17" x14ac:dyDescent="0.3">
      <c r="L165" s="84"/>
      <c r="M165" s="84"/>
      <c r="N165" s="85"/>
      <c r="O165" s="86"/>
      <c r="Q165" s="86"/>
    </row>
    <row r="166" spans="12:17" x14ac:dyDescent="0.3">
      <c r="L166" s="84"/>
      <c r="M166" s="84"/>
      <c r="N166" s="85"/>
      <c r="O166" s="86"/>
      <c r="Q166" s="86"/>
    </row>
    <row r="167" spans="12:17" x14ac:dyDescent="0.3">
      <c r="L167" s="84"/>
      <c r="M167" s="84"/>
      <c r="N167" s="85"/>
      <c r="O167" s="86"/>
      <c r="Q167" s="86"/>
    </row>
    <row r="168" spans="12:17" x14ac:dyDescent="0.3">
      <c r="L168" s="84"/>
      <c r="M168" s="84"/>
      <c r="N168" s="85"/>
      <c r="O168" s="86"/>
      <c r="Q168" s="86"/>
    </row>
    <row r="169" spans="12:17" x14ac:dyDescent="0.3">
      <c r="L169" s="84"/>
      <c r="M169" s="84"/>
      <c r="N169" s="85"/>
      <c r="O169" s="86"/>
      <c r="Q169" s="86"/>
    </row>
    <row r="170" spans="12:17" x14ac:dyDescent="0.3">
      <c r="L170" s="84"/>
      <c r="M170" s="84"/>
      <c r="N170" s="85"/>
      <c r="O170" s="86"/>
      <c r="Q170" s="86"/>
    </row>
    <row r="171" spans="12:17" x14ac:dyDescent="0.3">
      <c r="L171" s="84"/>
      <c r="M171" s="84"/>
      <c r="N171" s="85"/>
      <c r="O171" s="86"/>
      <c r="Q171" s="86"/>
    </row>
    <row r="172" spans="12:17" x14ac:dyDescent="0.3">
      <c r="L172" s="84"/>
      <c r="M172" s="84"/>
      <c r="N172" s="85"/>
      <c r="O172" s="86"/>
      <c r="Q172" s="86"/>
    </row>
    <row r="173" spans="12:17" x14ac:dyDescent="0.3">
      <c r="L173" s="84"/>
      <c r="M173" s="84"/>
      <c r="N173" s="85"/>
      <c r="O173" s="86"/>
      <c r="Q173" s="86"/>
    </row>
    <row r="174" spans="12:17" x14ac:dyDescent="0.3">
      <c r="L174" s="84"/>
      <c r="M174" s="84"/>
      <c r="N174" s="85"/>
      <c r="O174" s="86"/>
      <c r="Q174" s="86"/>
    </row>
    <row r="175" spans="12:17" x14ac:dyDescent="0.3">
      <c r="L175" s="84"/>
      <c r="M175" s="84"/>
      <c r="N175" s="85"/>
      <c r="O175" s="86"/>
      <c r="Q175" s="86"/>
    </row>
    <row r="176" spans="12:17" x14ac:dyDescent="0.3">
      <c r="L176" s="84"/>
      <c r="M176" s="84"/>
      <c r="N176" s="85"/>
      <c r="O176" s="86"/>
      <c r="Q176" s="86"/>
    </row>
    <row r="177" spans="12:17" x14ac:dyDescent="0.3">
      <c r="L177" s="84"/>
      <c r="M177" s="84"/>
      <c r="N177" s="85"/>
      <c r="O177" s="86"/>
      <c r="Q177" s="86"/>
    </row>
    <row r="178" spans="12:17" x14ac:dyDescent="0.3">
      <c r="L178" s="84"/>
      <c r="M178" s="84"/>
      <c r="N178" s="85"/>
      <c r="O178" s="86"/>
      <c r="Q178" s="86"/>
    </row>
    <row r="179" spans="12:17" x14ac:dyDescent="0.3">
      <c r="L179" s="84"/>
      <c r="M179" s="84"/>
      <c r="N179" s="85"/>
      <c r="O179" s="86"/>
      <c r="Q179" s="86"/>
    </row>
    <row r="180" spans="12:17" x14ac:dyDescent="0.3">
      <c r="L180" s="84"/>
      <c r="M180" s="84"/>
      <c r="N180" s="85"/>
      <c r="O180" s="86"/>
      <c r="Q180" s="86"/>
    </row>
    <row r="181" spans="12:17" x14ac:dyDescent="0.3">
      <c r="L181" s="84"/>
      <c r="M181" s="84"/>
      <c r="N181" s="85"/>
      <c r="O181" s="86"/>
      <c r="Q181" s="86"/>
    </row>
    <row r="182" spans="12:17" x14ac:dyDescent="0.3">
      <c r="L182" s="84"/>
      <c r="M182" s="84"/>
      <c r="N182" s="85"/>
      <c r="O182" s="86"/>
      <c r="Q182" s="86"/>
    </row>
    <row r="183" spans="12:17" x14ac:dyDescent="0.3">
      <c r="L183" s="84"/>
      <c r="M183" s="84"/>
      <c r="N183" s="85"/>
      <c r="O183" s="86"/>
      <c r="Q183" s="86"/>
    </row>
    <row r="184" spans="12:17" x14ac:dyDescent="0.3">
      <c r="L184" s="84"/>
      <c r="M184" s="84"/>
      <c r="N184" s="85"/>
      <c r="O184" s="86"/>
      <c r="Q184" s="86"/>
    </row>
    <row r="185" spans="12:17" x14ac:dyDescent="0.3">
      <c r="L185" s="84"/>
      <c r="M185" s="84"/>
      <c r="N185" s="85"/>
      <c r="O185" s="86"/>
      <c r="Q185" s="86"/>
    </row>
    <row r="186" spans="12:17" x14ac:dyDescent="0.3">
      <c r="L186" s="84"/>
      <c r="M186" s="84"/>
      <c r="N186" s="85"/>
      <c r="O186" s="86"/>
      <c r="Q186" s="86"/>
    </row>
    <row r="187" spans="12:17" x14ac:dyDescent="0.3">
      <c r="L187" s="84"/>
      <c r="M187" s="84"/>
      <c r="N187" s="85"/>
      <c r="O187" s="86"/>
      <c r="Q187" s="86"/>
    </row>
    <row r="188" spans="12:17" x14ac:dyDescent="0.3">
      <c r="L188" s="84"/>
      <c r="M188" s="84"/>
      <c r="N188" s="85"/>
      <c r="O188" s="86"/>
      <c r="Q188" s="86"/>
    </row>
    <row r="189" spans="12:17" x14ac:dyDescent="0.3">
      <c r="L189" s="84"/>
      <c r="M189" s="84"/>
      <c r="N189" s="85"/>
      <c r="O189" s="86"/>
      <c r="Q189" s="86"/>
    </row>
    <row r="190" spans="12:17" x14ac:dyDescent="0.3">
      <c r="L190" s="84"/>
      <c r="M190" s="84"/>
      <c r="N190" s="85"/>
      <c r="O190" s="86"/>
      <c r="Q190" s="86"/>
    </row>
    <row r="191" spans="12:17" x14ac:dyDescent="0.3">
      <c r="L191" s="84"/>
      <c r="M191" s="84"/>
      <c r="N191" s="85"/>
      <c r="O191" s="86"/>
      <c r="Q191" s="86"/>
    </row>
    <row r="192" spans="12:17" x14ac:dyDescent="0.3">
      <c r="L192" s="84"/>
      <c r="M192" s="84"/>
      <c r="N192" s="85"/>
      <c r="O192" s="86"/>
      <c r="Q192" s="86"/>
    </row>
    <row r="193" spans="12:17" x14ac:dyDescent="0.3">
      <c r="L193" s="84"/>
      <c r="M193" s="84"/>
      <c r="N193" s="85"/>
      <c r="O193" s="86"/>
      <c r="Q193" s="86"/>
    </row>
    <row r="194" spans="12:17" x14ac:dyDescent="0.3">
      <c r="L194" s="84"/>
      <c r="M194" s="84"/>
      <c r="N194" s="85"/>
      <c r="O194" s="86"/>
      <c r="Q194" s="86"/>
    </row>
    <row r="195" spans="12:17" x14ac:dyDescent="0.3">
      <c r="L195" s="84"/>
      <c r="M195" s="84"/>
      <c r="N195" s="85"/>
      <c r="O195" s="86"/>
      <c r="Q195" s="86"/>
    </row>
    <row r="196" spans="12:17" x14ac:dyDescent="0.3">
      <c r="L196" s="84"/>
      <c r="M196" s="84"/>
      <c r="N196" s="85"/>
      <c r="O196" s="86"/>
      <c r="Q196" s="86"/>
    </row>
    <row r="197" spans="12:17" x14ac:dyDescent="0.3">
      <c r="L197" s="84"/>
      <c r="M197" s="84"/>
      <c r="N197" s="85"/>
      <c r="O197" s="86"/>
      <c r="Q197" s="86"/>
    </row>
    <row r="198" spans="12:17" x14ac:dyDescent="0.3">
      <c r="L198" s="84"/>
      <c r="M198" s="84"/>
      <c r="N198" s="85"/>
      <c r="O198" s="86"/>
      <c r="Q198" s="86"/>
    </row>
    <row r="199" spans="12:17" x14ac:dyDescent="0.3">
      <c r="L199" s="84"/>
      <c r="M199" s="84"/>
      <c r="N199" s="85"/>
      <c r="O199" s="86"/>
      <c r="Q199" s="86"/>
    </row>
    <row r="200" spans="12:17" x14ac:dyDescent="0.3">
      <c r="L200" s="84"/>
      <c r="M200" s="84"/>
      <c r="N200" s="85"/>
      <c r="O200" s="86"/>
      <c r="Q200" s="86"/>
    </row>
    <row r="201" spans="12:17" x14ac:dyDescent="0.3">
      <c r="L201" s="84"/>
      <c r="M201" s="84"/>
      <c r="N201" s="85"/>
      <c r="O201" s="86"/>
      <c r="Q201" s="86"/>
    </row>
    <row r="202" spans="12:17" x14ac:dyDescent="0.3">
      <c r="L202" s="84"/>
      <c r="M202" s="84"/>
      <c r="N202" s="85"/>
      <c r="O202" s="86"/>
      <c r="Q202" s="86"/>
    </row>
    <row r="203" spans="12:17" x14ac:dyDescent="0.3">
      <c r="L203" s="84"/>
      <c r="M203" s="84"/>
      <c r="N203" s="85"/>
      <c r="O203" s="86"/>
      <c r="Q203" s="86"/>
    </row>
    <row r="204" spans="12:17" x14ac:dyDescent="0.3">
      <c r="L204" s="84"/>
      <c r="M204" s="84"/>
      <c r="N204" s="85"/>
      <c r="O204" s="86"/>
      <c r="Q204" s="86"/>
    </row>
    <row r="205" spans="12:17" x14ac:dyDescent="0.3">
      <c r="L205" s="84"/>
      <c r="M205" s="84"/>
      <c r="N205" s="85"/>
      <c r="O205" s="86"/>
      <c r="Q205" s="86"/>
    </row>
    <row r="206" spans="12:17" x14ac:dyDescent="0.3">
      <c r="L206" s="84"/>
      <c r="M206" s="84"/>
      <c r="N206" s="85"/>
      <c r="O206" s="86"/>
      <c r="Q206" s="86"/>
    </row>
    <row r="207" spans="12:17" x14ac:dyDescent="0.3">
      <c r="L207" s="84"/>
      <c r="M207" s="84"/>
      <c r="N207" s="85"/>
      <c r="O207" s="86"/>
      <c r="Q207" s="86"/>
    </row>
    <row r="208" spans="12:17" x14ac:dyDescent="0.3">
      <c r="L208" s="84"/>
      <c r="M208" s="84"/>
      <c r="N208" s="85"/>
      <c r="O208" s="86"/>
      <c r="Q208" s="86"/>
    </row>
    <row r="209" spans="12:17" x14ac:dyDescent="0.3">
      <c r="L209" s="84"/>
      <c r="M209" s="84"/>
      <c r="N209" s="85"/>
      <c r="O209" s="86"/>
      <c r="Q209" s="86"/>
    </row>
    <row r="210" spans="12:17" x14ac:dyDescent="0.3">
      <c r="L210" s="84"/>
      <c r="M210" s="84"/>
      <c r="N210" s="85"/>
      <c r="O210" s="86"/>
      <c r="Q210" s="86"/>
    </row>
    <row r="211" spans="12:17" x14ac:dyDescent="0.3">
      <c r="L211" s="84"/>
      <c r="M211" s="84"/>
      <c r="N211" s="85"/>
      <c r="O211" s="86"/>
      <c r="Q211" s="86"/>
    </row>
    <row r="212" spans="12:17" x14ac:dyDescent="0.3">
      <c r="L212" s="84"/>
      <c r="M212" s="84"/>
      <c r="N212" s="85"/>
      <c r="O212" s="86"/>
      <c r="Q212" s="86"/>
    </row>
    <row r="213" spans="12:17" x14ac:dyDescent="0.3">
      <c r="L213" s="84"/>
      <c r="M213" s="84"/>
      <c r="N213" s="85"/>
      <c r="O213" s="86"/>
      <c r="Q213" s="86"/>
    </row>
    <row r="214" spans="12:17" x14ac:dyDescent="0.3">
      <c r="L214" s="84"/>
      <c r="M214" s="84"/>
      <c r="N214" s="85"/>
      <c r="O214" s="86"/>
      <c r="Q214" s="86"/>
    </row>
    <row r="215" spans="12:17" x14ac:dyDescent="0.3">
      <c r="L215" s="84"/>
      <c r="M215" s="84"/>
      <c r="N215" s="85"/>
      <c r="O215" s="86"/>
      <c r="Q215" s="86"/>
    </row>
    <row r="216" spans="12:17" x14ac:dyDescent="0.3">
      <c r="L216" s="84"/>
      <c r="M216" s="84"/>
      <c r="N216" s="85"/>
      <c r="O216" s="86"/>
      <c r="Q216" s="86"/>
    </row>
    <row r="217" spans="12:17" x14ac:dyDescent="0.3">
      <c r="L217" s="84"/>
      <c r="M217" s="84"/>
      <c r="N217" s="85"/>
      <c r="O217" s="86"/>
      <c r="Q217" s="86"/>
    </row>
    <row r="218" spans="12:17" x14ac:dyDescent="0.3">
      <c r="L218" s="84"/>
      <c r="M218" s="84"/>
      <c r="N218" s="85"/>
      <c r="O218" s="86"/>
      <c r="Q218" s="86"/>
    </row>
    <row r="219" spans="12:17" x14ac:dyDescent="0.3">
      <c r="L219" s="84"/>
      <c r="M219" s="84"/>
      <c r="N219" s="85"/>
      <c r="O219" s="86"/>
      <c r="Q219" s="86"/>
    </row>
    <row r="220" spans="12:17" x14ac:dyDescent="0.3">
      <c r="L220" s="84"/>
      <c r="M220" s="84"/>
      <c r="N220" s="85"/>
      <c r="O220" s="86"/>
      <c r="Q220" s="86"/>
    </row>
    <row r="221" spans="12:17" x14ac:dyDescent="0.3">
      <c r="L221" s="84"/>
      <c r="M221" s="84"/>
      <c r="N221" s="85"/>
      <c r="O221" s="86"/>
      <c r="Q221" s="86"/>
    </row>
    <row r="222" spans="12:17" x14ac:dyDescent="0.3">
      <c r="L222" s="84"/>
      <c r="M222" s="84"/>
      <c r="N222" s="85"/>
      <c r="O222" s="86"/>
      <c r="Q222" s="86"/>
    </row>
    <row r="223" spans="12:17" x14ac:dyDescent="0.3">
      <c r="L223" s="84"/>
      <c r="M223" s="84"/>
      <c r="N223" s="85"/>
      <c r="O223" s="86"/>
      <c r="Q223" s="86"/>
    </row>
    <row r="224" spans="12:17" x14ac:dyDescent="0.3">
      <c r="L224" s="84"/>
      <c r="M224" s="84"/>
      <c r="N224" s="85"/>
      <c r="O224" s="86"/>
      <c r="Q224" s="86"/>
    </row>
    <row r="225" spans="12:17" x14ac:dyDescent="0.3">
      <c r="L225" s="84"/>
      <c r="M225" s="84"/>
      <c r="N225" s="85"/>
      <c r="O225" s="86"/>
      <c r="Q225" s="86"/>
    </row>
    <row r="226" spans="12:17" x14ac:dyDescent="0.3">
      <c r="L226" s="84"/>
      <c r="M226" s="84"/>
      <c r="N226" s="85"/>
      <c r="O226" s="86"/>
      <c r="Q226" s="86"/>
    </row>
    <row r="227" spans="12:17" x14ac:dyDescent="0.3">
      <c r="L227" s="84"/>
      <c r="M227" s="84"/>
      <c r="N227" s="85"/>
      <c r="O227" s="86"/>
      <c r="Q227" s="86"/>
    </row>
    <row r="228" spans="12:17" x14ac:dyDescent="0.3">
      <c r="L228" s="84"/>
      <c r="M228" s="84"/>
      <c r="N228" s="85"/>
      <c r="O228" s="86"/>
      <c r="Q228" s="86"/>
    </row>
    <row r="229" spans="12:17" x14ac:dyDescent="0.3">
      <c r="L229" s="84"/>
      <c r="M229" s="84"/>
      <c r="N229" s="85"/>
      <c r="O229" s="86"/>
      <c r="Q229" s="86"/>
    </row>
    <row r="230" spans="12:17" x14ac:dyDescent="0.3">
      <c r="L230" s="84"/>
      <c r="M230" s="84"/>
      <c r="N230" s="85"/>
      <c r="O230" s="86"/>
      <c r="Q230" s="86"/>
    </row>
    <row r="231" spans="12:17" x14ac:dyDescent="0.3">
      <c r="L231" s="84"/>
      <c r="M231" s="84"/>
      <c r="N231" s="85"/>
      <c r="O231" s="86"/>
      <c r="Q231" s="86"/>
    </row>
    <row r="232" spans="12:17" x14ac:dyDescent="0.3">
      <c r="L232" s="84"/>
      <c r="M232" s="84"/>
      <c r="N232" s="85"/>
      <c r="O232" s="86"/>
      <c r="Q232" s="86"/>
    </row>
    <row r="233" spans="12:17" x14ac:dyDescent="0.3">
      <c r="L233" s="84"/>
      <c r="M233" s="84"/>
      <c r="N233" s="85"/>
      <c r="O233" s="86"/>
      <c r="Q233" s="86"/>
    </row>
    <row r="234" spans="12:17" x14ac:dyDescent="0.3">
      <c r="L234" s="84"/>
      <c r="M234" s="84"/>
      <c r="N234" s="85"/>
      <c r="O234" s="86"/>
      <c r="Q234" s="86"/>
    </row>
    <row r="235" spans="12:17" x14ac:dyDescent="0.3">
      <c r="L235" s="84"/>
      <c r="M235" s="84"/>
      <c r="N235" s="85"/>
      <c r="O235" s="86"/>
      <c r="Q235" s="86"/>
    </row>
    <row r="236" spans="12:17" x14ac:dyDescent="0.3">
      <c r="L236" s="84"/>
      <c r="M236" s="84"/>
      <c r="N236" s="85"/>
      <c r="O236" s="86"/>
      <c r="Q236" s="86"/>
    </row>
    <row r="237" spans="12:17" x14ac:dyDescent="0.3">
      <c r="L237" s="84"/>
      <c r="M237" s="84"/>
      <c r="N237" s="85"/>
      <c r="O237" s="86"/>
      <c r="Q237" s="86"/>
    </row>
    <row r="238" spans="12:17" x14ac:dyDescent="0.3">
      <c r="L238" s="84"/>
      <c r="M238" s="84"/>
      <c r="N238" s="85"/>
      <c r="O238" s="86"/>
      <c r="Q238" s="86"/>
    </row>
    <row r="239" spans="12:17" x14ac:dyDescent="0.3">
      <c r="L239" s="84"/>
      <c r="M239" s="84"/>
      <c r="N239" s="85"/>
      <c r="O239" s="86"/>
      <c r="Q239" s="86"/>
    </row>
    <row r="240" spans="12:17" x14ac:dyDescent="0.3">
      <c r="L240" s="84"/>
      <c r="M240" s="84"/>
      <c r="N240" s="85"/>
      <c r="O240" s="86"/>
      <c r="Q240" s="86"/>
    </row>
    <row r="241" spans="12:17" x14ac:dyDescent="0.3">
      <c r="L241" s="84"/>
      <c r="M241" s="84"/>
      <c r="N241" s="85"/>
      <c r="O241" s="86"/>
      <c r="Q241" s="86"/>
    </row>
    <row r="242" spans="12:17" x14ac:dyDescent="0.3">
      <c r="L242" s="84"/>
      <c r="M242" s="84"/>
      <c r="N242" s="85"/>
      <c r="O242" s="86"/>
      <c r="Q242" s="86"/>
    </row>
    <row r="243" spans="12:17" x14ac:dyDescent="0.3">
      <c r="L243" s="84"/>
      <c r="M243" s="84"/>
      <c r="N243" s="85"/>
      <c r="O243" s="86"/>
      <c r="Q243" s="86"/>
    </row>
    <row r="244" spans="12:17" x14ac:dyDescent="0.3">
      <c r="L244" s="84"/>
      <c r="M244" s="84"/>
      <c r="N244" s="85"/>
      <c r="O244" s="86"/>
      <c r="Q244" s="86"/>
    </row>
    <row r="245" spans="12:17" x14ac:dyDescent="0.3">
      <c r="L245" s="84"/>
      <c r="M245" s="84"/>
      <c r="N245" s="85"/>
      <c r="O245" s="86"/>
      <c r="Q245" s="86"/>
    </row>
    <row r="246" spans="12:17" x14ac:dyDescent="0.3">
      <c r="L246" s="84"/>
      <c r="M246" s="84"/>
      <c r="N246" s="85"/>
      <c r="O246" s="86"/>
      <c r="Q246" s="86"/>
    </row>
    <row r="247" spans="12:17" x14ac:dyDescent="0.3">
      <c r="L247" s="84"/>
      <c r="M247" s="84"/>
      <c r="N247" s="85"/>
      <c r="O247" s="86"/>
      <c r="Q247" s="86"/>
    </row>
    <row r="248" spans="12:17" x14ac:dyDescent="0.3">
      <c r="L248" s="84"/>
      <c r="M248" s="84"/>
      <c r="N248" s="85"/>
      <c r="O248" s="86"/>
      <c r="Q248" s="86"/>
    </row>
    <row r="249" spans="12:17" x14ac:dyDescent="0.3">
      <c r="L249" s="84"/>
      <c r="M249" s="84"/>
      <c r="N249" s="85"/>
      <c r="O249" s="86"/>
      <c r="Q249" s="86"/>
    </row>
    <row r="250" spans="12:17" x14ac:dyDescent="0.3">
      <c r="L250" s="84"/>
      <c r="M250" s="84"/>
      <c r="N250" s="85"/>
      <c r="O250" s="86"/>
      <c r="Q250" s="86"/>
    </row>
    <row r="251" spans="12:17" x14ac:dyDescent="0.3">
      <c r="L251" s="84"/>
      <c r="M251" s="84"/>
      <c r="N251" s="85"/>
      <c r="O251" s="86"/>
      <c r="Q251" s="86"/>
    </row>
    <row r="252" spans="12:17" x14ac:dyDescent="0.3">
      <c r="L252" s="84"/>
      <c r="M252" s="84"/>
      <c r="N252" s="85"/>
      <c r="O252" s="86"/>
      <c r="Q252" s="86"/>
    </row>
    <row r="253" spans="12:17" x14ac:dyDescent="0.3">
      <c r="L253" s="84"/>
      <c r="M253" s="84"/>
      <c r="N253" s="85"/>
      <c r="O253" s="86"/>
      <c r="Q253" s="86"/>
    </row>
    <row r="254" spans="12:17" x14ac:dyDescent="0.3">
      <c r="L254" s="84"/>
      <c r="M254" s="84"/>
      <c r="N254" s="85"/>
      <c r="O254" s="86"/>
      <c r="Q254" s="86"/>
    </row>
    <row r="255" spans="12:17" x14ac:dyDescent="0.3">
      <c r="L255" s="84"/>
      <c r="M255" s="84"/>
      <c r="N255" s="85"/>
      <c r="O255" s="86"/>
      <c r="Q255" s="86"/>
    </row>
    <row r="256" spans="12:17" x14ac:dyDescent="0.3">
      <c r="L256" s="84"/>
      <c r="M256" s="84"/>
      <c r="N256" s="85"/>
      <c r="O256" s="86"/>
      <c r="Q256" s="86"/>
    </row>
    <row r="257" spans="12:17" x14ac:dyDescent="0.3">
      <c r="L257" s="84"/>
      <c r="M257" s="84"/>
      <c r="N257" s="85"/>
      <c r="O257" s="86"/>
      <c r="Q257" s="86"/>
    </row>
    <row r="258" spans="12:17" x14ac:dyDescent="0.3">
      <c r="L258" s="84"/>
      <c r="M258" s="84"/>
      <c r="N258" s="85"/>
      <c r="O258" s="86"/>
      <c r="Q258" s="86"/>
    </row>
    <row r="259" spans="12:17" x14ac:dyDescent="0.3">
      <c r="L259" s="84"/>
      <c r="M259" s="84"/>
      <c r="N259" s="85"/>
      <c r="O259" s="86"/>
      <c r="Q259" s="86"/>
    </row>
    <row r="260" spans="12:17" x14ac:dyDescent="0.3">
      <c r="L260" s="84"/>
      <c r="M260" s="84"/>
      <c r="N260" s="85"/>
      <c r="O260" s="86"/>
      <c r="Q260" s="86"/>
    </row>
    <row r="261" spans="12:17" x14ac:dyDescent="0.3">
      <c r="L261" s="84"/>
      <c r="M261" s="84"/>
      <c r="N261" s="85"/>
      <c r="O261" s="86"/>
      <c r="Q261" s="86"/>
    </row>
    <row r="262" spans="12:17" x14ac:dyDescent="0.3">
      <c r="L262" s="84"/>
      <c r="M262" s="84"/>
      <c r="N262" s="85"/>
      <c r="O262" s="86"/>
      <c r="Q262" s="86"/>
    </row>
    <row r="263" spans="12:17" x14ac:dyDescent="0.3">
      <c r="L263" s="84"/>
      <c r="M263" s="84"/>
      <c r="N263" s="85"/>
      <c r="O263" s="86"/>
      <c r="Q263" s="86"/>
    </row>
    <row r="264" spans="12:17" x14ac:dyDescent="0.3">
      <c r="L264" s="84"/>
      <c r="M264" s="84"/>
      <c r="N264" s="85"/>
      <c r="O264" s="86"/>
      <c r="Q264" s="86"/>
    </row>
    <row r="265" spans="12:17" x14ac:dyDescent="0.3">
      <c r="L265" s="84"/>
      <c r="M265" s="84"/>
      <c r="N265" s="85"/>
      <c r="O265" s="86"/>
      <c r="Q265" s="86"/>
    </row>
    <row r="266" spans="12:17" x14ac:dyDescent="0.3">
      <c r="L266" s="84"/>
      <c r="M266" s="84"/>
      <c r="N266" s="85"/>
      <c r="O266" s="86"/>
      <c r="Q266" s="86"/>
    </row>
    <row r="267" spans="12:17" x14ac:dyDescent="0.3">
      <c r="L267" s="84"/>
      <c r="M267" s="84"/>
      <c r="N267" s="85"/>
      <c r="O267" s="86"/>
      <c r="Q267" s="86"/>
    </row>
    <row r="268" spans="12:17" x14ac:dyDescent="0.3">
      <c r="L268" s="84"/>
      <c r="M268" s="84"/>
      <c r="N268" s="85"/>
      <c r="O268" s="86"/>
      <c r="Q268" s="86"/>
    </row>
    <row r="269" spans="12:17" x14ac:dyDescent="0.3">
      <c r="L269" s="84"/>
      <c r="M269" s="84"/>
      <c r="N269" s="85"/>
      <c r="O269" s="86"/>
      <c r="Q269" s="86"/>
    </row>
    <row r="270" spans="12:17" x14ac:dyDescent="0.3">
      <c r="L270" s="84"/>
      <c r="M270" s="84"/>
      <c r="N270" s="85"/>
      <c r="O270" s="86"/>
      <c r="Q270" s="86"/>
    </row>
    <row r="271" spans="12:17" x14ac:dyDescent="0.3">
      <c r="L271" s="84"/>
      <c r="M271" s="84"/>
      <c r="N271" s="85"/>
      <c r="O271" s="86"/>
      <c r="Q271" s="86"/>
    </row>
    <row r="272" spans="12:17" x14ac:dyDescent="0.3">
      <c r="L272" s="84"/>
      <c r="M272" s="84"/>
      <c r="N272" s="85"/>
      <c r="O272" s="86"/>
      <c r="Q272" s="86"/>
    </row>
    <row r="273" spans="12:17" x14ac:dyDescent="0.3">
      <c r="L273" s="84"/>
      <c r="M273" s="84"/>
      <c r="N273" s="85"/>
      <c r="O273" s="86"/>
      <c r="Q273" s="86"/>
    </row>
    <row r="274" spans="12:17" x14ac:dyDescent="0.3">
      <c r="L274" s="84"/>
      <c r="M274" s="84"/>
      <c r="N274" s="85"/>
      <c r="O274" s="86"/>
      <c r="Q274" s="86"/>
    </row>
    <row r="275" spans="12:17" x14ac:dyDescent="0.3">
      <c r="L275" s="84"/>
      <c r="M275" s="84"/>
      <c r="N275" s="85"/>
      <c r="O275" s="86"/>
      <c r="Q275" s="86"/>
    </row>
    <row r="276" spans="12:17" x14ac:dyDescent="0.3">
      <c r="L276" s="84"/>
      <c r="M276" s="84"/>
      <c r="N276" s="85"/>
      <c r="O276" s="86"/>
      <c r="Q276" s="86"/>
    </row>
    <row r="277" spans="12:17" x14ac:dyDescent="0.3">
      <c r="L277" s="84"/>
      <c r="M277" s="84"/>
      <c r="N277" s="85"/>
      <c r="O277" s="86"/>
      <c r="Q277" s="86"/>
    </row>
    <row r="278" spans="12:17" x14ac:dyDescent="0.3">
      <c r="L278" s="84"/>
      <c r="M278" s="84"/>
      <c r="N278" s="85"/>
      <c r="O278" s="86"/>
      <c r="Q278" s="86"/>
    </row>
    <row r="279" spans="12:17" x14ac:dyDescent="0.3">
      <c r="L279" s="84"/>
      <c r="M279" s="84"/>
      <c r="N279" s="85"/>
      <c r="O279" s="86"/>
      <c r="Q279" s="86"/>
    </row>
    <row r="280" spans="12:17" x14ac:dyDescent="0.3">
      <c r="L280" s="84"/>
      <c r="M280" s="84"/>
      <c r="N280" s="85"/>
      <c r="O280" s="86"/>
      <c r="Q280" s="86"/>
    </row>
    <row r="281" spans="12:17" x14ac:dyDescent="0.3">
      <c r="L281" s="84"/>
      <c r="M281" s="84"/>
      <c r="N281" s="85"/>
      <c r="O281" s="86"/>
      <c r="Q281" s="86"/>
    </row>
    <row r="282" spans="12:17" x14ac:dyDescent="0.3">
      <c r="L282" s="84"/>
      <c r="M282" s="84"/>
      <c r="N282" s="85"/>
      <c r="O282" s="86"/>
      <c r="Q282" s="86"/>
    </row>
    <row r="283" spans="12:17" x14ac:dyDescent="0.3">
      <c r="L283" s="84"/>
      <c r="M283" s="84"/>
      <c r="N283" s="85"/>
      <c r="O283" s="86"/>
      <c r="Q283" s="86"/>
    </row>
    <row r="284" spans="12:17" x14ac:dyDescent="0.3">
      <c r="L284" s="84"/>
      <c r="M284" s="84"/>
      <c r="N284" s="85"/>
      <c r="O284" s="86"/>
      <c r="Q284" s="86"/>
    </row>
    <row r="285" spans="12:17" x14ac:dyDescent="0.3">
      <c r="L285" s="84"/>
      <c r="M285" s="84"/>
      <c r="N285" s="85"/>
      <c r="O285" s="86"/>
      <c r="Q285" s="86"/>
    </row>
    <row r="286" spans="12:17" x14ac:dyDescent="0.3">
      <c r="L286" s="84"/>
      <c r="M286" s="84"/>
      <c r="N286" s="85"/>
      <c r="O286" s="86"/>
      <c r="Q286" s="86"/>
    </row>
    <row r="287" spans="12:17" x14ac:dyDescent="0.3">
      <c r="L287" s="84"/>
      <c r="M287" s="84"/>
      <c r="N287" s="85"/>
      <c r="O287" s="86"/>
      <c r="Q287" s="86"/>
    </row>
    <row r="288" spans="12:17" x14ac:dyDescent="0.3">
      <c r="L288" s="84"/>
      <c r="M288" s="84"/>
      <c r="N288" s="85"/>
      <c r="O288" s="86"/>
      <c r="Q288" s="86"/>
    </row>
    <row r="289" spans="12:17" x14ac:dyDescent="0.3">
      <c r="L289" s="84"/>
      <c r="M289" s="84"/>
      <c r="N289" s="85"/>
      <c r="O289" s="86"/>
      <c r="Q289" s="86"/>
    </row>
    <row r="290" spans="12:17" x14ac:dyDescent="0.3">
      <c r="L290" s="84"/>
      <c r="M290" s="84"/>
      <c r="N290" s="85"/>
      <c r="O290" s="86"/>
      <c r="Q290" s="86"/>
    </row>
    <row r="291" spans="12:17" x14ac:dyDescent="0.3">
      <c r="L291" s="84"/>
      <c r="M291" s="84"/>
      <c r="N291" s="85"/>
      <c r="O291" s="86"/>
      <c r="Q291" s="86"/>
    </row>
    <row r="292" spans="12:17" x14ac:dyDescent="0.3">
      <c r="L292" s="84"/>
      <c r="M292" s="84"/>
      <c r="N292" s="85"/>
      <c r="O292" s="86"/>
      <c r="Q292" s="86"/>
    </row>
    <row r="293" spans="12:17" x14ac:dyDescent="0.3">
      <c r="L293" s="84"/>
      <c r="M293" s="84"/>
      <c r="N293" s="85"/>
      <c r="O293" s="86"/>
      <c r="Q293" s="86"/>
    </row>
    <row r="294" spans="12:17" x14ac:dyDescent="0.3">
      <c r="L294" s="84"/>
      <c r="M294" s="84"/>
      <c r="N294" s="85"/>
      <c r="O294" s="86"/>
      <c r="Q294" s="86"/>
    </row>
    <row r="295" spans="12:17" x14ac:dyDescent="0.3">
      <c r="L295" s="84"/>
      <c r="M295" s="84"/>
      <c r="N295" s="85"/>
      <c r="O295" s="86"/>
      <c r="Q295" s="86"/>
    </row>
    <row r="296" spans="12:17" x14ac:dyDescent="0.3">
      <c r="L296" s="84"/>
      <c r="M296" s="84"/>
      <c r="N296" s="85"/>
      <c r="O296" s="86"/>
      <c r="Q296" s="86"/>
    </row>
    <row r="297" spans="12:17" x14ac:dyDescent="0.3">
      <c r="L297" s="84"/>
      <c r="M297" s="84"/>
      <c r="N297" s="85"/>
      <c r="O297" s="86"/>
      <c r="Q297" s="86"/>
    </row>
    <row r="298" spans="12:17" x14ac:dyDescent="0.3">
      <c r="L298" s="84"/>
      <c r="M298" s="84"/>
      <c r="N298" s="85"/>
      <c r="O298" s="86"/>
      <c r="Q298" s="86"/>
    </row>
    <row r="299" spans="12:17" x14ac:dyDescent="0.3">
      <c r="L299" s="84"/>
      <c r="M299" s="84"/>
      <c r="N299" s="85"/>
      <c r="O299" s="86"/>
      <c r="Q299" s="86"/>
    </row>
    <row r="300" spans="12:17" x14ac:dyDescent="0.3">
      <c r="L300" s="84"/>
      <c r="M300" s="84"/>
      <c r="N300" s="85"/>
      <c r="O300" s="86"/>
      <c r="Q300" s="86"/>
    </row>
    <row r="301" spans="12:17" x14ac:dyDescent="0.3">
      <c r="L301" s="84"/>
      <c r="M301" s="84"/>
      <c r="N301" s="85"/>
      <c r="O301" s="86"/>
      <c r="Q301" s="86"/>
    </row>
    <row r="302" spans="12:17" x14ac:dyDescent="0.3">
      <c r="L302" s="84"/>
      <c r="M302" s="84"/>
      <c r="N302" s="85"/>
      <c r="O302" s="86"/>
      <c r="Q302" s="86"/>
    </row>
    <row r="303" spans="12:17" x14ac:dyDescent="0.3">
      <c r="L303" s="84"/>
      <c r="M303" s="84"/>
      <c r="N303" s="85"/>
      <c r="O303" s="86"/>
      <c r="Q303" s="86"/>
    </row>
    <row r="304" spans="12:17" x14ac:dyDescent="0.3">
      <c r="L304" s="84"/>
      <c r="M304" s="84"/>
      <c r="N304" s="85"/>
      <c r="O304" s="86"/>
      <c r="Q304" s="86"/>
    </row>
    <row r="305" spans="12:17" x14ac:dyDescent="0.3">
      <c r="L305" s="84"/>
      <c r="M305" s="84"/>
      <c r="N305" s="85"/>
      <c r="O305" s="86"/>
      <c r="Q305" s="86"/>
    </row>
    <row r="306" spans="12:17" x14ac:dyDescent="0.3">
      <c r="L306" s="84"/>
      <c r="M306" s="84"/>
      <c r="N306" s="85"/>
      <c r="O306" s="86"/>
      <c r="Q306" s="86"/>
    </row>
    <row r="307" spans="12:17" x14ac:dyDescent="0.3">
      <c r="L307" s="84"/>
      <c r="M307" s="84"/>
      <c r="N307" s="85"/>
      <c r="O307" s="86"/>
      <c r="Q307" s="86"/>
    </row>
    <row r="308" spans="12:17" x14ac:dyDescent="0.3">
      <c r="L308" s="84"/>
      <c r="M308" s="84"/>
      <c r="N308" s="85"/>
      <c r="O308" s="86"/>
      <c r="Q308" s="86"/>
    </row>
    <row r="309" spans="12:17" x14ac:dyDescent="0.3">
      <c r="L309" s="84"/>
      <c r="M309" s="84"/>
      <c r="N309" s="85"/>
      <c r="O309" s="86"/>
      <c r="Q309" s="86"/>
    </row>
    <row r="310" spans="12:17" x14ac:dyDescent="0.3">
      <c r="L310" s="84"/>
      <c r="M310" s="84"/>
      <c r="N310" s="85"/>
      <c r="O310" s="86"/>
      <c r="Q310" s="86"/>
    </row>
    <row r="311" spans="12:17" x14ac:dyDescent="0.3">
      <c r="L311" s="84"/>
      <c r="M311" s="84"/>
      <c r="N311" s="85"/>
      <c r="O311" s="86"/>
      <c r="Q311" s="86"/>
    </row>
    <row r="312" spans="12:17" x14ac:dyDescent="0.3">
      <c r="L312" s="84"/>
      <c r="M312" s="84"/>
      <c r="N312" s="85"/>
      <c r="O312" s="86"/>
      <c r="Q312" s="86"/>
    </row>
    <row r="313" spans="12:17" x14ac:dyDescent="0.3">
      <c r="L313" s="84"/>
      <c r="M313" s="84"/>
      <c r="N313" s="85"/>
      <c r="O313" s="86"/>
      <c r="Q313" s="86"/>
    </row>
    <row r="314" spans="12:17" x14ac:dyDescent="0.3">
      <c r="L314" s="84"/>
      <c r="M314" s="84"/>
      <c r="N314" s="85"/>
      <c r="O314" s="86"/>
      <c r="Q314" s="86"/>
    </row>
    <row r="315" spans="12:17" x14ac:dyDescent="0.3">
      <c r="L315" s="84"/>
      <c r="M315" s="84"/>
      <c r="N315" s="85"/>
      <c r="O315" s="86"/>
      <c r="Q315" s="86"/>
    </row>
    <row r="316" spans="12:17" x14ac:dyDescent="0.3">
      <c r="L316" s="84"/>
      <c r="M316" s="84"/>
      <c r="N316" s="85"/>
      <c r="O316" s="86"/>
      <c r="Q316" s="86"/>
    </row>
    <row r="317" spans="12:17" x14ac:dyDescent="0.3">
      <c r="L317" s="84"/>
      <c r="M317" s="84"/>
      <c r="N317" s="85"/>
      <c r="O317" s="86"/>
      <c r="Q317" s="86"/>
    </row>
    <row r="318" spans="12:17" x14ac:dyDescent="0.3">
      <c r="L318" s="84"/>
      <c r="M318" s="84"/>
      <c r="N318" s="85"/>
      <c r="O318" s="86"/>
      <c r="Q318" s="86"/>
    </row>
    <row r="319" spans="12:17" x14ac:dyDescent="0.3">
      <c r="L319" s="84"/>
      <c r="M319" s="84"/>
      <c r="N319" s="85"/>
      <c r="O319" s="86"/>
      <c r="Q319" s="86"/>
    </row>
    <row r="320" spans="12:17" x14ac:dyDescent="0.3">
      <c r="L320" s="84"/>
      <c r="M320" s="84"/>
      <c r="N320" s="85"/>
      <c r="O320" s="86"/>
      <c r="Q320" s="86"/>
    </row>
    <row r="321" spans="12:17" x14ac:dyDescent="0.3">
      <c r="L321" s="84"/>
      <c r="M321" s="84"/>
      <c r="N321" s="85"/>
      <c r="O321" s="86"/>
      <c r="Q321" s="86"/>
    </row>
    <row r="322" spans="12:17" x14ac:dyDescent="0.3">
      <c r="L322" s="84"/>
      <c r="M322" s="84"/>
      <c r="N322" s="85"/>
      <c r="O322" s="86"/>
      <c r="Q322" s="86"/>
    </row>
    <row r="323" spans="12:17" x14ac:dyDescent="0.3">
      <c r="L323" s="84"/>
      <c r="M323" s="84"/>
      <c r="N323" s="85"/>
      <c r="O323" s="86"/>
      <c r="Q323" s="86"/>
    </row>
    <row r="324" spans="12:17" x14ac:dyDescent="0.3">
      <c r="L324" s="84"/>
      <c r="M324" s="84"/>
      <c r="N324" s="85"/>
      <c r="O324" s="86"/>
      <c r="Q324" s="86"/>
    </row>
    <row r="325" spans="12:17" x14ac:dyDescent="0.3">
      <c r="L325" s="84"/>
      <c r="M325" s="84"/>
      <c r="N325" s="85"/>
      <c r="O325" s="86"/>
      <c r="Q325" s="86"/>
    </row>
    <row r="326" spans="12:17" x14ac:dyDescent="0.3">
      <c r="L326" s="84"/>
      <c r="M326" s="84"/>
      <c r="N326" s="85"/>
      <c r="O326" s="86"/>
      <c r="Q326" s="86"/>
    </row>
    <row r="327" spans="12:17" x14ac:dyDescent="0.3">
      <c r="L327" s="84"/>
      <c r="M327" s="84"/>
      <c r="N327" s="85"/>
      <c r="O327" s="86"/>
      <c r="Q327" s="86"/>
    </row>
    <row r="328" spans="12:17" x14ac:dyDescent="0.3">
      <c r="L328" s="84"/>
      <c r="M328" s="84"/>
      <c r="N328" s="85"/>
      <c r="O328" s="86"/>
      <c r="Q328" s="86"/>
    </row>
    <row r="329" spans="12:17" x14ac:dyDescent="0.3">
      <c r="L329" s="84"/>
      <c r="M329" s="84"/>
      <c r="N329" s="85"/>
      <c r="O329" s="86"/>
      <c r="Q329" s="86"/>
    </row>
    <row r="330" spans="12:17" x14ac:dyDescent="0.3">
      <c r="L330" s="84"/>
      <c r="M330" s="84"/>
      <c r="N330" s="85"/>
      <c r="O330" s="86"/>
      <c r="Q330" s="86"/>
    </row>
    <row r="331" spans="12:17" x14ac:dyDescent="0.3">
      <c r="L331" s="84"/>
      <c r="M331" s="84"/>
      <c r="N331" s="85"/>
      <c r="O331" s="86"/>
      <c r="Q331" s="86"/>
    </row>
    <row r="332" spans="12:17" x14ac:dyDescent="0.3">
      <c r="L332" s="84"/>
      <c r="M332" s="84"/>
      <c r="N332" s="85"/>
      <c r="O332" s="86"/>
      <c r="Q332" s="86"/>
    </row>
    <row r="333" spans="12:17" x14ac:dyDescent="0.3">
      <c r="L333" s="84"/>
      <c r="M333" s="84"/>
      <c r="N333" s="85"/>
      <c r="O333" s="86"/>
      <c r="Q333" s="86"/>
    </row>
    <row r="334" spans="12:17" x14ac:dyDescent="0.3">
      <c r="L334" s="84"/>
      <c r="M334" s="84"/>
      <c r="N334" s="85"/>
      <c r="O334" s="86"/>
      <c r="Q334" s="86"/>
    </row>
    <row r="335" spans="12:17" x14ac:dyDescent="0.3">
      <c r="L335" s="84"/>
      <c r="M335" s="84"/>
      <c r="N335" s="85"/>
      <c r="O335" s="86"/>
      <c r="Q335" s="86"/>
    </row>
    <row r="336" spans="12:17" x14ac:dyDescent="0.3">
      <c r="L336" s="84"/>
      <c r="M336" s="84"/>
      <c r="N336" s="85"/>
      <c r="O336" s="86"/>
      <c r="Q336" s="86"/>
    </row>
    <row r="337" spans="12:17" x14ac:dyDescent="0.3">
      <c r="L337" s="84"/>
      <c r="M337" s="84"/>
      <c r="N337" s="85"/>
      <c r="O337" s="86"/>
      <c r="Q337" s="86"/>
    </row>
    <row r="338" spans="12:17" x14ac:dyDescent="0.3">
      <c r="L338" s="84"/>
      <c r="M338" s="84"/>
      <c r="N338" s="85"/>
      <c r="O338" s="86"/>
      <c r="Q338" s="86"/>
    </row>
    <row r="339" spans="12:17" x14ac:dyDescent="0.3">
      <c r="L339" s="84"/>
      <c r="M339" s="84"/>
      <c r="N339" s="85"/>
      <c r="O339" s="86"/>
      <c r="Q339" s="86"/>
    </row>
    <row r="340" spans="12:17" x14ac:dyDescent="0.3">
      <c r="L340" s="84"/>
      <c r="M340" s="84"/>
      <c r="N340" s="85"/>
      <c r="O340" s="86"/>
      <c r="Q340" s="86"/>
    </row>
    <row r="341" spans="12:17" x14ac:dyDescent="0.3">
      <c r="L341" s="84"/>
      <c r="M341" s="84"/>
      <c r="N341" s="85"/>
      <c r="O341" s="86"/>
      <c r="Q341" s="86"/>
    </row>
    <row r="342" spans="12:17" x14ac:dyDescent="0.3">
      <c r="L342" s="84"/>
      <c r="M342" s="84"/>
      <c r="N342" s="85"/>
      <c r="O342" s="86"/>
      <c r="Q342" s="86"/>
    </row>
    <row r="343" spans="12:17" x14ac:dyDescent="0.3">
      <c r="L343" s="84"/>
      <c r="M343" s="84"/>
      <c r="N343" s="85"/>
      <c r="O343" s="86"/>
      <c r="Q343" s="86"/>
    </row>
    <row r="344" spans="12:17" x14ac:dyDescent="0.3">
      <c r="L344" s="84"/>
      <c r="M344" s="84"/>
      <c r="N344" s="85"/>
      <c r="O344" s="86"/>
      <c r="Q344" s="86"/>
    </row>
    <row r="345" spans="12:17" x14ac:dyDescent="0.3">
      <c r="L345" s="84"/>
      <c r="M345" s="84"/>
      <c r="N345" s="85"/>
      <c r="O345" s="86"/>
      <c r="Q345" s="86"/>
    </row>
    <row r="346" spans="12:17" x14ac:dyDescent="0.3">
      <c r="L346" s="84"/>
      <c r="M346" s="84"/>
      <c r="N346" s="85"/>
      <c r="O346" s="86"/>
      <c r="Q346" s="86"/>
    </row>
    <row r="347" spans="12:17" x14ac:dyDescent="0.3">
      <c r="L347" s="84"/>
      <c r="M347" s="84"/>
      <c r="N347" s="85"/>
      <c r="O347" s="86"/>
      <c r="Q347" s="86"/>
    </row>
    <row r="348" spans="12:17" x14ac:dyDescent="0.3">
      <c r="L348" s="84"/>
      <c r="M348" s="84"/>
      <c r="N348" s="85"/>
      <c r="O348" s="86"/>
      <c r="Q348" s="86"/>
    </row>
    <row r="349" spans="12:17" x14ac:dyDescent="0.3">
      <c r="L349" s="84"/>
      <c r="M349" s="84"/>
      <c r="N349" s="85"/>
      <c r="O349" s="86"/>
      <c r="Q349" s="86"/>
    </row>
    <row r="350" spans="12:17" x14ac:dyDescent="0.3">
      <c r="L350" s="84"/>
      <c r="M350" s="84"/>
      <c r="N350" s="85"/>
      <c r="O350" s="86"/>
      <c r="Q350" s="86"/>
    </row>
    <row r="351" spans="12:17" x14ac:dyDescent="0.3">
      <c r="L351" s="84"/>
      <c r="M351" s="84"/>
      <c r="N351" s="85"/>
      <c r="O351" s="86"/>
      <c r="Q351" s="86"/>
    </row>
    <row r="352" spans="12:17" x14ac:dyDescent="0.3">
      <c r="L352" s="84"/>
      <c r="M352" s="84"/>
      <c r="N352" s="85"/>
      <c r="O352" s="86"/>
      <c r="Q352" s="86"/>
    </row>
    <row r="353" spans="12:17" x14ac:dyDescent="0.3">
      <c r="L353" s="84"/>
      <c r="M353" s="84"/>
      <c r="N353" s="85"/>
      <c r="O353" s="86"/>
      <c r="Q353" s="86"/>
    </row>
    <row r="354" spans="12:17" x14ac:dyDescent="0.3">
      <c r="L354" s="84"/>
      <c r="M354" s="84"/>
      <c r="N354" s="85"/>
      <c r="O354" s="86"/>
      <c r="Q354" s="86"/>
    </row>
    <row r="355" spans="12:17" x14ac:dyDescent="0.3">
      <c r="L355" s="84"/>
      <c r="M355" s="84"/>
      <c r="N355" s="85"/>
      <c r="O355" s="86"/>
      <c r="Q355" s="86"/>
    </row>
    <row r="356" spans="12:17" x14ac:dyDescent="0.3">
      <c r="L356" s="84"/>
      <c r="M356" s="84"/>
      <c r="N356" s="85"/>
      <c r="O356" s="86"/>
      <c r="Q356" s="86"/>
    </row>
    <row r="357" spans="12:17" x14ac:dyDescent="0.3">
      <c r="L357" s="84"/>
      <c r="M357" s="84"/>
      <c r="N357" s="85"/>
      <c r="O357" s="86"/>
      <c r="Q357" s="86"/>
    </row>
    <row r="358" spans="12:17" x14ac:dyDescent="0.3">
      <c r="L358" s="84"/>
      <c r="M358" s="84"/>
      <c r="N358" s="85"/>
      <c r="O358" s="86"/>
      <c r="Q358" s="86"/>
    </row>
    <row r="359" spans="12:17" x14ac:dyDescent="0.3">
      <c r="L359" s="84"/>
      <c r="M359" s="84"/>
      <c r="N359" s="85"/>
      <c r="O359" s="86"/>
      <c r="Q359" s="86"/>
    </row>
    <row r="360" spans="12:17" x14ac:dyDescent="0.3">
      <c r="L360" s="84"/>
      <c r="M360" s="84"/>
      <c r="N360" s="85"/>
      <c r="O360" s="86"/>
      <c r="Q360" s="86"/>
    </row>
    <row r="361" spans="12:17" x14ac:dyDescent="0.3">
      <c r="L361" s="84"/>
      <c r="M361" s="84"/>
      <c r="N361" s="85"/>
      <c r="O361" s="86"/>
      <c r="Q361" s="86"/>
    </row>
    <row r="362" spans="12:17" x14ac:dyDescent="0.3">
      <c r="L362" s="84"/>
      <c r="M362" s="84"/>
      <c r="N362" s="85"/>
      <c r="O362" s="86"/>
      <c r="Q362" s="86"/>
    </row>
    <row r="363" spans="12:17" x14ac:dyDescent="0.3">
      <c r="L363" s="84"/>
      <c r="M363" s="84"/>
      <c r="N363" s="85"/>
      <c r="O363" s="86"/>
      <c r="Q363" s="86"/>
    </row>
    <row r="364" spans="12:17" x14ac:dyDescent="0.3">
      <c r="L364" s="84"/>
      <c r="M364" s="84"/>
      <c r="N364" s="85"/>
      <c r="O364" s="86"/>
      <c r="Q364" s="86"/>
    </row>
    <row r="365" spans="12:17" x14ac:dyDescent="0.3">
      <c r="L365" s="84"/>
      <c r="M365" s="84"/>
      <c r="N365" s="85"/>
      <c r="O365" s="86"/>
      <c r="Q365" s="86"/>
    </row>
    <row r="366" spans="12:17" x14ac:dyDescent="0.3">
      <c r="L366" s="84"/>
      <c r="M366" s="84"/>
      <c r="N366" s="85"/>
      <c r="O366" s="86"/>
      <c r="Q366" s="86"/>
    </row>
    <row r="367" spans="12:17" x14ac:dyDescent="0.3">
      <c r="L367" s="84"/>
      <c r="M367" s="84"/>
      <c r="N367" s="85"/>
      <c r="O367" s="86"/>
      <c r="Q367" s="86"/>
    </row>
    <row r="368" spans="12:17" x14ac:dyDescent="0.3">
      <c r="L368" s="84"/>
      <c r="M368" s="84"/>
      <c r="N368" s="85"/>
      <c r="O368" s="86"/>
      <c r="Q368" s="86"/>
    </row>
    <row r="369" spans="12:17" x14ac:dyDescent="0.3">
      <c r="L369" s="84"/>
      <c r="M369" s="84"/>
      <c r="N369" s="85"/>
      <c r="O369" s="86"/>
      <c r="Q369" s="86"/>
    </row>
    <row r="370" spans="12:17" x14ac:dyDescent="0.3">
      <c r="L370" s="84"/>
      <c r="M370" s="84"/>
      <c r="N370" s="85"/>
      <c r="O370" s="86"/>
      <c r="Q370" s="86"/>
    </row>
    <row r="371" spans="12:17" x14ac:dyDescent="0.3">
      <c r="L371" s="84"/>
      <c r="M371" s="84"/>
      <c r="N371" s="85"/>
      <c r="O371" s="86"/>
      <c r="Q371" s="86"/>
    </row>
    <row r="372" spans="12:17" x14ac:dyDescent="0.3">
      <c r="L372" s="84"/>
      <c r="M372" s="84"/>
      <c r="N372" s="85"/>
      <c r="O372" s="86"/>
      <c r="Q372" s="86"/>
    </row>
    <row r="373" spans="12:17" x14ac:dyDescent="0.3">
      <c r="L373" s="84"/>
      <c r="M373" s="84"/>
      <c r="N373" s="85"/>
      <c r="O373" s="86"/>
      <c r="Q373" s="86"/>
    </row>
    <row r="374" spans="12:17" x14ac:dyDescent="0.3">
      <c r="L374" s="84"/>
      <c r="M374" s="84"/>
      <c r="N374" s="85"/>
      <c r="O374" s="86"/>
      <c r="Q374" s="86"/>
    </row>
    <row r="375" spans="12:17" x14ac:dyDescent="0.3">
      <c r="L375" s="84"/>
      <c r="M375" s="84"/>
      <c r="N375" s="85"/>
      <c r="O375" s="86"/>
      <c r="Q375" s="86"/>
    </row>
    <row r="376" spans="12:17" x14ac:dyDescent="0.3">
      <c r="L376" s="84"/>
      <c r="M376" s="84"/>
      <c r="N376" s="85"/>
      <c r="O376" s="86"/>
      <c r="Q376" s="86"/>
    </row>
    <row r="377" spans="12:17" x14ac:dyDescent="0.3">
      <c r="L377" s="84"/>
      <c r="M377" s="84"/>
      <c r="N377" s="85"/>
      <c r="O377" s="86"/>
      <c r="Q377" s="86"/>
    </row>
    <row r="378" spans="12:17" x14ac:dyDescent="0.3">
      <c r="L378" s="84"/>
      <c r="M378" s="84"/>
      <c r="N378" s="85"/>
      <c r="O378" s="86"/>
      <c r="Q378" s="86"/>
    </row>
    <row r="379" spans="12:17" x14ac:dyDescent="0.3">
      <c r="L379" s="84"/>
      <c r="M379" s="84"/>
      <c r="N379" s="85"/>
      <c r="O379" s="86"/>
      <c r="Q379" s="86"/>
    </row>
    <row r="380" spans="12:17" x14ac:dyDescent="0.3">
      <c r="L380" s="84"/>
      <c r="M380" s="84"/>
      <c r="N380" s="85"/>
      <c r="O380" s="86"/>
      <c r="Q380" s="86"/>
    </row>
    <row r="381" spans="12:17" x14ac:dyDescent="0.3">
      <c r="L381" s="84"/>
      <c r="M381" s="84"/>
      <c r="N381" s="85"/>
      <c r="O381" s="86"/>
      <c r="Q381" s="86"/>
    </row>
    <row r="382" spans="12:17" x14ac:dyDescent="0.3">
      <c r="L382" s="84"/>
      <c r="M382" s="84"/>
      <c r="N382" s="85"/>
      <c r="O382" s="86"/>
      <c r="Q382" s="86"/>
    </row>
    <row r="383" spans="12:17" x14ac:dyDescent="0.3">
      <c r="L383" s="84"/>
      <c r="M383" s="84"/>
      <c r="N383" s="85"/>
      <c r="O383" s="86"/>
      <c r="Q383" s="86"/>
    </row>
    <row r="384" spans="12:17" x14ac:dyDescent="0.3">
      <c r="L384" s="84"/>
      <c r="M384" s="84"/>
      <c r="N384" s="85"/>
      <c r="O384" s="86"/>
      <c r="Q384" s="86"/>
    </row>
    <row r="385" spans="12:17" x14ac:dyDescent="0.3">
      <c r="L385" s="84"/>
      <c r="M385" s="84"/>
      <c r="N385" s="85"/>
      <c r="O385" s="86"/>
      <c r="Q385" s="86"/>
    </row>
    <row r="386" spans="12:17" x14ac:dyDescent="0.3">
      <c r="L386" s="84"/>
      <c r="M386" s="84"/>
      <c r="N386" s="85"/>
      <c r="O386" s="86"/>
      <c r="Q386" s="86"/>
    </row>
    <row r="387" spans="12:17" x14ac:dyDescent="0.3">
      <c r="L387" s="84"/>
      <c r="M387" s="84"/>
      <c r="N387" s="85"/>
      <c r="O387" s="86"/>
      <c r="Q387" s="86"/>
    </row>
    <row r="388" spans="12:17" x14ac:dyDescent="0.3">
      <c r="L388" s="84"/>
      <c r="M388" s="84"/>
      <c r="N388" s="85"/>
      <c r="O388" s="86"/>
      <c r="Q388" s="86"/>
    </row>
    <row r="389" spans="12:17" x14ac:dyDescent="0.3">
      <c r="L389" s="84"/>
      <c r="M389" s="84"/>
      <c r="N389" s="85"/>
      <c r="O389" s="86"/>
      <c r="Q389" s="86"/>
    </row>
    <row r="390" spans="12:17" x14ac:dyDescent="0.3">
      <c r="L390" s="84"/>
      <c r="M390" s="84"/>
      <c r="N390" s="85"/>
      <c r="O390" s="86"/>
      <c r="Q390" s="86"/>
    </row>
    <row r="391" spans="12:17" x14ac:dyDescent="0.3">
      <c r="L391" s="84"/>
      <c r="M391" s="84"/>
      <c r="N391" s="85"/>
      <c r="O391" s="86"/>
      <c r="Q391" s="86"/>
    </row>
    <row r="392" spans="12:17" x14ac:dyDescent="0.3">
      <c r="L392" s="84"/>
      <c r="M392" s="84"/>
      <c r="N392" s="85"/>
      <c r="O392" s="86"/>
      <c r="Q392" s="86"/>
    </row>
    <row r="393" spans="12:17" x14ac:dyDescent="0.3">
      <c r="L393" s="84"/>
      <c r="M393" s="84"/>
      <c r="N393" s="85"/>
      <c r="O393" s="86"/>
      <c r="Q393" s="86"/>
    </row>
    <row r="394" spans="12:17" x14ac:dyDescent="0.3">
      <c r="L394" s="84"/>
      <c r="M394" s="84"/>
      <c r="N394" s="85"/>
      <c r="O394" s="86"/>
      <c r="Q394" s="86"/>
    </row>
    <row r="395" spans="12:17" x14ac:dyDescent="0.3">
      <c r="L395" s="84"/>
      <c r="M395" s="84"/>
      <c r="N395" s="85"/>
      <c r="O395" s="86"/>
      <c r="Q395" s="86"/>
    </row>
    <row r="396" spans="12:17" x14ac:dyDescent="0.3">
      <c r="L396" s="84"/>
      <c r="M396" s="84"/>
      <c r="N396" s="85"/>
      <c r="O396" s="86"/>
      <c r="Q396" s="86"/>
    </row>
    <row r="397" spans="12:17" x14ac:dyDescent="0.3">
      <c r="L397" s="84"/>
      <c r="M397" s="84"/>
      <c r="N397" s="85"/>
      <c r="O397" s="86"/>
      <c r="Q397" s="86"/>
    </row>
    <row r="398" spans="12:17" x14ac:dyDescent="0.3">
      <c r="L398" s="84"/>
      <c r="M398" s="84"/>
      <c r="N398" s="85"/>
      <c r="O398" s="86"/>
      <c r="Q398" s="86"/>
    </row>
    <row r="399" spans="12:17" x14ac:dyDescent="0.3">
      <c r="L399" s="84"/>
      <c r="M399" s="84"/>
      <c r="N399" s="85"/>
      <c r="O399" s="86"/>
      <c r="Q399" s="86"/>
    </row>
    <row r="400" spans="12:17" x14ac:dyDescent="0.3">
      <c r="L400" s="84"/>
      <c r="M400" s="84"/>
      <c r="N400" s="85"/>
      <c r="O400" s="86"/>
      <c r="Q400" s="86"/>
    </row>
    <row r="401" spans="12:17" x14ac:dyDescent="0.3">
      <c r="L401" s="84"/>
      <c r="M401" s="84"/>
      <c r="N401" s="85"/>
      <c r="O401" s="86"/>
      <c r="Q401" s="86"/>
    </row>
    <row r="402" spans="12:17" x14ac:dyDescent="0.3">
      <c r="L402" s="84"/>
      <c r="M402" s="84"/>
      <c r="N402" s="85"/>
      <c r="O402" s="86"/>
      <c r="Q402" s="86"/>
    </row>
    <row r="403" spans="12:17" x14ac:dyDescent="0.3">
      <c r="L403" s="84"/>
      <c r="M403" s="84"/>
      <c r="N403" s="85"/>
      <c r="O403" s="86"/>
      <c r="Q403" s="86"/>
    </row>
    <row r="404" spans="12:17" x14ac:dyDescent="0.3">
      <c r="L404" s="84"/>
      <c r="M404" s="84"/>
      <c r="N404" s="85"/>
      <c r="O404" s="86"/>
      <c r="Q404" s="86"/>
    </row>
    <row r="405" spans="12:17" x14ac:dyDescent="0.3">
      <c r="L405" s="84"/>
      <c r="M405" s="84"/>
      <c r="N405" s="85"/>
      <c r="O405" s="86"/>
      <c r="Q405" s="86"/>
    </row>
    <row r="406" spans="12:17" x14ac:dyDescent="0.3">
      <c r="L406" s="84"/>
      <c r="M406" s="84"/>
      <c r="N406" s="85"/>
      <c r="O406" s="86"/>
      <c r="Q406" s="86"/>
    </row>
    <row r="407" spans="12:17" x14ac:dyDescent="0.3">
      <c r="L407" s="84"/>
      <c r="M407" s="84"/>
      <c r="N407" s="85"/>
      <c r="O407" s="86"/>
      <c r="Q407" s="86"/>
    </row>
    <row r="408" spans="12:17" x14ac:dyDescent="0.3">
      <c r="L408" s="84"/>
      <c r="M408" s="84"/>
      <c r="N408" s="85"/>
      <c r="O408" s="86"/>
      <c r="Q408" s="86"/>
    </row>
    <row r="409" spans="12:17" x14ac:dyDescent="0.3">
      <c r="L409" s="84"/>
      <c r="M409" s="84"/>
      <c r="N409" s="85"/>
      <c r="O409" s="86"/>
      <c r="Q409" s="86"/>
    </row>
    <row r="410" spans="12:17" x14ac:dyDescent="0.3">
      <c r="L410" s="84"/>
      <c r="M410" s="84"/>
      <c r="N410" s="85"/>
      <c r="O410" s="86"/>
      <c r="Q410" s="86"/>
    </row>
    <row r="411" spans="12:17" x14ac:dyDescent="0.3">
      <c r="L411" s="84"/>
      <c r="M411" s="84"/>
      <c r="N411" s="85"/>
      <c r="O411" s="86"/>
      <c r="Q411" s="86"/>
    </row>
    <row r="412" spans="12:17" x14ac:dyDescent="0.3">
      <c r="L412" s="84"/>
      <c r="M412" s="84"/>
      <c r="N412" s="85"/>
      <c r="O412" s="86"/>
      <c r="Q412" s="86"/>
    </row>
    <row r="413" spans="12:17" x14ac:dyDescent="0.3">
      <c r="L413" s="84"/>
      <c r="M413" s="84"/>
      <c r="N413" s="85"/>
      <c r="O413" s="86"/>
      <c r="Q413" s="86"/>
    </row>
    <row r="414" spans="12:17" x14ac:dyDescent="0.3">
      <c r="L414" s="84"/>
      <c r="M414" s="84"/>
      <c r="N414" s="85"/>
      <c r="O414" s="86"/>
      <c r="Q414" s="86"/>
    </row>
    <row r="415" spans="12:17" x14ac:dyDescent="0.3">
      <c r="L415" s="84"/>
      <c r="M415" s="84"/>
      <c r="N415" s="85"/>
      <c r="O415" s="86"/>
      <c r="Q415" s="86"/>
    </row>
    <row r="416" spans="12:17" x14ac:dyDescent="0.3">
      <c r="L416" s="84"/>
      <c r="M416" s="84"/>
      <c r="N416" s="85"/>
      <c r="O416" s="86"/>
      <c r="Q416" s="86"/>
    </row>
    <row r="417" spans="12:17" x14ac:dyDescent="0.3">
      <c r="L417" s="84"/>
      <c r="M417" s="84"/>
      <c r="N417" s="85"/>
      <c r="O417" s="86"/>
      <c r="Q417" s="86"/>
    </row>
    <row r="418" spans="12:17" x14ac:dyDescent="0.3">
      <c r="L418" s="84"/>
      <c r="M418" s="84"/>
      <c r="N418" s="85"/>
      <c r="O418" s="86"/>
      <c r="Q418" s="86"/>
    </row>
    <row r="419" spans="12:17" x14ac:dyDescent="0.3">
      <c r="L419" s="84"/>
      <c r="M419" s="84"/>
      <c r="N419" s="85"/>
      <c r="O419" s="86"/>
      <c r="Q419" s="86"/>
    </row>
    <row r="420" spans="12:17" x14ac:dyDescent="0.3">
      <c r="L420" s="84"/>
      <c r="M420" s="84"/>
      <c r="N420" s="85"/>
      <c r="O420" s="86"/>
      <c r="Q420" s="86"/>
    </row>
    <row r="421" spans="12:17" x14ac:dyDescent="0.3">
      <c r="L421" s="84"/>
      <c r="M421" s="84"/>
      <c r="N421" s="85"/>
      <c r="O421" s="86"/>
      <c r="Q421" s="86"/>
    </row>
    <row r="422" spans="12:17" x14ac:dyDescent="0.3">
      <c r="L422" s="84"/>
      <c r="M422" s="84"/>
      <c r="N422" s="85"/>
      <c r="O422" s="86"/>
      <c r="Q422" s="86"/>
    </row>
    <row r="423" spans="12:17" x14ac:dyDescent="0.3">
      <c r="L423" s="84"/>
      <c r="M423" s="84"/>
      <c r="N423" s="85"/>
      <c r="O423" s="86"/>
      <c r="Q423" s="86"/>
    </row>
    <row r="424" spans="12:17" x14ac:dyDescent="0.3">
      <c r="L424" s="84"/>
      <c r="M424" s="84"/>
      <c r="N424" s="85"/>
      <c r="O424" s="86"/>
      <c r="Q424" s="86"/>
    </row>
    <row r="425" spans="12:17" x14ac:dyDescent="0.3">
      <c r="L425" s="84"/>
      <c r="M425" s="84"/>
      <c r="N425" s="85"/>
      <c r="O425" s="86"/>
      <c r="Q425" s="86"/>
    </row>
    <row r="426" spans="12:17" x14ac:dyDescent="0.3">
      <c r="L426" s="84"/>
      <c r="M426" s="84"/>
      <c r="N426" s="85"/>
      <c r="O426" s="86"/>
      <c r="Q426" s="86"/>
    </row>
    <row r="427" spans="12:17" x14ac:dyDescent="0.3">
      <c r="L427" s="84"/>
      <c r="M427" s="84"/>
      <c r="N427" s="85"/>
      <c r="O427" s="86"/>
      <c r="Q427" s="86"/>
    </row>
    <row r="428" spans="12:17" x14ac:dyDescent="0.3">
      <c r="L428" s="84"/>
      <c r="M428" s="84"/>
      <c r="N428" s="85"/>
      <c r="O428" s="86"/>
      <c r="Q428" s="86"/>
    </row>
    <row r="429" spans="12:17" x14ac:dyDescent="0.3">
      <c r="L429" s="84"/>
      <c r="M429" s="84"/>
      <c r="N429" s="85"/>
      <c r="O429" s="86"/>
      <c r="Q429" s="86"/>
    </row>
    <row r="430" spans="12:17" x14ac:dyDescent="0.3">
      <c r="L430" s="84"/>
      <c r="M430" s="84"/>
      <c r="N430" s="85"/>
      <c r="O430" s="86"/>
      <c r="Q430" s="86"/>
    </row>
    <row r="431" spans="12:17" x14ac:dyDescent="0.3">
      <c r="L431" s="84"/>
      <c r="M431" s="84"/>
      <c r="N431" s="85"/>
      <c r="O431" s="86"/>
      <c r="Q431" s="86"/>
    </row>
    <row r="432" spans="12:17" x14ac:dyDescent="0.3">
      <c r="L432" s="84"/>
      <c r="M432" s="84"/>
      <c r="N432" s="85"/>
      <c r="O432" s="86"/>
      <c r="Q432" s="86"/>
    </row>
    <row r="433" spans="12:17" x14ac:dyDescent="0.3">
      <c r="L433" s="84"/>
      <c r="M433" s="84"/>
      <c r="N433" s="85"/>
      <c r="O433" s="86"/>
      <c r="Q433" s="86"/>
    </row>
    <row r="434" spans="12:17" x14ac:dyDescent="0.3">
      <c r="L434" s="84"/>
      <c r="M434" s="84"/>
      <c r="N434" s="85"/>
      <c r="O434" s="86"/>
      <c r="Q434" s="86"/>
    </row>
    <row r="435" spans="12:17" x14ac:dyDescent="0.3">
      <c r="L435" s="84"/>
      <c r="M435" s="84"/>
      <c r="N435" s="85"/>
      <c r="O435" s="86"/>
      <c r="Q435" s="86"/>
    </row>
    <row r="436" spans="12:17" x14ac:dyDescent="0.3">
      <c r="L436" s="84"/>
      <c r="M436" s="84"/>
      <c r="N436" s="85"/>
      <c r="O436" s="86"/>
      <c r="Q436" s="86"/>
    </row>
    <row r="437" spans="12:17" x14ac:dyDescent="0.3">
      <c r="L437" s="84"/>
      <c r="M437" s="84"/>
      <c r="N437" s="85"/>
      <c r="O437" s="86"/>
      <c r="Q437" s="86"/>
    </row>
    <row r="438" spans="12:17" x14ac:dyDescent="0.3">
      <c r="L438" s="84"/>
      <c r="M438" s="84"/>
      <c r="N438" s="85"/>
      <c r="O438" s="86"/>
      <c r="Q438" s="86"/>
    </row>
    <row r="439" spans="12:17" x14ac:dyDescent="0.3">
      <c r="L439" s="84"/>
      <c r="M439" s="84"/>
      <c r="N439" s="85"/>
      <c r="O439" s="86"/>
      <c r="Q439" s="86"/>
    </row>
    <row r="440" spans="12:17" x14ac:dyDescent="0.3">
      <c r="L440" s="84"/>
      <c r="M440" s="84"/>
      <c r="N440" s="85"/>
      <c r="O440" s="86"/>
      <c r="Q440" s="86"/>
    </row>
    <row r="441" spans="12:17" x14ac:dyDescent="0.3">
      <c r="L441" s="84"/>
      <c r="M441" s="84"/>
      <c r="N441" s="85"/>
      <c r="O441" s="86"/>
      <c r="Q441" s="86"/>
    </row>
    <row r="442" spans="12:17" x14ac:dyDescent="0.3">
      <c r="L442" s="84"/>
      <c r="M442" s="84"/>
      <c r="N442" s="85"/>
      <c r="O442" s="86"/>
      <c r="Q442" s="86"/>
    </row>
    <row r="443" spans="12:17" x14ac:dyDescent="0.3">
      <c r="L443" s="84"/>
      <c r="M443" s="84"/>
      <c r="N443" s="85"/>
      <c r="O443" s="86"/>
      <c r="Q443" s="86"/>
    </row>
    <row r="444" spans="12:17" x14ac:dyDescent="0.3">
      <c r="L444" s="84"/>
      <c r="M444" s="84"/>
      <c r="N444" s="85"/>
      <c r="O444" s="86"/>
      <c r="Q444" s="86"/>
    </row>
    <row r="445" spans="12:17" x14ac:dyDescent="0.3">
      <c r="L445" s="84"/>
      <c r="M445" s="84"/>
      <c r="N445" s="85"/>
      <c r="O445" s="86"/>
      <c r="Q445" s="86"/>
    </row>
    <row r="446" spans="12:17" x14ac:dyDescent="0.3">
      <c r="L446" s="84"/>
      <c r="M446" s="84"/>
      <c r="N446" s="85"/>
      <c r="O446" s="86"/>
      <c r="Q446" s="86"/>
    </row>
    <row r="447" spans="12:17" x14ac:dyDescent="0.3">
      <c r="L447" s="84"/>
      <c r="M447" s="84"/>
      <c r="N447" s="85"/>
      <c r="O447" s="86"/>
      <c r="Q447" s="86"/>
    </row>
    <row r="448" spans="12:17" x14ac:dyDescent="0.3">
      <c r="L448" s="84"/>
      <c r="M448" s="84"/>
      <c r="N448" s="85"/>
      <c r="O448" s="86"/>
      <c r="Q448" s="86"/>
    </row>
    <row r="449" spans="12:17" x14ac:dyDescent="0.3">
      <c r="L449" s="84"/>
      <c r="M449" s="84"/>
      <c r="N449" s="85"/>
      <c r="O449" s="86"/>
      <c r="Q449" s="86"/>
    </row>
    <row r="450" spans="12:17" x14ac:dyDescent="0.3">
      <c r="L450" s="84"/>
      <c r="M450" s="84"/>
      <c r="N450" s="85"/>
      <c r="O450" s="86"/>
      <c r="Q450" s="86"/>
    </row>
    <row r="451" spans="12:17" x14ac:dyDescent="0.3">
      <c r="L451" s="84"/>
      <c r="M451" s="84"/>
      <c r="N451" s="85"/>
      <c r="O451" s="86"/>
      <c r="Q451" s="86"/>
    </row>
    <row r="452" spans="12:17" x14ac:dyDescent="0.3">
      <c r="L452" s="84"/>
      <c r="M452" s="84"/>
      <c r="N452" s="85"/>
      <c r="O452" s="86"/>
      <c r="Q452" s="86"/>
    </row>
    <row r="453" spans="12:17" x14ac:dyDescent="0.3">
      <c r="L453" s="84"/>
      <c r="M453" s="84"/>
      <c r="N453" s="85"/>
      <c r="O453" s="86"/>
      <c r="Q453" s="86"/>
    </row>
    <row r="454" spans="12:17" x14ac:dyDescent="0.3">
      <c r="L454" s="84"/>
      <c r="M454" s="84"/>
      <c r="N454" s="85"/>
      <c r="O454" s="86"/>
      <c r="Q454" s="86"/>
    </row>
    <row r="455" spans="12:17" x14ac:dyDescent="0.3">
      <c r="L455" s="84"/>
      <c r="M455" s="84"/>
      <c r="N455" s="85"/>
      <c r="O455" s="86"/>
      <c r="Q455" s="86"/>
    </row>
    <row r="456" spans="12:17" x14ac:dyDescent="0.3">
      <c r="L456" s="84"/>
      <c r="M456" s="84"/>
      <c r="N456" s="85"/>
      <c r="O456" s="86"/>
      <c r="Q456" s="86"/>
    </row>
    <row r="457" spans="12:17" x14ac:dyDescent="0.3">
      <c r="L457" s="84"/>
      <c r="M457" s="84"/>
      <c r="N457" s="85"/>
      <c r="O457" s="86"/>
      <c r="Q457" s="86"/>
    </row>
    <row r="458" spans="12:17" x14ac:dyDescent="0.3">
      <c r="L458" s="84"/>
      <c r="M458" s="84"/>
      <c r="N458" s="85"/>
      <c r="O458" s="86"/>
      <c r="Q458" s="86"/>
    </row>
    <row r="459" spans="12:17" x14ac:dyDescent="0.3">
      <c r="L459" s="84"/>
      <c r="M459" s="84"/>
      <c r="N459" s="85"/>
      <c r="O459" s="86"/>
      <c r="Q459" s="86"/>
    </row>
    <row r="460" spans="12:17" x14ac:dyDescent="0.3">
      <c r="L460" s="84"/>
      <c r="M460" s="84"/>
      <c r="N460" s="85"/>
      <c r="O460" s="86"/>
      <c r="Q460" s="86"/>
    </row>
    <row r="461" spans="12:17" x14ac:dyDescent="0.3">
      <c r="L461" s="84"/>
      <c r="M461" s="84"/>
      <c r="N461" s="85"/>
      <c r="O461" s="86"/>
      <c r="Q461" s="86"/>
    </row>
    <row r="462" spans="12:17" x14ac:dyDescent="0.3">
      <c r="L462" s="84"/>
      <c r="M462" s="84"/>
      <c r="N462" s="85"/>
      <c r="O462" s="86"/>
      <c r="Q462" s="86"/>
    </row>
    <row r="463" spans="12:17" x14ac:dyDescent="0.3">
      <c r="L463" s="84"/>
      <c r="M463" s="84"/>
      <c r="N463" s="85"/>
      <c r="O463" s="86"/>
      <c r="Q463" s="86"/>
    </row>
    <row r="464" spans="12:17" x14ac:dyDescent="0.3">
      <c r="L464" s="84"/>
      <c r="M464" s="84"/>
      <c r="N464" s="85"/>
      <c r="O464" s="86"/>
      <c r="Q464" s="86"/>
    </row>
    <row r="465" spans="12:17" x14ac:dyDescent="0.3">
      <c r="L465" s="84"/>
      <c r="M465" s="84"/>
      <c r="N465" s="85"/>
      <c r="O465" s="86"/>
      <c r="Q465" s="86"/>
    </row>
    <row r="466" spans="12:17" x14ac:dyDescent="0.3">
      <c r="L466" s="84"/>
      <c r="M466" s="84"/>
      <c r="N466" s="85"/>
      <c r="O466" s="86"/>
      <c r="Q466" s="86"/>
    </row>
    <row r="467" spans="12:17" x14ac:dyDescent="0.3">
      <c r="L467" s="84"/>
      <c r="M467" s="84"/>
      <c r="N467" s="85"/>
      <c r="O467" s="86"/>
      <c r="Q467" s="86"/>
    </row>
    <row r="468" spans="12:17" x14ac:dyDescent="0.3">
      <c r="L468" s="84"/>
      <c r="M468" s="84"/>
      <c r="N468" s="85"/>
      <c r="O468" s="86"/>
      <c r="Q468" s="86"/>
    </row>
    <row r="469" spans="12:17" x14ac:dyDescent="0.3">
      <c r="L469" s="84"/>
      <c r="M469" s="84"/>
      <c r="N469" s="85"/>
      <c r="O469" s="86"/>
      <c r="Q469" s="86"/>
    </row>
    <row r="470" spans="12:17" x14ac:dyDescent="0.3">
      <c r="L470" s="84"/>
      <c r="M470" s="84"/>
      <c r="N470" s="85"/>
      <c r="O470" s="86"/>
      <c r="Q470" s="86"/>
    </row>
    <row r="471" spans="12:17" x14ac:dyDescent="0.3">
      <c r="L471" s="84"/>
      <c r="M471" s="84"/>
      <c r="N471" s="85"/>
      <c r="O471" s="86"/>
      <c r="Q471" s="86"/>
    </row>
    <row r="472" spans="12:17" x14ac:dyDescent="0.3">
      <c r="L472" s="84"/>
      <c r="M472" s="84"/>
      <c r="N472" s="85"/>
      <c r="O472" s="86"/>
      <c r="Q472" s="86"/>
    </row>
    <row r="473" spans="12:17" x14ac:dyDescent="0.3">
      <c r="L473" s="84"/>
      <c r="M473" s="84"/>
      <c r="N473" s="85"/>
      <c r="O473" s="86"/>
      <c r="Q473" s="86"/>
    </row>
    <row r="474" spans="12:17" x14ac:dyDescent="0.3">
      <c r="L474" s="84"/>
      <c r="M474" s="84"/>
      <c r="N474" s="85"/>
      <c r="O474" s="86"/>
      <c r="Q474" s="86"/>
    </row>
    <row r="475" spans="12:17" x14ac:dyDescent="0.3">
      <c r="L475" s="84"/>
      <c r="M475" s="84"/>
      <c r="N475" s="85"/>
      <c r="O475" s="86"/>
      <c r="Q475" s="86"/>
    </row>
    <row r="476" spans="12:17" x14ac:dyDescent="0.3">
      <c r="L476" s="84"/>
      <c r="M476" s="84"/>
      <c r="N476" s="85"/>
      <c r="O476" s="86"/>
      <c r="Q476" s="86"/>
    </row>
    <row r="477" spans="12:17" x14ac:dyDescent="0.3">
      <c r="L477" s="84"/>
      <c r="M477" s="84"/>
      <c r="N477" s="85"/>
      <c r="O477" s="86"/>
      <c r="Q477" s="86"/>
    </row>
    <row r="478" spans="12:17" x14ac:dyDescent="0.3">
      <c r="L478" s="84"/>
      <c r="M478" s="84"/>
      <c r="N478" s="85"/>
      <c r="O478" s="86"/>
      <c r="Q478" s="86"/>
    </row>
    <row r="479" spans="12:17" x14ac:dyDescent="0.3">
      <c r="L479" s="84"/>
      <c r="M479" s="84"/>
      <c r="N479" s="85"/>
      <c r="O479" s="86"/>
      <c r="Q479" s="86"/>
    </row>
    <row r="480" spans="12:17" x14ac:dyDescent="0.3">
      <c r="L480" s="84"/>
      <c r="M480" s="84"/>
      <c r="N480" s="85"/>
      <c r="O480" s="86"/>
      <c r="Q480" s="86"/>
    </row>
    <row r="481" spans="12:17" x14ac:dyDescent="0.3">
      <c r="L481" s="84"/>
      <c r="M481" s="84"/>
      <c r="N481" s="85"/>
      <c r="O481" s="86"/>
      <c r="Q481" s="86"/>
    </row>
    <row r="482" spans="12:17" x14ac:dyDescent="0.3">
      <c r="L482" s="84"/>
      <c r="M482" s="84"/>
      <c r="N482" s="85"/>
      <c r="O482" s="86"/>
      <c r="Q482" s="86"/>
    </row>
    <row r="483" spans="12:17" x14ac:dyDescent="0.3">
      <c r="L483" s="84"/>
      <c r="M483" s="84"/>
      <c r="N483" s="85"/>
      <c r="O483" s="86"/>
      <c r="Q483" s="86"/>
    </row>
    <row r="484" spans="12:17" x14ac:dyDescent="0.3">
      <c r="L484" s="84"/>
      <c r="M484" s="84"/>
      <c r="N484" s="85"/>
      <c r="O484" s="86"/>
      <c r="Q484" s="86"/>
    </row>
    <row r="485" spans="12:17" x14ac:dyDescent="0.3">
      <c r="L485" s="84"/>
      <c r="M485" s="84"/>
      <c r="N485" s="85"/>
      <c r="O485" s="86"/>
      <c r="Q485" s="86"/>
    </row>
    <row r="486" spans="12:17" x14ac:dyDescent="0.3">
      <c r="L486" s="84"/>
      <c r="M486" s="84"/>
      <c r="N486" s="85"/>
      <c r="O486" s="86"/>
      <c r="Q486" s="86"/>
    </row>
    <row r="487" spans="12:17" x14ac:dyDescent="0.3">
      <c r="L487" s="84"/>
      <c r="M487" s="84"/>
      <c r="N487" s="85"/>
      <c r="O487" s="86"/>
      <c r="Q487" s="86"/>
    </row>
    <row r="488" spans="12:17" x14ac:dyDescent="0.3">
      <c r="L488" s="84"/>
      <c r="M488" s="84"/>
      <c r="N488" s="85"/>
      <c r="O488" s="86"/>
      <c r="Q488" s="86"/>
    </row>
    <row r="489" spans="12:17" x14ac:dyDescent="0.3">
      <c r="L489" s="84"/>
      <c r="M489" s="84"/>
      <c r="N489" s="85"/>
      <c r="O489" s="86"/>
      <c r="Q489" s="86"/>
    </row>
    <row r="490" spans="12:17" x14ac:dyDescent="0.3">
      <c r="L490" s="84"/>
      <c r="M490" s="84"/>
      <c r="N490" s="85"/>
      <c r="O490" s="86"/>
      <c r="Q490" s="86"/>
    </row>
    <row r="491" spans="12:17" x14ac:dyDescent="0.3">
      <c r="L491" s="84"/>
      <c r="M491" s="84"/>
      <c r="N491" s="85"/>
      <c r="O491" s="86"/>
      <c r="Q491" s="86"/>
    </row>
    <row r="492" spans="12:17" x14ac:dyDescent="0.3">
      <c r="L492" s="84"/>
      <c r="M492" s="84"/>
      <c r="N492" s="85"/>
      <c r="O492" s="86"/>
      <c r="Q492" s="86"/>
    </row>
    <row r="493" spans="12:17" x14ac:dyDescent="0.3">
      <c r="L493" s="84"/>
      <c r="M493" s="84"/>
      <c r="N493" s="85"/>
      <c r="O493" s="86"/>
      <c r="Q493" s="86"/>
    </row>
    <row r="494" spans="12:17" x14ac:dyDescent="0.3">
      <c r="L494" s="84"/>
      <c r="M494" s="84"/>
      <c r="N494" s="85"/>
      <c r="O494" s="86"/>
      <c r="Q494" s="86"/>
    </row>
    <row r="495" spans="12:17" x14ac:dyDescent="0.3">
      <c r="L495" s="84"/>
      <c r="M495" s="84"/>
      <c r="N495" s="85"/>
      <c r="O495" s="86"/>
      <c r="Q495" s="86"/>
    </row>
    <row r="496" spans="12:17" x14ac:dyDescent="0.3">
      <c r="L496" s="84"/>
      <c r="M496" s="84"/>
      <c r="N496" s="85"/>
      <c r="O496" s="86"/>
      <c r="Q496" s="86"/>
    </row>
    <row r="497" spans="12:17" x14ac:dyDescent="0.3">
      <c r="L497" s="84"/>
      <c r="M497" s="84"/>
      <c r="N497" s="85"/>
      <c r="O497" s="86"/>
      <c r="Q497" s="86"/>
    </row>
    <row r="498" spans="12:17" x14ac:dyDescent="0.3">
      <c r="L498" s="84"/>
      <c r="M498" s="84"/>
      <c r="N498" s="85"/>
      <c r="O498" s="86"/>
      <c r="Q498" s="86"/>
    </row>
    <row r="499" spans="12:17" x14ac:dyDescent="0.3">
      <c r="L499" s="84"/>
      <c r="M499" s="84"/>
      <c r="N499" s="85"/>
      <c r="O499" s="86"/>
      <c r="Q499" s="86"/>
    </row>
    <row r="500" spans="12:17" x14ac:dyDescent="0.3">
      <c r="L500" s="84"/>
      <c r="M500" s="84"/>
      <c r="N500" s="85"/>
      <c r="O500" s="86"/>
      <c r="Q500" s="86"/>
    </row>
    <row r="501" spans="12:17" x14ac:dyDescent="0.3">
      <c r="L501" s="84"/>
      <c r="M501" s="84"/>
      <c r="N501" s="85"/>
      <c r="O501" s="86"/>
      <c r="Q501" s="86"/>
    </row>
    <row r="502" spans="12:17" x14ac:dyDescent="0.3">
      <c r="L502" s="84"/>
      <c r="M502" s="84"/>
      <c r="N502" s="85"/>
      <c r="O502" s="86"/>
      <c r="Q502" s="86"/>
    </row>
    <row r="503" spans="12:17" x14ac:dyDescent="0.3">
      <c r="L503" s="84"/>
      <c r="M503" s="84"/>
      <c r="N503" s="85"/>
      <c r="O503" s="86"/>
      <c r="Q503" s="86"/>
    </row>
    <row r="504" spans="12:17" x14ac:dyDescent="0.3">
      <c r="L504" s="84"/>
      <c r="M504" s="84"/>
      <c r="N504" s="85"/>
      <c r="O504" s="86"/>
      <c r="Q504" s="86"/>
    </row>
    <row r="505" spans="12:17" x14ac:dyDescent="0.3">
      <c r="L505" s="84"/>
      <c r="M505" s="84"/>
      <c r="N505" s="85"/>
      <c r="O505" s="86"/>
      <c r="Q505" s="86"/>
    </row>
    <row r="506" spans="12:17" x14ac:dyDescent="0.3">
      <c r="L506" s="84"/>
      <c r="M506" s="84"/>
      <c r="N506" s="85"/>
      <c r="O506" s="86"/>
      <c r="Q506" s="86"/>
    </row>
    <row r="507" spans="12:17" x14ac:dyDescent="0.3">
      <c r="L507" s="84"/>
      <c r="M507" s="84"/>
      <c r="N507" s="85"/>
      <c r="O507" s="86"/>
      <c r="Q507" s="86"/>
    </row>
    <row r="508" spans="12:17" x14ac:dyDescent="0.3">
      <c r="L508" s="84"/>
      <c r="M508" s="84"/>
      <c r="N508" s="85"/>
      <c r="O508" s="86"/>
      <c r="Q508" s="86"/>
    </row>
    <row r="509" spans="12:17" x14ac:dyDescent="0.3">
      <c r="L509" s="84"/>
      <c r="M509" s="84"/>
      <c r="N509" s="85"/>
      <c r="O509" s="86"/>
      <c r="Q509" s="86"/>
    </row>
    <row r="510" spans="12:17" x14ac:dyDescent="0.3">
      <c r="L510" s="84"/>
      <c r="M510" s="84"/>
      <c r="N510" s="85"/>
      <c r="O510" s="86"/>
      <c r="Q510" s="86"/>
    </row>
    <row r="511" spans="12:17" x14ac:dyDescent="0.3">
      <c r="L511" s="84"/>
      <c r="M511" s="84"/>
      <c r="N511" s="85"/>
      <c r="O511" s="86"/>
      <c r="Q511" s="86"/>
    </row>
    <row r="512" spans="12:17" x14ac:dyDescent="0.3">
      <c r="L512" s="84"/>
      <c r="M512" s="84"/>
      <c r="N512" s="85"/>
      <c r="O512" s="86"/>
      <c r="Q512" s="86"/>
    </row>
    <row r="513" spans="12:17" x14ac:dyDescent="0.3">
      <c r="L513" s="84"/>
      <c r="M513" s="84"/>
      <c r="N513" s="85"/>
      <c r="O513" s="86"/>
      <c r="Q513" s="86"/>
    </row>
    <row r="514" spans="12:17" x14ac:dyDescent="0.3">
      <c r="L514" s="84"/>
      <c r="M514" s="84"/>
      <c r="N514" s="85"/>
      <c r="O514" s="86"/>
      <c r="Q514" s="86"/>
    </row>
    <row r="515" spans="12:17" x14ac:dyDescent="0.3">
      <c r="L515" s="84"/>
      <c r="M515" s="84"/>
      <c r="N515" s="85"/>
      <c r="O515" s="86"/>
      <c r="Q515" s="86"/>
    </row>
    <row r="516" spans="12:17" x14ac:dyDescent="0.3">
      <c r="L516" s="84"/>
      <c r="M516" s="84"/>
      <c r="N516" s="85"/>
      <c r="O516" s="86"/>
      <c r="Q516" s="86"/>
    </row>
    <row r="517" spans="12:17" x14ac:dyDescent="0.3">
      <c r="L517" s="84"/>
      <c r="M517" s="84"/>
      <c r="N517" s="85"/>
      <c r="O517" s="86"/>
      <c r="Q517" s="86"/>
    </row>
    <row r="518" spans="12:17" x14ac:dyDescent="0.3">
      <c r="L518" s="84"/>
      <c r="M518" s="84"/>
      <c r="N518" s="85"/>
      <c r="O518" s="86"/>
      <c r="Q518" s="86"/>
    </row>
    <row r="519" spans="12:17" x14ac:dyDescent="0.3">
      <c r="L519" s="84"/>
      <c r="M519" s="84"/>
      <c r="N519" s="85"/>
      <c r="O519" s="86"/>
      <c r="Q519" s="86"/>
    </row>
    <row r="520" spans="12:17" x14ac:dyDescent="0.3">
      <c r="L520" s="84"/>
      <c r="M520" s="84"/>
      <c r="N520" s="85"/>
      <c r="O520" s="86"/>
      <c r="Q520" s="86"/>
    </row>
    <row r="521" spans="12:17" x14ac:dyDescent="0.3">
      <c r="L521" s="84"/>
      <c r="M521" s="84"/>
      <c r="N521" s="85"/>
      <c r="O521" s="86"/>
      <c r="Q521" s="86"/>
    </row>
    <row r="522" spans="12:17" x14ac:dyDescent="0.3">
      <c r="L522" s="84"/>
      <c r="M522" s="84"/>
      <c r="N522" s="85"/>
      <c r="O522" s="86"/>
      <c r="Q522" s="86"/>
    </row>
    <row r="523" spans="12:17" x14ac:dyDescent="0.3">
      <c r="L523" s="84"/>
      <c r="M523" s="84"/>
      <c r="N523" s="85"/>
      <c r="O523" s="86"/>
      <c r="Q523" s="86"/>
    </row>
    <row r="524" spans="12:17" x14ac:dyDescent="0.3">
      <c r="L524" s="84"/>
      <c r="M524" s="84"/>
      <c r="N524" s="85"/>
      <c r="O524" s="86"/>
      <c r="Q524" s="86"/>
    </row>
    <row r="525" spans="12:17" x14ac:dyDescent="0.3">
      <c r="L525" s="84"/>
      <c r="M525" s="84"/>
      <c r="N525" s="85"/>
      <c r="O525" s="86"/>
      <c r="Q525" s="86"/>
    </row>
    <row r="526" spans="12:17" x14ac:dyDescent="0.3">
      <c r="L526" s="84"/>
      <c r="M526" s="84"/>
      <c r="N526" s="85"/>
      <c r="O526" s="86"/>
      <c r="Q526" s="86"/>
    </row>
    <row r="527" spans="12:17" x14ac:dyDescent="0.3">
      <c r="L527" s="84"/>
      <c r="M527" s="84"/>
      <c r="N527" s="85"/>
      <c r="O527" s="86"/>
      <c r="Q527" s="86"/>
    </row>
    <row r="528" spans="12:17" x14ac:dyDescent="0.3">
      <c r="L528" s="84"/>
      <c r="M528" s="84"/>
      <c r="N528" s="85"/>
      <c r="O528" s="86"/>
      <c r="Q528" s="86"/>
    </row>
    <row r="529" spans="12:17" x14ac:dyDescent="0.3">
      <c r="L529" s="84"/>
      <c r="M529" s="84"/>
      <c r="N529" s="85"/>
      <c r="O529" s="86"/>
      <c r="Q529" s="86"/>
    </row>
    <row r="530" spans="12:17" x14ac:dyDescent="0.3">
      <c r="L530" s="84"/>
      <c r="M530" s="84"/>
      <c r="N530" s="85"/>
      <c r="O530" s="86"/>
      <c r="Q530" s="86"/>
    </row>
    <row r="531" spans="12:17" x14ac:dyDescent="0.3">
      <c r="L531" s="84"/>
      <c r="M531" s="84"/>
      <c r="N531" s="85"/>
      <c r="O531" s="86"/>
      <c r="Q531" s="86"/>
    </row>
    <row r="532" spans="12:17" x14ac:dyDescent="0.3">
      <c r="L532" s="84"/>
      <c r="M532" s="84"/>
      <c r="N532" s="85"/>
      <c r="O532" s="86"/>
      <c r="Q532" s="86"/>
    </row>
    <row r="533" spans="12:17" x14ac:dyDescent="0.3">
      <c r="L533" s="84"/>
      <c r="M533" s="84"/>
      <c r="N533" s="85"/>
      <c r="O533" s="86"/>
      <c r="Q533" s="86"/>
    </row>
    <row r="534" spans="12:17" x14ac:dyDescent="0.3">
      <c r="L534" s="84"/>
      <c r="M534" s="84"/>
      <c r="N534" s="85"/>
      <c r="O534" s="86"/>
      <c r="Q534" s="86"/>
    </row>
    <row r="535" spans="12:17" x14ac:dyDescent="0.3">
      <c r="L535" s="84"/>
      <c r="M535" s="84"/>
      <c r="N535" s="85"/>
      <c r="O535" s="86"/>
      <c r="Q535" s="86"/>
    </row>
    <row r="536" spans="12:17" x14ac:dyDescent="0.3">
      <c r="L536" s="84"/>
      <c r="M536" s="84"/>
      <c r="N536" s="85"/>
      <c r="O536" s="86"/>
      <c r="Q536" s="86"/>
    </row>
    <row r="537" spans="12:17" x14ac:dyDescent="0.3">
      <c r="L537" s="84"/>
      <c r="M537" s="84"/>
      <c r="N537" s="85"/>
      <c r="O537" s="86"/>
      <c r="Q537" s="86"/>
    </row>
    <row r="538" spans="12:17" x14ac:dyDescent="0.3">
      <c r="L538" s="84"/>
      <c r="M538" s="84"/>
      <c r="N538" s="85"/>
      <c r="O538" s="86"/>
      <c r="Q538" s="86"/>
    </row>
    <row r="539" spans="12:17" x14ac:dyDescent="0.3">
      <c r="L539" s="84"/>
      <c r="M539" s="84"/>
      <c r="N539" s="85"/>
      <c r="O539" s="86"/>
      <c r="Q539" s="86"/>
    </row>
    <row r="540" spans="12:17" x14ac:dyDescent="0.3">
      <c r="L540" s="84"/>
      <c r="M540" s="84"/>
      <c r="N540" s="85"/>
      <c r="O540" s="86"/>
      <c r="Q540" s="86"/>
    </row>
    <row r="541" spans="12:17" x14ac:dyDescent="0.3">
      <c r="L541" s="84"/>
      <c r="M541" s="84"/>
      <c r="N541" s="85"/>
      <c r="O541" s="86"/>
      <c r="Q541" s="86"/>
    </row>
    <row r="542" spans="12:17" x14ac:dyDescent="0.3">
      <c r="L542" s="84"/>
      <c r="M542" s="84"/>
      <c r="N542" s="85"/>
      <c r="O542" s="86"/>
      <c r="Q542" s="86"/>
    </row>
    <row r="543" spans="12:17" x14ac:dyDescent="0.3">
      <c r="L543" s="84"/>
      <c r="M543" s="84"/>
      <c r="N543" s="85"/>
      <c r="O543" s="86"/>
      <c r="Q543" s="86"/>
    </row>
    <row r="544" spans="12:17" x14ac:dyDescent="0.3">
      <c r="L544" s="84"/>
      <c r="M544" s="84"/>
      <c r="N544" s="85"/>
      <c r="O544" s="86"/>
      <c r="Q544" s="86"/>
    </row>
    <row r="545" spans="12:17" x14ac:dyDescent="0.3">
      <c r="L545" s="84"/>
      <c r="M545" s="84"/>
      <c r="N545" s="85"/>
      <c r="O545" s="86"/>
      <c r="Q545" s="86"/>
    </row>
    <row r="546" spans="12:17" x14ac:dyDescent="0.3">
      <c r="L546" s="84"/>
      <c r="M546" s="84"/>
      <c r="N546" s="85"/>
      <c r="O546" s="86"/>
      <c r="Q546" s="86"/>
    </row>
    <row r="547" spans="12:17" x14ac:dyDescent="0.3">
      <c r="L547" s="84"/>
      <c r="M547" s="84"/>
      <c r="N547" s="85"/>
      <c r="O547" s="86"/>
      <c r="Q547" s="86"/>
    </row>
    <row r="548" spans="12:17" x14ac:dyDescent="0.3">
      <c r="L548" s="84"/>
      <c r="M548" s="84"/>
      <c r="N548" s="85"/>
      <c r="O548" s="86"/>
      <c r="Q548" s="86"/>
    </row>
    <row r="549" spans="12:17" x14ac:dyDescent="0.3">
      <c r="L549" s="84"/>
      <c r="M549" s="84"/>
      <c r="N549" s="85"/>
      <c r="O549" s="86"/>
      <c r="Q549" s="86"/>
    </row>
    <row r="550" spans="12:17" x14ac:dyDescent="0.3">
      <c r="L550" s="84"/>
      <c r="M550" s="84"/>
      <c r="N550" s="85"/>
      <c r="O550" s="86"/>
      <c r="Q550" s="86"/>
    </row>
    <row r="551" spans="12:17" x14ac:dyDescent="0.3">
      <c r="L551" s="84"/>
      <c r="M551" s="84"/>
      <c r="N551" s="85"/>
      <c r="O551" s="86"/>
      <c r="Q551" s="86"/>
    </row>
    <row r="552" spans="12:17" x14ac:dyDescent="0.3">
      <c r="L552" s="84"/>
      <c r="M552" s="84"/>
      <c r="N552" s="85"/>
      <c r="O552" s="86"/>
      <c r="Q552" s="86"/>
    </row>
    <row r="553" spans="12:17" x14ac:dyDescent="0.3">
      <c r="L553" s="84"/>
      <c r="M553" s="84"/>
      <c r="N553" s="85"/>
      <c r="O553" s="86"/>
      <c r="Q553" s="86"/>
    </row>
    <row r="554" spans="12:17" x14ac:dyDescent="0.3">
      <c r="L554" s="84"/>
      <c r="M554" s="84"/>
      <c r="N554" s="85"/>
      <c r="O554" s="86"/>
      <c r="Q554" s="86"/>
    </row>
    <row r="555" spans="12:17" x14ac:dyDescent="0.3">
      <c r="L555" s="84"/>
      <c r="M555" s="84"/>
      <c r="N555" s="85"/>
      <c r="O555" s="86"/>
      <c r="Q555" s="86"/>
    </row>
    <row r="556" spans="12:17" x14ac:dyDescent="0.3">
      <c r="L556" s="84"/>
      <c r="M556" s="84"/>
      <c r="N556" s="85"/>
      <c r="O556" s="86"/>
      <c r="Q556" s="86"/>
    </row>
    <row r="557" spans="12:17" x14ac:dyDescent="0.3">
      <c r="L557" s="84"/>
      <c r="M557" s="84"/>
      <c r="N557" s="85"/>
      <c r="O557" s="86"/>
      <c r="Q557" s="86"/>
    </row>
    <row r="558" spans="12:17" x14ac:dyDescent="0.3">
      <c r="L558" s="84"/>
      <c r="M558" s="84"/>
      <c r="N558" s="85"/>
      <c r="O558" s="86"/>
      <c r="Q558" s="86"/>
    </row>
    <row r="559" spans="12:17" x14ac:dyDescent="0.3">
      <c r="L559" s="84"/>
      <c r="M559" s="84"/>
      <c r="N559" s="85"/>
      <c r="O559" s="86"/>
      <c r="Q559" s="86"/>
    </row>
    <row r="560" spans="12:17" x14ac:dyDescent="0.3">
      <c r="L560" s="84"/>
      <c r="M560" s="84"/>
      <c r="N560" s="85"/>
      <c r="O560" s="86"/>
      <c r="Q560" s="86"/>
    </row>
    <row r="561" spans="12:17" x14ac:dyDescent="0.3">
      <c r="L561" s="84"/>
      <c r="M561" s="84"/>
      <c r="N561" s="85"/>
      <c r="O561" s="86"/>
      <c r="Q561" s="86"/>
    </row>
    <row r="562" spans="12:17" x14ac:dyDescent="0.3">
      <c r="L562" s="84"/>
      <c r="M562" s="84"/>
      <c r="N562" s="85"/>
      <c r="O562" s="86"/>
      <c r="Q562" s="86"/>
    </row>
    <row r="563" spans="12:17" x14ac:dyDescent="0.3">
      <c r="L563" s="84"/>
      <c r="M563" s="84"/>
      <c r="N563" s="85"/>
      <c r="O563" s="86"/>
      <c r="Q563" s="86"/>
    </row>
    <row r="564" spans="12:17" x14ac:dyDescent="0.3">
      <c r="L564" s="84"/>
      <c r="M564" s="84"/>
      <c r="N564" s="85"/>
      <c r="O564" s="86"/>
      <c r="Q564" s="86"/>
    </row>
    <row r="565" spans="12:17" x14ac:dyDescent="0.3">
      <c r="L565" s="84"/>
      <c r="M565" s="84"/>
      <c r="N565" s="85"/>
      <c r="O565" s="86"/>
      <c r="Q565" s="86"/>
    </row>
    <row r="566" spans="12:17" x14ac:dyDescent="0.3">
      <c r="L566" s="84"/>
      <c r="M566" s="84"/>
      <c r="N566" s="85"/>
      <c r="O566" s="86"/>
      <c r="Q566" s="86"/>
    </row>
    <row r="567" spans="12:17" x14ac:dyDescent="0.3">
      <c r="L567" s="84"/>
      <c r="M567" s="84"/>
      <c r="N567" s="85"/>
      <c r="O567" s="86"/>
      <c r="Q567" s="86"/>
    </row>
    <row r="568" spans="12:17" x14ac:dyDescent="0.3">
      <c r="L568" s="84"/>
      <c r="M568" s="84"/>
      <c r="N568" s="85"/>
      <c r="O568" s="86"/>
      <c r="Q568" s="86"/>
    </row>
    <row r="569" spans="12:17" x14ac:dyDescent="0.3">
      <c r="L569" s="84"/>
      <c r="M569" s="84"/>
      <c r="N569" s="85"/>
      <c r="O569" s="86"/>
      <c r="Q569" s="86"/>
    </row>
    <row r="570" spans="12:17" x14ac:dyDescent="0.3">
      <c r="L570" s="84"/>
      <c r="M570" s="84"/>
      <c r="N570" s="85"/>
      <c r="O570" s="86"/>
      <c r="Q570" s="86"/>
    </row>
    <row r="571" spans="12:17" x14ac:dyDescent="0.3">
      <c r="L571" s="84"/>
      <c r="M571" s="84"/>
      <c r="N571" s="85"/>
      <c r="O571" s="86"/>
      <c r="Q571" s="86"/>
    </row>
    <row r="572" spans="12:17" x14ac:dyDescent="0.3">
      <c r="L572" s="84"/>
      <c r="M572" s="84"/>
      <c r="N572" s="85"/>
      <c r="O572" s="86"/>
      <c r="Q572" s="86"/>
    </row>
    <row r="573" spans="12:17" x14ac:dyDescent="0.3">
      <c r="L573" s="84"/>
      <c r="M573" s="84"/>
      <c r="N573" s="85"/>
      <c r="O573" s="86"/>
      <c r="Q573" s="86"/>
    </row>
    <row r="574" spans="12:17" x14ac:dyDescent="0.3">
      <c r="L574" s="84"/>
      <c r="M574" s="84"/>
      <c r="N574" s="85"/>
      <c r="O574" s="86"/>
      <c r="Q574" s="86"/>
    </row>
    <row r="575" spans="12:17" x14ac:dyDescent="0.3">
      <c r="L575" s="84"/>
      <c r="M575" s="84"/>
      <c r="N575" s="85"/>
      <c r="O575" s="86"/>
      <c r="Q575" s="86"/>
    </row>
    <row r="576" spans="12:17" x14ac:dyDescent="0.3">
      <c r="L576" s="84"/>
      <c r="M576" s="84"/>
      <c r="N576" s="85"/>
      <c r="O576" s="86"/>
      <c r="Q576" s="86"/>
    </row>
    <row r="577" spans="12:17" x14ac:dyDescent="0.3">
      <c r="L577" s="84"/>
      <c r="M577" s="84"/>
      <c r="N577" s="85"/>
      <c r="O577" s="86"/>
      <c r="Q577" s="86"/>
    </row>
    <row r="578" spans="12:17" x14ac:dyDescent="0.3">
      <c r="L578" s="84"/>
      <c r="M578" s="84"/>
      <c r="N578" s="85"/>
      <c r="O578" s="86"/>
      <c r="Q578" s="86"/>
    </row>
    <row r="579" spans="12:17" x14ac:dyDescent="0.3">
      <c r="L579" s="84"/>
      <c r="M579" s="84"/>
      <c r="N579" s="85"/>
      <c r="O579" s="86"/>
      <c r="Q579" s="86"/>
    </row>
    <row r="580" spans="12:17" x14ac:dyDescent="0.3">
      <c r="L580" s="84"/>
      <c r="M580" s="84"/>
      <c r="N580" s="85"/>
      <c r="O580" s="86"/>
      <c r="Q580" s="86"/>
    </row>
    <row r="581" spans="12:17" x14ac:dyDescent="0.3">
      <c r="L581" s="84"/>
      <c r="M581" s="84"/>
      <c r="N581" s="85"/>
      <c r="O581" s="86"/>
      <c r="Q581" s="86"/>
    </row>
    <row r="582" spans="12:17" x14ac:dyDescent="0.3">
      <c r="L582" s="84"/>
      <c r="M582" s="84"/>
      <c r="N582" s="85"/>
      <c r="O582" s="86"/>
      <c r="Q582" s="86"/>
    </row>
    <row r="583" spans="12:17" x14ac:dyDescent="0.3">
      <c r="L583" s="84"/>
      <c r="M583" s="84"/>
      <c r="N583" s="85"/>
      <c r="O583" s="86"/>
      <c r="Q583" s="86"/>
    </row>
    <row r="584" spans="12:17" x14ac:dyDescent="0.3">
      <c r="L584" s="84"/>
      <c r="M584" s="84"/>
      <c r="N584" s="85"/>
      <c r="O584" s="86"/>
      <c r="Q584" s="86"/>
    </row>
    <row r="585" spans="12:17" x14ac:dyDescent="0.3">
      <c r="L585" s="84"/>
      <c r="M585" s="84"/>
      <c r="N585" s="85"/>
      <c r="O585" s="86"/>
      <c r="Q585" s="86"/>
    </row>
    <row r="586" spans="12:17" x14ac:dyDescent="0.3">
      <c r="L586" s="84"/>
      <c r="M586" s="84"/>
      <c r="N586" s="85"/>
      <c r="O586" s="86"/>
      <c r="Q586" s="86"/>
    </row>
    <row r="587" spans="12:17" x14ac:dyDescent="0.3">
      <c r="L587" s="84"/>
      <c r="M587" s="84"/>
      <c r="N587" s="85"/>
      <c r="O587" s="86"/>
      <c r="Q587" s="86"/>
    </row>
    <row r="588" spans="12:17" x14ac:dyDescent="0.3">
      <c r="L588" s="84"/>
      <c r="M588" s="84"/>
      <c r="N588" s="85"/>
      <c r="O588" s="86"/>
      <c r="Q588" s="86"/>
    </row>
    <row r="589" spans="12:17" x14ac:dyDescent="0.3">
      <c r="L589" s="84"/>
      <c r="M589" s="84"/>
      <c r="N589" s="85"/>
      <c r="O589" s="86"/>
      <c r="Q589" s="86"/>
    </row>
    <row r="590" spans="12:17" x14ac:dyDescent="0.3">
      <c r="L590" s="84"/>
      <c r="M590" s="84"/>
      <c r="N590" s="85"/>
      <c r="O590" s="86"/>
      <c r="Q590" s="86"/>
    </row>
    <row r="591" spans="12:17" x14ac:dyDescent="0.3">
      <c r="L591" s="84"/>
      <c r="M591" s="84"/>
      <c r="N591" s="85"/>
      <c r="O591" s="86"/>
      <c r="Q591" s="86"/>
    </row>
    <row r="592" spans="12:17" x14ac:dyDescent="0.3">
      <c r="L592" s="84"/>
      <c r="M592" s="84"/>
      <c r="N592" s="85"/>
      <c r="O592" s="86"/>
      <c r="Q592" s="86"/>
    </row>
    <row r="593" spans="12:17" x14ac:dyDescent="0.3">
      <c r="L593" s="84"/>
      <c r="M593" s="84"/>
      <c r="N593" s="85"/>
      <c r="O593" s="86"/>
      <c r="Q593" s="86"/>
    </row>
    <row r="594" spans="12:17" x14ac:dyDescent="0.3">
      <c r="L594" s="84"/>
      <c r="M594" s="84"/>
      <c r="N594" s="85"/>
      <c r="O594" s="86"/>
      <c r="Q594" s="86"/>
    </row>
    <row r="595" spans="12:17" x14ac:dyDescent="0.3">
      <c r="L595" s="84"/>
      <c r="M595" s="84"/>
      <c r="N595" s="85"/>
      <c r="O595" s="86"/>
      <c r="Q595" s="86"/>
    </row>
    <row r="596" spans="12:17" x14ac:dyDescent="0.3">
      <c r="L596" s="84"/>
      <c r="M596" s="84"/>
      <c r="N596" s="85"/>
      <c r="O596" s="86"/>
      <c r="Q596" s="86"/>
    </row>
    <row r="597" spans="12:17" x14ac:dyDescent="0.3">
      <c r="L597" s="84"/>
      <c r="M597" s="84"/>
      <c r="N597" s="85"/>
      <c r="O597" s="86"/>
      <c r="Q597" s="86"/>
    </row>
    <row r="598" spans="12:17" x14ac:dyDescent="0.3">
      <c r="L598" s="84"/>
      <c r="M598" s="84"/>
      <c r="N598" s="85"/>
      <c r="O598" s="86"/>
      <c r="Q598" s="86"/>
    </row>
    <row r="599" spans="12:17" x14ac:dyDescent="0.3">
      <c r="L599" s="84"/>
      <c r="M599" s="84"/>
      <c r="N599" s="85"/>
      <c r="O599" s="86"/>
      <c r="Q599" s="86"/>
    </row>
    <row r="600" spans="12:17" x14ac:dyDescent="0.3">
      <c r="L600" s="84"/>
      <c r="M600" s="84"/>
      <c r="N600" s="85"/>
      <c r="O600" s="86"/>
      <c r="Q600" s="86"/>
    </row>
    <row r="601" spans="12:17" x14ac:dyDescent="0.3">
      <c r="L601" s="84"/>
      <c r="M601" s="84"/>
      <c r="N601" s="85"/>
      <c r="O601" s="86"/>
      <c r="Q601" s="86"/>
    </row>
    <row r="602" spans="12:17" x14ac:dyDescent="0.3">
      <c r="L602" s="84"/>
      <c r="M602" s="84"/>
      <c r="N602" s="85"/>
      <c r="O602" s="86"/>
      <c r="Q602" s="86"/>
    </row>
    <row r="603" spans="12:17" x14ac:dyDescent="0.3">
      <c r="L603" s="84"/>
      <c r="M603" s="84"/>
      <c r="N603" s="85"/>
      <c r="O603" s="86"/>
      <c r="Q603" s="86"/>
    </row>
    <row r="604" spans="12:17" x14ac:dyDescent="0.3">
      <c r="L604" s="84"/>
      <c r="M604" s="84"/>
      <c r="N604" s="85"/>
      <c r="O604" s="86"/>
      <c r="Q604" s="86"/>
    </row>
    <row r="605" spans="12:17" x14ac:dyDescent="0.3">
      <c r="L605" s="84"/>
      <c r="M605" s="84"/>
      <c r="N605" s="85"/>
      <c r="O605" s="86"/>
      <c r="Q605" s="86"/>
    </row>
    <row r="606" spans="12:17" x14ac:dyDescent="0.3">
      <c r="L606" s="84"/>
      <c r="M606" s="84"/>
      <c r="N606" s="85"/>
      <c r="O606" s="86"/>
      <c r="Q606" s="86"/>
    </row>
    <row r="607" spans="12:17" x14ac:dyDescent="0.3">
      <c r="L607" s="84"/>
      <c r="M607" s="84"/>
      <c r="N607" s="85"/>
      <c r="O607" s="86"/>
      <c r="Q607" s="86"/>
    </row>
    <row r="608" spans="12:17" x14ac:dyDescent="0.3">
      <c r="L608" s="84"/>
      <c r="M608" s="84"/>
      <c r="N608" s="85"/>
      <c r="O608" s="86"/>
      <c r="Q608" s="86"/>
    </row>
    <row r="609" spans="12:17" x14ac:dyDescent="0.3">
      <c r="L609" s="84"/>
      <c r="M609" s="84"/>
      <c r="N609" s="85"/>
      <c r="O609" s="86"/>
      <c r="Q609" s="86"/>
    </row>
    <row r="610" spans="12:17" x14ac:dyDescent="0.3">
      <c r="L610" s="84"/>
      <c r="M610" s="84"/>
      <c r="N610" s="85"/>
      <c r="O610" s="86"/>
      <c r="Q610" s="86"/>
    </row>
    <row r="611" spans="12:17" x14ac:dyDescent="0.3">
      <c r="L611" s="84"/>
      <c r="M611" s="84"/>
      <c r="N611" s="85"/>
      <c r="O611" s="86"/>
      <c r="Q611" s="86"/>
    </row>
    <row r="612" spans="12:17" x14ac:dyDescent="0.3">
      <c r="L612" s="84"/>
      <c r="M612" s="84"/>
      <c r="N612" s="85"/>
      <c r="O612" s="86"/>
      <c r="Q612" s="86"/>
    </row>
    <row r="613" spans="12:17" x14ac:dyDescent="0.3">
      <c r="L613" s="84"/>
      <c r="M613" s="84"/>
      <c r="N613" s="85"/>
      <c r="O613" s="86"/>
      <c r="Q613" s="86"/>
    </row>
    <row r="614" spans="12:17" x14ac:dyDescent="0.3">
      <c r="L614" s="84"/>
      <c r="M614" s="84"/>
      <c r="N614" s="85"/>
      <c r="O614" s="86"/>
      <c r="Q614" s="86"/>
    </row>
    <row r="615" spans="12:17" x14ac:dyDescent="0.3">
      <c r="L615" s="84"/>
      <c r="M615" s="84"/>
      <c r="N615" s="85"/>
      <c r="O615" s="86"/>
      <c r="Q615" s="86"/>
    </row>
    <row r="616" spans="12:17" x14ac:dyDescent="0.3">
      <c r="L616" s="84"/>
      <c r="M616" s="84"/>
      <c r="N616" s="85"/>
      <c r="O616" s="86"/>
      <c r="Q616" s="86"/>
    </row>
    <row r="617" spans="12:17" x14ac:dyDescent="0.3">
      <c r="L617" s="84"/>
      <c r="M617" s="84"/>
      <c r="N617" s="85"/>
      <c r="O617" s="86"/>
      <c r="Q617" s="86"/>
    </row>
    <row r="618" spans="12:17" x14ac:dyDescent="0.3">
      <c r="L618" s="84"/>
      <c r="M618" s="84"/>
      <c r="N618" s="85"/>
      <c r="O618" s="86"/>
      <c r="Q618" s="86"/>
    </row>
    <row r="619" spans="12:17" x14ac:dyDescent="0.3">
      <c r="L619" s="84"/>
      <c r="M619" s="84"/>
      <c r="N619" s="85"/>
      <c r="O619" s="86"/>
      <c r="Q619" s="86"/>
    </row>
    <row r="620" spans="12:17" x14ac:dyDescent="0.3">
      <c r="L620" s="84"/>
      <c r="M620" s="84"/>
      <c r="N620" s="85"/>
      <c r="O620" s="86"/>
      <c r="Q620" s="86"/>
    </row>
    <row r="621" spans="12:17" x14ac:dyDescent="0.3">
      <c r="L621" s="84"/>
      <c r="M621" s="84"/>
      <c r="N621" s="85"/>
      <c r="O621" s="86"/>
      <c r="Q621" s="86"/>
    </row>
    <row r="622" spans="12:17" x14ac:dyDescent="0.3">
      <c r="L622" s="84"/>
      <c r="M622" s="84"/>
      <c r="N622" s="85"/>
      <c r="O622" s="86"/>
      <c r="Q622" s="86"/>
    </row>
    <row r="623" spans="12:17" x14ac:dyDescent="0.3">
      <c r="L623" s="84"/>
      <c r="M623" s="84"/>
      <c r="N623" s="85"/>
      <c r="O623" s="86"/>
      <c r="Q623" s="86"/>
    </row>
    <row r="624" spans="12:17" x14ac:dyDescent="0.3">
      <c r="L624" s="84"/>
      <c r="M624" s="84"/>
      <c r="N624" s="85"/>
      <c r="O624" s="86"/>
      <c r="Q624" s="86"/>
    </row>
    <row r="625" spans="12:17" x14ac:dyDescent="0.3">
      <c r="L625" s="84"/>
      <c r="M625" s="84"/>
      <c r="N625" s="85"/>
      <c r="O625" s="86"/>
      <c r="Q625" s="86"/>
    </row>
    <row r="626" spans="12:17" x14ac:dyDescent="0.3">
      <c r="L626" s="84"/>
      <c r="M626" s="84"/>
      <c r="N626" s="85"/>
      <c r="O626" s="86"/>
      <c r="Q626" s="86"/>
    </row>
    <row r="627" spans="12:17" x14ac:dyDescent="0.3">
      <c r="L627" s="84"/>
      <c r="M627" s="84"/>
      <c r="N627" s="85"/>
      <c r="O627" s="86"/>
      <c r="Q627" s="86"/>
    </row>
    <row r="628" spans="12:17" x14ac:dyDescent="0.3">
      <c r="L628" s="84"/>
      <c r="M628" s="84"/>
      <c r="N628" s="85"/>
      <c r="O628" s="86"/>
      <c r="Q628" s="86"/>
    </row>
    <row r="629" spans="12:17" x14ac:dyDescent="0.3">
      <c r="L629" s="84"/>
      <c r="M629" s="84"/>
      <c r="N629" s="85"/>
      <c r="O629" s="86"/>
      <c r="Q629" s="86"/>
    </row>
    <row r="630" spans="12:17" x14ac:dyDescent="0.3">
      <c r="L630" s="84"/>
      <c r="M630" s="84"/>
      <c r="N630" s="85"/>
      <c r="O630" s="86"/>
      <c r="Q630" s="86"/>
    </row>
    <row r="631" spans="12:17" x14ac:dyDescent="0.3">
      <c r="L631" s="84"/>
      <c r="M631" s="84"/>
      <c r="N631" s="85"/>
      <c r="O631" s="86"/>
      <c r="Q631" s="86"/>
    </row>
    <row r="632" spans="12:17" x14ac:dyDescent="0.3">
      <c r="L632" s="84"/>
      <c r="M632" s="84"/>
      <c r="N632" s="85"/>
      <c r="O632" s="86"/>
      <c r="Q632" s="86"/>
    </row>
    <row r="633" spans="12:17" x14ac:dyDescent="0.3">
      <c r="L633" s="84"/>
      <c r="M633" s="84"/>
      <c r="N633" s="85"/>
      <c r="O633" s="86"/>
      <c r="Q633" s="86"/>
    </row>
    <row r="634" spans="12:17" x14ac:dyDescent="0.3">
      <c r="L634" s="84"/>
      <c r="M634" s="84"/>
      <c r="N634" s="85"/>
      <c r="O634" s="86"/>
      <c r="Q634" s="86"/>
    </row>
    <row r="635" spans="12:17" x14ac:dyDescent="0.3">
      <c r="L635" s="84"/>
      <c r="M635" s="84"/>
      <c r="N635" s="85"/>
      <c r="O635" s="86"/>
      <c r="Q635" s="86"/>
    </row>
    <row r="636" spans="12:17" x14ac:dyDescent="0.3">
      <c r="L636" s="84"/>
      <c r="M636" s="84"/>
      <c r="N636" s="85"/>
      <c r="O636" s="86"/>
      <c r="Q636" s="86"/>
    </row>
    <row r="637" spans="12:17" x14ac:dyDescent="0.3">
      <c r="L637" s="84"/>
      <c r="M637" s="84"/>
      <c r="N637" s="85"/>
      <c r="O637" s="86"/>
      <c r="Q637" s="86"/>
    </row>
    <row r="638" spans="12:17" x14ac:dyDescent="0.3">
      <c r="L638" s="84"/>
      <c r="M638" s="84"/>
      <c r="N638" s="85"/>
      <c r="O638" s="86"/>
      <c r="Q638" s="86"/>
    </row>
    <row r="639" spans="12:17" x14ac:dyDescent="0.3">
      <c r="L639" s="84"/>
      <c r="M639" s="84"/>
      <c r="N639" s="85"/>
      <c r="O639" s="86"/>
      <c r="Q639" s="86"/>
    </row>
    <row r="640" spans="12:17" x14ac:dyDescent="0.3">
      <c r="L640" s="84"/>
      <c r="M640" s="84"/>
      <c r="N640" s="85"/>
      <c r="O640" s="86"/>
      <c r="Q640" s="86"/>
    </row>
    <row r="641" spans="12:17" x14ac:dyDescent="0.3">
      <c r="L641" s="84"/>
      <c r="M641" s="84"/>
      <c r="N641" s="85"/>
      <c r="O641" s="86"/>
      <c r="Q641" s="86"/>
    </row>
    <row r="642" spans="12:17" x14ac:dyDescent="0.3">
      <c r="L642" s="84"/>
      <c r="M642" s="84"/>
      <c r="N642" s="85"/>
      <c r="O642" s="86"/>
      <c r="Q642" s="86"/>
    </row>
    <row r="643" spans="12:17" x14ac:dyDescent="0.3">
      <c r="L643" s="84"/>
      <c r="M643" s="84"/>
      <c r="N643" s="85"/>
      <c r="O643" s="86"/>
      <c r="Q643" s="86"/>
    </row>
    <row r="644" spans="12:17" x14ac:dyDescent="0.3">
      <c r="L644" s="84"/>
      <c r="M644" s="84"/>
      <c r="N644" s="85"/>
      <c r="O644" s="86"/>
      <c r="Q644" s="86"/>
    </row>
    <row r="645" spans="12:17" x14ac:dyDescent="0.3">
      <c r="L645" s="84"/>
      <c r="M645" s="84"/>
      <c r="N645" s="85"/>
      <c r="O645" s="86"/>
      <c r="Q645" s="86"/>
    </row>
    <row r="646" spans="12:17" x14ac:dyDescent="0.3">
      <c r="L646" s="84"/>
      <c r="M646" s="84"/>
      <c r="N646" s="85"/>
      <c r="O646" s="86"/>
      <c r="Q646" s="86"/>
    </row>
    <row r="647" spans="12:17" x14ac:dyDescent="0.3">
      <c r="L647" s="84"/>
      <c r="M647" s="84"/>
      <c r="N647" s="85"/>
      <c r="O647" s="86"/>
      <c r="Q647" s="86"/>
    </row>
    <row r="648" spans="12:17" x14ac:dyDescent="0.3">
      <c r="L648" s="84"/>
      <c r="M648" s="84"/>
      <c r="N648" s="85"/>
      <c r="O648" s="86"/>
      <c r="Q648" s="86"/>
    </row>
    <row r="649" spans="12:17" x14ac:dyDescent="0.3">
      <c r="L649" s="84"/>
      <c r="M649" s="84"/>
      <c r="N649" s="85"/>
      <c r="O649" s="86"/>
      <c r="Q649" s="86"/>
    </row>
    <row r="650" spans="12:17" x14ac:dyDescent="0.3">
      <c r="L650" s="84"/>
      <c r="M650" s="84"/>
      <c r="N650" s="85"/>
      <c r="O650" s="86"/>
      <c r="Q650" s="86"/>
    </row>
    <row r="651" spans="12:17" x14ac:dyDescent="0.3">
      <c r="L651" s="84"/>
      <c r="M651" s="84"/>
      <c r="N651" s="85"/>
      <c r="O651" s="86"/>
      <c r="Q651" s="86"/>
    </row>
    <row r="652" spans="12:17" x14ac:dyDescent="0.3">
      <c r="L652" s="84"/>
      <c r="M652" s="84"/>
      <c r="N652" s="85"/>
      <c r="O652" s="86"/>
      <c r="Q652" s="86"/>
    </row>
    <row r="653" spans="12:17" x14ac:dyDescent="0.3">
      <c r="L653" s="84"/>
      <c r="M653" s="84"/>
      <c r="N653" s="85"/>
      <c r="O653" s="86"/>
      <c r="Q653" s="86"/>
    </row>
    <row r="654" spans="12:17" x14ac:dyDescent="0.3">
      <c r="L654" s="84"/>
      <c r="M654" s="84"/>
      <c r="N654" s="85"/>
      <c r="O654" s="86"/>
      <c r="Q654" s="86"/>
    </row>
    <row r="655" spans="12:17" x14ac:dyDescent="0.3">
      <c r="L655" s="84"/>
      <c r="M655" s="84"/>
      <c r="N655" s="85"/>
      <c r="O655" s="86"/>
      <c r="Q655" s="86"/>
    </row>
    <row r="656" spans="12:17" x14ac:dyDescent="0.3">
      <c r="L656" s="84"/>
      <c r="M656" s="84"/>
      <c r="N656" s="85"/>
      <c r="O656" s="86"/>
      <c r="Q656" s="86"/>
    </row>
    <row r="657" spans="12:17" x14ac:dyDescent="0.3">
      <c r="L657" s="84"/>
      <c r="M657" s="84"/>
      <c r="N657" s="85"/>
      <c r="O657" s="86"/>
      <c r="Q657" s="86"/>
    </row>
    <row r="658" spans="12:17" x14ac:dyDescent="0.3">
      <c r="L658" s="84"/>
      <c r="M658" s="84"/>
      <c r="N658" s="85"/>
      <c r="O658" s="86"/>
      <c r="Q658" s="86"/>
    </row>
    <row r="659" spans="12:17" x14ac:dyDescent="0.3">
      <c r="L659" s="84"/>
      <c r="M659" s="84"/>
      <c r="N659" s="85"/>
      <c r="O659" s="86"/>
      <c r="Q659" s="86"/>
    </row>
    <row r="660" spans="12:17" x14ac:dyDescent="0.3">
      <c r="L660" s="84"/>
      <c r="M660" s="84"/>
      <c r="N660" s="85"/>
      <c r="O660" s="86"/>
      <c r="Q660" s="86"/>
    </row>
    <row r="661" spans="12:17" x14ac:dyDescent="0.3">
      <c r="L661" s="84"/>
      <c r="M661" s="84"/>
      <c r="N661" s="85"/>
      <c r="O661" s="86"/>
      <c r="Q661" s="86"/>
    </row>
    <row r="662" spans="12:17" x14ac:dyDescent="0.3">
      <c r="L662" s="84"/>
      <c r="M662" s="84"/>
      <c r="N662" s="85"/>
      <c r="O662" s="86"/>
      <c r="Q662" s="86"/>
    </row>
    <row r="663" spans="12:17" x14ac:dyDescent="0.3">
      <c r="L663" s="84"/>
      <c r="M663" s="84"/>
      <c r="N663" s="85"/>
      <c r="O663" s="86"/>
      <c r="Q663" s="86"/>
    </row>
    <row r="664" spans="12:17" x14ac:dyDescent="0.3">
      <c r="L664" s="84"/>
      <c r="M664" s="84"/>
      <c r="N664" s="85"/>
      <c r="O664" s="86"/>
      <c r="Q664" s="86"/>
    </row>
    <row r="665" spans="12:17" x14ac:dyDescent="0.3">
      <c r="L665" s="84"/>
      <c r="M665" s="84"/>
      <c r="N665" s="85"/>
      <c r="O665" s="86"/>
      <c r="Q665" s="86"/>
    </row>
    <row r="666" spans="12:17" x14ac:dyDescent="0.3">
      <c r="L666" s="84"/>
      <c r="M666" s="84"/>
      <c r="N666" s="85"/>
      <c r="O666" s="86"/>
      <c r="Q666" s="86"/>
    </row>
    <row r="667" spans="12:17" x14ac:dyDescent="0.3">
      <c r="L667" s="84"/>
      <c r="M667" s="84"/>
      <c r="N667" s="85"/>
      <c r="O667" s="86"/>
      <c r="Q667" s="86"/>
    </row>
    <row r="668" spans="12:17" x14ac:dyDescent="0.3">
      <c r="L668" s="84"/>
      <c r="M668" s="84"/>
      <c r="N668" s="85"/>
      <c r="O668" s="86"/>
      <c r="Q668" s="86"/>
    </row>
    <row r="669" spans="12:17" x14ac:dyDescent="0.3">
      <c r="L669" s="84"/>
      <c r="M669" s="84"/>
      <c r="N669" s="85"/>
      <c r="O669" s="86"/>
      <c r="Q669" s="86"/>
    </row>
    <row r="670" spans="12:17" x14ac:dyDescent="0.3">
      <c r="L670" s="84"/>
      <c r="M670" s="84"/>
      <c r="N670" s="85"/>
      <c r="O670" s="86"/>
      <c r="Q670" s="86"/>
    </row>
    <row r="671" spans="12:17" x14ac:dyDescent="0.3">
      <c r="L671" s="84"/>
      <c r="M671" s="84"/>
      <c r="N671" s="85"/>
      <c r="O671" s="86"/>
      <c r="Q671" s="86"/>
    </row>
    <row r="672" spans="12:17" x14ac:dyDescent="0.3">
      <c r="L672" s="84"/>
      <c r="M672" s="84"/>
      <c r="N672" s="85"/>
      <c r="O672" s="86"/>
      <c r="Q672" s="86"/>
    </row>
    <row r="673" spans="12:17" x14ac:dyDescent="0.3">
      <c r="L673" s="84"/>
      <c r="M673" s="84"/>
      <c r="N673" s="85"/>
      <c r="O673" s="86"/>
      <c r="Q673" s="86"/>
    </row>
    <row r="674" spans="12:17" x14ac:dyDescent="0.3">
      <c r="L674" s="84"/>
      <c r="M674" s="84"/>
      <c r="N674" s="85"/>
      <c r="O674" s="86"/>
      <c r="Q674" s="86"/>
    </row>
    <row r="675" spans="12:17" x14ac:dyDescent="0.3">
      <c r="L675" s="84"/>
      <c r="M675" s="84"/>
      <c r="N675" s="85"/>
      <c r="O675" s="86"/>
      <c r="Q675" s="86"/>
    </row>
    <row r="676" spans="12:17" x14ac:dyDescent="0.3">
      <c r="L676" s="84"/>
      <c r="M676" s="84"/>
      <c r="N676" s="85"/>
      <c r="O676" s="86"/>
      <c r="Q676" s="86"/>
    </row>
    <row r="677" spans="12:17" x14ac:dyDescent="0.3">
      <c r="L677" s="84"/>
      <c r="M677" s="84"/>
      <c r="N677" s="85"/>
      <c r="O677" s="86"/>
      <c r="Q677" s="86"/>
    </row>
    <row r="678" spans="12:17" x14ac:dyDescent="0.3">
      <c r="L678" s="84"/>
      <c r="M678" s="84"/>
      <c r="N678" s="85"/>
      <c r="O678" s="86"/>
      <c r="Q678" s="86"/>
    </row>
    <row r="679" spans="12:17" x14ac:dyDescent="0.3">
      <c r="L679" s="84"/>
      <c r="M679" s="84"/>
      <c r="N679" s="85"/>
      <c r="O679" s="86"/>
      <c r="Q679" s="86"/>
    </row>
    <row r="680" spans="12:17" x14ac:dyDescent="0.3">
      <c r="L680" s="84"/>
      <c r="M680" s="84"/>
      <c r="N680" s="85"/>
      <c r="O680" s="86"/>
      <c r="Q680" s="86"/>
    </row>
    <row r="681" spans="12:17" x14ac:dyDescent="0.3">
      <c r="L681" s="84"/>
      <c r="M681" s="84"/>
      <c r="N681" s="85"/>
      <c r="O681" s="86"/>
      <c r="Q681" s="86"/>
    </row>
    <row r="682" spans="12:17" x14ac:dyDescent="0.3">
      <c r="L682" s="84"/>
      <c r="M682" s="84"/>
      <c r="N682" s="85"/>
      <c r="O682" s="86"/>
      <c r="Q682" s="86"/>
    </row>
    <row r="683" spans="12:17" x14ac:dyDescent="0.3">
      <c r="L683" s="84"/>
      <c r="M683" s="84"/>
      <c r="N683" s="85"/>
      <c r="O683" s="86"/>
      <c r="Q683" s="86"/>
    </row>
    <row r="684" spans="12:17" x14ac:dyDescent="0.3">
      <c r="L684" s="84"/>
      <c r="M684" s="84"/>
      <c r="N684" s="85"/>
      <c r="O684" s="86"/>
      <c r="Q684" s="86"/>
    </row>
    <row r="685" spans="12:17" x14ac:dyDescent="0.3">
      <c r="L685" s="84"/>
      <c r="M685" s="84"/>
      <c r="N685" s="85"/>
      <c r="O685" s="86"/>
      <c r="Q685" s="86"/>
    </row>
    <row r="686" spans="12:17" x14ac:dyDescent="0.3">
      <c r="L686" s="84"/>
      <c r="M686" s="84"/>
      <c r="N686" s="85"/>
      <c r="O686" s="86"/>
      <c r="Q686" s="86"/>
    </row>
    <row r="687" spans="12:17" x14ac:dyDescent="0.3">
      <c r="L687" s="84"/>
      <c r="M687" s="84"/>
      <c r="N687" s="85"/>
      <c r="O687" s="86"/>
      <c r="Q687" s="86"/>
    </row>
    <row r="688" spans="12:17" x14ac:dyDescent="0.3">
      <c r="L688" s="84"/>
      <c r="M688" s="84"/>
      <c r="N688" s="85"/>
      <c r="O688" s="86"/>
      <c r="Q688" s="86"/>
    </row>
    <row r="689" spans="12:17" x14ac:dyDescent="0.3">
      <c r="L689" s="84"/>
      <c r="M689" s="84"/>
      <c r="N689" s="85"/>
      <c r="O689" s="86"/>
      <c r="Q689" s="86"/>
    </row>
    <row r="690" spans="12:17" x14ac:dyDescent="0.3">
      <c r="L690" s="84"/>
      <c r="M690" s="84"/>
      <c r="N690" s="85"/>
      <c r="O690" s="86"/>
      <c r="Q690" s="86"/>
    </row>
    <row r="691" spans="12:17" x14ac:dyDescent="0.3">
      <c r="L691" s="84"/>
      <c r="M691" s="84"/>
      <c r="N691" s="85"/>
      <c r="O691" s="86"/>
      <c r="Q691" s="86"/>
    </row>
    <row r="692" spans="12:17" x14ac:dyDescent="0.3">
      <c r="L692" s="84"/>
      <c r="M692" s="84"/>
      <c r="N692" s="85"/>
      <c r="O692" s="86"/>
      <c r="Q692" s="86"/>
    </row>
    <row r="693" spans="12:17" x14ac:dyDescent="0.3">
      <c r="L693" s="84"/>
      <c r="M693" s="84"/>
      <c r="N693" s="85"/>
      <c r="O693" s="86"/>
      <c r="Q693" s="86"/>
    </row>
    <row r="694" spans="12:17" x14ac:dyDescent="0.3">
      <c r="L694" s="84"/>
      <c r="M694" s="84"/>
      <c r="N694" s="85"/>
      <c r="O694" s="86"/>
      <c r="Q694" s="86"/>
    </row>
    <row r="695" spans="12:17" x14ac:dyDescent="0.3">
      <c r="L695" s="84"/>
      <c r="M695" s="84"/>
      <c r="N695" s="85"/>
      <c r="O695" s="86"/>
      <c r="Q695" s="86"/>
    </row>
    <row r="696" spans="12:17" x14ac:dyDescent="0.3">
      <c r="L696" s="84"/>
      <c r="M696" s="84"/>
      <c r="N696" s="85"/>
      <c r="O696" s="86"/>
      <c r="Q696" s="86"/>
    </row>
    <row r="697" spans="12:17" x14ac:dyDescent="0.3">
      <c r="L697" s="84"/>
      <c r="M697" s="84"/>
      <c r="N697" s="85"/>
      <c r="O697" s="86"/>
      <c r="Q697" s="86"/>
    </row>
    <row r="698" spans="12:17" x14ac:dyDescent="0.3">
      <c r="L698" s="84"/>
      <c r="M698" s="84"/>
      <c r="N698" s="85"/>
      <c r="O698" s="86"/>
      <c r="Q698" s="86"/>
    </row>
    <row r="699" spans="12:17" x14ac:dyDescent="0.3">
      <c r="L699" s="84"/>
      <c r="M699" s="84"/>
      <c r="N699" s="85"/>
      <c r="O699" s="86"/>
      <c r="Q699" s="86"/>
    </row>
    <row r="700" spans="12:17" x14ac:dyDescent="0.3">
      <c r="L700" s="84"/>
      <c r="M700" s="84"/>
      <c r="N700" s="85"/>
      <c r="O700" s="86"/>
      <c r="Q700" s="86"/>
    </row>
    <row r="701" spans="12:17" x14ac:dyDescent="0.3">
      <c r="L701" s="84"/>
      <c r="M701" s="84"/>
      <c r="N701" s="85"/>
      <c r="O701" s="86"/>
      <c r="Q701" s="86"/>
    </row>
    <row r="702" spans="12:17" x14ac:dyDescent="0.3">
      <c r="L702" s="84"/>
      <c r="M702" s="84"/>
      <c r="N702" s="85"/>
      <c r="O702" s="86"/>
      <c r="Q702" s="86"/>
    </row>
    <row r="703" spans="12:17" x14ac:dyDescent="0.3">
      <c r="L703" s="84"/>
      <c r="M703" s="84"/>
      <c r="N703" s="85"/>
      <c r="O703" s="86"/>
      <c r="Q703" s="86"/>
    </row>
    <row r="704" spans="12:17" x14ac:dyDescent="0.3">
      <c r="L704" s="84"/>
      <c r="M704" s="84"/>
      <c r="N704" s="85"/>
      <c r="O704" s="86"/>
      <c r="Q704" s="86"/>
    </row>
    <row r="705" spans="12:17" x14ac:dyDescent="0.3">
      <c r="L705" s="84"/>
      <c r="M705" s="84"/>
      <c r="N705" s="85"/>
      <c r="O705" s="86"/>
      <c r="Q705" s="86"/>
    </row>
    <row r="706" spans="12:17" x14ac:dyDescent="0.3">
      <c r="L706" s="84"/>
      <c r="M706" s="84"/>
      <c r="N706" s="85"/>
      <c r="O706" s="86"/>
      <c r="Q706" s="86"/>
    </row>
    <row r="707" spans="12:17" x14ac:dyDescent="0.3">
      <c r="L707" s="84"/>
      <c r="M707" s="84"/>
      <c r="N707" s="85"/>
      <c r="O707" s="86"/>
      <c r="Q707" s="86"/>
    </row>
    <row r="708" spans="12:17" x14ac:dyDescent="0.3">
      <c r="L708" s="84"/>
      <c r="M708" s="84"/>
      <c r="N708" s="85"/>
      <c r="O708" s="86"/>
      <c r="Q708" s="86"/>
    </row>
    <row r="709" spans="12:17" x14ac:dyDescent="0.3">
      <c r="L709" s="84"/>
      <c r="M709" s="84"/>
      <c r="N709" s="85"/>
      <c r="O709" s="86"/>
      <c r="Q709" s="86"/>
    </row>
    <row r="710" spans="12:17" x14ac:dyDescent="0.3">
      <c r="L710" s="84"/>
      <c r="M710" s="84"/>
      <c r="N710" s="85"/>
      <c r="O710" s="86"/>
      <c r="Q710" s="86"/>
    </row>
    <row r="711" spans="12:17" x14ac:dyDescent="0.3">
      <c r="L711" s="84"/>
      <c r="M711" s="84"/>
      <c r="N711" s="85"/>
      <c r="O711" s="86"/>
      <c r="Q711" s="86"/>
    </row>
    <row r="712" spans="12:17" x14ac:dyDescent="0.3">
      <c r="L712" s="84"/>
      <c r="M712" s="84"/>
      <c r="N712" s="85"/>
      <c r="O712" s="86"/>
      <c r="Q712" s="86"/>
    </row>
    <row r="713" spans="12:17" x14ac:dyDescent="0.3">
      <c r="L713" s="84"/>
      <c r="M713" s="84"/>
      <c r="N713" s="85"/>
      <c r="O713" s="86"/>
      <c r="Q713" s="86"/>
    </row>
    <row r="714" spans="12:17" x14ac:dyDescent="0.3">
      <c r="L714" s="84"/>
      <c r="M714" s="84"/>
      <c r="N714" s="85"/>
      <c r="O714" s="86"/>
      <c r="Q714" s="86"/>
    </row>
    <row r="715" spans="12:17" x14ac:dyDescent="0.3">
      <c r="L715" s="84"/>
      <c r="M715" s="84"/>
      <c r="N715" s="85"/>
      <c r="O715" s="86"/>
      <c r="Q715" s="86"/>
    </row>
    <row r="716" spans="12:17" x14ac:dyDescent="0.3">
      <c r="L716" s="84"/>
      <c r="M716" s="84"/>
      <c r="N716" s="85"/>
      <c r="O716" s="86"/>
      <c r="Q716" s="86"/>
    </row>
    <row r="717" spans="12:17" x14ac:dyDescent="0.3">
      <c r="L717" s="84"/>
      <c r="M717" s="84"/>
      <c r="N717" s="85"/>
      <c r="O717" s="86"/>
      <c r="Q717" s="86"/>
    </row>
    <row r="718" spans="12:17" x14ac:dyDescent="0.3">
      <c r="L718" s="84"/>
      <c r="M718" s="84"/>
      <c r="N718" s="85"/>
      <c r="O718" s="86"/>
      <c r="Q718" s="86"/>
    </row>
    <row r="719" spans="12:17" x14ac:dyDescent="0.3">
      <c r="L719" s="84"/>
      <c r="M719" s="84"/>
      <c r="N719" s="85"/>
      <c r="O719" s="86"/>
      <c r="Q719" s="86"/>
    </row>
    <row r="720" spans="12:17" x14ac:dyDescent="0.3">
      <c r="L720" s="84"/>
      <c r="M720" s="84"/>
      <c r="N720" s="85"/>
      <c r="O720" s="86"/>
      <c r="Q720" s="86"/>
    </row>
    <row r="721" spans="12:17" x14ac:dyDescent="0.3">
      <c r="L721" s="84"/>
      <c r="M721" s="84"/>
      <c r="N721" s="85"/>
      <c r="O721" s="86"/>
      <c r="Q721" s="86"/>
    </row>
    <row r="722" spans="12:17" x14ac:dyDescent="0.3">
      <c r="L722" s="84"/>
      <c r="M722" s="84"/>
      <c r="N722" s="85"/>
      <c r="O722" s="86"/>
      <c r="Q722" s="86"/>
    </row>
    <row r="723" spans="12:17" x14ac:dyDescent="0.3">
      <c r="L723" s="84"/>
      <c r="M723" s="84"/>
      <c r="N723" s="85"/>
      <c r="O723" s="86"/>
      <c r="Q723" s="86"/>
    </row>
    <row r="724" spans="12:17" x14ac:dyDescent="0.3">
      <c r="L724" s="84"/>
      <c r="M724" s="84"/>
      <c r="N724" s="85"/>
      <c r="O724" s="86"/>
      <c r="Q724" s="86"/>
    </row>
    <row r="725" spans="12:17" x14ac:dyDescent="0.3">
      <c r="L725" s="84"/>
      <c r="M725" s="84"/>
      <c r="N725" s="85"/>
      <c r="O725" s="86"/>
      <c r="Q725" s="86"/>
    </row>
    <row r="726" spans="12:17" x14ac:dyDescent="0.3">
      <c r="L726" s="84"/>
      <c r="M726" s="84"/>
      <c r="N726" s="85"/>
      <c r="O726" s="86"/>
      <c r="Q726" s="86"/>
    </row>
    <row r="727" spans="12:17" x14ac:dyDescent="0.3">
      <c r="L727" s="84"/>
      <c r="M727" s="84"/>
      <c r="N727" s="85"/>
      <c r="O727" s="86"/>
      <c r="Q727" s="86"/>
    </row>
    <row r="728" spans="12:17" x14ac:dyDescent="0.3">
      <c r="L728" s="84"/>
      <c r="M728" s="84"/>
      <c r="N728" s="85"/>
      <c r="O728" s="86"/>
      <c r="Q728" s="86"/>
    </row>
    <row r="729" spans="12:17" x14ac:dyDescent="0.3">
      <c r="L729" s="84"/>
      <c r="M729" s="84"/>
      <c r="N729" s="85"/>
      <c r="O729" s="86"/>
      <c r="Q729" s="86"/>
    </row>
    <row r="730" spans="12:17" x14ac:dyDescent="0.3">
      <c r="L730" s="84"/>
      <c r="M730" s="84"/>
      <c r="N730" s="85"/>
      <c r="O730" s="86"/>
      <c r="Q730" s="86"/>
    </row>
  </sheetData>
  <sheetProtection algorithmName="SHA-512" hashValue="/1D6sBzIq/kjdcK46KhYPunD2suxQOIohJbv+kpbLzJCaXj0rPk5Rb8stM9OFJIjnf7AcmM/4ejAm0X4S9mZ1Q==" saltValue="rC6cw39EmQ9fDNAiHFIoYw==" spinCount="100000" sheet="1" formatCells="0" formatColumns="0" formatRows="0" insertColumns="0" insertRows="0" insertHyperlinks="0" deleteColumns="0" deleteRows="0" sort="0" autoFilter="0" pivotTables="0"/>
  <autoFilter ref="A2:J23" xr:uid="{2A2435E7-612D-4711-B0B5-5ECD096D353D}">
    <sortState xmlns:xlrd2="http://schemas.microsoft.com/office/spreadsheetml/2017/richdata2" ref="A3:J23">
      <sortCondition ref="G2:G23"/>
    </sortState>
  </autoFilter>
  <mergeCells count="2">
    <mergeCell ref="A1:I1"/>
    <mergeCell ref="M1:M2"/>
  </mergeCells>
  <conditionalFormatting sqref="G2">
    <cfRule type="containsText" dxfId="4" priority="17" operator="containsText" text="Please">
      <formula>NOT(ISERROR(SEARCH("Please",G2)))</formula>
    </cfRule>
  </conditionalFormatting>
  <conditionalFormatting sqref="G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1">
    <cfRule type="containsText" dxfId="3" priority="1" operator="containsText" text="В">
      <formula>NOT(ISERROR(SEARCH("В",G3)))</formula>
    </cfRule>
    <cfRule type="containsText" dxfId="2" priority="2" operator="containsText" text="А">
      <formula>NOT(ISERROR(SEARCH("А",G3)))</formula>
    </cfRule>
    <cfRule type="containsText" dxfId="1" priority="3" operator="containsText" text="С">
      <formula>NOT(ISERROR(SEARCH("С",G3)))</formula>
    </cfRule>
  </conditionalFormatting>
  <conditionalFormatting sqref="G4:G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3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:G3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expression" dxfId="0" priority="18">
      <formula>"&gt;0"</formula>
    </cfRule>
  </conditionalFormatting>
  <dataValidations count="1">
    <dataValidation type="custom" allowBlank="1" showInputMessage="1" showErrorMessage="1" error="Order quantity must be a multiple of Sales per Unit Case (12)." prompt="Order quantity must be a multiple of Sales per Unit Case (12)." sqref="H3:H31" xr:uid="{B9C0612A-3273-45C1-BAAE-FDE54EC0C7BB}">
      <formula1>MOD(H3,D3)=0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4754-7519-43B7-B4EC-EB6A37B0A9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3B83-8C15-4EBA-A6B0-9010B3BBCCB1}">
  <dimension ref="C2:D359"/>
  <sheetViews>
    <sheetView workbookViewId="0"/>
  </sheetViews>
  <sheetFormatPr defaultColWidth="8.88671875" defaultRowHeight="12" x14ac:dyDescent="0.25"/>
  <cols>
    <col min="1" max="2" width="8.88671875" style="23"/>
    <col min="3" max="3" width="10.6640625" style="23" bestFit="1" customWidth="1"/>
    <col min="4" max="4" width="12.33203125" style="23" bestFit="1" customWidth="1"/>
    <col min="5" max="16384" width="8.88671875" style="23"/>
  </cols>
  <sheetData>
    <row r="2" spans="3:4" ht="13.8" x14ac:dyDescent="0.4">
      <c r="C2" s="22" t="s">
        <v>6</v>
      </c>
      <c r="D2" s="25" t="s">
        <v>10</v>
      </c>
    </row>
    <row r="3" spans="3:4" x14ac:dyDescent="0.25">
      <c r="C3" s="24" t="s">
        <v>16</v>
      </c>
      <c r="D3" s="26">
        <v>13.43</v>
      </c>
    </row>
    <row r="4" spans="3:4" x14ac:dyDescent="0.25">
      <c r="C4" s="24" t="s">
        <v>18</v>
      </c>
      <c r="D4" s="26">
        <v>17.93</v>
      </c>
    </row>
    <row r="5" spans="3:4" x14ac:dyDescent="0.25">
      <c r="C5" s="24" t="s">
        <v>412</v>
      </c>
      <c r="D5" s="26">
        <v>10.43</v>
      </c>
    </row>
    <row r="6" spans="3:4" x14ac:dyDescent="0.25">
      <c r="C6" s="24" t="s">
        <v>20</v>
      </c>
      <c r="D6" s="26">
        <v>11.93</v>
      </c>
    </row>
    <row r="7" spans="3:4" x14ac:dyDescent="0.25">
      <c r="C7" s="24" t="s">
        <v>22</v>
      </c>
      <c r="D7" s="26">
        <v>22.43</v>
      </c>
    </row>
    <row r="8" spans="3:4" x14ac:dyDescent="0.25">
      <c r="C8" s="24" t="s">
        <v>24</v>
      </c>
      <c r="D8" s="26">
        <v>38.18</v>
      </c>
    </row>
    <row r="9" spans="3:4" x14ac:dyDescent="0.25">
      <c r="C9" s="24" t="s">
        <v>26</v>
      </c>
      <c r="D9" s="26">
        <v>10.43</v>
      </c>
    </row>
    <row r="10" spans="3:4" x14ac:dyDescent="0.25">
      <c r="C10" s="24" t="s">
        <v>1517</v>
      </c>
      <c r="D10" s="26">
        <v>10.43</v>
      </c>
    </row>
    <row r="11" spans="3:4" x14ac:dyDescent="0.25">
      <c r="C11" s="24" t="s">
        <v>30</v>
      </c>
      <c r="D11" s="26">
        <v>18.68</v>
      </c>
    </row>
    <row r="12" spans="3:4" x14ac:dyDescent="0.25">
      <c r="C12" s="24" t="s">
        <v>32</v>
      </c>
      <c r="D12" s="26">
        <v>13.43</v>
      </c>
    </row>
    <row r="13" spans="3:4" x14ac:dyDescent="0.25">
      <c r="C13" s="24" t="s">
        <v>34</v>
      </c>
      <c r="D13" s="26">
        <v>29.18</v>
      </c>
    </row>
    <row r="14" spans="3:4" x14ac:dyDescent="0.25">
      <c r="C14" s="24" t="s">
        <v>36</v>
      </c>
      <c r="D14" s="26">
        <v>14.18</v>
      </c>
    </row>
    <row r="15" spans="3:4" x14ac:dyDescent="0.25">
      <c r="C15" s="24" t="s">
        <v>38</v>
      </c>
      <c r="D15" s="26">
        <v>23.18</v>
      </c>
    </row>
    <row r="16" spans="3:4" x14ac:dyDescent="0.25">
      <c r="C16" s="24" t="s">
        <v>40</v>
      </c>
      <c r="D16" s="26">
        <v>19.43</v>
      </c>
    </row>
    <row r="17" spans="3:4" x14ac:dyDescent="0.25">
      <c r="C17" s="24" t="s">
        <v>414</v>
      </c>
      <c r="D17" s="26">
        <v>12.68</v>
      </c>
    </row>
    <row r="18" spans="3:4" x14ac:dyDescent="0.25">
      <c r="C18" s="24" t="s">
        <v>42</v>
      </c>
      <c r="D18" s="26">
        <v>10.43</v>
      </c>
    </row>
    <row r="19" spans="3:4" x14ac:dyDescent="0.25">
      <c r="C19" s="24" t="s">
        <v>44</v>
      </c>
      <c r="D19" s="26">
        <v>9.68</v>
      </c>
    </row>
    <row r="20" spans="3:4" x14ac:dyDescent="0.25">
      <c r="C20" s="24" t="s">
        <v>416</v>
      </c>
      <c r="D20" s="26">
        <v>10.43</v>
      </c>
    </row>
    <row r="21" spans="3:4" x14ac:dyDescent="0.25">
      <c r="C21" s="24" t="s">
        <v>46</v>
      </c>
      <c r="D21" s="26">
        <v>23.18</v>
      </c>
    </row>
    <row r="22" spans="3:4" x14ac:dyDescent="0.25">
      <c r="C22" s="24" t="s">
        <v>1518</v>
      </c>
      <c r="D22" s="26">
        <v>23.18</v>
      </c>
    </row>
    <row r="23" spans="3:4" x14ac:dyDescent="0.25">
      <c r="C23" s="24" t="s">
        <v>49</v>
      </c>
      <c r="D23" s="26">
        <v>40.43</v>
      </c>
    </row>
    <row r="24" spans="3:4" x14ac:dyDescent="0.25">
      <c r="C24" s="24" t="s">
        <v>1519</v>
      </c>
      <c r="D24" s="26">
        <v>40.43</v>
      </c>
    </row>
    <row r="25" spans="3:4" x14ac:dyDescent="0.25">
      <c r="C25" s="24" t="s">
        <v>52</v>
      </c>
      <c r="D25" s="26">
        <v>14.18</v>
      </c>
    </row>
    <row r="26" spans="3:4" x14ac:dyDescent="0.25">
      <c r="C26" s="24" t="s">
        <v>1520</v>
      </c>
      <c r="D26" s="26">
        <v>14.18</v>
      </c>
    </row>
    <row r="27" spans="3:4" x14ac:dyDescent="0.25">
      <c r="C27" s="24" t="s">
        <v>55</v>
      </c>
      <c r="D27" s="26">
        <v>11.18</v>
      </c>
    </row>
    <row r="28" spans="3:4" x14ac:dyDescent="0.25">
      <c r="C28" s="24" t="s">
        <v>57</v>
      </c>
      <c r="D28" s="26">
        <v>19.43</v>
      </c>
    </row>
    <row r="29" spans="3:4" x14ac:dyDescent="0.25">
      <c r="C29" s="24" t="s">
        <v>59</v>
      </c>
      <c r="D29" s="26">
        <v>14.18</v>
      </c>
    </row>
    <row r="30" spans="3:4" x14ac:dyDescent="0.25">
      <c r="C30" s="24" t="s">
        <v>61</v>
      </c>
      <c r="D30" s="26">
        <v>5.93</v>
      </c>
    </row>
    <row r="31" spans="3:4" x14ac:dyDescent="0.25">
      <c r="C31" s="24" t="s">
        <v>63</v>
      </c>
      <c r="D31" s="26">
        <v>8.93</v>
      </c>
    </row>
    <row r="32" spans="3:4" x14ac:dyDescent="0.25">
      <c r="C32" s="24" t="s">
        <v>418</v>
      </c>
      <c r="D32" s="26">
        <v>12.68</v>
      </c>
    </row>
    <row r="33" spans="3:4" x14ac:dyDescent="0.25">
      <c r="C33" s="24" t="s">
        <v>65</v>
      </c>
      <c r="D33" s="26">
        <v>10.43</v>
      </c>
    </row>
    <row r="34" spans="3:4" x14ac:dyDescent="0.25">
      <c r="C34" s="24" t="s">
        <v>420</v>
      </c>
      <c r="D34" s="26">
        <v>26.18</v>
      </c>
    </row>
    <row r="35" spans="3:4" x14ac:dyDescent="0.25">
      <c r="C35" s="24" t="s">
        <v>67</v>
      </c>
      <c r="D35" s="26">
        <v>10.43</v>
      </c>
    </row>
    <row r="36" spans="3:4" x14ac:dyDescent="0.25">
      <c r="C36" s="24" t="s">
        <v>69</v>
      </c>
      <c r="D36" s="26">
        <v>11.18</v>
      </c>
    </row>
    <row r="37" spans="3:4" x14ac:dyDescent="0.25">
      <c r="C37" s="24" t="s">
        <v>71</v>
      </c>
      <c r="D37" s="26">
        <v>33.68</v>
      </c>
    </row>
    <row r="38" spans="3:4" x14ac:dyDescent="0.25">
      <c r="C38" s="24" t="s">
        <v>73</v>
      </c>
      <c r="D38" s="26">
        <v>35.18</v>
      </c>
    </row>
    <row r="39" spans="3:4" x14ac:dyDescent="0.25">
      <c r="C39" s="24" t="s">
        <v>75</v>
      </c>
      <c r="D39" s="26">
        <v>12.68</v>
      </c>
    </row>
    <row r="40" spans="3:4" x14ac:dyDescent="0.25">
      <c r="C40" s="24" t="s">
        <v>77</v>
      </c>
      <c r="D40" s="26">
        <v>23.18</v>
      </c>
    </row>
    <row r="41" spans="3:4" x14ac:dyDescent="0.25">
      <c r="C41" s="24" t="s">
        <v>1521</v>
      </c>
      <c r="D41" s="26">
        <v>23.18</v>
      </c>
    </row>
    <row r="42" spans="3:4" x14ac:dyDescent="0.25">
      <c r="C42" s="24" t="s">
        <v>1522</v>
      </c>
      <c r="D42" s="26">
        <v>12.68</v>
      </c>
    </row>
    <row r="43" spans="3:4" x14ac:dyDescent="0.25">
      <c r="C43" s="24" t="s">
        <v>81</v>
      </c>
      <c r="D43" s="26">
        <v>9.68</v>
      </c>
    </row>
    <row r="44" spans="3:4" x14ac:dyDescent="0.25">
      <c r="C44" s="24" t="s">
        <v>83</v>
      </c>
      <c r="D44" s="26">
        <v>16.43</v>
      </c>
    </row>
    <row r="45" spans="3:4" x14ac:dyDescent="0.25">
      <c r="C45" s="24" t="s">
        <v>85</v>
      </c>
      <c r="D45" s="26">
        <v>27.68</v>
      </c>
    </row>
    <row r="46" spans="3:4" x14ac:dyDescent="0.25">
      <c r="C46" s="24" t="s">
        <v>87</v>
      </c>
      <c r="D46" s="26">
        <v>10.43</v>
      </c>
    </row>
    <row r="47" spans="3:4" x14ac:dyDescent="0.25">
      <c r="C47" s="24" t="s">
        <v>89</v>
      </c>
      <c r="D47" s="26">
        <v>12.68</v>
      </c>
    </row>
    <row r="48" spans="3:4" x14ac:dyDescent="0.25">
      <c r="C48" s="24" t="s">
        <v>91</v>
      </c>
      <c r="D48" s="26">
        <v>17.93</v>
      </c>
    </row>
    <row r="49" spans="3:4" x14ac:dyDescent="0.25">
      <c r="C49" s="24" t="s">
        <v>93</v>
      </c>
      <c r="D49" s="26">
        <v>8.93</v>
      </c>
    </row>
    <row r="50" spans="3:4" x14ac:dyDescent="0.25">
      <c r="C50" s="24" t="s">
        <v>95</v>
      </c>
      <c r="D50" s="26">
        <v>25.43</v>
      </c>
    </row>
    <row r="51" spans="3:4" x14ac:dyDescent="0.25">
      <c r="C51" s="24" t="s">
        <v>97</v>
      </c>
      <c r="D51" s="26">
        <v>14.18</v>
      </c>
    </row>
    <row r="52" spans="3:4" x14ac:dyDescent="0.25">
      <c r="C52" s="24" t="s">
        <v>99</v>
      </c>
      <c r="D52" s="26">
        <v>7.43</v>
      </c>
    </row>
    <row r="53" spans="3:4" x14ac:dyDescent="0.25">
      <c r="C53" s="24" t="s">
        <v>101</v>
      </c>
      <c r="D53" s="26">
        <v>11.18</v>
      </c>
    </row>
    <row r="54" spans="3:4" x14ac:dyDescent="0.25">
      <c r="C54" s="24" t="s">
        <v>422</v>
      </c>
      <c r="D54" s="26">
        <v>10.43</v>
      </c>
    </row>
    <row r="55" spans="3:4" x14ac:dyDescent="0.25">
      <c r="C55" s="24" t="s">
        <v>103</v>
      </c>
      <c r="D55" s="26">
        <v>5.93</v>
      </c>
    </row>
    <row r="56" spans="3:4" x14ac:dyDescent="0.25">
      <c r="C56" s="24" t="s">
        <v>105</v>
      </c>
      <c r="D56" s="26">
        <v>11.93</v>
      </c>
    </row>
    <row r="57" spans="3:4" x14ac:dyDescent="0.25">
      <c r="C57" s="24" t="s">
        <v>107</v>
      </c>
      <c r="D57" s="26">
        <v>19.43</v>
      </c>
    </row>
    <row r="58" spans="3:4" x14ac:dyDescent="0.25">
      <c r="C58" s="24" t="s">
        <v>438</v>
      </c>
      <c r="D58" s="26">
        <v>25.43</v>
      </c>
    </row>
    <row r="59" spans="3:4" x14ac:dyDescent="0.25">
      <c r="C59" s="24" t="s">
        <v>1523</v>
      </c>
      <c r="D59" s="26">
        <v>25.43</v>
      </c>
    </row>
    <row r="60" spans="3:4" x14ac:dyDescent="0.25">
      <c r="C60" s="24" t="s">
        <v>109</v>
      </c>
      <c r="D60" s="26">
        <v>7.43</v>
      </c>
    </row>
    <row r="61" spans="3:4" x14ac:dyDescent="0.25">
      <c r="C61" s="24" t="s">
        <v>442</v>
      </c>
      <c r="D61" s="26">
        <v>7.43</v>
      </c>
    </row>
    <row r="62" spans="3:4" x14ac:dyDescent="0.25">
      <c r="C62" s="24" t="s">
        <v>111</v>
      </c>
      <c r="D62" s="26">
        <v>14.93</v>
      </c>
    </row>
    <row r="63" spans="3:4" x14ac:dyDescent="0.25">
      <c r="C63" s="24" t="s">
        <v>113</v>
      </c>
      <c r="D63" s="26">
        <v>20.93</v>
      </c>
    </row>
    <row r="64" spans="3:4" x14ac:dyDescent="0.25">
      <c r="C64" s="24" t="s">
        <v>115</v>
      </c>
      <c r="D64" s="26">
        <v>38.18</v>
      </c>
    </row>
    <row r="65" spans="3:4" x14ac:dyDescent="0.25">
      <c r="C65" s="24" t="s">
        <v>117</v>
      </c>
      <c r="D65" s="26">
        <v>23.93</v>
      </c>
    </row>
    <row r="66" spans="3:4" x14ac:dyDescent="0.25">
      <c r="C66" s="24" t="s">
        <v>424</v>
      </c>
      <c r="D66" s="26">
        <v>16.43</v>
      </c>
    </row>
    <row r="67" spans="3:4" x14ac:dyDescent="0.25">
      <c r="C67" s="24" t="s">
        <v>119</v>
      </c>
      <c r="D67" s="26">
        <v>23.93</v>
      </c>
    </row>
    <row r="68" spans="3:4" x14ac:dyDescent="0.25">
      <c r="C68" s="24" t="s">
        <v>121</v>
      </c>
      <c r="D68" s="26">
        <v>17.93</v>
      </c>
    </row>
    <row r="69" spans="3:4" x14ac:dyDescent="0.25">
      <c r="C69" s="24" t="s">
        <v>123</v>
      </c>
      <c r="D69" s="26">
        <v>14.18</v>
      </c>
    </row>
    <row r="70" spans="3:4" x14ac:dyDescent="0.25">
      <c r="C70" s="24" t="s">
        <v>125</v>
      </c>
      <c r="D70" s="26">
        <v>12.68</v>
      </c>
    </row>
    <row r="71" spans="3:4" x14ac:dyDescent="0.25">
      <c r="C71" s="24" t="s">
        <v>127</v>
      </c>
      <c r="D71" s="26">
        <v>5.18</v>
      </c>
    </row>
    <row r="72" spans="3:4" x14ac:dyDescent="0.25">
      <c r="C72" s="24" t="s">
        <v>129</v>
      </c>
      <c r="D72" s="26">
        <v>6.68</v>
      </c>
    </row>
    <row r="73" spans="3:4" x14ac:dyDescent="0.25">
      <c r="C73" s="24" t="s">
        <v>131</v>
      </c>
      <c r="D73" s="26">
        <v>8.93</v>
      </c>
    </row>
    <row r="74" spans="3:4" x14ac:dyDescent="0.25">
      <c r="C74" s="24" t="s">
        <v>133</v>
      </c>
      <c r="D74" s="26">
        <v>22.43</v>
      </c>
    </row>
    <row r="75" spans="3:4" x14ac:dyDescent="0.25">
      <c r="C75" s="24" t="s">
        <v>135</v>
      </c>
      <c r="D75" s="26">
        <v>46.43</v>
      </c>
    </row>
    <row r="76" spans="3:4" x14ac:dyDescent="0.25">
      <c r="C76" s="24" t="s">
        <v>137</v>
      </c>
      <c r="D76" s="26">
        <v>11.18</v>
      </c>
    </row>
    <row r="77" spans="3:4" x14ac:dyDescent="0.25">
      <c r="C77" s="24" t="s">
        <v>139</v>
      </c>
      <c r="D77" s="26">
        <v>20.18</v>
      </c>
    </row>
    <row r="78" spans="3:4" x14ac:dyDescent="0.25">
      <c r="C78" s="24" t="s">
        <v>141</v>
      </c>
      <c r="D78" s="26">
        <v>26.18</v>
      </c>
    </row>
    <row r="79" spans="3:4" x14ac:dyDescent="0.25">
      <c r="C79" s="24" t="s">
        <v>143</v>
      </c>
      <c r="D79" s="26">
        <v>9.68</v>
      </c>
    </row>
    <row r="80" spans="3:4" x14ac:dyDescent="0.25">
      <c r="C80" s="24" t="s">
        <v>145</v>
      </c>
      <c r="D80" s="26">
        <v>16.43</v>
      </c>
    </row>
    <row r="81" spans="3:4" x14ac:dyDescent="0.25">
      <c r="C81" s="24" t="s">
        <v>147</v>
      </c>
      <c r="D81" s="26">
        <v>11.18</v>
      </c>
    </row>
    <row r="82" spans="3:4" x14ac:dyDescent="0.25">
      <c r="C82" s="24" t="s">
        <v>149</v>
      </c>
      <c r="D82" s="26">
        <v>20.93</v>
      </c>
    </row>
    <row r="83" spans="3:4" x14ac:dyDescent="0.25">
      <c r="C83" s="24" t="s">
        <v>444</v>
      </c>
      <c r="D83" s="26">
        <v>12.68</v>
      </c>
    </row>
    <row r="84" spans="3:4" x14ac:dyDescent="0.25">
      <c r="C84" s="24" t="s">
        <v>151</v>
      </c>
      <c r="D84" s="26">
        <v>11.18</v>
      </c>
    </row>
    <row r="85" spans="3:4" x14ac:dyDescent="0.25">
      <c r="C85" s="24" t="s">
        <v>426</v>
      </c>
      <c r="D85" s="26">
        <v>23.93</v>
      </c>
    </row>
    <row r="86" spans="3:4" x14ac:dyDescent="0.25">
      <c r="C86" s="24" t="s">
        <v>153</v>
      </c>
      <c r="D86" s="26">
        <v>8.93</v>
      </c>
    </row>
    <row r="87" spans="3:4" x14ac:dyDescent="0.25">
      <c r="C87" s="24" t="s">
        <v>155</v>
      </c>
      <c r="D87" s="26">
        <v>16.43</v>
      </c>
    </row>
    <row r="88" spans="3:4" x14ac:dyDescent="0.25">
      <c r="C88" s="24" t="s">
        <v>157</v>
      </c>
      <c r="D88" s="26">
        <v>15.68</v>
      </c>
    </row>
    <row r="89" spans="3:4" x14ac:dyDescent="0.25">
      <c r="C89" s="24" t="s">
        <v>159</v>
      </c>
      <c r="D89" s="26">
        <v>18.68</v>
      </c>
    </row>
    <row r="90" spans="3:4" x14ac:dyDescent="0.25">
      <c r="C90" s="24" t="s">
        <v>161</v>
      </c>
      <c r="D90" s="26">
        <v>19.43</v>
      </c>
    </row>
    <row r="91" spans="3:4" x14ac:dyDescent="0.25">
      <c r="C91" s="24" t="s">
        <v>163</v>
      </c>
      <c r="D91" s="26">
        <v>10.43</v>
      </c>
    </row>
    <row r="92" spans="3:4" x14ac:dyDescent="0.25">
      <c r="C92" s="24" t="s">
        <v>165</v>
      </c>
      <c r="D92" s="26">
        <v>21.68</v>
      </c>
    </row>
    <row r="93" spans="3:4" x14ac:dyDescent="0.25">
      <c r="C93" s="24" t="s">
        <v>167</v>
      </c>
      <c r="D93" s="26">
        <v>17.93</v>
      </c>
    </row>
    <row r="94" spans="3:4" x14ac:dyDescent="0.25">
      <c r="C94" s="24" t="s">
        <v>428</v>
      </c>
      <c r="D94" s="26">
        <v>11.93</v>
      </c>
    </row>
    <row r="95" spans="3:4" x14ac:dyDescent="0.25">
      <c r="C95" s="24" t="s">
        <v>168</v>
      </c>
      <c r="D95" s="26">
        <v>19.43</v>
      </c>
    </row>
    <row r="96" spans="3:4" x14ac:dyDescent="0.25">
      <c r="C96" s="24" t="s">
        <v>170</v>
      </c>
      <c r="D96" s="26">
        <v>18.68</v>
      </c>
    </row>
    <row r="97" spans="3:4" x14ac:dyDescent="0.25">
      <c r="C97" s="24" t="s">
        <v>172</v>
      </c>
      <c r="D97" s="26">
        <v>11.18</v>
      </c>
    </row>
    <row r="98" spans="3:4" x14ac:dyDescent="0.25">
      <c r="C98" s="24" t="s">
        <v>174</v>
      </c>
      <c r="D98" s="26">
        <v>17.18</v>
      </c>
    </row>
    <row r="99" spans="3:4" x14ac:dyDescent="0.25">
      <c r="C99" s="24" t="s">
        <v>176</v>
      </c>
      <c r="D99" s="26">
        <v>28.43</v>
      </c>
    </row>
    <row r="100" spans="3:4" x14ac:dyDescent="0.25">
      <c r="C100" s="24" t="s">
        <v>178</v>
      </c>
      <c r="D100" s="26">
        <v>11.18</v>
      </c>
    </row>
    <row r="101" spans="3:4" x14ac:dyDescent="0.25">
      <c r="C101" s="24" t="s">
        <v>180</v>
      </c>
      <c r="D101" s="26">
        <v>12.68</v>
      </c>
    </row>
    <row r="102" spans="3:4" x14ac:dyDescent="0.25">
      <c r="C102" s="24" t="s">
        <v>182</v>
      </c>
      <c r="D102" s="26">
        <v>17.18</v>
      </c>
    </row>
    <row r="103" spans="3:4" x14ac:dyDescent="0.25">
      <c r="C103" s="24" t="s">
        <v>184</v>
      </c>
      <c r="D103" s="26">
        <v>20.93</v>
      </c>
    </row>
    <row r="104" spans="3:4" x14ac:dyDescent="0.25">
      <c r="C104" s="24" t="s">
        <v>184</v>
      </c>
      <c r="D104" s="26">
        <v>20.93</v>
      </c>
    </row>
    <row r="105" spans="3:4" x14ac:dyDescent="0.25">
      <c r="C105" s="24" t="s">
        <v>186</v>
      </c>
      <c r="D105" s="26">
        <v>20.93</v>
      </c>
    </row>
    <row r="106" spans="3:4" x14ac:dyDescent="0.25">
      <c r="C106" s="24" t="s">
        <v>188</v>
      </c>
      <c r="D106" s="26">
        <v>17.93</v>
      </c>
    </row>
    <row r="107" spans="3:4" x14ac:dyDescent="0.25">
      <c r="C107" s="24" t="s">
        <v>430</v>
      </c>
      <c r="D107" s="26">
        <v>8.18</v>
      </c>
    </row>
    <row r="108" spans="3:4" x14ac:dyDescent="0.25">
      <c r="C108" s="24" t="s">
        <v>190</v>
      </c>
      <c r="D108" s="26">
        <v>9.68</v>
      </c>
    </row>
    <row r="109" spans="3:4" x14ac:dyDescent="0.25">
      <c r="C109" s="24" t="s">
        <v>192</v>
      </c>
      <c r="D109" s="26">
        <v>17.93</v>
      </c>
    </row>
    <row r="110" spans="3:4" x14ac:dyDescent="0.25">
      <c r="C110" s="24" t="s">
        <v>194</v>
      </c>
      <c r="D110" s="26">
        <v>16.43</v>
      </c>
    </row>
    <row r="111" spans="3:4" x14ac:dyDescent="0.25">
      <c r="C111" s="24" t="s">
        <v>196</v>
      </c>
      <c r="D111" s="26">
        <v>8.18</v>
      </c>
    </row>
    <row r="112" spans="3:4" x14ac:dyDescent="0.25">
      <c r="C112" s="24" t="s">
        <v>198</v>
      </c>
      <c r="D112" s="26">
        <v>8.93</v>
      </c>
    </row>
    <row r="113" spans="3:4" x14ac:dyDescent="0.25">
      <c r="C113" s="24" t="s">
        <v>200</v>
      </c>
      <c r="D113" s="26">
        <v>15.68</v>
      </c>
    </row>
    <row r="114" spans="3:4" x14ac:dyDescent="0.25">
      <c r="C114" s="24" t="s">
        <v>202</v>
      </c>
      <c r="D114" s="26">
        <v>13.43</v>
      </c>
    </row>
    <row r="115" spans="3:4" x14ac:dyDescent="0.25">
      <c r="C115" s="24" t="s">
        <v>204</v>
      </c>
      <c r="D115" s="26">
        <v>11.18</v>
      </c>
    </row>
    <row r="116" spans="3:4" x14ac:dyDescent="0.25">
      <c r="C116" s="24" t="s">
        <v>1524</v>
      </c>
      <c r="D116" s="26">
        <v>11.18</v>
      </c>
    </row>
    <row r="117" spans="3:4" x14ac:dyDescent="0.25">
      <c r="C117" s="24" t="s">
        <v>432</v>
      </c>
      <c r="D117" s="26">
        <v>12.68</v>
      </c>
    </row>
    <row r="118" spans="3:4" x14ac:dyDescent="0.25">
      <c r="C118" s="24" t="s">
        <v>208</v>
      </c>
      <c r="D118" s="26">
        <v>34.43</v>
      </c>
    </row>
    <row r="119" spans="3:4" x14ac:dyDescent="0.25">
      <c r="C119" s="24" t="s">
        <v>210</v>
      </c>
      <c r="D119" s="26">
        <v>10.43</v>
      </c>
    </row>
    <row r="120" spans="3:4" x14ac:dyDescent="0.25">
      <c r="C120" s="24" t="s">
        <v>212</v>
      </c>
      <c r="D120" s="26">
        <v>12.68</v>
      </c>
    </row>
    <row r="121" spans="3:4" x14ac:dyDescent="0.25">
      <c r="C121" s="24" t="s">
        <v>214</v>
      </c>
      <c r="D121" s="26">
        <v>10.43</v>
      </c>
    </row>
    <row r="122" spans="3:4" x14ac:dyDescent="0.25">
      <c r="C122" s="24" t="s">
        <v>216</v>
      </c>
      <c r="D122" s="26">
        <v>12.68</v>
      </c>
    </row>
    <row r="123" spans="3:4" x14ac:dyDescent="0.25">
      <c r="C123" s="24" t="s">
        <v>218</v>
      </c>
      <c r="D123" s="26">
        <v>23.18</v>
      </c>
    </row>
    <row r="124" spans="3:4" x14ac:dyDescent="0.25">
      <c r="C124" s="24" t="s">
        <v>220</v>
      </c>
      <c r="D124" s="26">
        <v>15.68</v>
      </c>
    </row>
    <row r="125" spans="3:4" x14ac:dyDescent="0.25">
      <c r="C125" s="24" t="s">
        <v>222</v>
      </c>
      <c r="D125" s="26">
        <v>19.43</v>
      </c>
    </row>
    <row r="126" spans="3:4" x14ac:dyDescent="0.25">
      <c r="C126" s="24" t="s">
        <v>434</v>
      </c>
      <c r="D126" s="26">
        <v>7.43</v>
      </c>
    </row>
    <row r="127" spans="3:4" x14ac:dyDescent="0.25">
      <c r="C127" s="24" t="s">
        <v>224</v>
      </c>
      <c r="D127" s="26">
        <v>8.93</v>
      </c>
    </row>
    <row r="128" spans="3:4" x14ac:dyDescent="0.25">
      <c r="C128" s="24" t="s">
        <v>226</v>
      </c>
      <c r="D128" s="26">
        <v>5.93</v>
      </c>
    </row>
    <row r="129" spans="3:4" x14ac:dyDescent="0.25">
      <c r="C129" s="24" t="s">
        <v>228</v>
      </c>
      <c r="D129" s="26">
        <v>15.68</v>
      </c>
    </row>
    <row r="130" spans="3:4" x14ac:dyDescent="0.25">
      <c r="C130" s="24" t="s">
        <v>230</v>
      </c>
      <c r="D130" s="26">
        <v>15.68</v>
      </c>
    </row>
    <row r="131" spans="3:4" x14ac:dyDescent="0.25">
      <c r="C131" s="24" t="s">
        <v>232</v>
      </c>
      <c r="D131" s="26">
        <v>26.18</v>
      </c>
    </row>
    <row r="132" spans="3:4" x14ac:dyDescent="0.25">
      <c r="C132" s="24" t="s">
        <v>233</v>
      </c>
      <c r="D132" s="26">
        <v>7.43</v>
      </c>
    </row>
    <row r="133" spans="3:4" x14ac:dyDescent="0.25">
      <c r="C133" s="24" t="s">
        <v>235</v>
      </c>
      <c r="D133" s="26">
        <v>11.93</v>
      </c>
    </row>
    <row r="134" spans="3:4" x14ac:dyDescent="0.25">
      <c r="C134" s="24" t="s">
        <v>446</v>
      </c>
      <c r="D134" s="26">
        <v>53.18</v>
      </c>
    </row>
    <row r="135" spans="3:4" x14ac:dyDescent="0.25">
      <c r="C135" s="24" t="s">
        <v>1525</v>
      </c>
      <c r="D135" s="26">
        <v>53.18</v>
      </c>
    </row>
    <row r="136" spans="3:4" x14ac:dyDescent="0.25">
      <c r="C136" s="24" t="s">
        <v>237</v>
      </c>
      <c r="D136" s="26">
        <v>15.68</v>
      </c>
    </row>
    <row r="137" spans="3:4" x14ac:dyDescent="0.25">
      <c r="C137" s="24" t="s">
        <v>239</v>
      </c>
      <c r="D137" s="26">
        <v>10.43</v>
      </c>
    </row>
    <row r="138" spans="3:4" x14ac:dyDescent="0.25">
      <c r="C138" s="24" t="s">
        <v>241</v>
      </c>
      <c r="D138" s="26">
        <v>16.43</v>
      </c>
    </row>
    <row r="139" spans="3:4" x14ac:dyDescent="0.25">
      <c r="C139" s="24" t="s">
        <v>243</v>
      </c>
      <c r="D139" s="26">
        <v>5.93</v>
      </c>
    </row>
    <row r="140" spans="3:4" x14ac:dyDescent="0.25">
      <c r="C140" s="24" t="s">
        <v>245</v>
      </c>
      <c r="D140" s="26">
        <v>26.93</v>
      </c>
    </row>
    <row r="141" spans="3:4" x14ac:dyDescent="0.25">
      <c r="C141" s="24" t="s">
        <v>247</v>
      </c>
      <c r="D141" s="26">
        <v>10.43</v>
      </c>
    </row>
    <row r="142" spans="3:4" x14ac:dyDescent="0.25">
      <c r="C142" s="24" t="s">
        <v>249</v>
      </c>
      <c r="D142" s="26">
        <v>16.43</v>
      </c>
    </row>
    <row r="143" spans="3:4" x14ac:dyDescent="0.25">
      <c r="C143" s="24" t="s">
        <v>251</v>
      </c>
      <c r="D143" s="26">
        <v>17.93</v>
      </c>
    </row>
    <row r="144" spans="3:4" x14ac:dyDescent="0.25">
      <c r="C144" s="24" t="s">
        <v>253</v>
      </c>
      <c r="D144" s="26">
        <v>17.93</v>
      </c>
    </row>
    <row r="145" spans="3:4" x14ac:dyDescent="0.25">
      <c r="C145" s="24" t="s">
        <v>255</v>
      </c>
      <c r="D145" s="26">
        <v>17.93</v>
      </c>
    </row>
    <row r="146" spans="3:4" x14ac:dyDescent="0.25">
      <c r="C146" s="24" t="s">
        <v>257</v>
      </c>
      <c r="D146" s="26">
        <v>17.93</v>
      </c>
    </row>
    <row r="147" spans="3:4" x14ac:dyDescent="0.25">
      <c r="C147" s="24" t="s">
        <v>259</v>
      </c>
      <c r="D147" s="26">
        <v>10.43</v>
      </c>
    </row>
    <row r="148" spans="3:4" x14ac:dyDescent="0.25">
      <c r="C148" s="24" t="s">
        <v>261</v>
      </c>
      <c r="D148" s="26">
        <v>15.68</v>
      </c>
    </row>
    <row r="149" spans="3:4" x14ac:dyDescent="0.25">
      <c r="C149" s="24" t="s">
        <v>263</v>
      </c>
      <c r="D149" s="26">
        <v>17.93</v>
      </c>
    </row>
    <row r="150" spans="3:4" x14ac:dyDescent="0.25">
      <c r="C150" s="24" t="s">
        <v>265</v>
      </c>
      <c r="D150" s="26">
        <v>11.18</v>
      </c>
    </row>
    <row r="151" spans="3:4" x14ac:dyDescent="0.25">
      <c r="C151" s="24" t="s">
        <v>267</v>
      </c>
      <c r="D151" s="26">
        <v>17.93</v>
      </c>
    </row>
    <row r="152" spans="3:4" x14ac:dyDescent="0.25">
      <c r="C152" s="24" t="s">
        <v>269</v>
      </c>
      <c r="D152" s="26">
        <v>11.93</v>
      </c>
    </row>
    <row r="153" spans="3:4" x14ac:dyDescent="0.25">
      <c r="C153" s="24" t="s">
        <v>271</v>
      </c>
      <c r="D153" s="26">
        <v>21.68</v>
      </c>
    </row>
    <row r="154" spans="3:4" x14ac:dyDescent="0.25">
      <c r="C154" s="24" t="s">
        <v>273</v>
      </c>
      <c r="D154" s="26">
        <v>8.93</v>
      </c>
    </row>
    <row r="155" spans="3:4" x14ac:dyDescent="0.25">
      <c r="C155" s="24" t="s">
        <v>275</v>
      </c>
      <c r="D155" s="26">
        <v>13.43</v>
      </c>
    </row>
    <row r="156" spans="3:4" x14ac:dyDescent="0.25">
      <c r="C156" s="24" t="s">
        <v>277</v>
      </c>
      <c r="D156" s="26">
        <v>8.18</v>
      </c>
    </row>
    <row r="157" spans="3:4" x14ac:dyDescent="0.25">
      <c r="C157" s="24" t="s">
        <v>279</v>
      </c>
      <c r="D157" s="26">
        <v>14.93</v>
      </c>
    </row>
    <row r="158" spans="3:4" x14ac:dyDescent="0.25">
      <c r="C158" s="24" t="s">
        <v>281</v>
      </c>
      <c r="D158" s="26">
        <v>15.68</v>
      </c>
    </row>
    <row r="159" spans="3:4" x14ac:dyDescent="0.25">
      <c r="C159" s="24" t="s">
        <v>283</v>
      </c>
      <c r="D159" s="26">
        <v>9.68</v>
      </c>
    </row>
    <row r="160" spans="3:4" x14ac:dyDescent="0.25">
      <c r="C160" s="24" t="s">
        <v>285</v>
      </c>
      <c r="D160" s="26">
        <v>15.68</v>
      </c>
    </row>
    <row r="161" spans="3:4" x14ac:dyDescent="0.25">
      <c r="C161" s="24" t="s">
        <v>285</v>
      </c>
      <c r="D161" s="26">
        <v>15.68</v>
      </c>
    </row>
    <row r="162" spans="3:4" x14ac:dyDescent="0.25">
      <c r="C162" s="24" t="s">
        <v>287</v>
      </c>
      <c r="D162" s="26">
        <v>29.18</v>
      </c>
    </row>
    <row r="163" spans="3:4" x14ac:dyDescent="0.25">
      <c r="C163" s="24" t="s">
        <v>289</v>
      </c>
      <c r="D163" s="26">
        <v>14.93</v>
      </c>
    </row>
    <row r="164" spans="3:4" x14ac:dyDescent="0.25">
      <c r="C164" s="24" t="s">
        <v>1526</v>
      </c>
      <c r="D164" s="26">
        <v>14.93</v>
      </c>
    </row>
    <row r="165" spans="3:4" x14ac:dyDescent="0.25">
      <c r="C165" s="24" t="s">
        <v>293</v>
      </c>
      <c r="D165" s="26">
        <v>15.68</v>
      </c>
    </row>
    <row r="166" spans="3:4" x14ac:dyDescent="0.25">
      <c r="C166" s="24" t="s">
        <v>295</v>
      </c>
      <c r="D166" s="26">
        <v>18.68</v>
      </c>
    </row>
    <row r="167" spans="3:4" x14ac:dyDescent="0.25">
      <c r="C167" s="24" t="s">
        <v>1527</v>
      </c>
      <c r="D167" s="26">
        <v>0</v>
      </c>
    </row>
    <row r="168" spans="3:4" x14ac:dyDescent="0.25">
      <c r="C168" s="24" t="s">
        <v>297</v>
      </c>
      <c r="D168" s="26">
        <v>11.93</v>
      </c>
    </row>
    <row r="169" spans="3:4" x14ac:dyDescent="0.25">
      <c r="C169" s="24" t="s">
        <v>1528</v>
      </c>
      <c r="D169" s="26">
        <v>11.93</v>
      </c>
    </row>
    <row r="170" spans="3:4" x14ac:dyDescent="0.25">
      <c r="C170" s="24" t="s">
        <v>301</v>
      </c>
      <c r="D170" s="26">
        <v>17.18</v>
      </c>
    </row>
    <row r="171" spans="3:4" x14ac:dyDescent="0.25">
      <c r="C171" s="24" t="s">
        <v>303</v>
      </c>
      <c r="D171" s="26">
        <v>12.68</v>
      </c>
    </row>
    <row r="172" spans="3:4" x14ac:dyDescent="0.25">
      <c r="C172" s="24" t="s">
        <v>305</v>
      </c>
      <c r="D172" s="26">
        <v>22.43</v>
      </c>
    </row>
    <row r="173" spans="3:4" x14ac:dyDescent="0.25">
      <c r="C173" s="24" t="s">
        <v>307</v>
      </c>
      <c r="D173" s="26">
        <v>5.93</v>
      </c>
    </row>
    <row r="174" spans="3:4" x14ac:dyDescent="0.25">
      <c r="C174" s="24" t="s">
        <v>309</v>
      </c>
      <c r="D174" s="26">
        <v>22.43</v>
      </c>
    </row>
    <row r="175" spans="3:4" x14ac:dyDescent="0.25">
      <c r="C175" s="24" t="s">
        <v>311</v>
      </c>
      <c r="D175" s="26">
        <v>12.68</v>
      </c>
    </row>
    <row r="176" spans="3:4" x14ac:dyDescent="0.25">
      <c r="C176" s="24" t="s">
        <v>313</v>
      </c>
      <c r="D176" s="26">
        <v>25.65</v>
      </c>
    </row>
    <row r="177" spans="3:4" x14ac:dyDescent="0.25">
      <c r="C177" s="24" t="s">
        <v>315</v>
      </c>
      <c r="D177" s="26">
        <v>20.93</v>
      </c>
    </row>
    <row r="178" spans="3:4" x14ac:dyDescent="0.25">
      <c r="C178" s="24" t="s">
        <v>317</v>
      </c>
      <c r="D178" s="26">
        <v>37.43</v>
      </c>
    </row>
    <row r="179" spans="3:4" x14ac:dyDescent="0.25">
      <c r="C179" s="24" t="s">
        <v>319</v>
      </c>
      <c r="D179" s="26">
        <v>29.93</v>
      </c>
    </row>
    <row r="180" spans="3:4" x14ac:dyDescent="0.25">
      <c r="C180" s="24" t="s">
        <v>321</v>
      </c>
      <c r="D180" s="26">
        <v>8.93</v>
      </c>
    </row>
    <row r="181" spans="3:4" x14ac:dyDescent="0.25">
      <c r="C181" s="24" t="s">
        <v>323</v>
      </c>
      <c r="D181" s="26">
        <v>16.43</v>
      </c>
    </row>
    <row r="182" spans="3:4" x14ac:dyDescent="0.25">
      <c r="C182" s="24" t="s">
        <v>325</v>
      </c>
      <c r="D182" s="26">
        <v>14.18</v>
      </c>
    </row>
    <row r="183" spans="3:4" x14ac:dyDescent="0.25">
      <c r="C183" s="24" t="s">
        <v>325</v>
      </c>
      <c r="D183" s="26">
        <v>14.18</v>
      </c>
    </row>
    <row r="184" spans="3:4" x14ac:dyDescent="0.25">
      <c r="C184" s="24" t="s">
        <v>450</v>
      </c>
      <c r="D184" s="26">
        <v>11.18</v>
      </c>
    </row>
    <row r="185" spans="3:4" x14ac:dyDescent="0.25">
      <c r="C185" s="24" t="s">
        <v>1529</v>
      </c>
      <c r="D185" s="26">
        <v>11.18</v>
      </c>
    </row>
    <row r="186" spans="3:4" x14ac:dyDescent="0.25">
      <c r="C186" s="24" t="s">
        <v>329</v>
      </c>
      <c r="D186" s="26">
        <v>11.93</v>
      </c>
    </row>
    <row r="187" spans="3:4" x14ac:dyDescent="0.25">
      <c r="C187" s="24" t="s">
        <v>331</v>
      </c>
      <c r="D187" s="26">
        <v>32.18</v>
      </c>
    </row>
    <row r="188" spans="3:4" x14ac:dyDescent="0.25">
      <c r="C188" s="24" t="s">
        <v>333</v>
      </c>
      <c r="D188" s="26">
        <v>14.93</v>
      </c>
    </row>
    <row r="189" spans="3:4" x14ac:dyDescent="0.25">
      <c r="C189" s="24" t="s">
        <v>335</v>
      </c>
      <c r="D189" s="26">
        <v>12.68</v>
      </c>
    </row>
    <row r="190" spans="3:4" x14ac:dyDescent="0.25">
      <c r="C190" s="24" t="s">
        <v>335</v>
      </c>
      <c r="D190" s="26">
        <v>12.68</v>
      </c>
    </row>
    <row r="191" spans="3:4" x14ac:dyDescent="0.25">
      <c r="C191" s="24" t="s">
        <v>337</v>
      </c>
      <c r="D191" s="26">
        <v>7.43</v>
      </c>
    </row>
    <row r="192" spans="3:4" x14ac:dyDescent="0.25">
      <c r="C192" s="24" t="s">
        <v>339</v>
      </c>
      <c r="D192" s="26">
        <v>20.18</v>
      </c>
    </row>
    <row r="193" spans="3:4" x14ac:dyDescent="0.25">
      <c r="C193" s="24" t="s">
        <v>1530</v>
      </c>
      <c r="D193" s="26">
        <v>20.18</v>
      </c>
    </row>
    <row r="194" spans="3:4" x14ac:dyDescent="0.25">
      <c r="C194" s="24" t="s">
        <v>343</v>
      </c>
      <c r="D194" s="26">
        <v>26.18</v>
      </c>
    </row>
    <row r="195" spans="3:4" x14ac:dyDescent="0.25">
      <c r="C195" s="24" t="s">
        <v>345</v>
      </c>
      <c r="D195" s="26">
        <v>14.93</v>
      </c>
    </row>
    <row r="196" spans="3:4" x14ac:dyDescent="0.25">
      <c r="C196" s="24" t="s">
        <v>347</v>
      </c>
      <c r="D196" s="26">
        <v>9.68</v>
      </c>
    </row>
    <row r="197" spans="3:4" x14ac:dyDescent="0.25">
      <c r="C197" s="24" t="s">
        <v>349</v>
      </c>
      <c r="D197" s="26">
        <v>8.93</v>
      </c>
    </row>
    <row r="198" spans="3:4" x14ac:dyDescent="0.25">
      <c r="C198" s="24" t="s">
        <v>351</v>
      </c>
      <c r="D198" s="26">
        <v>10.43</v>
      </c>
    </row>
    <row r="199" spans="3:4" x14ac:dyDescent="0.25">
      <c r="C199" s="24" t="s">
        <v>353</v>
      </c>
      <c r="D199" s="26">
        <v>14.18</v>
      </c>
    </row>
    <row r="200" spans="3:4" x14ac:dyDescent="0.25">
      <c r="C200" s="24" t="s">
        <v>355</v>
      </c>
      <c r="D200" s="26">
        <v>26.18</v>
      </c>
    </row>
    <row r="201" spans="3:4" x14ac:dyDescent="0.25">
      <c r="C201" s="24" t="s">
        <v>452</v>
      </c>
      <c r="D201" s="26">
        <v>7.43</v>
      </c>
    </row>
    <row r="202" spans="3:4" x14ac:dyDescent="0.25">
      <c r="C202" s="24" t="s">
        <v>357</v>
      </c>
      <c r="D202" s="26">
        <v>10.43</v>
      </c>
    </row>
    <row r="203" spans="3:4" x14ac:dyDescent="0.25">
      <c r="C203" s="24" t="s">
        <v>359</v>
      </c>
      <c r="D203" s="26">
        <v>18.68</v>
      </c>
    </row>
    <row r="204" spans="3:4" x14ac:dyDescent="0.25">
      <c r="C204" s="24" t="s">
        <v>436</v>
      </c>
      <c r="D204" s="26">
        <v>5.18</v>
      </c>
    </row>
    <row r="205" spans="3:4" x14ac:dyDescent="0.25">
      <c r="C205" s="24" t="s">
        <v>361</v>
      </c>
      <c r="D205" s="26">
        <v>6.68</v>
      </c>
    </row>
    <row r="206" spans="3:4" x14ac:dyDescent="0.25">
      <c r="C206" s="24" t="s">
        <v>363</v>
      </c>
      <c r="D206" s="26">
        <v>11.93</v>
      </c>
    </row>
    <row r="207" spans="3:4" x14ac:dyDescent="0.25">
      <c r="C207" s="24" t="s">
        <v>365</v>
      </c>
      <c r="D207" s="26">
        <v>19.43</v>
      </c>
    </row>
    <row r="208" spans="3:4" x14ac:dyDescent="0.25">
      <c r="C208" s="24" t="s">
        <v>367</v>
      </c>
      <c r="D208" s="26">
        <v>8.93</v>
      </c>
    </row>
    <row r="209" spans="3:4" x14ac:dyDescent="0.25">
      <c r="C209" s="24" t="s">
        <v>369</v>
      </c>
      <c r="D209" s="26">
        <v>6.68</v>
      </c>
    </row>
    <row r="210" spans="3:4" x14ac:dyDescent="0.25">
      <c r="C210" s="24" t="s">
        <v>371</v>
      </c>
      <c r="D210" s="26">
        <v>8.93</v>
      </c>
    </row>
    <row r="211" spans="3:4" x14ac:dyDescent="0.25">
      <c r="C211" s="24" t="s">
        <v>373</v>
      </c>
      <c r="D211" s="26">
        <v>14.93</v>
      </c>
    </row>
    <row r="212" spans="3:4" x14ac:dyDescent="0.25">
      <c r="C212" s="24" t="s">
        <v>375</v>
      </c>
      <c r="D212" s="26">
        <v>9.68</v>
      </c>
    </row>
    <row r="213" spans="3:4" x14ac:dyDescent="0.25">
      <c r="C213" s="24" t="s">
        <v>377</v>
      </c>
      <c r="D213" s="26">
        <v>17.93</v>
      </c>
    </row>
    <row r="214" spans="3:4" x14ac:dyDescent="0.25">
      <c r="C214" s="24" t="s">
        <v>379</v>
      </c>
      <c r="D214" s="26">
        <v>10.43</v>
      </c>
    </row>
    <row r="215" spans="3:4" x14ac:dyDescent="0.25">
      <c r="C215" s="24" t="s">
        <v>381</v>
      </c>
      <c r="D215" s="26">
        <v>8.18</v>
      </c>
    </row>
    <row r="216" spans="3:4" x14ac:dyDescent="0.25">
      <c r="C216" s="24" t="s">
        <v>383</v>
      </c>
      <c r="D216" s="26">
        <v>9.68</v>
      </c>
    </row>
    <row r="217" spans="3:4" x14ac:dyDescent="0.25">
      <c r="C217" s="24" t="s">
        <v>385</v>
      </c>
      <c r="D217" s="26">
        <v>17.18</v>
      </c>
    </row>
    <row r="218" spans="3:4" x14ac:dyDescent="0.25">
      <c r="C218" s="24" t="s">
        <v>387</v>
      </c>
      <c r="D218" s="26">
        <v>10.43</v>
      </c>
    </row>
    <row r="219" spans="3:4" x14ac:dyDescent="0.25">
      <c r="C219" s="24" t="s">
        <v>389</v>
      </c>
      <c r="D219" s="26">
        <v>12.68</v>
      </c>
    </row>
    <row r="220" spans="3:4" x14ac:dyDescent="0.25">
      <c r="C220" s="24" t="s">
        <v>391</v>
      </c>
      <c r="D220" s="26">
        <v>12.68</v>
      </c>
    </row>
    <row r="221" spans="3:4" x14ac:dyDescent="0.25">
      <c r="C221" s="24" t="s">
        <v>393</v>
      </c>
      <c r="D221" s="26">
        <v>20.93</v>
      </c>
    </row>
    <row r="222" spans="3:4" x14ac:dyDescent="0.25">
      <c r="C222" s="24" t="s">
        <v>395</v>
      </c>
      <c r="D222" s="26">
        <v>24.68</v>
      </c>
    </row>
    <row r="223" spans="3:4" x14ac:dyDescent="0.25">
      <c r="C223" s="24" t="s">
        <v>397</v>
      </c>
      <c r="D223" s="26">
        <v>11.18</v>
      </c>
    </row>
    <row r="224" spans="3:4" x14ac:dyDescent="0.25">
      <c r="C224" s="24" t="s">
        <v>399</v>
      </c>
      <c r="D224" s="26">
        <v>18.68</v>
      </c>
    </row>
    <row r="225" spans="3:4" x14ac:dyDescent="0.25">
      <c r="C225" s="24" t="s">
        <v>1531</v>
      </c>
      <c r="D225" s="26">
        <v>18.68</v>
      </c>
    </row>
    <row r="226" spans="3:4" x14ac:dyDescent="0.25">
      <c r="C226" s="24" t="s">
        <v>1532</v>
      </c>
      <c r="D226" s="26">
        <v>11.18</v>
      </c>
    </row>
    <row r="227" spans="3:4" x14ac:dyDescent="0.25">
      <c r="C227" s="24" t="s">
        <v>404</v>
      </c>
      <c r="D227" s="26">
        <v>20.93</v>
      </c>
    </row>
    <row r="228" spans="3:4" x14ac:dyDescent="0.25">
      <c r="C228" s="24" t="s">
        <v>454</v>
      </c>
      <c r="D228" s="26">
        <v>18.68</v>
      </c>
    </row>
    <row r="229" spans="3:4" x14ac:dyDescent="0.25">
      <c r="C229" s="24" t="s">
        <v>456</v>
      </c>
      <c r="D229" s="26">
        <v>27.68</v>
      </c>
    </row>
    <row r="230" spans="3:4" x14ac:dyDescent="0.25">
      <c r="C230" s="24" t="s">
        <v>406</v>
      </c>
      <c r="D230" s="26">
        <v>6.68</v>
      </c>
    </row>
    <row r="231" spans="3:4" x14ac:dyDescent="0.25">
      <c r="C231" s="24" t="s">
        <v>408</v>
      </c>
      <c r="D231" s="26">
        <v>11.93</v>
      </c>
    </row>
    <row r="232" spans="3:4" x14ac:dyDescent="0.25">
      <c r="C232" s="24" t="s">
        <v>410</v>
      </c>
      <c r="D232" s="26">
        <v>26.93</v>
      </c>
    </row>
    <row r="233" spans="3:4" x14ac:dyDescent="0.25">
      <c r="D233" s="26"/>
    </row>
    <row r="234" spans="3:4" x14ac:dyDescent="0.25">
      <c r="C234" s="23" t="s">
        <v>955</v>
      </c>
      <c r="D234" s="26">
        <v>43.46</v>
      </c>
    </row>
    <row r="235" spans="3:4" x14ac:dyDescent="0.25">
      <c r="C235" s="23" t="s">
        <v>956</v>
      </c>
      <c r="D235" s="26">
        <v>37.46</v>
      </c>
    </row>
    <row r="236" spans="3:4" x14ac:dyDescent="0.25">
      <c r="C236" s="23" t="s">
        <v>957</v>
      </c>
      <c r="D236" s="26">
        <v>36.71</v>
      </c>
    </row>
    <row r="237" spans="3:4" x14ac:dyDescent="0.25">
      <c r="C237" s="23" t="s">
        <v>958</v>
      </c>
      <c r="D237" s="26">
        <v>15.71</v>
      </c>
    </row>
    <row r="238" spans="3:4" x14ac:dyDescent="0.25">
      <c r="C238" s="23" t="s">
        <v>1050</v>
      </c>
      <c r="D238" s="26">
        <v>15.71</v>
      </c>
    </row>
    <row r="239" spans="3:4" x14ac:dyDescent="0.25">
      <c r="C239" s="23" t="s">
        <v>960</v>
      </c>
      <c r="D239" s="26">
        <v>15.71</v>
      </c>
    </row>
    <row r="240" spans="3:4" x14ac:dyDescent="0.25">
      <c r="C240" s="23" t="s">
        <v>961</v>
      </c>
      <c r="D240" s="26">
        <v>15.71</v>
      </c>
    </row>
    <row r="241" spans="3:4" x14ac:dyDescent="0.25">
      <c r="C241" s="23" t="s">
        <v>962</v>
      </c>
      <c r="D241" s="26">
        <v>15.71</v>
      </c>
    </row>
    <row r="242" spans="3:4" x14ac:dyDescent="0.25">
      <c r="C242" s="23" t="s">
        <v>964</v>
      </c>
      <c r="D242" s="26">
        <v>15.71</v>
      </c>
    </row>
    <row r="243" spans="3:4" x14ac:dyDescent="0.25">
      <c r="C243" s="23" t="s">
        <v>965</v>
      </c>
      <c r="D243" s="26">
        <v>15.71</v>
      </c>
    </row>
    <row r="244" spans="3:4" x14ac:dyDescent="0.25">
      <c r="C244" s="23" t="s">
        <v>966</v>
      </c>
      <c r="D244" s="26">
        <v>15.71</v>
      </c>
    </row>
    <row r="245" spans="3:4" x14ac:dyDescent="0.25">
      <c r="C245" s="23" t="s">
        <v>968</v>
      </c>
      <c r="D245" s="26">
        <v>15.71</v>
      </c>
    </row>
    <row r="246" spans="3:4" x14ac:dyDescent="0.25">
      <c r="C246" s="23" t="s">
        <v>970</v>
      </c>
      <c r="D246" s="26">
        <v>15.71</v>
      </c>
    </row>
    <row r="247" spans="3:4" x14ac:dyDescent="0.25">
      <c r="C247" s="23" t="s">
        <v>1051</v>
      </c>
      <c r="D247" s="26">
        <v>14.96</v>
      </c>
    </row>
    <row r="248" spans="3:4" x14ac:dyDescent="0.25">
      <c r="C248" s="23" t="s">
        <v>971</v>
      </c>
      <c r="D248" s="26">
        <v>14.21</v>
      </c>
    </row>
    <row r="249" spans="3:4" x14ac:dyDescent="0.25">
      <c r="C249" s="23" t="s">
        <v>972</v>
      </c>
      <c r="D249" s="26">
        <v>13.46</v>
      </c>
    </row>
    <row r="250" spans="3:4" x14ac:dyDescent="0.25">
      <c r="C250" s="23" t="s">
        <v>1102</v>
      </c>
      <c r="D250" s="26">
        <v>13.46</v>
      </c>
    </row>
    <row r="251" spans="3:4" x14ac:dyDescent="0.25">
      <c r="C251" s="23" t="s">
        <v>1102</v>
      </c>
      <c r="D251" s="26">
        <v>13.46</v>
      </c>
    </row>
    <row r="252" spans="3:4" x14ac:dyDescent="0.25">
      <c r="C252" s="23" t="s">
        <v>1104</v>
      </c>
      <c r="D252" s="26">
        <v>13.46</v>
      </c>
    </row>
    <row r="253" spans="3:4" x14ac:dyDescent="0.25">
      <c r="C253" s="23" t="s">
        <v>1106</v>
      </c>
      <c r="D253" s="26">
        <v>13.46</v>
      </c>
    </row>
    <row r="254" spans="3:4" x14ac:dyDescent="0.25">
      <c r="C254" s="23" t="s">
        <v>974</v>
      </c>
      <c r="D254" s="26">
        <v>11.21</v>
      </c>
    </row>
    <row r="255" spans="3:4" x14ac:dyDescent="0.25">
      <c r="C255" s="23" t="s">
        <v>976</v>
      </c>
      <c r="D255" s="26">
        <v>19.46</v>
      </c>
    </row>
    <row r="256" spans="3:4" x14ac:dyDescent="0.25">
      <c r="C256" s="23" t="s">
        <v>978</v>
      </c>
      <c r="D256" s="26">
        <v>10.46</v>
      </c>
    </row>
    <row r="257" spans="3:4" x14ac:dyDescent="0.25">
      <c r="C257" s="23" t="s">
        <v>980</v>
      </c>
      <c r="D257" s="26">
        <v>10.46</v>
      </c>
    </row>
    <row r="258" spans="3:4" x14ac:dyDescent="0.25">
      <c r="C258" s="23" t="s">
        <v>982</v>
      </c>
      <c r="D258" s="26">
        <v>10.46</v>
      </c>
    </row>
    <row r="259" spans="3:4" x14ac:dyDescent="0.25">
      <c r="C259" s="23" t="s">
        <v>984</v>
      </c>
      <c r="D259" s="26">
        <v>10.46</v>
      </c>
    </row>
    <row r="260" spans="3:4" x14ac:dyDescent="0.25">
      <c r="C260" s="23" t="s">
        <v>986</v>
      </c>
      <c r="D260" s="26">
        <v>10.46</v>
      </c>
    </row>
    <row r="261" spans="3:4" x14ac:dyDescent="0.25">
      <c r="C261" s="23" t="s">
        <v>988</v>
      </c>
      <c r="D261" s="26">
        <v>10.46</v>
      </c>
    </row>
    <row r="262" spans="3:4" x14ac:dyDescent="0.25">
      <c r="C262" s="23" t="s">
        <v>990</v>
      </c>
      <c r="D262" s="26">
        <v>10.46</v>
      </c>
    </row>
    <row r="263" spans="3:4" x14ac:dyDescent="0.25">
      <c r="C263" s="23" t="s">
        <v>992</v>
      </c>
      <c r="D263" s="26">
        <v>15.71</v>
      </c>
    </row>
    <row r="264" spans="3:4" x14ac:dyDescent="0.25">
      <c r="C264" s="23" t="s">
        <v>1053</v>
      </c>
      <c r="D264" s="26">
        <v>9.7100000000000009</v>
      </c>
    </row>
    <row r="265" spans="3:4" x14ac:dyDescent="0.25">
      <c r="C265" s="23" t="s">
        <v>1055</v>
      </c>
      <c r="D265" s="26">
        <v>9.7100000000000009</v>
      </c>
    </row>
    <row r="266" spans="3:4" x14ac:dyDescent="0.25">
      <c r="C266" s="23" t="s">
        <v>1108</v>
      </c>
      <c r="D266" s="26">
        <v>8.9600000000000009</v>
      </c>
    </row>
    <row r="267" spans="3:4" x14ac:dyDescent="0.25">
      <c r="C267" s="23" t="s">
        <v>994</v>
      </c>
      <c r="D267" s="26">
        <v>8.9600000000000009</v>
      </c>
    </row>
    <row r="268" spans="3:4" x14ac:dyDescent="0.25">
      <c r="C268" s="23" t="s">
        <v>1056</v>
      </c>
      <c r="D268" s="26">
        <v>8.9600000000000009</v>
      </c>
    </row>
    <row r="269" spans="3:4" x14ac:dyDescent="0.25">
      <c r="C269" s="23" t="s">
        <v>1058</v>
      </c>
      <c r="D269" s="26">
        <v>8.9600000000000009</v>
      </c>
    </row>
    <row r="270" spans="3:4" x14ac:dyDescent="0.25">
      <c r="C270" s="23" t="s">
        <v>996</v>
      </c>
      <c r="D270" s="26">
        <v>8.9600000000000009</v>
      </c>
    </row>
    <row r="271" spans="3:4" x14ac:dyDescent="0.25">
      <c r="C271" s="23" t="s">
        <v>1110</v>
      </c>
      <c r="D271" s="26">
        <v>8.9600000000000009</v>
      </c>
    </row>
    <row r="272" spans="3:4" x14ac:dyDescent="0.25">
      <c r="C272" s="23" t="s">
        <v>998</v>
      </c>
      <c r="D272" s="26">
        <v>8.9600000000000009</v>
      </c>
    </row>
    <row r="273" spans="3:4" x14ac:dyDescent="0.25">
      <c r="C273" s="23" t="s">
        <v>1060</v>
      </c>
      <c r="D273" s="26">
        <v>8.9600000000000009</v>
      </c>
    </row>
    <row r="274" spans="3:4" x14ac:dyDescent="0.25">
      <c r="C274" s="23" t="s">
        <v>1112</v>
      </c>
      <c r="D274" s="26">
        <v>8.9600000000000009</v>
      </c>
    </row>
    <row r="275" spans="3:4" x14ac:dyDescent="0.25">
      <c r="C275" s="23" t="s">
        <v>1114</v>
      </c>
      <c r="D275" s="26">
        <v>8.9600000000000009</v>
      </c>
    </row>
    <row r="276" spans="3:4" x14ac:dyDescent="0.25">
      <c r="C276" s="23" t="s">
        <v>1000</v>
      </c>
      <c r="D276" s="26">
        <v>8.9600000000000009</v>
      </c>
    </row>
    <row r="277" spans="3:4" x14ac:dyDescent="0.25">
      <c r="C277" s="23" t="s">
        <v>1002</v>
      </c>
      <c r="D277" s="26">
        <v>8.9600000000000009</v>
      </c>
    </row>
    <row r="278" spans="3:4" x14ac:dyDescent="0.25">
      <c r="C278" s="23" t="s">
        <v>1062</v>
      </c>
      <c r="D278" s="26">
        <v>8.9600000000000009</v>
      </c>
    </row>
    <row r="279" spans="3:4" x14ac:dyDescent="0.25">
      <c r="C279" s="23" t="s">
        <v>1004</v>
      </c>
      <c r="D279" s="26">
        <v>8.9600000000000009</v>
      </c>
    </row>
    <row r="280" spans="3:4" x14ac:dyDescent="0.25">
      <c r="C280" s="23" t="s">
        <v>1116</v>
      </c>
      <c r="D280" s="26">
        <v>8.9600000000000009</v>
      </c>
    </row>
    <row r="281" spans="3:4" x14ac:dyDescent="0.25">
      <c r="C281" s="23" t="s">
        <v>1064</v>
      </c>
      <c r="D281" s="26">
        <v>8.9600000000000009</v>
      </c>
    </row>
    <row r="282" spans="3:4" x14ac:dyDescent="0.25">
      <c r="C282" s="23" t="s">
        <v>1117</v>
      </c>
      <c r="D282" s="26">
        <v>8.2100000000000009</v>
      </c>
    </row>
    <row r="283" spans="3:4" x14ac:dyDescent="0.25">
      <c r="C283" s="23" t="s">
        <v>1005</v>
      </c>
      <c r="D283" s="26">
        <v>8.2100000000000009</v>
      </c>
    </row>
    <row r="284" spans="3:4" x14ac:dyDescent="0.25">
      <c r="C284" s="23" t="s">
        <v>1007</v>
      </c>
      <c r="D284" s="26">
        <v>8.2100000000000009</v>
      </c>
    </row>
    <row r="285" spans="3:4" x14ac:dyDescent="0.25">
      <c r="C285" s="23" t="s">
        <v>1119</v>
      </c>
      <c r="D285" s="26">
        <v>8.2100000000000009</v>
      </c>
    </row>
    <row r="286" spans="3:4" x14ac:dyDescent="0.25">
      <c r="C286" s="23" t="s">
        <v>1066</v>
      </c>
      <c r="D286" s="26">
        <v>8.2100000000000009</v>
      </c>
    </row>
    <row r="287" spans="3:4" x14ac:dyDescent="0.25">
      <c r="C287" s="23" t="s">
        <v>1068</v>
      </c>
      <c r="D287" s="26">
        <v>7.46</v>
      </c>
    </row>
    <row r="288" spans="3:4" x14ac:dyDescent="0.25">
      <c r="C288" s="23" t="s">
        <v>1009</v>
      </c>
      <c r="D288" s="26">
        <v>7.46</v>
      </c>
    </row>
    <row r="289" spans="3:4" x14ac:dyDescent="0.25">
      <c r="C289" s="23" t="s">
        <v>1070</v>
      </c>
      <c r="D289" s="26">
        <v>7.46</v>
      </c>
    </row>
    <row r="290" spans="3:4" x14ac:dyDescent="0.25">
      <c r="C290" s="23" t="s">
        <v>1121</v>
      </c>
      <c r="D290" s="26">
        <v>7.46</v>
      </c>
    </row>
    <row r="291" spans="3:4" x14ac:dyDescent="0.25">
      <c r="C291" s="23" t="s">
        <v>1011</v>
      </c>
      <c r="D291" s="26">
        <v>6.71</v>
      </c>
    </row>
    <row r="292" spans="3:4" x14ac:dyDescent="0.25">
      <c r="C292" s="23" t="s">
        <v>1123</v>
      </c>
      <c r="D292" s="26">
        <v>6.71</v>
      </c>
    </row>
    <row r="293" spans="3:4" x14ac:dyDescent="0.25">
      <c r="C293" s="23" t="s">
        <v>1072</v>
      </c>
      <c r="D293" s="26">
        <v>5.96</v>
      </c>
    </row>
    <row r="294" spans="3:4" x14ac:dyDescent="0.25">
      <c r="C294" s="23" t="s">
        <v>1125</v>
      </c>
      <c r="D294" s="26">
        <v>5.21</v>
      </c>
    </row>
    <row r="295" spans="3:4" x14ac:dyDescent="0.25">
      <c r="C295" s="23" t="s">
        <v>1074</v>
      </c>
      <c r="D295" s="26">
        <v>5.21</v>
      </c>
    </row>
    <row r="296" spans="3:4" x14ac:dyDescent="0.25">
      <c r="C296" s="23" t="s">
        <v>1076</v>
      </c>
      <c r="D296" s="26">
        <v>2.96</v>
      </c>
    </row>
    <row r="297" spans="3:4" x14ac:dyDescent="0.25">
      <c r="C297" s="23" t="s">
        <v>1078</v>
      </c>
      <c r="D297" s="26">
        <v>0.71</v>
      </c>
    </row>
    <row r="298" spans="3:4" x14ac:dyDescent="0.25">
      <c r="C298" s="23" t="s">
        <v>1127</v>
      </c>
      <c r="D298" s="26">
        <v>0.71</v>
      </c>
    </row>
    <row r="299" spans="3:4" x14ac:dyDescent="0.25">
      <c r="C299" s="23" t="s">
        <v>1129</v>
      </c>
      <c r="D299" s="26">
        <v>0.71</v>
      </c>
    </row>
    <row r="300" spans="3:4" x14ac:dyDescent="0.25">
      <c r="C300" s="23" t="s">
        <v>1013</v>
      </c>
      <c r="D300" s="26">
        <v>0.36</v>
      </c>
    </row>
    <row r="301" spans="3:4" x14ac:dyDescent="0.25">
      <c r="C301" s="23" t="s">
        <v>1015</v>
      </c>
      <c r="D301" s="26">
        <v>0.36</v>
      </c>
    </row>
    <row r="302" spans="3:4" x14ac:dyDescent="0.25">
      <c r="C302" s="23" t="s">
        <v>1131</v>
      </c>
      <c r="D302" s="26">
        <v>11.96</v>
      </c>
    </row>
    <row r="303" spans="3:4" x14ac:dyDescent="0.25">
      <c r="C303" s="23" t="s">
        <v>1133</v>
      </c>
      <c r="D303" s="26">
        <v>5.96</v>
      </c>
    </row>
    <row r="304" spans="3:4" x14ac:dyDescent="0.25">
      <c r="C304" s="23" t="s">
        <v>1135</v>
      </c>
      <c r="D304" s="26">
        <v>89.21</v>
      </c>
    </row>
    <row r="305" spans="3:4" x14ac:dyDescent="0.25">
      <c r="C305" s="23" t="s">
        <v>1017</v>
      </c>
      <c r="D305" s="26">
        <v>77.209999999999994</v>
      </c>
    </row>
    <row r="306" spans="3:4" x14ac:dyDescent="0.25">
      <c r="C306" s="23" t="s">
        <v>1080</v>
      </c>
      <c r="D306" s="26">
        <v>67.459999999999994</v>
      </c>
    </row>
    <row r="307" spans="3:4" x14ac:dyDescent="0.25">
      <c r="C307" s="23" t="s">
        <v>1082</v>
      </c>
      <c r="D307" s="26">
        <v>67.459999999999994</v>
      </c>
    </row>
    <row r="308" spans="3:4" x14ac:dyDescent="0.25">
      <c r="C308" s="23" t="s">
        <v>1084</v>
      </c>
      <c r="D308" s="26">
        <v>33.71</v>
      </c>
    </row>
    <row r="309" spans="3:4" x14ac:dyDescent="0.25">
      <c r="C309" s="23" t="s">
        <v>1086</v>
      </c>
      <c r="D309" s="26">
        <v>61.46</v>
      </c>
    </row>
    <row r="310" spans="3:4" x14ac:dyDescent="0.25">
      <c r="C310" s="23" t="s">
        <v>1088</v>
      </c>
      <c r="D310" s="26">
        <v>55.46</v>
      </c>
    </row>
    <row r="311" spans="3:4" x14ac:dyDescent="0.25">
      <c r="C311" s="23" t="s">
        <v>1090</v>
      </c>
      <c r="D311" s="26">
        <v>47.21</v>
      </c>
    </row>
    <row r="312" spans="3:4" x14ac:dyDescent="0.25">
      <c r="C312" s="23" t="s">
        <v>1092</v>
      </c>
      <c r="D312" s="26">
        <v>44.21</v>
      </c>
    </row>
    <row r="313" spans="3:4" x14ac:dyDescent="0.25">
      <c r="C313" s="23" t="s">
        <v>1019</v>
      </c>
      <c r="D313" s="26">
        <v>42.71</v>
      </c>
    </row>
    <row r="314" spans="3:4" x14ac:dyDescent="0.25">
      <c r="C314" s="23" t="s">
        <v>1021</v>
      </c>
      <c r="D314" s="26">
        <v>38.21</v>
      </c>
    </row>
    <row r="315" spans="3:4" x14ac:dyDescent="0.25">
      <c r="C315" s="23" t="s">
        <v>1094</v>
      </c>
      <c r="D315" s="26">
        <v>38.21</v>
      </c>
    </row>
    <row r="316" spans="3:4" x14ac:dyDescent="0.25">
      <c r="C316" s="23" t="s">
        <v>1137</v>
      </c>
      <c r="D316" s="26">
        <v>37.46</v>
      </c>
    </row>
    <row r="317" spans="3:4" x14ac:dyDescent="0.25">
      <c r="C317" s="23" t="s">
        <v>1023</v>
      </c>
      <c r="D317" s="26">
        <v>32.96</v>
      </c>
    </row>
    <row r="318" spans="3:4" x14ac:dyDescent="0.25">
      <c r="C318" s="23" t="s">
        <v>1025</v>
      </c>
      <c r="D318" s="26">
        <v>32.96</v>
      </c>
    </row>
    <row r="319" spans="3:4" x14ac:dyDescent="0.25">
      <c r="C319" s="23" t="s">
        <v>1027</v>
      </c>
      <c r="D319" s="26">
        <v>29.96</v>
      </c>
    </row>
    <row r="320" spans="3:4" x14ac:dyDescent="0.25">
      <c r="C320" s="23" t="s">
        <v>1029</v>
      </c>
      <c r="D320" s="26">
        <v>29.21</v>
      </c>
    </row>
    <row r="321" spans="3:4" x14ac:dyDescent="0.25">
      <c r="C321" s="23" t="s">
        <v>1031</v>
      </c>
      <c r="D321" s="26">
        <v>29.21</v>
      </c>
    </row>
    <row r="322" spans="3:4" x14ac:dyDescent="0.25">
      <c r="C322" s="23" t="s">
        <v>1139</v>
      </c>
      <c r="D322" s="26">
        <v>27.71</v>
      </c>
    </row>
    <row r="323" spans="3:4" x14ac:dyDescent="0.25">
      <c r="C323" s="23" t="s">
        <v>1141</v>
      </c>
      <c r="D323" s="26">
        <v>25.46</v>
      </c>
    </row>
    <row r="324" spans="3:4" x14ac:dyDescent="0.25">
      <c r="C324" s="23" t="s">
        <v>1033</v>
      </c>
      <c r="D324" s="26">
        <v>25.46</v>
      </c>
    </row>
    <row r="325" spans="3:4" x14ac:dyDescent="0.25">
      <c r="C325" s="23" t="s">
        <v>1143</v>
      </c>
      <c r="D325" s="26">
        <v>24.71</v>
      </c>
    </row>
    <row r="326" spans="3:4" x14ac:dyDescent="0.25">
      <c r="C326" s="23" t="s">
        <v>1035</v>
      </c>
      <c r="D326" s="26">
        <v>24.71</v>
      </c>
    </row>
    <row r="327" spans="3:4" x14ac:dyDescent="0.25">
      <c r="C327" s="23" t="s">
        <v>1096</v>
      </c>
      <c r="D327" s="26">
        <v>23.96</v>
      </c>
    </row>
    <row r="328" spans="3:4" x14ac:dyDescent="0.25">
      <c r="C328" s="23" t="s">
        <v>1145</v>
      </c>
      <c r="D328" s="26">
        <v>23.96</v>
      </c>
    </row>
    <row r="329" spans="3:4" x14ac:dyDescent="0.25">
      <c r="C329" s="23" t="s">
        <v>1098</v>
      </c>
      <c r="D329" s="26">
        <v>21.71</v>
      </c>
    </row>
    <row r="330" spans="3:4" x14ac:dyDescent="0.25">
      <c r="C330" s="23" t="s">
        <v>1147</v>
      </c>
      <c r="D330" s="26">
        <v>20.96</v>
      </c>
    </row>
    <row r="331" spans="3:4" x14ac:dyDescent="0.25">
      <c r="C331" s="23" t="s">
        <v>1037</v>
      </c>
      <c r="D331" s="26">
        <v>17.21</v>
      </c>
    </row>
    <row r="332" spans="3:4" x14ac:dyDescent="0.25">
      <c r="C332" s="23" t="s">
        <v>1149</v>
      </c>
      <c r="D332" s="26">
        <v>17.21</v>
      </c>
    </row>
    <row r="333" spans="3:4" x14ac:dyDescent="0.25">
      <c r="C333" s="23" t="s">
        <v>1100</v>
      </c>
      <c r="D333" s="26">
        <v>16.46</v>
      </c>
    </row>
    <row r="334" spans="3:4" x14ac:dyDescent="0.25">
      <c r="C334" s="23" t="s">
        <v>1151</v>
      </c>
      <c r="D334" s="26">
        <v>15.71</v>
      </c>
    </row>
    <row r="336" spans="3:4" x14ac:dyDescent="0.25">
      <c r="C336" s="23" t="s">
        <v>1153</v>
      </c>
      <c r="D336" s="26">
        <v>10.49</v>
      </c>
    </row>
    <row r="337" spans="3:4" x14ac:dyDescent="0.25">
      <c r="C337" s="23" t="s">
        <v>1154</v>
      </c>
      <c r="D337" s="26">
        <v>16.489999999999998</v>
      </c>
    </row>
    <row r="338" spans="3:4" x14ac:dyDescent="0.25">
      <c r="C338" s="23" t="s">
        <v>1155</v>
      </c>
      <c r="D338" s="26">
        <v>19.489999999999998</v>
      </c>
    </row>
    <row r="339" spans="3:4" x14ac:dyDescent="0.25">
      <c r="C339" s="23" t="s">
        <v>1156</v>
      </c>
      <c r="D339" s="26">
        <v>29.99</v>
      </c>
    </row>
    <row r="340" spans="3:4" x14ac:dyDescent="0.25">
      <c r="C340" s="23" t="s">
        <v>1157</v>
      </c>
      <c r="D340" s="26">
        <v>10.49</v>
      </c>
    </row>
    <row r="341" spans="3:4" x14ac:dyDescent="0.25">
      <c r="C341" s="23" t="s">
        <v>1158</v>
      </c>
      <c r="D341" s="26">
        <v>16.489999999999998</v>
      </c>
    </row>
    <row r="342" spans="3:4" x14ac:dyDescent="0.25">
      <c r="C342" s="23" t="s">
        <v>1159</v>
      </c>
      <c r="D342" s="26">
        <v>16.489999999999998</v>
      </c>
    </row>
    <row r="343" spans="3:4" x14ac:dyDescent="0.25">
      <c r="C343" s="23" t="s">
        <v>1160</v>
      </c>
      <c r="D343" s="26">
        <v>14.99</v>
      </c>
    </row>
    <row r="344" spans="3:4" x14ac:dyDescent="0.25">
      <c r="C344" s="23" t="s">
        <v>1161</v>
      </c>
      <c r="D344" s="26">
        <v>23.24</v>
      </c>
    </row>
    <row r="345" spans="3:4" x14ac:dyDescent="0.25">
      <c r="C345" s="23" t="s">
        <v>1162</v>
      </c>
      <c r="D345" s="26">
        <v>12.74</v>
      </c>
    </row>
    <row r="346" spans="3:4" x14ac:dyDescent="0.25">
      <c r="C346" s="23" t="s">
        <v>1163</v>
      </c>
      <c r="D346" s="26">
        <v>17.239999999999998</v>
      </c>
    </row>
    <row r="347" spans="3:4" x14ac:dyDescent="0.25">
      <c r="C347" s="23" t="s">
        <v>1164</v>
      </c>
      <c r="D347" s="26">
        <v>14.99</v>
      </c>
    </row>
    <row r="348" spans="3:4" x14ac:dyDescent="0.25">
      <c r="C348" s="23" t="s">
        <v>1165</v>
      </c>
      <c r="D348" s="26">
        <v>23.24</v>
      </c>
    </row>
    <row r="349" spans="3:4" x14ac:dyDescent="0.25">
      <c r="C349" s="23" t="s">
        <v>1166</v>
      </c>
      <c r="D349" s="26">
        <v>14.24</v>
      </c>
    </row>
    <row r="350" spans="3:4" x14ac:dyDescent="0.25">
      <c r="C350" s="23" t="s">
        <v>1167</v>
      </c>
      <c r="D350" s="26">
        <v>14.24</v>
      </c>
    </row>
    <row r="351" spans="3:4" x14ac:dyDescent="0.25">
      <c r="C351" s="23" t="s">
        <v>1168</v>
      </c>
      <c r="D351" s="26">
        <v>17.989999999999998</v>
      </c>
    </row>
    <row r="352" spans="3:4" x14ac:dyDescent="0.25">
      <c r="C352" s="23" t="s">
        <v>1169</v>
      </c>
      <c r="D352" s="26">
        <v>15.74</v>
      </c>
    </row>
    <row r="353" spans="3:4" x14ac:dyDescent="0.25">
      <c r="C353" s="23" t="s">
        <v>1170</v>
      </c>
      <c r="D353" s="26">
        <v>26.99</v>
      </c>
    </row>
    <row r="354" spans="3:4" x14ac:dyDescent="0.25">
      <c r="C354" s="23" t="s">
        <v>1171</v>
      </c>
      <c r="D354" s="26">
        <v>16.489999999999998</v>
      </c>
    </row>
    <row r="355" spans="3:4" x14ac:dyDescent="0.25">
      <c r="C355" s="23" t="s">
        <v>1172</v>
      </c>
      <c r="D355" s="26">
        <v>17.239999999999998</v>
      </c>
    </row>
    <row r="356" spans="3:4" x14ac:dyDescent="0.25">
      <c r="C356" s="23" t="s">
        <v>1173</v>
      </c>
      <c r="D356" s="26">
        <v>14.24</v>
      </c>
    </row>
    <row r="357" spans="3:4" x14ac:dyDescent="0.25">
      <c r="C357" s="23" t="s">
        <v>1174</v>
      </c>
      <c r="D357" s="26">
        <v>16.489999999999998</v>
      </c>
    </row>
    <row r="358" spans="3:4" x14ac:dyDescent="0.25">
      <c r="C358" s="23" t="s">
        <v>1175</v>
      </c>
      <c r="D358" s="26">
        <v>17.239999999999998</v>
      </c>
    </row>
    <row r="359" spans="3:4" x14ac:dyDescent="0.25">
      <c r="C359" s="23" t="s">
        <v>1176</v>
      </c>
      <c r="D359" s="26">
        <v>9.74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70DB-FAE7-4127-A6E9-06D692514C87}">
  <dimension ref="B2:J985"/>
  <sheetViews>
    <sheetView workbookViewId="0"/>
  </sheetViews>
  <sheetFormatPr defaultRowHeight="14.4" x14ac:dyDescent="0.3"/>
  <cols>
    <col min="2" max="2" width="45.44140625" bestFit="1" customWidth="1"/>
    <col min="6" max="6" width="16.88671875" bestFit="1" customWidth="1"/>
  </cols>
  <sheetData>
    <row r="2" spans="2:10" ht="17.399999999999999" x14ac:dyDescent="0.45">
      <c r="B2" s="8" t="s">
        <v>6</v>
      </c>
      <c r="C2" s="8" t="s">
        <v>7</v>
      </c>
      <c r="D2" s="7" t="s">
        <v>8</v>
      </c>
      <c r="E2" s="7" t="s">
        <v>9</v>
      </c>
      <c r="F2" s="7" t="s">
        <v>11</v>
      </c>
      <c r="G2" s="7" t="s">
        <v>12</v>
      </c>
    </row>
    <row r="3" spans="2:10" ht="15.6" x14ac:dyDescent="0.3">
      <c r="B3" s="5" t="s">
        <v>16</v>
      </c>
      <c r="C3" s="5" t="s">
        <v>1533</v>
      </c>
      <c r="D3" s="12">
        <v>34.9</v>
      </c>
      <c r="E3" s="12">
        <v>17.899999999999999</v>
      </c>
      <c r="F3" s="12">
        <v>20.59</v>
      </c>
      <c r="G3" s="12">
        <v>19.2</v>
      </c>
      <c r="I3" s="27"/>
      <c r="J3" s="27"/>
    </row>
    <row r="4" spans="2:10" ht="15.6" x14ac:dyDescent="0.3">
      <c r="B4" s="5" t="s">
        <v>18</v>
      </c>
      <c r="C4" s="5" t="s">
        <v>1534</v>
      </c>
      <c r="D4" s="12">
        <v>47.9</v>
      </c>
      <c r="E4" s="12">
        <v>23.9</v>
      </c>
      <c r="F4" s="12">
        <v>28.26</v>
      </c>
      <c r="G4" s="12">
        <v>26.35</v>
      </c>
      <c r="I4" s="27"/>
      <c r="J4" s="27"/>
    </row>
    <row r="5" spans="2:10" ht="15.6" x14ac:dyDescent="0.3">
      <c r="B5" s="5" t="s">
        <v>412</v>
      </c>
      <c r="C5" s="5" t="s">
        <v>413</v>
      </c>
      <c r="D5" s="12">
        <v>26.9</v>
      </c>
      <c r="E5" s="12">
        <v>13.9</v>
      </c>
      <c r="F5" s="12">
        <v>15.87</v>
      </c>
      <c r="G5" s="12">
        <v>14.8</v>
      </c>
      <c r="I5" s="27"/>
      <c r="J5" s="27"/>
    </row>
    <row r="6" spans="2:10" ht="15.6" x14ac:dyDescent="0.3">
      <c r="B6" s="5" t="s">
        <v>20</v>
      </c>
      <c r="C6" s="5" t="s">
        <v>1535</v>
      </c>
      <c r="D6" s="12">
        <v>29.9</v>
      </c>
      <c r="E6" s="12">
        <v>15.9</v>
      </c>
      <c r="F6" s="12">
        <v>17.64</v>
      </c>
      <c r="G6" s="12">
        <v>16.45</v>
      </c>
      <c r="I6" s="27"/>
      <c r="J6" s="27"/>
    </row>
    <row r="7" spans="2:10" ht="15.6" x14ac:dyDescent="0.3">
      <c r="B7" s="5" t="s">
        <v>22</v>
      </c>
      <c r="C7" s="5" t="s">
        <v>1536</v>
      </c>
      <c r="D7" s="12">
        <v>56.9</v>
      </c>
      <c r="E7" s="12">
        <v>29.9</v>
      </c>
      <c r="F7" s="12">
        <v>33.57</v>
      </c>
      <c r="G7" s="12">
        <v>31.3</v>
      </c>
      <c r="I7" s="27"/>
      <c r="J7" s="27"/>
    </row>
    <row r="8" spans="2:10" ht="15.6" x14ac:dyDescent="0.3">
      <c r="B8" s="5" t="s">
        <v>24</v>
      </c>
      <c r="C8" s="5" t="s">
        <v>1537</v>
      </c>
      <c r="D8" s="12">
        <v>99.9</v>
      </c>
      <c r="E8" s="12">
        <v>50.9</v>
      </c>
      <c r="F8" s="12">
        <v>58.94</v>
      </c>
      <c r="G8" s="12">
        <v>54.95</v>
      </c>
      <c r="I8" s="27"/>
      <c r="J8" s="27"/>
    </row>
    <row r="9" spans="2:10" ht="15.6" x14ac:dyDescent="0.3">
      <c r="B9" s="5" t="s">
        <v>26</v>
      </c>
      <c r="C9" s="5" t="s">
        <v>29</v>
      </c>
      <c r="D9" s="12">
        <v>26.9</v>
      </c>
      <c r="E9" s="12">
        <v>13.9</v>
      </c>
      <c r="F9" s="12">
        <v>15.87</v>
      </c>
      <c r="G9" s="12">
        <v>14.8</v>
      </c>
      <c r="I9" s="27"/>
      <c r="J9" s="27"/>
    </row>
    <row r="10" spans="2:10" ht="15.6" x14ac:dyDescent="0.3">
      <c r="B10" s="5" t="s">
        <v>1517</v>
      </c>
      <c r="C10" s="5" t="s">
        <v>1538</v>
      </c>
      <c r="D10" s="12">
        <v>26.9</v>
      </c>
      <c r="E10" s="12">
        <v>13.9</v>
      </c>
      <c r="F10" s="12">
        <v>15.87</v>
      </c>
      <c r="G10" s="12">
        <v>14.8</v>
      </c>
      <c r="I10" s="27"/>
      <c r="J10" s="27"/>
    </row>
    <row r="11" spans="2:10" ht="15.6" x14ac:dyDescent="0.3">
      <c r="B11" s="5" t="s">
        <v>30</v>
      </c>
      <c r="C11" s="5" t="s">
        <v>1539</v>
      </c>
      <c r="D11" s="12">
        <v>48.9</v>
      </c>
      <c r="E11" s="12">
        <v>24.9</v>
      </c>
      <c r="F11" s="12">
        <v>28.85</v>
      </c>
      <c r="G11" s="12">
        <v>26.9</v>
      </c>
      <c r="I11" s="27"/>
      <c r="J11" s="27"/>
    </row>
    <row r="12" spans="2:10" ht="15.6" x14ac:dyDescent="0.3">
      <c r="B12" s="5" t="s">
        <v>32</v>
      </c>
      <c r="C12" s="5" t="s">
        <v>1540</v>
      </c>
      <c r="D12" s="12">
        <v>33.9</v>
      </c>
      <c r="E12" s="12">
        <v>17.899999999999999</v>
      </c>
      <c r="F12" s="12">
        <v>20</v>
      </c>
      <c r="G12" s="12">
        <v>18.649999999999999</v>
      </c>
      <c r="I12" s="27"/>
      <c r="J12" s="27"/>
    </row>
    <row r="13" spans="2:10" ht="15.6" x14ac:dyDescent="0.3">
      <c r="B13" s="5" t="s">
        <v>34</v>
      </c>
      <c r="C13" s="5" t="s">
        <v>1541</v>
      </c>
      <c r="D13" s="12">
        <v>76.900000000000006</v>
      </c>
      <c r="E13" s="12">
        <v>38.9</v>
      </c>
      <c r="F13" s="12">
        <v>45.37</v>
      </c>
      <c r="G13" s="12">
        <v>42.3</v>
      </c>
      <c r="I13" s="27"/>
      <c r="J13" s="27"/>
    </row>
    <row r="14" spans="2:10" ht="15.6" x14ac:dyDescent="0.3">
      <c r="B14" s="5" t="s">
        <v>36</v>
      </c>
      <c r="C14" s="5" t="s">
        <v>734</v>
      </c>
      <c r="D14" s="12">
        <v>34.9</v>
      </c>
      <c r="E14" s="12">
        <v>18.899999999999999</v>
      </c>
      <c r="F14" s="12">
        <v>20.59</v>
      </c>
      <c r="G14" s="12">
        <v>19.2</v>
      </c>
      <c r="I14" s="27"/>
      <c r="J14" s="27"/>
    </row>
    <row r="15" spans="2:10" ht="15.6" x14ac:dyDescent="0.3">
      <c r="B15" s="5" t="s">
        <v>38</v>
      </c>
      <c r="C15" s="5" t="s">
        <v>1542</v>
      </c>
      <c r="D15" s="12">
        <v>59.9</v>
      </c>
      <c r="E15" s="12">
        <v>30.9</v>
      </c>
      <c r="F15" s="12">
        <v>35.340000000000003</v>
      </c>
      <c r="G15" s="12">
        <v>32.950000000000003</v>
      </c>
      <c r="I15" s="27"/>
      <c r="J15" s="27"/>
    </row>
    <row r="16" spans="2:10" ht="15.6" x14ac:dyDescent="0.3">
      <c r="B16" s="5" t="s">
        <v>40</v>
      </c>
      <c r="C16" s="5" t="s">
        <v>1543</v>
      </c>
      <c r="D16" s="12">
        <v>49.9</v>
      </c>
      <c r="E16" s="12">
        <v>25.9</v>
      </c>
      <c r="F16" s="12">
        <v>29.44</v>
      </c>
      <c r="G16" s="12">
        <v>27.45</v>
      </c>
      <c r="I16" s="27"/>
      <c r="J16" s="27"/>
    </row>
    <row r="17" spans="2:10" ht="15.6" x14ac:dyDescent="0.3">
      <c r="B17" s="5" t="s">
        <v>414</v>
      </c>
      <c r="C17" s="5" t="s">
        <v>415</v>
      </c>
      <c r="D17" s="12">
        <v>33.9</v>
      </c>
      <c r="E17" s="12">
        <v>16.899999999999999</v>
      </c>
      <c r="F17" s="12">
        <v>20</v>
      </c>
      <c r="G17" s="12">
        <v>18.649999999999999</v>
      </c>
      <c r="I17" s="27"/>
      <c r="J17" s="27"/>
    </row>
    <row r="18" spans="2:10" ht="15.6" x14ac:dyDescent="0.3">
      <c r="B18" s="5" t="s">
        <v>42</v>
      </c>
      <c r="C18" s="5" t="s">
        <v>1544</v>
      </c>
      <c r="D18" s="12">
        <v>26.9</v>
      </c>
      <c r="E18" s="12">
        <v>13.9</v>
      </c>
      <c r="F18" s="12">
        <v>15.87</v>
      </c>
      <c r="G18" s="12">
        <v>14.8</v>
      </c>
      <c r="I18" s="27"/>
      <c r="J18" s="27"/>
    </row>
    <row r="19" spans="2:10" ht="15.6" x14ac:dyDescent="0.3">
      <c r="B19" s="5" t="s">
        <v>44</v>
      </c>
      <c r="C19" s="5" t="s">
        <v>1545</v>
      </c>
      <c r="D19" s="12">
        <v>24.9</v>
      </c>
      <c r="E19" s="12">
        <v>12.9</v>
      </c>
      <c r="F19" s="12">
        <v>14.69</v>
      </c>
      <c r="G19" s="12">
        <v>13.7</v>
      </c>
      <c r="I19" s="27"/>
      <c r="J19" s="27"/>
    </row>
    <row r="20" spans="2:10" ht="15.6" x14ac:dyDescent="0.3">
      <c r="B20" s="5" t="s">
        <v>416</v>
      </c>
      <c r="C20" s="5" t="s">
        <v>417</v>
      </c>
      <c r="D20" s="12">
        <v>27.9</v>
      </c>
      <c r="E20" s="12">
        <v>13.9</v>
      </c>
      <c r="F20" s="12">
        <v>16.46</v>
      </c>
      <c r="G20" s="12">
        <v>15.35</v>
      </c>
      <c r="I20" s="27"/>
      <c r="J20" s="27"/>
    </row>
    <row r="21" spans="2:10" ht="15.6" x14ac:dyDescent="0.3">
      <c r="B21" s="5" t="s">
        <v>46</v>
      </c>
      <c r="C21" s="5" t="s">
        <v>1546</v>
      </c>
      <c r="D21" s="12">
        <v>59.9</v>
      </c>
      <c r="E21" s="12">
        <v>30.9</v>
      </c>
      <c r="F21" s="12">
        <v>35.340000000000003</v>
      </c>
      <c r="G21" s="12">
        <v>32.950000000000003</v>
      </c>
      <c r="I21" s="27"/>
      <c r="J21" s="27"/>
    </row>
    <row r="22" spans="2:10" ht="15.6" x14ac:dyDescent="0.3">
      <c r="B22" s="5" t="s">
        <v>1518</v>
      </c>
      <c r="C22" s="5" t="s">
        <v>1547</v>
      </c>
      <c r="D22" s="12">
        <v>59.9</v>
      </c>
      <c r="E22" s="12">
        <v>30.9</v>
      </c>
      <c r="F22" s="12">
        <v>35.340000000000003</v>
      </c>
      <c r="G22" s="12">
        <v>32.950000000000003</v>
      </c>
      <c r="I22" s="27"/>
      <c r="J22" s="27"/>
    </row>
    <row r="23" spans="2:10" ht="15.6" x14ac:dyDescent="0.3">
      <c r="B23" s="5" t="s">
        <v>49</v>
      </c>
      <c r="C23" s="5" t="s">
        <v>1548</v>
      </c>
      <c r="D23" s="12">
        <v>104.9</v>
      </c>
      <c r="E23" s="12">
        <v>53.9</v>
      </c>
      <c r="F23" s="12">
        <v>61.89</v>
      </c>
      <c r="G23" s="12">
        <v>57.7</v>
      </c>
      <c r="I23" s="27"/>
      <c r="J23" s="27"/>
    </row>
    <row r="24" spans="2:10" ht="15.6" x14ac:dyDescent="0.3">
      <c r="B24" s="5" t="s">
        <v>1519</v>
      </c>
      <c r="C24" s="5" t="s">
        <v>1549</v>
      </c>
      <c r="D24" s="12">
        <v>104.9</v>
      </c>
      <c r="E24" s="12">
        <v>53.9</v>
      </c>
      <c r="F24" s="12">
        <v>61.89</v>
      </c>
      <c r="G24" s="12">
        <v>57.7</v>
      </c>
      <c r="I24" s="27"/>
      <c r="J24" s="27"/>
    </row>
    <row r="25" spans="2:10" ht="15.6" x14ac:dyDescent="0.3">
      <c r="B25" s="5" t="s">
        <v>52</v>
      </c>
      <c r="C25" s="5" t="s">
        <v>1550</v>
      </c>
      <c r="D25" s="12">
        <v>34.9</v>
      </c>
      <c r="E25" s="12">
        <v>18.899999999999999</v>
      </c>
      <c r="F25" s="12">
        <v>20.59</v>
      </c>
      <c r="G25" s="12">
        <v>19.2</v>
      </c>
      <c r="I25" s="27"/>
      <c r="J25" s="27"/>
    </row>
    <row r="26" spans="2:10" ht="15.6" x14ac:dyDescent="0.3">
      <c r="B26" s="5" t="s">
        <v>1520</v>
      </c>
      <c r="C26" s="5" t="s">
        <v>1551</v>
      </c>
      <c r="D26" s="12">
        <v>34.9</v>
      </c>
      <c r="E26" s="12">
        <v>18.899999999999999</v>
      </c>
      <c r="F26" s="12">
        <v>20.59</v>
      </c>
      <c r="G26" s="12">
        <v>19.2</v>
      </c>
      <c r="I26" s="27"/>
      <c r="J26" s="27"/>
    </row>
    <row r="27" spans="2:10" ht="15.6" x14ac:dyDescent="0.3">
      <c r="B27" s="5" t="s">
        <v>55</v>
      </c>
      <c r="C27" s="5" t="s">
        <v>1552</v>
      </c>
      <c r="D27" s="12">
        <v>27.9</v>
      </c>
      <c r="E27" s="12">
        <v>14.9</v>
      </c>
      <c r="F27" s="12">
        <v>16.46</v>
      </c>
      <c r="G27" s="12">
        <v>15.35</v>
      </c>
      <c r="I27" s="27"/>
      <c r="J27" s="27"/>
    </row>
    <row r="28" spans="2:10" ht="15.6" x14ac:dyDescent="0.3">
      <c r="B28" s="5" t="s">
        <v>57</v>
      </c>
      <c r="C28" s="5" t="s">
        <v>1553</v>
      </c>
      <c r="D28" s="12">
        <v>49.9</v>
      </c>
      <c r="E28" s="12">
        <v>25.9</v>
      </c>
      <c r="F28" s="12">
        <v>29.44</v>
      </c>
      <c r="G28" s="12">
        <v>27.45</v>
      </c>
      <c r="I28" s="27"/>
      <c r="J28" s="27"/>
    </row>
    <row r="29" spans="2:10" ht="15.6" x14ac:dyDescent="0.3">
      <c r="B29" s="5" t="s">
        <v>59</v>
      </c>
      <c r="C29" s="5" t="s">
        <v>1554</v>
      </c>
      <c r="D29" s="12">
        <v>34.9</v>
      </c>
      <c r="E29" s="12">
        <v>18.899999999999999</v>
      </c>
      <c r="F29" s="12">
        <v>20.59</v>
      </c>
      <c r="G29" s="12">
        <v>19.2</v>
      </c>
      <c r="I29" s="27"/>
      <c r="J29" s="27"/>
    </row>
    <row r="30" spans="2:10" ht="15.6" x14ac:dyDescent="0.3">
      <c r="B30" s="5" t="s">
        <v>61</v>
      </c>
      <c r="C30" s="5" t="s">
        <v>1555</v>
      </c>
      <c r="D30" s="12">
        <v>12.9</v>
      </c>
      <c r="E30" s="12">
        <v>7.9</v>
      </c>
      <c r="F30" s="12">
        <v>7.61</v>
      </c>
      <c r="G30" s="12">
        <v>7.1</v>
      </c>
      <c r="I30" s="27"/>
      <c r="J30" s="27"/>
    </row>
    <row r="31" spans="2:10" ht="15.6" x14ac:dyDescent="0.3">
      <c r="B31" s="5" t="s">
        <v>63</v>
      </c>
      <c r="C31" s="5" t="s">
        <v>1556</v>
      </c>
      <c r="D31" s="12">
        <v>22.9</v>
      </c>
      <c r="E31" s="12">
        <v>11.9</v>
      </c>
      <c r="F31" s="12">
        <v>13.51</v>
      </c>
      <c r="G31" s="12">
        <v>12.6</v>
      </c>
      <c r="I31" s="27"/>
      <c r="J31" s="27"/>
    </row>
    <row r="32" spans="2:10" ht="15.6" x14ac:dyDescent="0.3">
      <c r="B32" s="5" t="s">
        <v>418</v>
      </c>
      <c r="C32" s="5" t="s">
        <v>419</v>
      </c>
      <c r="D32" s="12">
        <v>32.9</v>
      </c>
      <c r="E32" s="12">
        <v>16.899999999999999</v>
      </c>
      <c r="F32" s="12">
        <v>19.41</v>
      </c>
      <c r="G32" s="12">
        <v>18.100000000000001</v>
      </c>
      <c r="I32" s="27"/>
      <c r="J32" s="27"/>
    </row>
    <row r="33" spans="2:10" ht="15.6" x14ac:dyDescent="0.3">
      <c r="B33" s="5" t="s">
        <v>65</v>
      </c>
      <c r="C33" s="5" t="s">
        <v>1557</v>
      </c>
      <c r="D33" s="12">
        <v>27.9</v>
      </c>
      <c r="E33" s="12">
        <v>13.9</v>
      </c>
      <c r="F33" s="12">
        <v>16.46</v>
      </c>
      <c r="G33" s="12">
        <v>15.35</v>
      </c>
      <c r="I33" s="27"/>
      <c r="J33" s="27"/>
    </row>
    <row r="34" spans="2:10" ht="15.6" x14ac:dyDescent="0.3">
      <c r="B34" s="5" t="s">
        <v>420</v>
      </c>
      <c r="C34" s="5" t="s">
        <v>421</v>
      </c>
      <c r="D34" s="12">
        <v>66.900000000000006</v>
      </c>
      <c r="E34" s="12">
        <v>34.9</v>
      </c>
      <c r="F34" s="12">
        <v>39.47</v>
      </c>
      <c r="G34" s="12">
        <v>36.799999999999997</v>
      </c>
      <c r="I34" s="27"/>
      <c r="J34" s="27"/>
    </row>
    <row r="35" spans="2:10" ht="15.6" x14ac:dyDescent="0.3">
      <c r="B35" s="5" t="s">
        <v>67</v>
      </c>
      <c r="C35" s="5" t="s">
        <v>1558</v>
      </c>
      <c r="D35" s="12">
        <v>26.9</v>
      </c>
      <c r="E35" s="12">
        <v>13.9</v>
      </c>
      <c r="F35" s="12">
        <v>15.87</v>
      </c>
      <c r="G35" s="12">
        <v>14.8</v>
      </c>
      <c r="I35" s="27"/>
      <c r="J35" s="27"/>
    </row>
    <row r="36" spans="2:10" ht="15.6" x14ac:dyDescent="0.3">
      <c r="B36" s="5" t="s">
        <v>69</v>
      </c>
      <c r="C36" s="5" t="s">
        <v>1559</v>
      </c>
      <c r="D36" s="12">
        <v>27.9</v>
      </c>
      <c r="E36" s="12">
        <v>14.9</v>
      </c>
      <c r="F36" s="12">
        <v>16.46</v>
      </c>
      <c r="G36" s="12">
        <v>15.35</v>
      </c>
      <c r="I36" s="27"/>
      <c r="J36" s="27"/>
    </row>
    <row r="37" spans="2:10" ht="15.6" x14ac:dyDescent="0.3">
      <c r="B37" s="5" t="s">
        <v>71</v>
      </c>
      <c r="C37" s="5" t="s">
        <v>1560</v>
      </c>
      <c r="D37" s="12">
        <v>89.9</v>
      </c>
      <c r="E37" s="12">
        <v>44.9</v>
      </c>
      <c r="F37" s="12">
        <v>53.04</v>
      </c>
      <c r="G37" s="12">
        <v>49.45</v>
      </c>
      <c r="I37" s="27"/>
      <c r="J37" s="27"/>
    </row>
    <row r="38" spans="2:10" ht="15.6" x14ac:dyDescent="0.3">
      <c r="B38" s="5" t="s">
        <v>73</v>
      </c>
      <c r="C38" s="5" t="s">
        <v>1561</v>
      </c>
      <c r="D38" s="12">
        <v>91.9</v>
      </c>
      <c r="E38" s="12">
        <v>46.9</v>
      </c>
      <c r="F38" s="12">
        <v>54.22</v>
      </c>
      <c r="G38" s="12">
        <v>50.55</v>
      </c>
      <c r="I38" s="27"/>
      <c r="J38" s="27"/>
    </row>
    <row r="39" spans="2:10" ht="15.6" x14ac:dyDescent="0.3">
      <c r="B39" s="5" t="s">
        <v>75</v>
      </c>
      <c r="C39" s="5" t="s">
        <v>1562</v>
      </c>
      <c r="D39" s="12">
        <v>31.9</v>
      </c>
      <c r="E39" s="12">
        <v>16.899999999999999</v>
      </c>
      <c r="F39" s="12">
        <v>18.82</v>
      </c>
      <c r="G39" s="12">
        <v>17.55</v>
      </c>
      <c r="I39" s="27"/>
      <c r="J39" s="27"/>
    </row>
    <row r="40" spans="2:10" ht="15.6" x14ac:dyDescent="0.3">
      <c r="B40" s="5" t="s">
        <v>77</v>
      </c>
      <c r="C40" s="5" t="s">
        <v>1563</v>
      </c>
      <c r="D40" s="12">
        <v>57.9</v>
      </c>
      <c r="E40" s="12">
        <v>30.9</v>
      </c>
      <c r="F40" s="12">
        <v>34.159999999999997</v>
      </c>
      <c r="G40" s="12">
        <v>31.85</v>
      </c>
      <c r="I40" s="27"/>
      <c r="J40" s="27"/>
    </row>
    <row r="41" spans="2:10" ht="15.6" x14ac:dyDescent="0.3">
      <c r="B41" s="5" t="s">
        <v>1521</v>
      </c>
      <c r="C41" s="5" t="s">
        <v>1564</v>
      </c>
      <c r="D41" s="12">
        <v>57.9</v>
      </c>
      <c r="E41" s="12">
        <v>30.9</v>
      </c>
      <c r="F41" s="12">
        <v>34.159999999999997</v>
      </c>
      <c r="G41" s="12">
        <v>31.85</v>
      </c>
      <c r="I41" s="27"/>
      <c r="J41" s="27"/>
    </row>
    <row r="42" spans="2:10" ht="15.6" x14ac:dyDescent="0.3">
      <c r="B42" s="5" t="s">
        <v>1522</v>
      </c>
      <c r="C42" s="5" t="s">
        <v>1565</v>
      </c>
      <c r="D42" s="12">
        <v>31.9</v>
      </c>
      <c r="E42" s="12">
        <v>16.899999999999999</v>
      </c>
      <c r="F42" s="12">
        <v>18.82</v>
      </c>
      <c r="G42" s="12">
        <v>17.55</v>
      </c>
      <c r="I42" s="27"/>
      <c r="J42" s="27"/>
    </row>
    <row r="43" spans="2:10" ht="15.6" x14ac:dyDescent="0.3">
      <c r="B43" s="5" t="s">
        <v>81</v>
      </c>
      <c r="C43" s="5" t="s">
        <v>1566</v>
      </c>
      <c r="D43" s="12">
        <v>23.9</v>
      </c>
      <c r="E43" s="12">
        <v>12.9</v>
      </c>
      <c r="F43" s="12">
        <v>14.1</v>
      </c>
      <c r="G43" s="12">
        <v>13.15</v>
      </c>
      <c r="I43" s="27"/>
      <c r="J43" s="27"/>
    </row>
    <row r="44" spans="2:10" ht="15.6" x14ac:dyDescent="0.3">
      <c r="B44" s="5" t="s">
        <v>83</v>
      </c>
      <c r="C44" s="5" t="s">
        <v>1567</v>
      </c>
      <c r="D44" s="12">
        <v>41.9</v>
      </c>
      <c r="E44" s="12">
        <v>21.9</v>
      </c>
      <c r="F44" s="12">
        <v>24.72</v>
      </c>
      <c r="G44" s="12">
        <v>23.05</v>
      </c>
      <c r="I44" s="27"/>
      <c r="J44" s="27"/>
    </row>
    <row r="45" spans="2:10" ht="15.6" x14ac:dyDescent="0.3">
      <c r="B45" s="5" t="s">
        <v>85</v>
      </c>
      <c r="C45" s="5" t="s">
        <v>1568</v>
      </c>
      <c r="D45" s="12">
        <v>73.900000000000006</v>
      </c>
      <c r="E45" s="12">
        <v>36.9</v>
      </c>
      <c r="F45" s="12">
        <v>43.6</v>
      </c>
      <c r="G45" s="12">
        <v>40.65</v>
      </c>
      <c r="I45" s="27"/>
      <c r="J45" s="27"/>
    </row>
    <row r="46" spans="2:10" ht="15.6" x14ac:dyDescent="0.3">
      <c r="B46" s="5" t="s">
        <v>87</v>
      </c>
      <c r="C46" s="5" t="s">
        <v>1569</v>
      </c>
      <c r="D46" s="12">
        <v>24.9</v>
      </c>
      <c r="E46" s="12">
        <v>13.9</v>
      </c>
      <c r="F46" s="12">
        <v>14.69</v>
      </c>
      <c r="G46" s="12">
        <v>13.7</v>
      </c>
      <c r="I46" s="27"/>
      <c r="J46" s="27"/>
    </row>
    <row r="47" spans="2:10" ht="15.6" x14ac:dyDescent="0.3">
      <c r="B47" s="5" t="s">
        <v>89</v>
      </c>
      <c r="C47" s="5" t="s">
        <v>1570</v>
      </c>
      <c r="D47" s="12">
        <v>31.9</v>
      </c>
      <c r="E47" s="12">
        <v>16.899999999999999</v>
      </c>
      <c r="F47" s="12">
        <v>18.82</v>
      </c>
      <c r="G47" s="12">
        <v>17.55</v>
      </c>
      <c r="I47" s="27"/>
      <c r="J47" s="27"/>
    </row>
    <row r="48" spans="2:10" ht="15.6" x14ac:dyDescent="0.3">
      <c r="B48" s="5" t="s">
        <v>91</v>
      </c>
      <c r="C48" s="5" t="s">
        <v>1571</v>
      </c>
      <c r="D48" s="12">
        <v>46.9</v>
      </c>
      <c r="E48" s="12">
        <v>23.9</v>
      </c>
      <c r="F48" s="12">
        <v>27.67</v>
      </c>
      <c r="G48" s="12">
        <v>25.8</v>
      </c>
      <c r="I48" s="27"/>
      <c r="J48" s="27"/>
    </row>
    <row r="49" spans="2:10" ht="15.6" x14ac:dyDescent="0.3">
      <c r="B49" s="5" t="s">
        <v>93</v>
      </c>
      <c r="C49" s="5" t="s">
        <v>1572</v>
      </c>
      <c r="D49" s="12">
        <v>24.9</v>
      </c>
      <c r="E49" s="12">
        <v>11.9</v>
      </c>
      <c r="F49" s="12">
        <v>14.69</v>
      </c>
      <c r="G49" s="12">
        <v>13.7</v>
      </c>
      <c r="I49" s="27"/>
      <c r="J49" s="27"/>
    </row>
    <row r="50" spans="2:10" ht="15.6" x14ac:dyDescent="0.3">
      <c r="B50" s="5" t="s">
        <v>95</v>
      </c>
      <c r="C50" s="5" t="s">
        <v>1573</v>
      </c>
      <c r="D50" s="12">
        <v>67.900000000000006</v>
      </c>
      <c r="E50" s="12">
        <v>33.9</v>
      </c>
      <c r="F50" s="12">
        <v>40.06</v>
      </c>
      <c r="G50" s="12">
        <v>37.35</v>
      </c>
      <c r="I50" s="27"/>
      <c r="J50" s="27"/>
    </row>
    <row r="51" spans="2:10" ht="15.6" x14ac:dyDescent="0.3">
      <c r="B51" s="5" t="s">
        <v>97</v>
      </c>
      <c r="C51" s="5" t="s">
        <v>1574</v>
      </c>
      <c r="D51" s="12">
        <v>36.9</v>
      </c>
      <c r="E51" s="12">
        <v>18.899999999999999</v>
      </c>
      <c r="F51" s="12">
        <v>21.77</v>
      </c>
      <c r="G51" s="12">
        <v>20.3</v>
      </c>
      <c r="I51" s="27"/>
      <c r="J51" s="27"/>
    </row>
    <row r="52" spans="2:10" ht="15.6" x14ac:dyDescent="0.3">
      <c r="B52" s="5" t="s">
        <v>99</v>
      </c>
      <c r="C52" s="5" t="s">
        <v>1575</v>
      </c>
      <c r="D52" s="12">
        <v>16.899999999999999</v>
      </c>
      <c r="E52" s="12">
        <v>9.9</v>
      </c>
      <c r="F52" s="12">
        <v>9.9700000000000006</v>
      </c>
      <c r="G52" s="12">
        <v>9.3000000000000007</v>
      </c>
      <c r="I52" s="27"/>
      <c r="J52" s="27"/>
    </row>
    <row r="53" spans="2:10" ht="15.6" x14ac:dyDescent="0.3">
      <c r="B53" s="5" t="s">
        <v>101</v>
      </c>
      <c r="C53" s="5" t="s">
        <v>1576</v>
      </c>
      <c r="D53" s="12">
        <v>26.9</v>
      </c>
      <c r="E53" s="12">
        <v>14.9</v>
      </c>
      <c r="F53" s="12">
        <v>15.87</v>
      </c>
      <c r="G53" s="12">
        <v>14.8</v>
      </c>
      <c r="I53" s="27"/>
      <c r="J53" s="27"/>
    </row>
    <row r="54" spans="2:10" ht="15.6" x14ac:dyDescent="0.3">
      <c r="B54" s="5" t="s">
        <v>422</v>
      </c>
      <c r="C54" s="5" t="s">
        <v>423</v>
      </c>
      <c r="D54" s="12">
        <v>26.9</v>
      </c>
      <c r="E54" s="12">
        <v>13.9</v>
      </c>
      <c r="F54" s="12">
        <v>15.87</v>
      </c>
      <c r="G54" s="12">
        <v>14.8</v>
      </c>
      <c r="I54" s="27"/>
      <c r="J54" s="27"/>
    </row>
    <row r="55" spans="2:10" ht="15.6" x14ac:dyDescent="0.3">
      <c r="B55" s="5" t="s">
        <v>103</v>
      </c>
      <c r="C55" s="5" t="s">
        <v>1577</v>
      </c>
      <c r="D55" s="12">
        <v>14.9</v>
      </c>
      <c r="E55" s="12">
        <v>7.9</v>
      </c>
      <c r="F55" s="12">
        <v>8.7899999999999991</v>
      </c>
      <c r="G55" s="12">
        <v>8.1999999999999993</v>
      </c>
      <c r="I55" s="27"/>
      <c r="J55" s="27"/>
    </row>
    <row r="56" spans="2:10" ht="15.6" x14ac:dyDescent="0.3">
      <c r="B56" s="5" t="s">
        <v>105</v>
      </c>
      <c r="C56" s="5" t="s">
        <v>1578</v>
      </c>
      <c r="D56" s="12">
        <v>31.9</v>
      </c>
      <c r="E56" s="12">
        <v>15.9</v>
      </c>
      <c r="F56" s="12">
        <v>18.82</v>
      </c>
      <c r="G56" s="12">
        <v>17.55</v>
      </c>
      <c r="I56" s="27"/>
      <c r="J56" s="27"/>
    </row>
    <row r="57" spans="2:10" ht="15.6" x14ac:dyDescent="0.3">
      <c r="B57" s="5" t="s">
        <v>107</v>
      </c>
      <c r="C57" s="5" t="s">
        <v>1579</v>
      </c>
      <c r="D57" s="12">
        <v>42.9</v>
      </c>
      <c r="E57" s="12">
        <v>25.9</v>
      </c>
      <c r="F57" s="12">
        <v>25.31</v>
      </c>
      <c r="G57" s="12">
        <v>23.6</v>
      </c>
      <c r="I57" s="27"/>
      <c r="J57" s="27"/>
    </row>
    <row r="58" spans="2:10" ht="15.6" x14ac:dyDescent="0.3">
      <c r="B58" s="5" t="s">
        <v>438</v>
      </c>
      <c r="C58" s="5" t="s">
        <v>439</v>
      </c>
      <c r="D58" s="12">
        <v>65.900000000000006</v>
      </c>
      <c r="E58" s="12">
        <v>33.9</v>
      </c>
      <c r="F58" s="12">
        <v>38.880000000000003</v>
      </c>
      <c r="G58" s="12">
        <v>36.25</v>
      </c>
      <c r="I58" s="27"/>
      <c r="J58" s="27"/>
    </row>
    <row r="59" spans="2:10" ht="15.6" x14ac:dyDescent="0.3">
      <c r="B59" s="5" t="s">
        <v>1523</v>
      </c>
      <c r="C59" s="5" t="s">
        <v>441</v>
      </c>
      <c r="D59" s="12">
        <v>65.900000000000006</v>
      </c>
      <c r="E59" s="12">
        <v>33.9</v>
      </c>
      <c r="F59" s="12">
        <v>38.880000000000003</v>
      </c>
      <c r="G59" s="12">
        <v>36.25</v>
      </c>
      <c r="I59" s="27"/>
      <c r="J59" s="27"/>
    </row>
    <row r="60" spans="2:10" ht="15.6" x14ac:dyDescent="0.3">
      <c r="B60" s="5" t="s">
        <v>109</v>
      </c>
      <c r="C60" s="5" t="s">
        <v>1580</v>
      </c>
      <c r="D60" s="12">
        <v>16.899999999999999</v>
      </c>
      <c r="E60" s="12">
        <v>9.9</v>
      </c>
      <c r="F60" s="12">
        <v>9.9700000000000006</v>
      </c>
      <c r="G60" s="12">
        <v>9.3000000000000007</v>
      </c>
      <c r="I60" s="27"/>
      <c r="J60" s="27"/>
    </row>
    <row r="61" spans="2:10" ht="15.6" x14ac:dyDescent="0.3">
      <c r="B61" s="5" t="s">
        <v>442</v>
      </c>
      <c r="C61" s="5" t="s">
        <v>443</v>
      </c>
      <c r="D61" s="12">
        <v>16.899999999999999</v>
      </c>
      <c r="E61" s="12">
        <v>9.9</v>
      </c>
      <c r="F61" s="12">
        <v>9.9700000000000006</v>
      </c>
      <c r="G61" s="12">
        <v>9.3000000000000007</v>
      </c>
      <c r="I61" s="27"/>
      <c r="J61" s="27"/>
    </row>
    <row r="62" spans="2:10" ht="15.6" x14ac:dyDescent="0.3">
      <c r="B62" s="5" t="s">
        <v>111</v>
      </c>
      <c r="C62" s="5" t="s">
        <v>1581</v>
      </c>
      <c r="D62" s="12">
        <v>34.9</v>
      </c>
      <c r="E62" s="12">
        <v>19.899999999999999</v>
      </c>
      <c r="F62" s="12">
        <v>20.59</v>
      </c>
      <c r="G62" s="12">
        <v>19.2</v>
      </c>
      <c r="I62" s="27"/>
      <c r="J62" s="27"/>
    </row>
    <row r="63" spans="2:10" ht="15.6" x14ac:dyDescent="0.3">
      <c r="B63" s="5" t="s">
        <v>113</v>
      </c>
      <c r="C63" s="5" t="s">
        <v>1582</v>
      </c>
      <c r="D63" s="12">
        <v>53.9</v>
      </c>
      <c r="E63" s="12">
        <v>27.9</v>
      </c>
      <c r="F63" s="12">
        <v>31.8</v>
      </c>
      <c r="G63" s="12">
        <v>29.65</v>
      </c>
      <c r="I63" s="27"/>
      <c r="J63" s="27"/>
    </row>
    <row r="64" spans="2:10" ht="15.6" x14ac:dyDescent="0.3">
      <c r="B64" s="5" t="s">
        <v>115</v>
      </c>
      <c r="C64" s="5" t="s">
        <v>1583</v>
      </c>
      <c r="D64" s="12">
        <v>99.9</v>
      </c>
      <c r="E64" s="12">
        <v>50.9</v>
      </c>
      <c r="F64" s="12">
        <v>58.94</v>
      </c>
      <c r="G64" s="12">
        <v>54.95</v>
      </c>
      <c r="I64" s="27"/>
      <c r="J64" s="27"/>
    </row>
    <row r="65" spans="2:10" ht="15.6" x14ac:dyDescent="0.3">
      <c r="B65" s="5" t="s">
        <v>117</v>
      </c>
      <c r="C65" s="5" t="s">
        <v>1584</v>
      </c>
      <c r="D65" s="12">
        <v>61.9</v>
      </c>
      <c r="E65" s="12">
        <v>31.9</v>
      </c>
      <c r="F65" s="12">
        <v>36.520000000000003</v>
      </c>
      <c r="G65" s="12">
        <v>34.049999999999997</v>
      </c>
      <c r="I65" s="27"/>
      <c r="J65" s="27"/>
    </row>
    <row r="66" spans="2:10" ht="15.6" x14ac:dyDescent="0.3">
      <c r="B66" s="5" t="s">
        <v>424</v>
      </c>
      <c r="C66" s="5" t="s">
        <v>425</v>
      </c>
      <c r="D66" s="12">
        <v>41.9</v>
      </c>
      <c r="E66" s="12">
        <v>21.9</v>
      </c>
      <c r="F66" s="12">
        <v>24.72</v>
      </c>
      <c r="G66" s="12">
        <v>23.05</v>
      </c>
      <c r="I66" s="27"/>
      <c r="J66" s="27"/>
    </row>
    <row r="67" spans="2:10" ht="15.6" x14ac:dyDescent="0.3">
      <c r="B67" s="5" t="s">
        <v>119</v>
      </c>
      <c r="C67" s="5" t="s">
        <v>1585</v>
      </c>
      <c r="D67" s="12">
        <v>62.9</v>
      </c>
      <c r="E67" s="12">
        <v>31.9</v>
      </c>
      <c r="F67" s="12">
        <v>37.11</v>
      </c>
      <c r="G67" s="12">
        <v>34.6</v>
      </c>
      <c r="I67" s="27"/>
      <c r="J67" s="27"/>
    </row>
    <row r="68" spans="2:10" ht="15.6" x14ac:dyDescent="0.3">
      <c r="B68" s="5" t="s">
        <v>121</v>
      </c>
      <c r="C68" s="5" t="s">
        <v>1586</v>
      </c>
      <c r="D68" s="12">
        <v>45.9</v>
      </c>
      <c r="E68" s="12">
        <v>23.9</v>
      </c>
      <c r="F68" s="12">
        <v>27.08</v>
      </c>
      <c r="G68" s="12">
        <v>25.25</v>
      </c>
      <c r="I68" s="27"/>
      <c r="J68" s="27"/>
    </row>
    <row r="69" spans="2:10" ht="15.6" x14ac:dyDescent="0.3">
      <c r="B69" s="5" t="s">
        <v>123</v>
      </c>
      <c r="C69" s="5" t="s">
        <v>124</v>
      </c>
      <c r="D69" s="12">
        <v>36.9</v>
      </c>
      <c r="E69" s="12">
        <v>18.899999999999999</v>
      </c>
      <c r="F69" s="12">
        <v>21.77</v>
      </c>
      <c r="G69" s="12">
        <v>20.3</v>
      </c>
      <c r="I69" s="27"/>
      <c r="J69" s="27"/>
    </row>
    <row r="70" spans="2:10" ht="15.6" x14ac:dyDescent="0.3">
      <c r="B70" s="5" t="s">
        <v>125</v>
      </c>
      <c r="C70" s="5" t="s">
        <v>1587</v>
      </c>
      <c r="D70" s="12">
        <v>32.9</v>
      </c>
      <c r="E70" s="12">
        <v>16.899999999999999</v>
      </c>
      <c r="F70" s="12">
        <v>19.41</v>
      </c>
      <c r="G70" s="12">
        <v>18.100000000000001</v>
      </c>
      <c r="I70" s="27"/>
      <c r="J70" s="27"/>
    </row>
    <row r="71" spans="2:10" ht="15.6" x14ac:dyDescent="0.3">
      <c r="B71" s="5" t="s">
        <v>127</v>
      </c>
      <c r="C71" s="5" t="s">
        <v>1588</v>
      </c>
      <c r="D71" s="12">
        <v>13.9</v>
      </c>
      <c r="E71" s="12">
        <v>6.9</v>
      </c>
      <c r="F71" s="12">
        <v>8.1999999999999993</v>
      </c>
      <c r="G71" s="12">
        <v>7.65</v>
      </c>
      <c r="I71" s="27"/>
      <c r="J71" s="27"/>
    </row>
    <row r="72" spans="2:10" ht="15.6" x14ac:dyDescent="0.3">
      <c r="B72" s="5" t="s">
        <v>129</v>
      </c>
      <c r="C72" s="5" t="s">
        <v>1589</v>
      </c>
      <c r="D72" s="12">
        <v>16.899999999999999</v>
      </c>
      <c r="E72" s="12">
        <v>8.9</v>
      </c>
      <c r="F72" s="12">
        <v>9.9700000000000006</v>
      </c>
      <c r="G72" s="12">
        <v>9.3000000000000007</v>
      </c>
      <c r="I72" s="27"/>
      <c r="J72" s="27"/>
    </row>
    <row r="73" spans="2:10" ht="15.6" x14ac:dyDescent="0.3">
      <c r="B73" s="5" t="s">
        <v>131</v>
      </c>
      <c r="C73" s="5" t="s">
        <v>1590</v>
      </c>
      <c r="D73" s="12">
        <v>22.9</v>
      </c>
      <c r="E73" s="12">
        <v>11.9</v>
      </c>
      <c r="F73" s="12">
        <v>13.51</v>
      </c>
      <c r="G73" s="12">
        <v>12.6</v>
      </c>
      <c r="I73" s="27"/>
      <c r="J73" s="27"/>
    </row>
    <row r="74" spans="2:10" ht="15.6" x14ac:dyDescent="0.3">
      <c r="B74" s="5" t="s">
        <v>133</v>
      </c>
      <c r="C74" s="5" t="s">
        <v>1591</v>
      </c>
      <c r="D74" s="12">
        <v>58.9</v>
      </c>
      <c r="E74" s="12">
        <v>29.9</v>
      </c>
      <c r="F74" s="12">
        <v>34.75</v>
      </c>
      <c r="G74" s="12">
        <v>32.4</v>
      </c>
      <c r="I74" s="27"/>
      <c r="J74" s="27"/>
    </row>
    <row r="75" spans="2:10" ht="15.6" x14ac:dyDescent="0.3">
      <c r="B75" s="5" t="s">
        <v>135</v>
      </c>
      <c r="C75" s="5" t="s">
        <v>136</v>
      </c>
      <c r="D75" s="12">
        <v>122.9</v>
      </c>
      <c r="E75" s="12">
        <v>61.9</v>
      </c>
      <c r="F75" s="12">
        <v>72.510000000000005</v>
      </c>
      <c r="G75" s="12">
        <v>67.599999999999994</v>
      </c>
      <c r="I75" s="27"/>
      <c r="J75" s="27"/>
    </row>
    <row r="76" spans="2:10" ht="15.6" x14ac:dyDescent="0.3">
      <c r="B76" s="5" t="s">
        <v>137</v>
      </c>
      <c r="C76" s="5" t="s">
        <v>1592</v>
      </c>
      <c r="D76" s="12">
        <v>27.9</v>
      </c>
      <c r="E76" s="12">
        <v>14.9</v>
      </c>
      <c r="F76" s="12">
        <v>16.46</v>
      </c>
      <c r="G76" s="12">
        <v>15.35</v>
      </c>
      <c r="I76" s="27"/>
      <c r="J76" s="27"/>
    </row>
    <row r="77" spans="2:10" ht="15.6" x14ac:dyDescent="0.3">
      <c r="B77" s="5" t="s">
        <v>139</v>
      </c>
      <c r="C77" s="5" t="s">
        <v>1593</v>
      </c>
      <c r="D77" s="12">
        <v>52.9</v>
      </c>
      <c r="E77" s="12">
        <v>26.9</v>
      </c>
      <c r="F77" s="12">
        <v>31.21</v>
      </c>
      <c r="G77" s="12">
        <v>29.1</v>
      </c>
      <c r="I77" s="27"/>
      <c r="J77" s="27"/>
    </row>
    <row r="78" spans="2:10" ht="15.6" x14ac:dyDescent="0.3">
      <c r="B78" s="5" t="s">
        <v>141</v>
      </c>
      <c r="C78" s="5" t="s">
        <v>1594</v>
      </c>
      <c r="D78" s="12">
        <v>67.900000000000006</v>
      </c>
      <c r="E78" s="12">
        <v>34.9</v>
      </c>
      <c r="F78" s="12">
        <v>40.06</v>
      </c>
      <c r="G78" s="12">
        <v>37.35</v>
      </c>
      <c r="I78" s="27"/>
      <c r="J78" s="27"/>
    </row>
    <row r="79" spans="2:10" ht="15.6" x14ac:dyDescent="0.3">
      <c r="B79" s="5" t="s">
        <v>143</v>
      </c>
      <c r="C79" s="5" t="s">
        <v>1595</v>
      </c>
      <c r="D79" s="12">
        <v>24.9</v>
      </c>
      <c r="E79" s="12">
        <v>12.9</v>
      </c>
      <c r="F79" s="12">
        <v>14.69</v>
      </c>
      <c r="G79" s="12">
        <v>13.7</v>
      </c>
      <c r="I79" s="27"/>
      <c r="J79" s="27"/>
    </row>
    <row r="80" spans="2:10" ht="15.6" x14ac:dyDescent="0.3">
      <c r="B80" s="5" t="s">
        <v>145</v>
      </c>
      <c r="C80" s="5" t="s">
        <v>1596</v>
      </c>
      <c r="D80" s="12">
        <v>41.9</v>
      </c>
      <c r="E80" s="12">
        <v>21.9</v>
      </c>
      <c r="F80" s="12">
        <v>24.72</v>
      </c>
      <c r="G80" s="12">
        <v>23.05</v>
      </c>
      <c r="I80" s="27"/>
      <c r="J80" s="27"/>
    </row>
    <row r="81" spans="2:10" ht="15.6" x14ac:dyDescent="0.3">
      <c r="B81" s="5" t="s">
        <v>147</v>
      </c>
      <c r="C81" s="5" t="s">
        <v>1597</v>
      </c>
      <c r="D81" s="12">
        <v>28.9</v>
      </c>
      <c r="E81" s="12">
        <v>14.9</v>
      </c>
      <c r="F81" s="12">
        <v>17.05</v>
      </c>
      <c r="G81" s="12">
        <v>15.9</v>
      </c>
      <c r="I81" s="27"/>
      <c r="J81" s="27"/>
    </row>
    <row r="82" spans="2:10" ht="15.6" x14ac:dyDescent="0.3">
      <c r="B82" s="5" t="s">
        <v>149</v>
      </c>
      <c r="C82" s="5" t="s">
        <v>1598</v>
      </c>
      <c r="D82" s="12">
        <v>52.9</v>
      </c>
      <c r="E82" s="12">
        <v>27.9</v>
      </c>
      <c r="F82" s="12">
        <v>31.21</v>
      </c>
      <c r="G82" s="12">
        <v>29.1</v>
      </c>
      <c r="I82" s="27"/>
      <c r="J82" s="27"/>
    </row>
    <row r="83" spans="2:10" ht="15.6" x14ac:dyDescent="0.3">
      <c r="B83" s="5" t="s">
        <v>444</v>
      </c>
      <c r="C83" s="5" t="s">
        <v>445</v>
      </c>
      <c r="D83" s="12">
        <v>33.9</v>
      </c>
      <c r="E83" s="12">
        <v>16.899999999999999</v>
      </c>
      <c r="F83" s="12">
        <v>20</v>
      </c>
      <c r="G83" s="12">
        <v>18.649999999999999</v>
      </c>
      <c r="I83" s="27"/>
      <c r="J83" s="27"/>
    </row>
    <row r="84" spans="2:10" ht="15.6" x14ac:dyDescent="0.3">
      <c r="B84" s="5" t="s">
        <v>151</v>
      </c>
      <c r="C84" s="5" t="s">
        <v>1599</v>
      </c>
      <c r="D84" s="12">
        <v>27.9</v>
      </c>
      <c r="E84" s="12">
        <v>14.9</v>
      </c>
      <c r="F84" s="12">
        <v>16.46</v>
      </c>
      <c r="G84" s="12">
        <v>15.35</v>
      </c>
      <c r="I84" s="27"/>
      <c r="J84" s="27"/>
    </row>
    <row r="85" spans="2:10" ht="15.6" x14ac:dyDescent="0.3">
      <c r="B85" s="5" t="s">
        <v>426</v>
      </c>
      <c r="C85" s="5" t="s">
        <v>427</v>
      </c>
      <c r="D85" s="12">
        <v>61.9</v>
      </c>
      <c r="E85" s="12">
        <v>31.9</v>
      </c>
      <c r="F85" s="12">
        <v>36.520000000000003</v>
      </c>
      <c r="G85" s="12">
        <v>34.049999999999997</v>
      </c>
      <c r="I85" s="27"/>
      <c r="J85" s="27"/>
    </row>
    <row r="86" spans="2:10" ht="15.6" x14ac:dyDescent="0.3">
      <c r="B86" s="5" t="s">
        <v>153</v>
      </c>
      <c r="C86" s="5" t="s">
        <v>1600</v>
      </c>
      <c r="D86" s="12">
        <v>21.9</v>
      </c>
      <c r="E86" s="12">
        <v>11.9</v>
      </c>
      <c r="F86" s="12">
        <v>12.92</v>
      </c>
      <c r="G86" s="12">
        <v>12.05</v>
      </c>
      <c r="I86" s="27"/>
      <c r="J86" s="27"/>
    </row>
    <row r="87" spans="2:10" ht="15.6" x14ac:dyDescent="0.3">
      <c r="B87" s="5" t="s">
        <v>155</v>
      </c>
      <c r="C87" s="5" t="s">
        <v>1601</v>
      </c>
      <c r="D87" s="12">
        <v>42.9</v>
      </c>
      <c r="E87" s="12">
        <v>21.9</v>
      </c>
      <c r="F87" s="12">
        <v>25.31</v>
      </c>
      <c r="G87" s="12">
        <v>23.6</v>
      </c>
      <c r="I87" s="27"/>
      <c r="J87" s="27"/>
    </row>
    <row r="88" spans="2:10" ht="15.6" x14ac:dyDescent="0.3">
      <c r="B88" s="5" t="s">
        <v>157</v>
      </c>
      <c r="C88" s="5" t="s">
        <v>1602</v>
      </c>
      <c r="D88" s="12">
        <v>39.9</v>
      </c>
      <c r="E88" s="12">
        <v>20.9</v>
      </c>
      <c r="F88" s="12">
        <v>23.54</v>
      </c>
      <c r="G88" s="12">
        <v>21.95</v>
      </c>
      <c r="I88" s="27"/>
      <c r="J88" s="27"/>
    </row>
    <row r="89" spans="2:10" ht="15.6" x14ac:dyDescent="0.3">
      <c r="B89" s="5" t="s">
        <v>159</v>
      </c>
      <c r="C89" s="5" t="s">
        <v>1603</v>
      </c>
      <c r="D89" s="12">
        <v>47.9</v>
      </c>
      <c r="E89" s="12">
        <v>24.9</v>
      </c>
      <c r="F89" s="12">
        <v>28.26</v>
      </c>
      <c r="G89" s="12">
        <v>26.35</v>
      </c>
      <c r="I89" s="27"/>
      <c r="J89" s="27"/>
    </row>
    <row r="90" spans="2:10" ht="15.6" x14ac:dyDescent="0.3">
      <c r="B90" s="5" t="s">
        <v>161</v>
      </c>
      <c r="C90" s="5" t="s">
        <v>1604</v>
      </c>
      <c r="D90" s="12">
        <v>49.9</v>
      </c>
      <c r="E90" s="12">
        <v>25.9</v>
      </c>
      <c r="F90" s="12">
        <v>29.44</v>
      </c>
      <c r="G90" s="12">
        <v>27.45</v>
      </c>
      <c r="I90" s="27"/>
      <c r="J90" s="27"/>
    </row>
    <row r="91" spans="2:10" ht="15.6" x14ac:dyDescent="0.3">
      <c r="B91" s="5" t="s">
        <v>163</v>
      </c>
      <c r="C91" s="5" t="s">
        <v>1605</v>
      </c>
      <c r="D91" s="12">
        <v>25.9</v>
      </c>
      <c r="E91" s="12">
        <v>13.9</v>
      </c>
      <c r="F91" s="12">
        <v>15.28</v>
      </c>
      <c r="G91" s="12">
        <v>14.25</v>
      </c>
      <c r="I91" s="27"/>
      <c r="J91" s="27"/>
    </row>
    <row r="92" spans="2:10" ht="15.6" x14ac:dyDescent="0.3">
      <c r="B92" s="5" t="s">
        <v>165</v>
      </c>
      <c r="C92" s="5" t="s">
        <v>1606</v>
      </c>
      <c r="D92" s="12">
        <v>55.9</v>
      </c>
      <c r="E92" s="12">
        <v>28.9</v>
      </c>
      <c r="F92" s="12">
        <v>32.979999999999997</v>
      </c>
      <c r="G92" s="12">
        <v>30.75</v>
      </c>
      <c r="I92" s="27"/>
      <c r="J92" s="27"/>
    </row>
    <row r="93" spans="2:10" ht="15.6" x14ac:dyDescent="0.3">
      <c r="B93" s="5" t="s">
        <v>167</v>
      </c>
      <c r="C93" s="5" t="s">
        <v>1607</v>
      </c>
      <c r="D93" s="12">
        <v>44.9</v>
      </c>
      <c r="E93" s="12">
        <v>23.9</v>
      </c>
      <c r="F93" s="12">
        <v>26.49</v>
      </c>
      <c r="G93" s="12">
        <v>24.7</v>
      </c>
      <c r="I93" s="27"/>
      <c r="J93" s="27"/>
    </row>
    <row r="94" spans="2:10" ht="15.6" x14ac:dyDescent="0.3">
      <c r="B94" s="5" t="s">
        <v>428</v>
      </c>
      <c r="C94" s="5" t="s">
        <v>429</v>
      </c>
      <c r="D94" s="12">
        <v>30.9</v>
      </c>
      <c r="E94" s="12">
        <v>15.9</v>
      </c>
      <c r="F94" s="12">
        <v>18.23</v>
      </c>
      <c r="G94" s="12">
        <v>17</v>
      </c>
      <c r="I94" s="27"/>
      <c r="J94" s="27"/>
    </row>
    <row r="95" spans="2:10" ht="15.6" x14ac:dyDescent="0.3">
      <c r="B95" s="5" t="s">
        <v>168</v>
      </c>
      <c r="C95" s="5" t="s">
        <v>1608</v>
      </c>
      <c r="D95" s="12">
        <v>48.9</v>
      </c>
      <c r="E95" s="12">
        <v>25.9</v>
      </c>
      <c r="F95" s="12">
        <v>28.85</v>
      </c>
      <c r="G95" s="12">
        <v>26.9</v>
      </c>
      <c r="I95" s="27"/>
      <c r="J95" s="27"/>
    </row>
    <row r="96" spans="2:10" ht="15.6" x14ac:dyDescent="0.3">
      <c r="B96" s="5" t="s">
        <v>170</v>
      </c>
      <c r="C96" s="5" t="s">
        <v>1609</v>
      </c>
      <c r="D96" s="12">
        <v>47.9</v>
      </c>
      <c r="E96" s="12">
        <v>24.9</v>
      </c>
      <c r="F96" s="12">
        <v>28.26</v>
      </c>
      <c r="G96" s="12">
        <v>26.35</v>
      </c>
      <c r="I96" s="27"/>
      <c r="J96" s="27"/>
    </row>
    <row r="97" spans="2:10" ht="15.6" x14ac:dyDescent="0.3">
      <c r="B97" s="5" t="s">
        <v>172</v>
      </c>
      <c r="C97" s="5" t="s">
        <v>1610</v>
      </c>
      <c r="D97" s="12">
        <v>28.9</v>
      </c>
      <c r="E97" s="12">
        <v>14.9</v>
      </c>
      <c r="F97" s="12">
        <v>17.05</v>
      </c>
      <c r="G97" s="12">
        <v>15.9</v>
      </c>
      <c r="I97" s="27"/>
      <c r="J97" s="27"/>
    </row>
    <row r="98" spans="2:10" ht="15.6" x14ac:dyDescent="0.3">
      <c r="B98" s="5" t="s">
        <v>174</v>
      </c>
      <c r="C98" s="5" t="s">
        <v>1611</v>
      </c>
      <c r="D98" s="12">
        <v>43.9</v>
      </c>
      <c r="E98" s="12">
        <v>22.9</v>
      </c>
      <c r="F98" s="12">
        <v>25.9</v>
      </c>
      <c r="G98" s="12">
        <v>24.15</v>
      </c>
      <c r="I98" s="27"/>
      <c r="J98" s="27"/>
    </row>
    <row r="99" spans="2:10" ht="15.6" x14ac:dyDescent="0.3">
      <c r="B99" s="5" t="s">
        <v>176</v>
      </c>
      <c r="C99" s="5" t="s">
        <v>1612</v>
      </c>
      <c r="D99" s="12">
        <v>75.900000000000006</v>
      </c>
      <c r="E99" s="12">
        <v>37.9</v>
      </c>
      <c r="F99" s="12">
        <v>44.78</v>
      </c>
      <c r="G99" s="12">
        <v>41.75</v>
      </c>
      <c r="I99" s="27"/>
      <c r="J99" s="27"/>
    </row>
    <row r="100" spans="2:10" ht="15.6" x14ac:dyDescent="0.3">
      <c r="B100" s="5" t="s">
        <v>178</v>
      </c>
      <c r="C100" s="5" t="s">
        <v>1613</v>
      </c>
      <c r="D100" s="12">
        <v>28.9</v>
      </c>
      <c r="E100" s="12">
        <v>14.9</v>
      </c>
      <c r="F100" s="12">
        <v>17.05</v>
      </c>
      <c r="G100" s="12">
        <v>15.9</v>
      </c>
      <c r="I100" s="27"/>
      <c r="J100" s="27"/>
    </row>
    <row r="101" spans="2:10" ht="15.6" x14ac:dyDescent="0.3">
      <c r="B101" s="5" t="s">
        <v>180</v>
      </c>
      <c r="C101" s="5" t="s">
        <v>1614</v>
      </c>
      <c r="D101" s="12">
        <v>33.9</v>
      </c>
      <c r="E101" s="12">
        <v>16.899999999999999</v>
      </c>
      <c r="F101" s="12">
        <v>20</v>
      </c>
      <c r="G101" s="12">
        <v>18.649999999999999</v>
      </c>
      <c r="I101" s="27"/>
      <c r="J101" s="27"/>
    </row>
    <row r="102" spans="2:10" ht="15.6" x14ac:dyDescent="0.3">
      <c r="B102" s="5" t="s">
        <v>182</v>
      </c>
      <c r="C102" s="5" t="s">
        <v>183</v>
      </c>
      <c r="D102" s="12">
        <v>45.9</v>
      </c>
      <c r="E102" s="12">
        <v>22.9</v>
      </c>
      <c r="F102" s="12">
        <v>27.08</v>
      </c>
      <c r="G102" s="12">
        <v>25.25</v>
      </c>
      <c r="I102" s="27"/>
      <c r="J102" s="27"/>
    </row>
    <row r="103" spans="2:10" ht="15.6" x14ac:dyDescent="0.3">
      <c r="B103" s="5" t="s">
        <v>184</v>
      </c>
      <c r="C103" s="5" t="s">
        <v>1615</v>
      </c>
      <c r="D103" s="12">
        <v>54.9</v>
      </c>
      <c r="E103" s="12">
        <v>27.9</v>
      </c>
      <c r="F103" s="12">
        <v>32.39</v>
      </c>
      <c r="G103" s="12">
        <v>30.2</v>
      </c>
      <c r="I103" s="27"/>
      <c r="J103" s="27"/>
    </row>
    <row r="104" spans="2:10" ht="15.6" x14ac:dyDescent="0.3">
      <c r="B104" s="5" t="s">
        <v>184</v>
      </c>
      <c r="C104" s="5" t="s">
        <v>1616</v>
      </c>
      <c r="D104" s="12">
        <v>54.9</v>
      </c>
      <c r="E104" s="12">
        <v>27.9</v>
      </c>
      <c r="F104" s="12">
        <v>32.39</v>
      </c>
      <c r="G104" s="12">
        <v>30.2</v>
      </c>
      <c r="I104" s="27"/>
      <c r="J104" s="27"/>
    </row>
    <row r="105" spans="2:10" ht="15.6" x14ac:dyDescent="0.3">
      <c r="B105" s="5" t="s">
        <v>186</v>
      </c>
      <c r="C105" s="5" t="s">
        <v>1617</v>
      </c>
      <c r="D105" s="12">
        <v>55.9</v>
      </c>
      <c r="E105" s="12">
        <v>27.9</v>
      </c>
      <c r="F105" s="12">
        <v>32.979999999999997</v>
      </c>
      <c r="G105" s="12">
        <v>30.75</v>
      </c>
      <c r="I105" s="27"/>
      <c r="J105" s="27"/>
    </row>
    <row r="106" spans="2:10" ht="15.6" x14ac:dyDescent="0.3">
      <c r="B106" s="5" t="s">
        <v>188</v>
      </c>
      <c r="C106" s="5" t="s">
        <v>1618</v>
      </c>
      <c r="D106" s="12">
        <v>46.9</v>
      </c>
      <c r="E106" s="12">
        <v>23.9</v>
      </c>
      <c r="F106" s="12">
        <v>27.67</v>
      </c>
      <c r="G106" s="12">
        <v>25.8</v>
      </c>
      <c r="I106" s="27"/>
      <c r="J106" s="27"/>
    </row>
    <row r="107" spans="2:10" ht="15.6" x14ac:dyDescent="0.3">
      <c r="B107" s="5" t="s">
        <v>430</v>
      </c>
      <c r="C107" s="5" t="s">
        <v>431</v>
      </c>
      <c r="D107" s="12">
        <v>21.9</v>
      </c>
      <c r="E107" s="12">
        <v>10.9</v>
      </c>
      <c r="F107" s="12">
        <v>12.92</v>
      </c>
      <c r="G107" s="12">
        <v>12.05</v>
      </c>
      <c r="I107" s="27"/>
      <c r="J107" s="27"/>
    </row>
    <row r="108" spans="2:10" ht="15.6" x14ac:dyDescent="0.3">
      <c r="B108" s="5" t="s">
        <v>190</v>
      </c>
      <c r="C108" s="5" t="s">
        <v>1619</v>
      </c>
      <c r="D108" s="12">
        <v>25.9</v>
      </c>
      <c r="E108" s="12">
        <v>12.9</v>
      </c>
      <c r="F108" s="12">
        <v>15.28</v>
      </c>
      <c r="G108" s="12">
        <v>14.25</v>
      </c>
      <c r="I108" s="27"/>
      <c r="J108" s="27"/>
    </row>
    <row r="109" spans="2:10" ht="15.6" x14ac:dyDescent="0.3">
      <c r="B109" s="5" t="s">
        <v>192</v>
      </c>
      <c r="C109" s="5" t="s">
        <v>1620</v>
      </c>
      <c r="D109" s="12">
        <v>46.9</v>
      </c>
      <c r="E109" s="12">
        <v>23.9</v>
      </c>
      <c r="F109" s="12">
        <v>27.67</v>
      </c>
      <c r="G109" s="12">
        <v>25.8</v>
      </c>
      <c r="I109" s="27"/>
      <c r="J109" s="27"/>
    </row>
    <row r="110" spans="2:10" ht="15.6" x14ac:dyDescent="0.3">
      <c r="B110" s="5" t="s">
        <v>194</v>
      </c>
      <c r="C110" s="5" t="s">
        <v>1621</v>
      </c>
      <c r="D110" s="12">
        <v>41.9</v>
      </c>
      <c r="E110" s="12">
        <v>21.9</v>
      </c>
      <c r="F110" s="12">
        <v>24.72</v>
      </c>
      <c r="G110" s="12">
        <v>23.05</v>
      </c>
      <c r="I110" s="27"/>
      <c r="J110" s="27"/>
    </row>
    <row r="111" spans="2:10" ht="15.6" x14ac:dyDescent="0.3">
      <c r="B111" s="5" t="s">
        <v>196</v>
      </c>
      <c r="C111" s="5" t="s">
        <v>1622</v>
      </c>
      <c r="D111" s="12">
        <v>21.9</v>
      </c>
      <c r="E111" s="12">
        <v>10.9</v>
      </c>
      <c r="F111" s="12">
        <v>12.92</v>
      </c>
      <c r="G111" s="12">
        <v>12.05</v>
      </c>
      <c r="I111" s="27"/>
      <c r="J111" s="27"/>
    </row>
    <row r="112" spans="2:10" ht="15.6" x14ac:dyDescent="0.3">
      <c r="B112" s="5" t="s">
        <v>198</v>
      </c>
      <c r="C112" s="5" t="s">
        <v>1623</v>
      </c>
      <c r="D112" s="12">
        <v>21.9</v>
      </c>
      <c r="E112" s="12">
        <v>11.9</v>
      </c>
      <c r="F112" s="12">
        <v>12.92</v>
      </c>
      <c r="G112" s="12">
        <v>12.05</v>
      </c>
      <c r="I112" s="27"/>
      <c r="J112" s="27"/>
    </row>
    <row r="113" spans="2:10" ht="15.6" x14ac:dyDescent="0.3">
      <c r="B113" s="5" t="s">
        <v>200</v>
      </c>
      <c r="C113" s="5" t="s">
        <v>1624</v>
      </c>
      <c r="D113" s="12">
        <v>39.9</v>
      </c>
      <c r="E113" s="12">
        <v>20.9</v>
      </c>
      <c r="F113" s="12">
        <v>23.54</v>
      </c>
      <c r="G113" s="12">
        <v>21.95</v>
      </c>
      <c r="I113" s="27"/>
      <c r="J113" s="27"/>
    </row>
    <row r="114" spans="2:10" ht="15.6" x14ac:dyDescent="0.3">
      <c r="B114" s="5" t="s">
        <v>202</v>
      </c>
      <c r="C114" s="5" t="s">
        <v>1625</v>
      </c>
      <c r="D114" s="12">
        <v>34.9</v>
      </c>
      <c r="E114" s="12">
        <v>17.899999999999999</v>
      </c>
      <c r="F114" s="12">
        <v>20.59</v>
      </c>
      <c r="G114" s="12">
        <v>19.2</v>
      </c>
      <c r="I114" s="27"/>
      <c r="J114" s="27"/>
    </row>
    <row r="115" spans="2:10" ht="15.6" x14ac:dyDescent="0.3">
      <c r="B115" s="5" t="s">
        <v>204</v>
      </c>
      <c r="C115" s="5" t="s">
        <v>207</v>
      </c>
      <c r="D115" s="12">
        <v>28.9</v>
      </c>
      <c r="E115" s="12">
        <v>14.9</v>
      </c>
      <c r="F115" s="12">
        <v>17.05</v>
      </c>
      <c r="G115" s="12">
        <v>15.9</v>
      </c>
      <c r="I115" s="27"/>
      <c r="J115" s="27"/>
    </row>
    <row r="116" spans="2:10" ht="15.6" x14ac:dyDescent="0.3">
      <c r="B116" s="5" t="s">
        <v>1524</v>
      </c>
      <c r="C116" s="5" t="s">
        <v>1626</v>
      </c>
      <c r="D116" s="12">
        <v>28.9</v>
      </c>
      <c r="E116" s="12">
        <v>14.9</v>
      </c>
      <c r="F116" s="12">
        <v>17.05</v>
      </c>
      <c r="G116" s="12">
        <v>15.9</v>
      </c>
      <c r="I116" s="27"/>
      <c r="J116" s="27"/>
    </row>
    <row r="117" spans="2:10" ht="15.6" x14ac:dyDescent="0.3">
      <c r="B117" s="5" t="s">
        <v>432</v>
      </c>
      <c r="C117" s="5" t="s">
        <v>433</v>
      </c>
      <c r="D117" s="12">
        <v>31.9</v>
      </c>
      <c r="E117" s="12">
        <v>16.899999999999999</v>
      </c>
      <c r="F117" s="12">
        <v>18.82</v>
      </c>
      <c r="G117" s="12">
        <v>17.55</v>
      </c>
      <c r="I117" s="27"/>
      <c r="J117" s="27"/>
    </row>
    <row r="118" spans="2:10" ht="15.6" x14ac:dyDescent="0.3">
      <c r="B118" s="5" t="s">
        <v>208</v>
      </c>
      <c r="C118" s="5" t="s">
        <v>1627</v>
      </c>
      <c r="D118" s="12">
        <v>89.9</v>
      </c>
      <c r="E118" s="12">
        <v>45.9</v>
      </c>
      <c r="F118" s="12">
        <v>53.04</v>
      </c>
      <c r="G118" s="12">
        <v>49.45</v>
      </c>
      <c r="I118" s="27"/>
      <c r="J118" s="27"/>
    </row>
    <row r="119" spans="2:10" ht="15.6" x14ac:dyDescent="0.3">
      <c r="B119" s="5" t="s">
        <v>210</v>
      </c>
      <c r="C119" s="5" t="s">
        <v>1628</v>
      </c>
      <c r="D119" s="12">
        <v>24.9</v>
      </c>
      <c r="E119" s="12">
        <v>13.9</v>
      </c>
      <c r="F119" s="12">
        <v>14.69</v>
      </c>
      <c r="G119" s="12">
        <v>13.7</v>
      </c>
      <c r="I119" s="27"/>
      <c r="J119" s="27"/>
    </row>
    <row r="120" spans="2:10" ht="15.6" x14ac:dyDescent="0.3">
      <c r="B120" s="5" t="s">
        <v>212</v>
      </c>
      <c r="C120" s="5" t="s">
        <v>1629</v>
      </c>
      <c r="D120" s="12">
        <v>32.9</v>
      </c>
      <c r="E120" s="12">
        <v>16.899999999999999</v>
      </c>
      <c r="F120" s="12">
        <v>19.41</v>
      </c>
      <c r="G120" s="12">
        <v>18.100000000000001</v>
      </c>
      <c r="I120" s="27"/>
      <c r="J120" s="27"/>
    </row>
    <row r="121" spans="2:10" ht="15.6" x14ac:dyDescent="0.3">
      <c r="B121" s="5" t="s">
        <v>214</v>
      </c>
      <c r="C121" s="5" t="s">
        <v>1630</v>
      </c>
      <c r="D121" s="12">
        <v>26.9</v>
      </c>
      <c r="E121" s="12">
        <v>13.9</v>
      </c>
      <c r="F121" s="12">
        <v>15.87</v>
      </c>
      <c r="G121" s="12">
        <v>14.8</v>
      </c>
      <c r="I121" s="27"/>
      <c r="J121" s="27"/>
    </row>
    <row r="122" spans="2:10" ht="15.6" x14ac:dyDescent="0.3">
      <c r="B122" s="5" t="s">
        <v>216</v>
      </c>
      <c r="C122" s="5" t="s">
        <v>1631</v>
      </c>
      <c r="D122" s="12">
        <v>31.9</v>
      </c>
      <c r="E122" s="12">
        <v>16.899999999999999</v>
      </c>
      <c r="F122" s="12">
        <v>18.82</v>
      </c>
      <c r="G122" s="12">
        <v>17.55</v>
      </c>
      <c r="I122" s="27"/>
      <c r="J122" s="27"/>
    </row>
    <row r="123" spans="2:10" ht="15.6" x14ac:dyDescent="0.3">
      <c r="B123" s="5" t="s">
        <v>218</v>
      </c>
      <c r="C123" s="5" t="s">
        <v>1632</v>
      </c>
      <c r="D123" s="12">
        <v>57.9</v>
      </c>
      <c r="E123" s="12">
        <v>30.9</v>
      </c>
      <c r="F123" s="12">
        <v>34.159999999999997</v>
      </c>
      <c r="G123" s="12">
        <v>31.85</v>
      </c>
      <c r="I123" s="27"/>
      <c r="J123" s="27"/>
    </row>
    <row r="124" spans="2:10" ht="15.6" x14ac:dyDescent="0.3">
      <c r="B124" s="5" t="s">
        <v>220</v>
      </c>
      <c r="C124" s="5" t="s">
        <v>221</v>
      </c>
      <c r="D124" s="12">
        <v>39.9</v>
      </c>
      <c r="E124" s="12">
        <v>20.9</v>
      </c>
      <c r="F124" s="12">
        <v>23.54</v>
      </c>
      <c r="G124" s="12">
        <v>21.95</v>
      </c>
      <c r="I124" s="27"/>
      <c r="J124" s="27"/>
    </row>
    <row r="125" spans="2:10" ht="15.6" x14ac:dyDescent="0.3">
      <c r="B125" s="5" t="s">
        <v>222</v>
      </c>
      <c r="C125" s="5" t="s">
        <v>1633</v>
      </c>
      <c r="D125" s="12">
        <v>49.9</v>
      </c>
      <c r="E125" s="12">
        <v>25.9</v>
      </c>
      <c r="F125" s="12">
        <v>29.44</v>
      </c>
      <c r="G125" s="12">
        <v>27.45</v>
      </c>
      <c r="I125" s="27"/>
      <c r="J125" s="27"/>
    </row>
    <row r="126" spans="2:10" ht="15.6" x14ac:dyDescent="0.3">
      <c r="B126" s="5" t="s">
        <v>434</v>
      </c>
      <c r="C126" s="5" t="s">
        <v>435</v>
      </c>
      <c r="D126" s="12">
        <v>17.899999999999999</v>
      </c>
      <c r="E126" s="12">
        <v>9.9</v>
      </c>
      <c r="F126" s="12">
        <v>10.56</v>
      </c>
      <c r="G126" s="12">
        <v>9.85</v>
      </c>
      <c r="I126" s="27"/>
      <c r="J126" s="27"/>
    </row>
    <row r="127" spans="2:10" ht="15.6" x14ac:dyDescent="0.3">
      <c r="B127" s="5" t="s">
        <v>224</v>
      </c>
      <c r="C127" s="5" t="s">
        <v>1634</v>
      </c>
      <c r="D127" s="12">
        <v>22.9</v>
      </c>
      <c r="E127" s="12">
        <v>11.9</v>
      </c>
      <c r="F127" s="12">
        <v>13.51</v>
      </c>
      <c r="G127" s="12">
        <v>12.6</v>
      </c>
      <c r="I127" s="27"/>
      <c r="J127" s="27"/>
    </row>
    <row r="128" spans="2:10" ht="15.6" x14ac:dyDescent="0.3">
      <c r="B128" s="5" t="s">
        <v>226</v>
      </c>
      <c r="C128" s="5" t="s">
        <v>1635</v>
      </c>
      <c r="D128" s="12">
        <v>14.9</v>
      </c>
      <c r="E128" s="12">
        <v>7.9</v>
      </c>
      <c r="F128" s="12">
        <v>8.7899999999999991</v>
      </c>
      <c r="G128" s="12">
        <v>8.1999999999999993</v>
      </c>
      <c r="I128" s="27"/>
      <c r="J128" s="27"/>
    </row>
    <row r="129" spans="2:10" ht="15.6" x14ac:dyDescent="0.3">
      <c r="B129" s="5" t="s">
        <v>228</v>
      </c>
      <c r="C129" s="5" t="s">
        <v>1636</v>
      </c>
      <c r="D129" s="12">
        <v>39.9</v>
      </c>
      <c r="E129" s="12">
        <v>20.9</v>
      </c>
      <c r="F129" s="12">
        <v>23.54</v>
      </c>
      <c r="G129" s="12">
        <v>21.95</v>
      </c>
      <c r="I129" s="27"/>
      <c r="J129" s="27"/>
    </row>
    <row r="130" spans="2:10" ht="15.6" x14ac:dyDescent="0.3">
      <c r="B130" s="5" t="s">
        <v>230</v>
      </c>
      <c r="C130" s="5" t="s">
        <v>1637</v>
      </c>
      <c r="D130" s="12">
        <v>40.9</v>
      </c>
      <c r="E130" s="12">
        <v>20.9</v>
      </c>
      <c r="F130" s="12">
        <v>24.13</v>
      </c>
      <c r="G130" s="12">
        <v>22.5</v>
      </c>
      <c r="I130" s="27"/>
      <c r="J130" s="27"/>
    </row>
    <row r="131" spans="2:10" ht="15.6" x14ac:dyDescent="0.3">
      <c r="B131" s="5" t="s">
        <v>232</v>
      </c>
      <c r="C131" s="5" t="s">
        <v>1638</v>
      </c>
      <c r="D131" s="12">
        <v>69.900000000000006</v>
      </c>
      <c r="E131" s="12">
        <v>34.9</v>
      </c>
      <c r="F131" s="12">
        <v>41.24</v>
      </c>
      <c r="G131" s="12">
        <v>38.450000000000003</v>
      </c>
      <c r="I131" s="27"/>
      <c r="J131" s="27"/>
    </row>
    <row r="132" spans="2:10" ht="15.6" x14ac:dyDescent="0.3">
      <c r="B132" s="5" t="s">
        <v>233</v>
      </c>
      <c r="C132" s="5" t="s">
        <v>1639</v>
      </c>
      <c r="D132" s="12">
        <v>17.899999999999999</v>
      </c>
      <c r="E132" s="12">
        <v>9.9</v>
      </c>
      <c r="F132" s="12">
        <v>10.56</v>
      </c>
      <c r="G132" s="12">
        <v>9.85</v>
      </c>
      <c r="I132" s="27"/>
      <c r="J132" s="27"/>
    </row>
    <row r="133" spans="2:10" ht="15.6" x14ac:dyDescent="0.3">
      <c r="B133" s="5" t="s">
        <v>235</v>
      </c>
      <c r="C133" s="5" t="s">
        <v>1640</v>
      </c>
      <c r="D133" s="12">
        <v>32.9</v>
      </c>
      <c r="E133" s="12">
        <v>15.9</v>
      </c>
      <c r="F133" s="12">
        <v>19.41</v>
      </c>
      <c r="G133" s="12">
        <v>18.100000000000001</v>
      </c>
      <c r="I133" s="27"/>
      <c r="J133" s="27"/>
    </row>
    <row r="134" spans="2:10" ht="15.6" x14ac:dyDescent="0.3">
      <c r="B134" s="5" t="s">
        <v>446</v>
      </c>
      <c r="C134" s="5" t="s">
        <v>447</v>
      </c>
      <c r="D134" s="12">
        <v>139.9</v>
      </c>
      <c r="E134" s="12">
        <v>70.900000000000006</v>
      </c>
      <c r="F134" s="12">
        <v>82.54</v>
      </c>
      <c r="G134" s="12">
        <v>76.95</v>
      </c>
      <c r="I134" s="27"/>
      <c r="J134" s="27"/>
    </row>
    <row r="135" spans="2:10" ht="15.6" x14ac:dyDescent="0.3">
      <c r="B135" s="5" t="s">
        <v>1525</v>
      </c>
      <c r="C135" s="5" t="s">
        <v>449</v>
      </c>
      <c r="D135" s="12">
        <v>139.9</v>
      </c>
      <c r="E135" s="12">
        <v>70.900000000000006</v>
      </c>
      <c r="F135" s="12">
        <v>82.54</v>
      </c>
      <c r="G135" s="12">
        <v>76.95</v>
      </c>
      <c r="I135" s="27"/>
      <c r="J135" s="27"/>
    </row>
    <row r="136" spans="2:10" ht="15.6" x14ac:dyDescent="0.3">
      <c r="B136" s="5" t="s">
        <v>237</v>
      </c>
      <c r="C136" s="5" t="s">
        <v>1641</v>
      </c>
      <c r="D136" s="12">
        <v>39.9</v>
      </c>
      <c r="E136" s="12">
        <v>20.9</v>
      </c>
      <c r="F136" s="12">
        <v>23.54</v>
      </c>
      <c r="G136" s="12">
        <v>21.95</v>
      </c>
      <c r="I136" s="27"/>
      <c r="J136" s="27"/>
    </row>
    <row r="137" spans="2:10" ht="15.6" x14ac:dyDescent="0.3">
      <c r="B137" s="5" t="s">
        <v>239</v>
      </c>
      <c r="C137" s="5" t="s">
        <v>1642</v>
      </c>
      <c r="D137" s="12">
        <v>27.9</v>
      </c>
      <c r="E137" s="12">
        <v>13.9</v>
      </c>
      <c r="F137" s="12">
        <v>16.46</v>
      </c>
      <c r="G137" s="12">
        <v>15.35</v>
      </c>
      <c r="I137" s="27"/>
      <c r="J137" s="27"/>
    </row>
    <row r="138" spans="2:10" ht="15.6" x14ac:dyDescent="0.3">
      <c r="B138" s="5" t="s">
        <v>241</v>
      </c>
      <c r="C138" s="5" t="s">
        <v>1643</v>
      </c>
      <c r="D138" s="12">
        <v>42.9</v>
      </c>
      <c r="E138" s="12">
        <v>21.9</v>
      </c>
      <c r="F138" s="12">
        <v>25.31</v>
      </c>
      <c r="G138" s="12">
        <v>23.6</v>
      </c>
      <c r="I138" s="27"/>
      <c r="J138" s="27"/>
    </row>
    <row r="139" spans="2:10" ht="15.6" x14ac:dyDescent="0.3">
      <c r="B139" s="5" t="s">
        <v>243</v>
      </c>
      <c r="C139" s="5" t="s">
        <v>1644</v>
      </c>
      <c r="D139" s="12">
        <v>15.9</v>
      </c>
      <c r="E139" s="12">
        <v>7.9</v>
      </c>
      <c r="F139" s="12">
        <v>9.3800000000000008</v>
      </c>
      <c r="G139" s="12">
        <v>8.75</v>
      </c>
      <c r="I139" s="27"/>
      <c r="J139" s="27"/>
    </row>
    <row r="140" spans="2:10" ht="15.6" x14ac:dyDescent="0.3">
      <c r="B140" s="5" t="s">
        <v>245</v>
      </c>
      <c r="C140" s="5" t="s">
        <v>1645</v>
      </c>
      <c r="D140" s="12">
        <v>69.900000000000006</v>
      </c>
      <c r="E140" s="12">
        <v>35.9</v>
      </c>
      <c r="F140" s="12">
        <v>41.24</v>
      </c>
      <c r="G140" s="12">
        <v>38.450000000000003</v>
      </c>
      <c r="I140" s="27"/>
      <c r="J140" s="27"/>
    </row>
    <row r="141" spans="2:10" ht="15.6" x14ac:dyDescent="0.3">
      <c r="B141" s="5" t="s">
        <v>247</v>
      </c>
      <c r="C141" s="5" t="s">
        <v>1646</v>
      </c>
      <c r="D141" s="12">
        <v>24.9</v>
      </c>
      <c r="E141" s="12">
        <v>13.9</v>
      </c>
      <c r="F141" s="12">
        <v>14.69</v>
      </c>
      <c r="G141" s="12">
        <v>13.7</v>
      </c>
      <c r="I141" s="27"/>
      <c r="J141" s="27"/>
    </row>
    <row r="142" spans="2:10" ht="15.6" x14ac:dyDescent="0.3">
      <c r="B142" s="5" t="s">
        <v>249</v>
      </c>
      <c r="C142" s="5" t="s">
        <v>1647</v>
      </c>
      <c r="D142" s="12">
        <v>42.9</v>
      </c>
      <c r="E142" s="12">
        <v>21.9</v>
      </c>
      <c r="F142" s="12">
        <v>25.31</v>
      </c>
      <c r="G142" s="12">
        <v>23.6</v>
      </c>
      <c r="I142" s="27"/>
      <c r="J142" s="27"/>
    </row>
    <row r="143" spans="2:10" ht="15.6" x14ac:dyDescent="0.3">
      <c r="B143" s="5" t="s">
        <v>251</v>
      </c>
      <c r="C143" s="5" t="s">
        <v>1648</v>
      </c>
      <c r="D143" s="12">
        <v>44.9</v>
      </c>
      <c r="E143" s="12">
        <v>23.9</v>
      </c>
      <c r="F143" s="12">
        <v>26.49</v>
      </c>
      <c r="G143" s="12">
        <v>24.7</v>
      </c>
      <c r="I143" s="27"/>
      <c r="J143" s="27"/>
    </row>
    <row r="144" spans="2:10" ht="15.6" x14ac:dyDescent="0.3">
      <c r="B144" s="5" t="s">
        <v>253</v>
      </c>
      <c r="C144" s="5" t="s">
        <v>1649</v>
      </c>
      <c r="D144" s="12">
        <v>44.9</v>
      </c>
      <c r="E144" s="12">
        <v>23.9</v>
      </c>
      <c r="F144" s="12">
        <v>26.49</v>
      </c>
      <c r="G144" s="12">
        <v>24.7</v>
      </c>
      <c r="I144" s="27"/>
      <c r="J144" s="27"/>
    </row>
    <row r="145" spans="2:10" ht="15.6" x14ac:dyDescent="0.3">
      <c r="B145" s="5" t="s">
        <v>255</v>
      </c>
      <c r="C145" s="5" t="s">
        <v>1650</v>
      </c>
      <c r="D145" s="12">
        <v>44.9</v>
      </c>
      <c r="E145" s="12">
        <v>23.9</v>
      </c>
      <c r="F145" s="12">
        <v>26.49</v>
      </c>
      <c r="G145" s="12">
        <v>24.7</v>
      </c>
      <c r="I145" s="27"/>
      <c r="J145" s="27"/>
    </row>
    <row r="146" spans="2:10" ht="15.6" x14ac:dyDescent="0.3">
      <c r="B146" s="5" t="s">
        <v>257</v>
      </c>
      <c r="C146" s="5" t="s">
        <v>1651</v>
      </c>
      <c r="D146" s="12">
        <v>44.9</v>
      </c>
      <c r="E146" s="12">
        <v>23.9</v>
      </c>
      <c r="F146" s="12">
        <v>26.49</v>
      </c>
      <c r="G146" s="12">
        <v>24.7</v>
      </c>
      <c r="I146" s="27"/>
      <c r="J146" s="27"/>
    </row>
    <row r="147" spans="2:10" ht="15.6" x14ac:dyDescent="0.3">
      <c r="B147" s="5" t="s">
        <v>259</v>
      </c>
      <c r="C147" s="5" t="s">
        <v>1652</v>
      </c>
      <c r="D147" s="12">
        <v>24.9</v>
      </c>
      <c r="E147" s="12">
        <v>13.9</v>
      </c>
      <c r="F147" s="12">
        <v>14.69</v>
      </c>
      <c r="G147" s="12">
        <v>13.7</v>
      </c>
      <c r="I147" s="27"/>
      <c r="J147" s="27"/>
    </row>
    <row r="148" spans="2:10" ht="15.6" x14ac:dyDescent="0.3">
      <c r="B148" s="5" t="s">
        <v>261</v>
      </c>
      <c r="C148" s="5" t="s">
        <v>1653</v>
      </c>
      <c r="D148" s="12">
        <v>39.9</v>
      </c>
      <c r="E148" s="12">
        <v>20.9</v>
      </c>
      <c r="F148" s="12">
        <v>23.54</v>
      </c>
      <c r="G148" s="12">
        <v>21.95</v>
      </c>
      <c r="I148" s="27"/>
      <c r="J148" s="27"/>
    </row>
    <row r="149" spans="2:10" ht="15.6" x14ac:dyDescent="0.3">
      <c r="B149" s="5" t="s">
        <v>263</v>
      </c>
      <c r="C149" s="5" t="s">
        <v>1654</v>
      </c>
      <c r="D149" s="12">
        <v>46.9</v>
      </c>
      <c r="E149" s="12">
        <v>23.9</v>
      </c>
      <c r="F149" s="12">
        <v>27.67</v>
      </c>
      <c r="G149" s="12">
        <v>25.8</v>
      </c>
      <c r="I149" s="27"/>
      <c r="J149" s="27"/>
    </row>
    <row r="150" spans="2:10" ht="15.6" x14ac:dyDescent="0.3">
      <c r="B150" s="5" t="s">
        <v>265</v>
      </c>
      <c r="C150" s="5" t="s">
        <v>1655</v>
      </c>
      <c r="D150" s="12">
        <v>27.9</v>
      </c>
      <c r="E150" s="12">
        <v>14.9</v>
      </c>
      <c r="F150" s="12">
        <v>16.46</v>
      </c>
      <c r="G150" s="12">
        <v>15.35</v>
      </c>
      <c r="I150" s="27"/>
      <c r="J150" s="27"/>
    </row>
    <row r="151" spans="2:10" ht="15.6" x14ac:dyDescent="0.3">
      <c r="B151" s="5" t="s">
        <v>267</v>
      </c>
      <c r="C151" s="5" t="s">
        <v>1656</v>
      </c>
      <c r="D151" s="12">
        <v>44.9</v>
      </c>
      <c r="E151" s="12">
        <v>23.9</v>
      </c>
      <c r="F151" s="12">
        <v>26.49</v>
      </c>
      <c r="G151" s="12">
        <v>24.7</v>
      </c>
      <c r="I151" s="27"/>
      <c r="J151" s="27"/>
    </row>
    <row r="152" spans="2:10" ht="15.6" x14ac:dyDescent="0.3">
      <c r="B152" s="5" t="s">
        <v>269</v>
      </c>
      <c r="C152" s="5" t="s">
        <v>1657</v>
      </c>
      <c r="D152" s="12">
        <v>29.9</v>
      </c>
      <c r="E152" s="12">
        <v>15.9</v>
      </c>
      <c r="F152" s="12">
        <v>17.64</v>
      </c>
      <c r="G152" s="12">
        <v>16.45</v>
      </c>
      <c r="I152" s="27"/>
      <c r="J152" s="27"/>
    </row>
    <row r="153" spans="2:10" ht="15.6" x14ac:dyDescent="0.3">
      <c r="B153" s="5" t="s">
        <v>271</v>
      </c>
      <c r="C153" s="5" t="s">
        <v>1658</v>
      </c>
      <c r="D153" s="12">
        <v>54.9</v>
      </c>
      <c r="E153" s="12">
        <v>28.9</v>
      </c>
      <c r="F153" s="12">
        <v>32.39</v>
      </c>
      <c r="G153" s="12">
        <v>30.2</v>
      </c>
      <c r="I153" s="27"/>
      <c r="J153" s="27"/>
    </row>
    <row r="154" spans="2:10" ht="15.6" x14ac:dyDescent="0.3">
      <c r="B154" s="5" t="s">
        <v>273</v>
      </c>
      <c r="C154" s="5" t="s">
        <v>1659</v>
      </c>
      <c r="D154" s="12">
        <v>22.9</v>
      </c>
      <c r="E154" s="12">
        <v>11.9</v>
      </c>
      <c r="F154" s="12">
        <v>13.51</v>
      </c>
      <c r="G154" s="12">
        <v>12.6</v>
      </c>
      <c r="I154" s="27"/>
      <c r="J154" s="27"/>
    </row>
    <row r="155" spans="2:10" ht="15.6" x14ac:dyDescent="0.3">
      <c r="B155" s="5" t="s">
        <v>275</v>
      </c>
      <c r="C155" s="5" t="s">
        <v>1660</v>
      </c>
      <c r="D155" s="12">
        <v>34.9</v>
      </c>
      <c r="E155" s="12">
        <v>17.899999999999999</v>
      </c>
      <c r="F155" s="12">
        <v>20.59</v>
      </c>
      <c r="G155" s="12">
        <v>19.2</v>
      </c>
      <c r="I155" s="27"/>
      <c r="J155" s="27"/>
    </row>
    <row r="156" spans="2:10" ht="15.6" x14ac:dyDescent="0.3">
      <c r="B156" s="5" t="s">
        <v>277</v>
      </c>
      <c r="C156" s="5" t="s">
        <v>1661</v>
      </c>
      <c r="D156" s="12">
        <v>21.9</v>
      </c>
      <c r="E156" s="12">
        <v>10.9</v>
      </c>
      <c r="F156" s="12">
        <v>12.92</v>
      </c>
      <c r="G156" s="12">
        <v>12.05</v>
      </c>
      <c r="I156" s="27"/>
      <c r="J156" s="27"/>
    </row>
    <row r="157" spans="2:10" ht="15.6" x14ac:dyDescent="0.3">
      <c r="B157" s="5" t="s">
        <v>279</v>
      </c>
      <c r="C157" s="5" t="s">
        <v>1662</v>
      </c>
      <c r="D157" s="12">
        <v>40.9</v>
      </c>
      <c r="E157" s="12">
        <v>19.899999999999999</v>
      </c>
      <c r="F157" s="12">
        <v>24.13</v>
      </c>
      <c r="G157" s="12">
        <v>22.5</v>
      </c>
      <c r="I157" s="27"/>
      <c r="J157" s="27"/>
    </row>
    <row r="158" spans="2:10" ht="15.6" x14ac:dyDescent="0.3">
      <c r="B158" s="5" t="s">
        <v>281</v>
      </c>
      <c r="C158" s="5" t="s">
        <v>1663</v>
      </c>
      <c r="D158" s="12">
        <v>38.9</v>
      </c>
      <c r="E158" s="12">
        <v>20.9</v>
      </c>
      <c r="F158" s="12">
        <v>22.95</v>
      </c>
      <c r="G158" s="12">
        <v>21.4</v>
      </c>
      <c r="I158" s="27"/>
      <c r="J158" s="27"/>
    </row>
    <row r="159" spans="2:10" ht="15.6" x14ac:dyDescent="0.3">
      <c r="B159" s="5" t="s">
        <v>283</v>
      </c>
      <c r="C159" s="5" t="s">
        <v>1664</v>
      </c>
      <c r="D159" s="12">
        <v>23.9</v>
      </c>
      <c r="E159" s="12">
        <v>12.9</v>
      </c>
      <c r="F159" s="12">
        <v>14.1</v>
      </c>
      <c r="G159" s="12">
        <v>13.15</v>
      </c>
      <c r="I159" s="27"/>
      <c r="J159" s="27"/>
    </row>
    <row r="160" spans="2:10" ht="15.6" x14ac:dyDescent="0.3">
      <c r="B160" s="5" t="s">
        <v>285</v>
      </c>
      <c r="C160" s="5" t="s">
        <v>1665</v>
      </c>
      <c r="D160" s="12">
        <v>39.9</v>
      </c>
      <c r="E160" s="12">
        <v>20.9</v>
      </c>
      <c r="F160" s="12">
        <v>23.54</v>
      </c>
      <c r="G160" s="12">
        <v>21.95</v>
      </c>
      <c r="I160" s="27"/>
      <c r="J160" s="27"/>
    </row>
    <row r="161" spans="2:10" ht="15.6" x14ac:dyDescent="0.3">
      <c r="B161" s="5" t="s">
        <v>285</v>
      </c>
      <c r="C161" s="5" t="s">
        <v>1666</v>
      </c>
      <c r="D161" s="12">
        <v>39.9</v>
      </c>
      <c r="E161" s="12">
        <v>20.9</v>
      </c>
      <c r="F161" s="12">
        <v>23.54</v>
      </c>
      <c r="G161" s="12">
        <v>21.95</v>
      </c>
      <c r="I161" s="27"/>
      <c r="J161" s="27"/>
    </row>
    <row r="162" spans="2:10" ht="15.6" x14ac:dyDescent="0.3">
      <c r="B162" s="5" t="s">
        <v>287</v>
      </c>
      <c r="C162" s="5" t="s">
        <v>1667</v>
      </c>
      <c r="D162" s="12">
        <v>74.900000000000006</v>
      </c>
      <c r="E162" s="12">
        <v>38.9</v>
      </c>
      <c r="F162" s="12">
        <v>44.19</v>
      </c>
      <c r="G162" s="12">
        <v>41.2</v>
      </c>
      <c r="I162" s="27"/>
      <c r="J162" s="27"/>
    </row>
    <row r="163" spans="2:10" ht="15.6" x14ac:dyDescent="0.3">
      <c r="B163" s="5" t="s">
        <v>289</v>
      </c>
      <c r="C163" s="5" t="s">
        <v>1668</v>
      </c>
      <c r="D163" s="12">
        <v>38.9</v>
      </c>
      <c r="E163" s="12">
        <v>19.899999999999999</v>
      </c>
      <c r="F163" s="12">
        <v>22.95</v>
      </c>
      <c r="G163" s="12">
        <v>21.4</v>
      </c>
      <c r="I163" s="27"/>
      <c r="J163" s="27"/>
    </row>
    <row r="164" spans="2:10" ht="15.6" x14ac:dyDescent="0.3">
      <c r="B164" s="5" t="s">
        <v>1526</v>
      </c>
      <c r="C164" s="5" t="s">
        <v>1669</v>
      </c>
      <c r="D164" s="12">
        <v>38.9</v>
      </c>
      <c r="E164" s="12">
        <v>19.899999999999999</v>
      </c>
      <c r="F164" s="12">
        <v>22.95</v>
      </c>
      <c r="G164" s="12">
        <v>21.4</v>
      </c>
      <c r="I164" s="27"/>
      <c r="J164" s="27"/>
    </row>
    <row r="165" spans="2:10" ht="15.6" x14ac:dyDescent="0.3">
      <c r="B165" s="5" t="s">
        <v>293</v>
      </c>
      <c r="C165" s="5" t="s">
        <v>1670</v>
      </c>
      <c r="D165" s="12">
        <v>39.9</v>
      </c>
      <c r="E165" s="12">
        <v>20.9</v>
      </c>
      <c r="F165" s="12">
        <v>23.54</v>
      </c>
      <c r="G165" s="12">
        <v>21.95</v>
      </c>
      <c r="I165" s="27"/>
      <c r="J165" s="27"/>
    </row>
    <row r="166" spans="2:10" ht="15.6" x14ac:dyDescent="0.3">
      <c r="B166" s="5" t="s">
        <v>295</v>
      </c>
      <c r="C166" s="5" t="s">
        <v>1671</v>
      </c>
      <c r="D166" s="12">
        <v>48.9</v>
      </c>
      <c r="E166" s="12">
        <v>24.9</v>
      </c>
      <c r="F166" s="12">
        <v>28.85</v>
      </c>
      <c r="G166" s="12">
        <v>26.9</v>
      </c>
      <c r="I166" s="27"/>
      <c r="J166" s="27"/>
    </row>
    <row r="167" spans="2:10" ht="15.6" x14ac:dyDescent="0.3">
      <c r="B167" s="5" t="s">
        <v>1527</v>
      </c>
      <c r="C167" s="5" t="s">
        <v>1077</v>
      </c>
      <c r="D167" s="12">
        <v>0</v>
      </c>
      <c r="E167" s="12">
        <v>0</v>
      </c>
      <c r="F167" s="12">
        <v>0</v>
      </c>
      <c r="G167" s="12">
        <v>0</v>
      </c>
      <c r="I167" s="27"/>
      <c r="J167" s="27"/>
    </row>
    <row r="168" spans="2:10" ht="15.6" x14ac:dyDescent="0.3">
      <c r="B168" s="5" t="s">
        <v>297</v>
      </c>
      <c r="C168" s="5" t="s">
        <v>1672</v>
      </c>
      <c r="D168" s="12">
        <v>29.9</v>
      </c>
      <c r="E168" s="12">
        <v>15.9</v>
      </c>
      <c r="F168" s="12">
        <v>17.64</v>
      </c>
      <c r="G168" s="12">
        <v>16.45</v>
      </c>
      <c r="I168" s="27"/>
      <c r="J168" s="27"/>
    </row>
    <row r="169" spans="2:10" ht="15.6" x14ac:dyDescent="0.3">
      <c r="B169" s="5" t="s">
        <v>1528</v>
      </c>
      <c r="C169" s="5" t="s">
        <v>1673</v>
      </c>
      <c r="D169" s="12">
        <v>29.9</v>
      </c>
      <c r="E169" s="12">
        <v>15.9</v>
      </c>
      <c r="F169" s="12">
        <v>17.64</v>
      </c>
      <c r="G169" s="12">
        <v>16.45</v>
      </c>
      <c r="I169" s="27"/>
      <c r="J169" s="27"/>
    </row>
    <row r="170" spans="2:10" ht="15.6" x14ac:dyDescent="0.3">
      <c r="B170" s="5" t="s">
        <v>301</v>
      </c>
      <c r="C170" s="5" t="s">
        <v>1674</v>
      </c>
      <c r="D170" s="12">
        <v>43.9</v>
      </c>
      <c r="E170" s="12">
        <v>22.9</v>
      </c>
      <c r="F170" s="12">
        <v>25.9</v>
      </c>
      <c r="G170" s="12">
        <v>24.15</v>
      </c>
      <c r="I170" s="27"/>
      <c r="J170" s="27"/>
    </row>
    <row r="171" spans="2:10" ht="15.6" x14ac:dyDescent="0.3">
      <c r="B171" s="5" t="s">
        <v>303</v>
      </c>
      <c r="C171" s="5" t="s">
        <v>1675</v>
      </c>
      <c r="D171" s="12">
        <v>31.9</v>
      </c>
      <c r="E171" s="12">
        <v>16.899999999999999</v>
      </c>
      <c r="F171" s="12">
        <v>18.82</v>
      </c>
      <c r="G171" s="12">
        <v>17.55</v>
      </c>
      <c r="I171" s="27"/>
      <c r="J171" s="27"/>
    </row>
    <row r="172" spans="2:10" ht="15.6" x14ac:dyDescent="0.3">
      <c r="B172" s="5" t="s">
        <v>305</v>
      </c>
      <c r="C172" s="5" t="s">
        <v>1676</v>
      </c>
      <c r="D172" s="12">
        <v>59.9</v>
      </c>
      <c r="E172" s="12">
        <v>29.9</v>
      </c>
      <c r="F172" s="12">
        <v>35.340000000000003</v>
      </c>
      <c r="G172" s="12">
        <v>32.950000000000003</v>
      </c>
      <c r="I172" s="27"/>
      <c r="J172" s="27"/>
    </row>
    <row r="173" spans="2:10" ht="15.6" x14ac:dyDescent="0.3">
      <c r="B173" s="5" t="s">
        <v>307</v>
      </c>
      <c r="C173" s="5" t="s">
        <v>1677</v>
      </c>
      <c r="D173" s="12">
        <v>13.9</v>
      </c>
      <c r="E173" s="12">
        <v>7.9</v>
      </c>
      <c r="F173" s="12">
        <v>8.1999999999999993</v>
      </c>
      <c r="G173" s="12">
        <v>7.65</v>
      </c>
      <c r="I173" s="27"/>
      <c r="J173" s="27"/>
    </row>
    <row r="174" spans="2:10" ht="15.6" x14ac:dyDescent="0.3">
      <c r="B174" s="5" t="s">
        <v>309</v>
      </c>
      <c r="C174" s="5" t="s">
        <v>1678</v>
      </c>
      <c r="D174" s="12">
        <v>48.9</v>
      </c>
      <c r="E174" s="12">
        <v>29.9</v>
      </c>
      <c r="F174" s="12">
        <v>28.85</v>
      </c>
      <c r="G174" s="12">
        <v>26.9</v>
      </c>
      <c r="I174" s="27"/>
      <c r="J174" s="27"/>
    </row>
    <row r="175" spans="2:10" ht="15.6" x14ac:dyDescent="0.3">
      <c r="B175" s="5" t="s">
        <v>311</v>
      </c>
      <c r="C175" s="5" t="s">
        <v>1679</v>
      </c>
      <c r="D175" s="12">
        <v>31.9</v>
      </c>
      <c r="E175" s="12">
        <v>16.899999999999999</v>
      </c>
      <c r="F175" s="12">
        <v>18.82</v>
      </c>
      <c r="G175" s="12">
        <v>17.55</v>
      </c>
      <c r="I175" s="27"/>
      <c r="J175" s="27"/>
    </row>
    <row r="176" spans="2:10" ht="15.6" x14ac:dyDescent="0.3">
      <c r="B176" s="5" t="s">
        <v>313</v>
      </c>
      <c r="C176" s="5" t="s">
        <v>1680</v>
      </c>
      <c r="D176" s="12">
        <v>34.196279069767442</v>
      </c>
      <c r="E176" s="12">
        <v>34.196279069767442</v>
      </c>
      <c r="F176" s="12">
        <v>20.18</v>
      </c>
      <c r="G176" s="12">
        <v>18.809999999999999</v>
      </c>
      <c r="I176" s="27"/>
      <c r="J176" s="27"/>
    </row>
    <row r="177" spans="2:10" ht="15.6" x14ac:dyDescent="0.3">
      <c r="B177" s="5" t="s">
        <v>315</v>
      </c>
      <c r="C177" s="5" t="s">
        <v>1681</v>
      </c>
      <c r="D177" s="12">
        <v>53.9</v>
      </c>
      <c r="E177" s="12">
        <v>27.9</v>
      </c>
      <c r="F177" s="12">
        <v>31.8</v>
      </c>
      <c r="G177" s="12">
        <v>29.65</v>
      </c>
      <c r="I177" s="27"/>
      <c r="J177" s="27"/>
    </row>
    <row r="178" spans="2:10" ht="15.6" x14ac:dyDescent="0.3">
      <c r="B178" s="5" t="s">
        <v>317</v>
      </c>
      <c r="C178" s="5" t="s">
        <v>1682</v>
      </c>
      <c r="D178" s="12">
        <v>99.9</v>
      </c>
      <c r="E178" s="12">
        <v>49.9</v>
      </c>
      <c r="F178" s="12">
        <v>58.94</v>
      </c>
      <c r="G178" s="12">
        <v>54.95</v>
      </c>
      <c r="I178" s="27"/>
      <c r="J178" s="27"/>
    </row>
    <row r="179" spans="2:10" ht="15.6" x14ac:dyDescent="0.3">
      <c r="B179" s="5" t="s">
        <v>319</v>
      </c>
      <c r="C179" s="5" t="s">
        <v>1683</v>
      </c>
      <c r="D179" s="12">
        <v>78.900000000000006</v>
      </c>
      <c r="E179" s="12">
        <v>39.9</v>
      </c>
      <c r="F179" s="12">
        <v>46.55</v>
      </c>
      <c r="G179" s="12">
        <v>43.4</v>
      </c>
      <c r="I179" s="27"/>
      <c r="J179" s="27"/>
    </row>
    <row r="180" spans="2:10" ht="15.6" x14ac:dyDescent="0.3">
      <c r="B180" s="5" t="s">
        <v>321</v>
      </c>
      <c r="C180" s="5" t="s">
        <v>1684</v>
      </c>
      <c r="D180" s="12">
        <v>22.9</v>
      </c>
      <c r="E180" s="12">
        <v>11.9</v>
      </c>
      <c r="F180" s="12">
        <v>13.51</v>
      </c>
      <c r="G180" s="12">
        <v>12.6</v>
      </c>
      <c r="I180" s="27"/>
      <c r="J180" s="27"/>
    </row>
    <row r="181" spans="2:10" ht="15.6" x14ac:dyDescent="0.3">
      <c r="B181" s="5" t="s">
        <v>323</v>
      </c>
      <c r="C181" s="5" t="s">
        <v>1685</v>
      </c>
      <c r="D181" s="12">
        <v>42.9</v>
      </c>
      <c r="E181" s="12">
        <v>21.9</v>
      </c>
      <c r="F181" s="12">
        <v>25.31</v>
      </c>
      <c r="G181" s="12">
        <v>23.6</v>
      </c>
      <c r="I181" s="27"/>
      <c r="J181" s="27"/>
    </row>
    <row r="182" spans="2:10" ht="15.6" x14ac:dyDescent="0.3">
      <c r="B182" s="5" t="s">
        <v>325</v>
      </c>
      <c r="C182" s="5" t="s">
        <v>1686</v>
      </c>
      <c r="D182" s="12">
        <v>37.9</v>
      </c>
      <c r="E182" s="12">
        <v>18.899999999999999</v>
      </c>
      <c r="F182" s="12">
        <v>22.36</v>
      </c>
      <c r="G182" s="12">
        <v>20.85</v>
      </c>
      <c r="I182" s="27"/>
      <c r="J182" s="27"/>
    </row>
    <row r="183" spans="2:10" ht="15.6" x14ac:dyDescent="0.3">
      <c r="B183" s="5" t="s">
        <v>325</v>
      </c>
      <c r="C183" s="5" t="s">
        <v>1687</v>
      </c>
      <c r="D183" s="12">
        <v>37.9</v>
      </c>
      <c r="E183" s="12">
        <v>18.899999999999999</v>
      </c>
      <c r="F183" s="12">
        <v>22.36</v>
      </c>
      <c r="G183" s="12">
        <v>20.85</v>
      </c>
      <c r="I183" s="27"/>
      <c r="J183" s="27"/>
    </row>
    <row r="184" spans="2:10" ht="15.6" x14ac:dyDescent="0.3">
      <c r="B184" s="5" t="s">
        <v>450</v>
      </c>
      <c r="C184" s="5" t="s">
        <v>451</v>
      </c>
      <c r="D184" s="12">
        <v>29.9</v>
      </c>
      <c r="E184" s="12">
        <v>14.9</v>
      </c>
      <c r="F184" s="12">
        <v>17.64</v>
      </c>
      <c r="G184" s="12">
        <v>16.45</v>
      </c>
      <c r="I184" s="27"/>
      <c r="J184" s="27"/>
    </row>
    <row r="185" spans="2:10" ht="15.6" x14ac:dyDescent="0.3">
      <c r="B185" s="5" t="s">
        <v>1529</v>
      </c>
      <c r="C185" s="5" t="s">
        <v>328</v>
      </c>
      <c r="D185" s="12">
        <v>29.9</v>
      </c>
      <c r="E185" s="12">
        <v>14.9</v>
      </c>
      <c r="F185" s="12">
        <v>17.64</v>
      </c>
      <c r="G185" s="12">
        <v>16.45</v>
      </c>
      <c r="I185" s="27"/>
      <c r="J185" s="27"/>
    </row>
    <row r="186" spans="2:10" ht="15.6" x14ac:dyDescent="0.3">
      <c r="B186" s="5" t="s">
        <v>329</v>
      </c>
      <c r="C186" s="5" t="s">
        <v>1688</v>
      </c>
      <c r="D186" s="12">
        <v>31.9</v>
      </c>
      <c r="E186" s="12">
        <v>15.9</v>
      </c>
      <c r="F186" s="12">
        <v>18.82</v>
      </c>
      <c r="G186" s="12">
        <v>17.55</v>
      </c>
      <c r="I186" s="27"/>
      <c r="J186" s="27"/>
    </row>
    <row r="187" spans="2:10" ht="15.6" x14ac:dyDescent="0.3">
      <c r="B187" s="5" t="s">
        <v>331</v>
      </c>
      <c r="C187" s="5" t="s">
        <v>1689</v>
      </c>
      <c r="D187" s="12">
        <v>85.9</v>
      </c>
      <c r="E187" s="12">
        <v>42.9</v>
      </c>
      <c r="F187" s="12">
        <v>50.68</v>
      </c>
      <c r="G187" s="12">
        <v>47.25</v>
      </c>
      <c r="I187" s="27"/>
      <c r="J187" s="27"/>
    </row>
    <row r="188" spans="2:10" ht="15.6" x14ac:dyDescent="0.3">
      <c r="B188" s="5" t="s">
        <v>333</v>
      </c>
      <c r="C188" s="5" t="s">
        <v>1690</v>
      </c>
      <c r="D188" s="12">
        <v>36.9</v>
      </c>
      <c r="E188" s="12">
        <v>19.899999999999999</v>
      </c>
      <c r="F188" s="12">
        <v>21.77</v>
      </c>
      <c r="G188" s="12">
        <v>20.3</v>
      </c>
      <c r="I188" s="27"/>
      <c r="J188" s="27"/>
    </row>
    <row r="189" spans="2:10" ht="15.6" x14ac:dyDescent="0.3">
      <c r="B189" s="5" t="s">
        <v>335</v>
      </c>
      <c r="C189" s="5" t="s">
        <v>1691</v>
      </c>
      <c r="D189" s="12">
        <v>32.9</v>
      </c>
      <c r="E189" s="12">
        <v>16.899999999999999</v>
      </c>
      <c r="F189" s="12">
        <v>19.41</v>
      </c>
      <c r="G189" s="12">
        <v>18.100000000000001</v>
      </c>
      <c r="I189" s="27"/>
      <c r="J189" s="27"/>
    </row>
    <row r="190" spans="2:10" ht="15.6" x14ac:dyDescent="0.3">
      <c r="B190" s="5" t="s">
        <v>335</v>
      </c>
      <c r="C190" s="5" t="s">
        <v>1692</v>
      </c>
      <c r="D190" s="12">
        <v>32.9</v>
      </c>
      <c r="E190" s="12">
        <v>16.899999999999999</v>
      </c>
      <c r="F190" s="12">
        <v>19.41</v>
      </c>
      <c r="G190" s="12">
        <v>18.100000000000001</v>
      </c>
      <c r="I190" s="27"/>
      <c r="J190" s="27"/>
    </row>
    <row r="191" spans="2:10" ht="15.6" x14ac:dyDescent="0.3">
      <c r="B191" s="5" t="s">
        <v>337</v>
      </c>
      <c r="C191" s="5" t="s">
        <v>1693</v>
      </c>
      <c r="D191" s="12">
        <v>17.899999999999999</v>
      </c>
      <c r="E191" s="12">
        <v>9.9</v>
      </c>
      <c r="F191" s="12">
        <v>10.56</v>
      </c>
      <c r="G191" s="12">
        <v>9.85</v>
      </c>
      <c r="I191" s="27"/>
      <c r="J191" s="27"/>
    </row>
    <row r="192" spans="2:10" ht="15.6" x14ac:dyDescent="0.3">
      <c r="B192" s="5" t="s">
        <v>339</v>
      </c>
      <c r="C192" s="5" t="s">
        <v>1694</v>
      </c>
      <c r="D192" s="12">
        <v>52.9</v>
      </c>
      <c r="E192" s="12">
        <v>26.9</v>
      </c>
      <c r="F192" s="12">
        <v>31.21</v>
      </c>
      <c r="G192" s="12">
        <v>29.1</v>
      </c>
      <c r="I192" s="27"/>
      <c r="J192" s="27"/>
    </row>
    <row r="193" spans="2:10" ht="15.6" x14ac:dyDescent="0.3">
      <c r="B193" s="5" t="s">
        <v>1530</v>
      </c>
      <c r="C193" s="5" t="s">
        <v>1695</v>
      </c>
      <c r="D193" s="12">
        <v>52.9</v>
      </c>
      <c r="E193" s="12">
        <v>26.9</v>
      </c>
      <c r="F193" s="12">
        <v>31.21</v>
      </c>
      <c r="G193" s="12">
        <v>29.1</v>
      </c>
      <c r="I193" s="27"/>
      <c r="J193" s="27"/>
    </row>
    <row r="194" spans="2:10" ht="15.6" x14ac:dyDescent="0.3">
      <c r="B194" s="5" t="s">
        <v>343</v>
      </c>
      <c r="C194" s="5" t="s">
        <v>1696</v>
      </c>
      <c r="D194" s="12">
        <v>66.900000000000006</v>
      </c>
      <c r="E194" s="12">
        <v>34.9</v>
      </c>
      <c r="F194" s="12">
        <v>39.47</v>
      </c>
      <c r="G194" s="12">
        <v>36.799999999999997</v>
      </c>
      <c r="I194" s="27"/>
      <c r="J194" s="27"/>
    </row>
    <row r="195" spans="2:10" ht="15.6" x14ac:dyDescent="0.3">
      <c r="B195" s="5" t="s">
        <v>345</v>
      </c>
      <c r="C195" s="5" t="s">
        <v>1697</v>
      </c>
      <c r="D195" s="12">
        <v>38.9</v>
      </c>
      <c r="E195" s="12">
        <v>19.899999999999999</v>
      </c>
      <c r="F195" s="12">
        <v>22.95</v>
      </c>
      <c r="G195" s="12">
        <v>21.4</v>
      </c>
      <c r="I195" s="27"/>
      <c r="J195" s="27"/>
    </row>
    <row r="196" spans="2:10" ht="15.6" x14ac:dyDescent="0.3">
      <c r="B196" s="5" t="s">
        <v>347</v>
      </c>
      <c r="C196" s="5" t="s">
        <v>1698</v>
      </c>
      <c r="D196" s="12">
        <v>24.9</v>
      </c>
      <c r="E196" s="12">
        <v>12.9</v>
      </c>
      <c r="F196" s="12">
        <v>14.69</v>
      </c>
      <c r="G196" s="12">
        <v>13.7</v>
      </c>
      <c r="I196" s="27"/>
      <c r="J196" s="27"/>
    </row>
    <row r="197" spans="2:10" ht="15.6" x14ac:dyDescent="0.3">
      <c r="B197" s="5" t="s">
        <v>349</v>
      </c>
      <c r="C197" s="5" t="s">
        <v>1699</v>
      </c>
      <c r="D197" s="12">
        <v>23.9</v>
      </c>
      <c r="E197" s="12">
        <v>11.9</v>
      </c>
      <c r="F197" s="12">
        <v>14.1</v>
      </c>
      <c r="G197" s="12">
        <v>13.15</v>
      </c>
      <c r="I197" s="27"/>
      <c r="J197" s="27"/>
    </row>
    <row r="198" spans="2:10" ht="15.6" x14ac:dyDescent="0.3">
      <c r="B198" s="5" t="s">
        <v>351</v>
      </c>
      <c r="C198" s="5" t="s">
        <v>1700</v>
      </c>
      <c r="D198" s="12">
        <v>24.9</v>
      </c>
      <c r="E198" s="12">
        <v>13.9</v>
      </c>
      <c r="F198" s="12">
        <v>14.69</v>
      </c>
      <c r="G198" s="12">
        <v>13.7</v>
      </c>
      <c r="I198" s="27"/>
      <c r="J198" s="27"/>
    </row>
    <row r="199" spans="2:10" ht="15.6" x14ac:dyDescent="0.3">
      <c r="B199" s="5" t="s">
        <v>353</v>
      </c>
      <c r="C199" s="5" t="s">
        <v>1701</v>
      </c>
      <c r="D199" s="12">
        <v>36.9</v>
      </c>
      <c r="E199" s="12">
        <v>18.899999999999999</v>
      </c>
      <c r="F199" s="12">
        <v>21.77</v>
      </c>
      <c r="G199" s="12">
        <v>20.3</v>
      </c>
      <c r="I199" s="27"/>
      <c r="J199" s="27"/>
    </row>
    <row r="200" spans="2:10" ht="15.6" x14ac:dyDescent="0.3">
      <c r="B200" s="5" t="s">
        <v>355</v>
      </c>
      <c r="C200" s="5" t="s">
        <v>1702</v>
      </c>
      <c r="D200" s="12">
        <v>66.900000000000006</v>
      </c>
      <c r="E200" s="12">
        <v>34.9</v>
      </c>
      <c r="F200" s="12">
        <v>39.47</v>
      </c>
      <c r="G200" s="12">
        <v>36.799999999999997</v>
      </c>
      <c r="I200" s="27"/>
      <c r="J200" s="27"/>
    </row>
    <row r="201" spans="2:10" ht="15.6" x14ac:dyDescent="0.3">
      <c r="B201" s="5" t="s">
        <v>452</v>
      </c>
      <c r="C201" s="5" t="s">
        <v>453</v>
      </c>
      <c r="D201" s="12">
        <v>19.899999999999999</v>
      </c>
      <c r="E201" s="12">
        <v>9.9</v>
      </c>
      <c r="F201" s="12">
        <v>11.74</v>
      </c>
      <c r="G201" s="12">
        <v>10.95</v>
      </c>
      <c r="I201" s="27"/>
      <c r="J201" s="27"/>
    </row>
    <row r="202" spans="2:10" ht="15.6" x14ac:dyDescent="0.3">
      <c r="B202" s="5" t="s">
        <v>357</v>
      </c>
      <c r="C202" s="5" t="s">
        <v>1703</v>
      </c>
      <c r="D202" s="12">
        <v>24.9</v>
      </c>
      <c r="E202" s="12">
        <v>13.9</v>
      </c>
      <c r="F202" s="12">
        <v>14.69</v>
      </c>
      <c r="G202" s="12">
        <v>13.7</v>
      </c>
      <c r="I202" s="27"/>
      <c r="J202" s="27"/>
    </row>
    <row r="203" spans="2:10" ht="15.6" x14ac:dyDescent="0.3">
      <c r="B203" s="5" t="s">
        <v>359</v>
      </c>
      <c r="C203" s="5" t="s">
        <v>1704</v>
      </c>
      <c r="D203" s="12">
        <v>46.9</v>
      </c>
      <c r="E203" s="12">
        <v>24.9</v>
      </c>
      <c r="F203" s="12">
        <v>27.67</v>
      </c>
      <c r="G203" s="12">
        <v>25.8</v>
      </c>
      <c r="I203" s="27"/>
      <c r="J203" s="27"/>
    </row>
    <row r="204" spans="2:10" ht="15.6" x14ac:dyDescent="0.3">
      <c r="B204" s="5" t="s">
        <v>436</v>
      </c>
      <c r="C204" s="5" t="s">
        <v>437</v>
      </c>
      <c r="D204" s="12">
        <v>11.9</v>
      </c>
      <c r="E204" s="12">
        <v>6.9</v>
      </c>
      <c r="F204" s="12">
        <v>7.02</v>
      </c>
      <c r="G204" s="12">
        <v>6.55</v>
      </c>
      <c r="I204" s="27"/>
      <c r="J204" s="27"/>
    </row>
    <row r="205" spans="2:10" ht="15.6" x14ac:dyDescent="0.3">
      <c r="B205" s="5" t="s">
        <v>361</v>
      </c>
      <c r="C205" s="5" t="s">
        <v>1705</v>
      </c>
      <c r="D205" s="12">
        <v>15.9</v>
      </c>
      <c r="E205" s="12">
        <v>8.9</v>
      </c>
      <c r="F205" s="12">
        <v>9.3800000000000008</v>
      </c>
      <c r="G205" s="12">
        <v>8.75</v>
      </c>
      <c r="I205" s="27"/>
      <c r="J205" s="27"/>
    </row>
    <row r="206" spans="2:10" ht="15.6" x14ac:dyDescent="0.3">
      <c r="B206" s="5" t="s">
        <v>363</v>
      </c>
      <c r="C206" s="5" t="s">
        <v>1706</v>
      </c>
      <c r="D206" s="12">
        <v>29.9</v>
      </c>
      <c r="E206" s="12">
        <v>15.9</v>
      </c>
      <c r="F206" s="12">
        <v>17.64</v>
      </c>
      <c r="G206" s="12">
        <v>16.45</v>
      </c>
      <c r="I206" s="27"/>
      <c r="J206" s="27"/>
    </row>
    <row r="207" spans="2:10" ht="15.6" x14ac:dyDescent="0.3">
      <c r="B207" s="5" t="s">
        <v>365</v>
      </c>
      <c r="C207" s="5" t="s">
        <v>1707</v>
      </c>
      <c r="D207" s="12">
        <v>51.9</v>
      </c>
      <c r="E207" s="12">
        <v>25.9</v>
      </c>
      <c r="F207" s="12">
        <v>30.62</v>
      </c>
      <c r="G207" s="12">
        <v>28.55</v>
      </c>
      <c r="I207" s="27"/>
      <c r="J207" s="27"/>
    </row>
    <row r="208" spans="2:10" ht="15.6" x14ac:dyDescent="0.3">
      <c r="B208" s="5" t="s">
        <v>367</v>
      </c>
      <c r="C208" s="5" t="s">
        <v>1708</v>
      </c>
      <c r="D208" s="12">
        <v>22.9</v>
      </c>
      <c r="E208" s="12">
        <v>11.9</v>
      </c>
      <c r="F208" s="12">
        <v>13.51</v>
      </c>
      <c r="G208" s="12">
        <v>12.6</v>
      </c>
      <c r="I208" s="27"/>
      <c r="J208" s="27"/>
    </row>
    <row r="209" spans="2:10" ht="15.6" x14ac:dyDescent="0.3">
      <c r="B209" s="5" t="s">
        <v>369</v>
      </c>
      <c r="C209" s="5" t="s">
        <v>1709</v>
      </c>
      <c r="D209" s="12">
        <v>16.899999999999999</v>
      </c>
      <c r="E209" s="12">
        <v>8.9</v>
      </c>
      <c r="F209" s="12">
        <v>9.9700000000000006</v>
      </c>
      <c r="G209" s="12">
        <v>9.3000000000000007</v>
      </c>
      <c r="I209" s="27"/>
      <c r="J209" s="27"/>
    </row>
    <row r="210" spans="2:10" ht="15.6" x14ac:dyDescent="0.3">
      <c r="B210" s="5" t="s">
        <v>371</v>
      </c>
      <c r="C210" s="5" t="s">
        <v>1710</v>
      </c>
      <c r="D210" s="12">
        <v>21.9</v>
      </c>
      <c r="E210" s="12">
        <v>11.9</v>
      </c>
      <c r="F210" s="12">
        <v>12.92</v>
      </c>
      <c r="G210" s="12">
        <v>12.05</v>
      </c>
      <c r="I210" s="27"/>
      <c r="J210" s="27"/>
    </row>
    <row r="211" spans="2:10" ht="15.6" x14ac:dyDescent="0.3">
      <c r="B211" s="5" t="s">
        <v>373</v>
      </c>
      <c r="C211" s="5" t="s">
        <v>1711</v>
      </c>
      <c r="D211" s="12">
        <v>36.9</v>
      </c>
      <c r="E211" s="12">
        <v>19.899999999999999</v>
      </c>
      <c r="F211" s="12">
        <v>21.77</v>
      </c>
      <c r="G211" s="12">
        <v>20.3</v>
      </c>
      <c r="I211" s="27"/>
      <c r="J211" s="27"/>
    </row>
    <row r="212" spans="2:10" ht="15.6" x14ac:dyDescent="0.3">
      <c r="B212" s="5" t="s">
        <v>375</v>
      </c>
      <c r="C212" s="5" t="s">
        <v>1712</v>
      </c>
      <c r="D212" s="12">
        <v>22.9</v>
      </c>
      <c r="E212" s="12">
        <v>12.9</v>
      </c>
      <c r="F212" s="12">
        <v>13.51</v>
      </c>
      <c r="G212" s="12">
        <v>12.6</v>
      </c>
      <c r="I212" s="27"/>
      <c r="J212" s="27"/>
    </row>
    <row r="213" spans="2:10" ht="15.6" x14ac:dyDescent="0.3">
      <c r="B213" s="5" t="s">
        <v>377</v>
      </c>
      <c r="C213" s="5" t="s">
        <v>1713</v>
      </c>
      <c r="D213" s="12">
        <v>44.9</v>
      </c>
      <c r="E213" s="12">
        <v>23.9</v>
      </c>
      <c r="F213" s="12">
        <v>26.49</v>
      </c>
      <c r="G213" s="12">
        <v>24.7</v>
      </c>
      <c r="I213" s="27"/>
      <c r="J213" s="27"/>
    </row>
    <row r="214" spans="2:10" ht="15.6" x14ac:dyDescent="0.3">
      <c r="B214" s="5" t="s">
        <v>379</v>
      </c>
      <c r="C214" s="5" t="s">
        <v>1714</v>
      </c>
      <c r="D214" s="12">
        <v>25.9</v>
      </c>
      <c r="E214" s="12">
        <v>13.9</v>
      </c>
      <c r="F214" s="12">
        <v>15.28</v>
      </c>
      <c r="G214" s="12">
        <v>14.25</v>
      </c>
      <c r="I214" s="27"/>
      <c r="J214" s="27"/>
    </row>
    <row r="215" spans="2:10" ht="15.6" x14ac:dyDescent="0.3">
      <c r="B215" s="5" t="s">
        <v>381</v>
      </c>
      <c r="C215" s="5" t="s">
        <v>1715</v>
      </c>
      <c r="D215" s="12">
        <v>20.9</v>
      </c>
      <c r="E215" s="12">
        <v>10.9</v>
      </c>
      <c r="F215" s="12">
        <v>12.33</v>
      </c>
      <c r="G215" s="12">
        <v>11.5</v>
      </c>
      <c r="I215" s="27"/>
      <c r="J215" s="27"/>
    </row>
    <row r="216" spans="2:10" ht="15.6" x14ac:dyDescent="0.3">
      <c r="B216" s="5" t="s">
        <v>383</v>
      </c>
      <c r="C216" s="5" t="s">
        <v>1716</v>
      </c>
      <c r="D216" s="12">
        <v>23.9</v>
      </c>
      <c r="E216" s="12">
        <v>12.9</v>
      </c>
      <c r="F216" s="12">
        <v>14.1</v>
      </c>
      <c r="G216" s="12">
        <v>13.15</v>
      </c>
      <c r="I216" s="27"/>
      <c r="J216" s="27"/>
    </row>
    <row r="217" spans="2:10" ht="15.6" x14ac:dyDescent="0.3">
      <c r="B217" s="5" t="s">
        <v>385</v>
      </c>
      <c r="C217" s="5" t="s">
        <v>1717</v>
      </c>
      <c r="D217" s="12">
        <v>41.9</v>
      </c>
      <c r="E217" s="12">
        <v>22.9</v>
      </c>
      <c r="F217" s="12">
        <v>24.72</v>
      </c>
      <c r="G217" s="12">
        <v>23.05</v>
      </c>
      <c r="I217" s="27"/>
      <c r="J217" s="27"/>
    </row>
    <row r="218" spans="2:10" ht="15.6" x14ac:dyDescent="0.3">
      <c r="B218" s="5" t="s">
        <v>387</v>
      </c>
      <c r="C218" s="5" t="s">
        <v>1718</v>
      </c>
      <c r="D218" s="12">
        <v>26.9</v>
      </c>
      <c r="E218" s="12">
        <v>13.9</v>
      </c>
      <c r="F218" s="12">
        <v>15.87</v>
      </c>
      <c r="G218" s="12">
        <v>14.8</v>
      </c>
      <c r="I218" s="27"/>
      <c r="J218" s="27"/>
    </row>
    <row r="219" spans="2:10" ht="15.6" x14ac:dyDescent="0.3">
      <c r="B219" s="5" t="s">
        <v>389</v>
      </c>
      <c r="C219" s="5" t="s">
        <v>1719</v>
      </c>
      <c r="D219" s="12">
        <v>31.9</v>
      </c>
      <c r="E219" s="12">
        <v>16.899999999999999</v>
      </c>
      <c r="F219" s="12">
        <v>18.82</v>
      </c>
      <c r="G219" s="12">
        <v>17.55</v>
      </c>
      <c r="I219" s="27"/>
      <c r="J219" s="27"/>
    </row>
    <row r="220" spans="2:10" ht="15.6" x14ac:dyDescent="0.3">
      <c r="B220" s="5" t="s">
        <v>391</v>
      </c>
      <c r="C220" s="5" t="s">
        <v>1720</v>
      </c>
      <c r="D220" s="12">
        <v>31.9</v>
      </c>
      <c r="E220" s="12">
        <v>16.899999999999999</v>
      </c>
      <c r="F220" s="12">
        <v>18.82</v>
      </c>
      <c r="G220" s="12">
        <v>17.55</v>
      </c>
      <c r="I220" s="27"/>
      <c r="J220" s="27"/>
    </row>
    <row r="221" spans="2:10" ht="15.6" x14ac:dyDescent="0.3">
      <c r="B221" s="5" t="s">
        <v>393</v>
      </c>
      <c r="C221" s="5" t="s">
        <v>1721</v>
      </c>
      <c r="D221" s="12">
        <v>56.9</v>
      </c>
      <c r="E221" s="12">
        <v>27.9</v>
      </c>
      <c r="F221" s="12">
        <v>33.57</v>
      </c>
      <c r="G221" s="12">
        <v>31.3</v>
      </c>
      <c r="I221" s="27"/>
      <c r="J221" s="27"/>
    </row>
    <row r="222" spans="2:10" ht="15.6" x14ac:dyDescent="0.3">
      <c r="B222" s="5" t="s">
        <v>395</v>
      </c>
      <c r="C222" s="5" t="s">
        <v>1722</v>
      </c>
      <c r="D222" s="12">
        <v>62.9</v>
      </c>
      <c r="E222" s="12">
        <v>32.9</v>
      </c>
      <c r="F222" s="12">
        <v>37.11</v>
      </c>
      <c r="G222" s="12">
        <v>34.6</v>
      </c>
      <c r="I222" s="27"/>
      <c r="J222" s="27"/>
    </row>
    <row r="223" spans="2:10" ht="15.6" x14ac:dyDescent="0.3">
      <c r="B223" s="5" t="s">
        <v>397</v>
      </c>
      <c r="C223" s="5" t="s">
        <v>403</v>
      </c>
      <c r="D223" s="12">
        <v>26.9</v>
      </c>
      <c r="E223" s="12">
        <v>14.9</v>
      </c>
      <c r="F223" s="12">
        <v>15.87</v>
      </c>
      <c r="G223" s="12">
        <v>14.8</v>
      </c>
      <c r="I223" s="27"/>
      <c r="J223" s="27"/>
    </row>
    <row r="224" spans="2:10" ht="15.6" x14ac:dyDescent="0.3">
      <c r="B224" s="5" t="s">
        <v>399</v>
      </c>
      <c r="C224" s="5" t="s">
        <v>1723</v>
      </c>
      <c r="D224" s="12">
        <v>47.9</v>
      </c>
      <c r="E224" s="12">
        <v>24.9</v>
      </c>
      <c r="F224" s="12">
        <v>28.26</v>
      </c>
      <c r="G224" s="12">
        <v>26.35</v>
      </c>
      <c r="I224" s="27"/>
      <c r="J224" s="27"/>
    </row>
    <row r="225" spans="2:10" ht="15.6" x14ac:dyDescent="0.3">
      <c r="B225" s="5" t="s">
        <v>1531</v>
      </c>
      <c r="C225" s="5" t="s">
        <v>1724</v>
      </c>
      <c r="D225" s="12">
        <v>47.9</v>
      </c>
      <c r="E225" s="12">
        <v>24.9</v>
      </c>
      <c r="F225" s="12">
        <v>28.26</v>
      </c>
      <c r="G225" s="12">
        <v>26.35</v>
      </c>
      <c r="I225" s="27"/>
      <c r="J225" s="27"/>
    </row>
    <row r="226" spans="2:10" ht="15.6" x14ac:dyDescent="0.3">
      <c r="B226" s="5" t="s">
        <v>1532</v>
      </c>
      <c r="C226" s="5" t="s">
        <v>1725</v>
      </c>
      <c r="D226" s="12">
        <v>26.9</v>
      </c>
      <c r="E226" s="12">
        <v>14.9</v>
      </c>
      <c r="F226" s="12">
        <v>15.87</v>
      </c>
      <c r="G226" s="12">
        <v>14.8</v>
      </c>
      <c r="I226" s="27"/>
      <c r="J226" s="27"/>
    </row>
    <row r="227" spans="2:10" ht="15.6" x14ac:dyDescent="0.3">
      <c r="B227" s="5" t="s">
        <v>404</v>
      </c>
      <c r="C227" s="5" t="s">
        <v>1726</v>
      </c>
      <c r="D227" s="12">
        <v>53.9</v>
      </c>
      <c r="E227" s="12">
        <v>27.9</v>
      </c>
      <c r="F227" s="12">
        <v>31.8</v>
      </c>
      <c r="G227" s="12">
        <v>29.65</v>
      </c>
      <c r="I227" s="27"/>
      <c r="J227" s="27"/>
    </row>
    <row r="228" spans="2:10" ht="15.6" x14ac:dyDescent="0.3">
      <c r="B228" s="5" t="s">
        <v>454</v>
      </c>
      <c r="C228" s="5" t="s">
        <v>455</v>
      </c>
      <c r="D228" s="12">
        <v>48.9</v>
      </c>
      <c r="E228" s="12">
        <v>24.9</v>
      </c>
      <c r="F228" s="12">
        <v>28.85</v>
      </c>
      <c r="G228" s="12">
        <v>26.9</v>
      </c>
      <c r="I228" s="27"/>
      <c r="J228" s="27"/>
    </row>
    <row r="229" spans="2:10" ht="15.6" x14ac:dyDescent="0.3">
      <c r="B229" s="5" t="s">
        <v>456</v>
      </c>
      <c r="C229" s="5" t="s">
        <v>457</v>
      </c>
      <c r="D229" s="12">
        <v>73.900000000000006</v>
      </c>
      <c r="E229" s="12">
        <v>36.9</v>
      </c>
      <c r="F229" s="12">
        <v>43.6</v>
      </c>
      <c r="G229" s="12">
        <v>40.65</v>
      </c>
      <c r="I229" s="27"/>
      <c r="J229" s="27"/>
    </row>
    <row r="230" spans="2:10" ht="15.6" x14ac:dyDescent="0.3">
      <c r="B230" s="5" t="s">
        <v>406</v>
      </c>
      <c r="C230" s="5" t="s">
        <v>1727</v>
      </c>
      <c r="D230" s="12">
        <v>16.899999999999999</v>
      </c>
      <c r="E230" s="12">
        <v>8.9</v>
      </c>
      <c r="F230" s="12">
        <v>9.9700000000000006</v>
      </c>
      <c r="G230" s="12">
        <v>9.3000000000000007</v>
      </c>
      <c r="I230" s="27"/>
      <c r="J230" s="27"/>
    </row>
    <row r="231" spans="2:10" ht="15.6" x14ac:dyDescent="0.3">
      <c r="B231" s="5" t="s">
        <v>408</v>
      </c>
      <c r="C231" s="5" t="s">
        <v>1728</v>
      </c>
      <c r="D231" s="12">
        <v>31.9</v>
      </c>
      <c r="E231" s="12">
        <v>15.9</v>
      </c>
      <c r="F231" s="12">
        <v>18.82</v>
      </c>
      <c r="G231" s="12">
        <v>17.55</v>
      </c>
      <c r="I231" s="27"/>
      <c r="J231" s="27"/>
    </row>
    <row r="232" spans="2:10" ht="15.6" x14ac:dyDescent="0.3">
      <c r="B232" s="5" t="s">
        <v>410</v>
      </c>
      <c r="C232" s="5"/>
      <c r="D232" s="12">
        <v>69.900000000000006</v>
      </c>
      <c r="E232" s="12">
        <v>35.9</v>
      </c>
      <c r="F232" s="12">
        <v>41.24</v>
      </c>
      <c r="G232" s="12">
        <v>38.450000000000003</v>
      </c>
      <c r="I232" s="27"/>
      <c r="J232" s="27"/>
    </row>
    <row r="233" spans="2:10" ht="15.6" x14ac:dyDescent="0.3">
      <c r="B233" s="5"/>
      <c r="C233" s="5"/>
      <c r="D233" s="12"/>
      <c r="E233" s="12"/>
      <c r="G233" s="12"/>
    </row>
    <row r="234" spans="2:10" ht="15.6" x14ac:dyDescent="0.3">
      <c r="B234" s="5" t="s">
        <v>458</v>
      </c>
      <c r="C234" s="5" t="s">
        <v>1729</v>
      </c>
      <c r="D234" s="12"/>
      <c r="E234" s="12">
        <v>9.9</v>
      </c>
      <c r="G234" s="12"/>
    </row>
    <row r="235" spans="2:10" ht="15.6" x14ac:dyDescent="0.3">
      <c r="B235" s="5" t="s">
        <v>459</v>
      </c>
      <c r="C235" s="5" t="s">
        <v>460</v>
      </c>
      <c r="D235" s="12"/>
      <c r="E235" s="12">
        <v>27.9</v>
      </c>
      <c r="G235" s="12"/>
    </row>
    <row r="236" spans="2:10" ht="15.6" x14ac:dyDescent="0.3">
      <c r="B236" s="5" t="s">
        <v>461</v>
      </c>
      <c r="C236" s="5" t="s">
        <v>462</v>
      </c>
      <c r="D236" s="12"/>
      <c r="E236" s="12">
        <v>13.9</v>
      </c>
      <c r="G236" s="12"/>
    </row>
    <row r="237" spans="2:10" ht="15.6" x14ac:dyDescent="0.3">
      <c r="B237" s="5" t="s">
        <v>463</v>
      </c>
      <c r="C237" s="5" t="s">
        <v>464</v>
      </c>
      <c r="D237" s="12"/>
      <c r="E237" s="12">
        <v>13.9</v>
      </c>
      <c r="G237" s="12"/>
    </row>
    <row r="238" spans="2:10" ht="15.6" x14ac:dyDescent="0.3">
      <c r="B238" s="5" t="s">
        <v>465</v>
      </c>
      <c r="C238" s="5" t="s">
        <v>466</v>
      </c>
      <c r="D238" s="12"/>
      <c r="E238" s="12">
        <v>35.9</v>
      </c>
      <c r="G238" s="12"/>
    </row>
    <row r="239" spans="2:10" ht="15.6" x14ac:dyDescent="0.3">
      <c r="B239" s="5" t="s">
        <v>467</v>
      </c>
      <c r="C239" s="5" t="s">
        <v>468</v>
      </c>
      <c r="D239" s="12"/>
      <c r="E239" s="12">
        <v>13.9</v>
      </c>
      <c r="G239" s="12"/>
    </row>
    <row r="240" spans="2:10" ht="15.6" x14ac:dyDescent="0.3">
      <c r="B240" s="5" t="s">
        <v>469</v>
      </c>
      <c r="C240" s="5" t="s">
        <v>470</v>
      </c>
      <c r="D240" s="12"/>
      <c r="E240" s="12">
        <v>13.9</v>
      </c>
      <c r="G240" s="12"/>
    </row>
    <row r="241" spans="2:7" ht="15.6" x14ac:dyDescent="0.3">
      <c r="B241" s="5" t="s">
        <v>471</v>
      </c>
      <c r="C241" s="5" t="s">
        <v>472</v>
      </c>
      <c r="D241" s="12"/>
      <c r="E241" s="12">
        <v>24.9</v>
      </c>
      <c r="G241" s="12"/>
    </row>
    <row r="242" spans="2:7" ht="15.6" x14ac:dyDescent="0.3">
      <c r="B242" s="5" t="s">
        <v>473</v>
      </c>
      <c r="C242" s="5" t="s">
        <v>474</v>
      </c>
      <c r="D242" s="12"/>
      <c r="E242" s="12">
        <v>17.899999999999999</v>
      </c>
      <c r="G242" s="12"/>
    </row>
    <row r="243" spans="2:7" ht="15.6" x14ac:dyDescent="0.3">
      <c r="B243" s="5" t="s">
        <v>475</v>
      </c>
      <c r="C243" s="5" t="s">
        <v>476</v>
      </c>
      <c r="D243" s="12"/>
      <c r="E243" s="12">
        <v>13.9</v>
      </c>
      <c r="G243" s="12"/>
    </row>
    <row r="244" spans="2:7" ht="15.6" x14ac:dyDescent="0.3">
      <c r="B244" s="5" t="s">
        <v>477</v>
      </c>
      <c r="C244" s="5" t="s">
        <v>478</v>
      </c>
      <c r="D244" s="12"/>
      <c r="E244" s="12">
        <v>30.9</v>
      </c>
      <c r="G244" s="12"/>
    </row>
    <row r="245" spans="2:7" ht="15.6" x14ac:dyDescent="0.3">
      <c r="B245" s="5" t="s">
        <v>479</v>
      </c>
      <c r="C245" s="5" t="s">
        <v>480</v>
      </c>
      <c r="D245" s="12"/>
      <c r="E245" s="12">
        <v>13.9</v>
      </c>
      <c r="G245" s="12"/>
    </row>
    <row r="246" spans="2:7" ht="15.6" x14ac:dyDescent="0.3">
      <c r="B246" s="5" t="s">
        <v>481</v>
      </c>
      <c r="C246" s="5" t="s">
        <v>482</v>
      </c>
      <c r="D246" s="12"/>
      <c r="E246" s="12">
        <v>14.9</v>
      </c>
      <c r="G246" s="12"/>
    </row>
    <row r="247" spans="2:7" ht="15.6" x14ac:dyDescent="0.3">
      <c r="B247" s="5" t="s">
        <v>483</v>
      </c>
      <c r="C247" s="5" t="s">
        <v>484</v>
      </c>
      <c r="D247" s="12"/>
      <c r="E247" s="12">
        <v>30.9</v>
      </c>
      <c r="G247" s="12"/>
    </row>
    <row r="248" spans="2:7" ht="15.6" x14ac:dyDescent="0.3">
      <c r="B248" s="5" t="s">
        <v>485</v>
      </c>
      <c r="C248" s="5" t="s">
        <v>486</v>
      </c>
      <c r="D248" s="12"/>
      <c r="E248" s="12">
        <v>12.9</v>
      </c>
      <c r="G248" s="12"/>
    </row>
    <row r="249" spans="2:7" ht="15.6" x14ac:dyDescent="0.3">
      <c r="B249" s="5" t="s">
        <v>487</v>
      </c>
      <c r="C249" s="5" t="s">
        <v>488</v>
      </c>
      <c r="D249" s="12"/>
      <c r="E249" s="12">
        <v>13.9</v>
      </c>
      <c r="G249" s="12"/>
    </row>
    <row r="250" spans="2:7" ht="15.6" x14ac:dyDescent="0.3">
      <c r="B250" s="5" t="s">
        <v>489</v>
      </c>
      <c r="C250" s="5" t="s">
        <v>490</v>
      </c>
      <c r="D250" s="12"/>
      <c r="E250" s="12">
        <v>23.9</v>
      </c>
      <c r="G250" s="12"/>
    </row>
    <row r="251" spans="2:7" ht="15.6" x14ac:dyDescent="0.3">
      <c r="B251" s="5" t="s">
        <v>491</v>
      </c>
      <c r="C251" s="5" t="s">
        <v>492</v>
      </c>
      <c r="D251" s="12"/>
      <c r="E251" s="12">
        <v>27.9</v>
      </c>
      <c r="G251" s="12"/>
    </row>
    <row r="252" spans="2:7" ht="15.6" x14ac:dyDescent="0.3">
      <c r="B252" s="5" t="s">
        <v>493</v>
      </c>
      <c r="C252" s="5" t="s">
        <v>494</v>
      </c>
      <c r="D252" s="12"/>
      <c r="E252" s="12">
        <v>50.9</v>
      </c>
      <c r="G252" s="12"/>
    </row>
    <row r="253" spans="2:7" ht="15.6" x14ac:dyDescent="0.3">
      <c r="B253" s="5" t="s">
        <v>495</v>
      </c>
      <c r="C253" s="5" t="s">
        <v>496</v>
      </c>
      <c r="D253" s="12"/>
      <c r="E253" s="12">
        <v>18.899999999999999</v>
      </c>
      <c r="G253" s="12"/>
    </row>
    <row r="254" spans="2:7" ht="15.6" x14ac:dyDescent="0.3">
      <c r="B254" s="5" t="s">
        <v>497</v>
      </c>
      <c r="C254" s="5" t="s">
        <v>498</v>
      </c>
      <c r="D254" s="12"/>
      <c r="E254" s="12">
        <v>12.9</v>
      </c>
      <c r="G254" s="12"/>
    </row>
    <row r="255" spans="2:7" ht="15.6" x14ac:dyDescent="0.3">
      <c r="B255" s="5" t="s">
        <v>499</v>
      </c>
      <c r="C255" s="5" t="s">
        <v>500</v>
      </c>
      <c r="D255" s="12"/>
      <c r="E255" s="12">
        <v>12.9</v>
      </c>
      <c r="G255" s="12"/>
    </row>
    <row r="256" spans="2:7" ht="15.6" x14ac:dyDescent="0.3">
      <c r="B256" s="5" t="s">
        <v>501</v>
      </c>
      <c r="C256" s="5" t="s">
        <v>502</v>
      </c>
      <c r="D256" s="12"/>
      <c r="E256" s="12">
        <v>22.9</v>
      </c>
      <c r="G256" s="12"/>
    </row>
    <row r="257" spans="2:7" ht="15.6" x14ac:dyDescent="0.3">
      <c r="B257" s="5" t="s">
        <v>503</v>
      </c>
      <c r="C257" s="5" t="s">
        <v>504</v>
      </c>
      <c r="D257" s="12"/>
      <c r="E257" s="12">
        <v>37.9</v>
      </c>
      <c r="G257" s="12"/>
    </row>
    <row r="258" spans="2:7" ht="15.6" x14ac:dyDescent="0.3">
      <c r="B258" s="5" t="s">
        <v>505</v>
      </c>
      <c r="C258" s="5" t="s">
        <v>506</v>
      </c>
      <c r="D258" s="12"/>
      <c r="E258" s="12">
        <v>22.9</v>
      </c>
      <c r="G258" s="12"/>
    </row>
    <row r="259" spans="2:7" ht="15.6" x14ac:dyDescent="0.3">
      <c r="B259" s="5" t="s">
        <v>507</v>
      </c>
      <c r="C259" s="5" t="s">
        <v>508</v>
      </c>
      <c r="D259" s="12"/>
      <c r="E259" s="12">
        <v>27.9</v>
      </c>
      <c r="G259" s="12"/>
    </row>
    <row r="260" spans="2:7" ht="15.6" x14ac:dyDescent="0.3">
      <c r="B260" s="5" t="s">
        <v>509</v>
      </c>
      <c r="C260" s="5" t="s">
        <v>510</v>
      </c>
      <c r="D260" s="12"/>
      <c r="E260" s="12">
        <v>27.9</v>
      </c>
      <c r="G260" s="12"/>
    </row>
    <row r="261" spans="2:7" ht="15.6" x14ac:dyDescent="0.3">
      <c r="B261" s="5" t="s">
        <v>511</v>
      </c>
      <c r="C261" s="5" t="s">
        <v>512</v>
      </c>
      <c r="D261" s="12"/>
      <c r="E261" s="12">
        <v>14.9</v>
      </c>
      <c r="G261" s="12"/>
    </row>
    <row r="262" spans="2:7" ht="15.6" x14ac:dyDescent="0.3">
      <c r="B262" s="5" t="s">
        <v>513</v>
      </c>
      <c r="C262" s="5" t="s">
        <v>201</v>
      </c>
      <c r="D262" s="12"/>
      <c r="E262" s="12">
        <v>20.9</v>
      </c>
      <c r="G262" s="12"/>
    </row>
    <row r="263" spans="2:7" ht="15.6" x14ac:dyDescent="0.3">
      <c r="B263" s="5" t="s">
        <v>514</v>
      </c>
      <c r="C263" s="5" t="s">
        <v>515</v>
      </c>
      <c r="D263" s="12"/>
      <c r="E263" s="12">
        <v>9.9</v>
      </c>
      <c r="G263" s="12"/>
    </row>
    <row r="264" spans="2:7" ht="15.6" x14ac:dyDescent="0.3">
      <c r="B264" s="5" t="s">
        <v>516</v>
      </c>
      <c r="C264" s="5" t="s">
        <v>517</v>
      </c>
      <c r="D264" s="12"/>
      <c r="E264" s="12">
        <v>13.9</v>
      </c>
      <c r="G264" s="12"/>
    </row>
    <row r="265" spans="2:7" ht="15.6" x14ac:dyDescent="0.3">
      <c r="B265" s="5" t="s">
        <v>518</v>
      </c>
      <c r="C265" s="5" t="s">
        <v>519</v>
      </c>
      <c r="D265" s="12"/>
      <c r="E265" s="12">
        <v>21.9</v>
      </c>
      <c r="G265" s="12"/>
    </row>
    <row r="266" spans="2:7" ht="15.6" x14ac:dyDescent="0.3">
      <c r="B266" s="5" t="s">
        <v>520</v>
      </c>
      <c r="C266" s="5" t="s">
        <v>521</v>
      </c>
      <c r="D266" s="12"/>
      <c r="E266" s="12">
        <v>21.9</v>
      </c>
      <c r="G266" s="12"/>
    </row>
    <row r="267" spans="2:7" ht="15.6" x14ac:dyDescent="0.3">
      <c r="B267" s="5" t="s">
        <v>522</v>
      </c>
      <c r="C267" s="5" t="s">
        <v>523</v>
      </c>
      <c r="D267" s="12"/>
      <c r="E267" s="12">
        <v>7.9</v>
      </c>
      <c r="G267" s="12"/>
    </row>
    <row r="268" spans="2:7" ht="15.6" x14ac:dyDescent="0.3">
      <c r="B268" s="5" t="s">
        <v>524</v>
      </c>
      <c r="C268" s="5" t="s">
        <v>525</v>
      </c>
      <c r="D268" s="12"/>
      <c r="E268" s="12">
        <v>35.9</v>
      </c>
      <c r="G268" s="12"/>
    </row>
    <row r="269" spans="2:7" ht="15.6" x14ac:dyDescent="0.3">
      <c r="B269" s="5" t="s">
        <v>526</v>
      </c>
      <c r="C269" s="5" t="s">
        <v>527</v>
      </c>
      <c r="D269" s="12"/>
      <c r="E269" s="12">
        <v>13.9</v>
      </c>
      <c r="G269" s="12"/>
    </row>
    <row r="270" spans="2:7" ht="15.6" x14ac:dyDescent="0.3">
      <c r="B270" s="5" t="s">
        <v>528</v>
      </c>
      <c r="C270" s="5" t="s">
        <v>529</v>
      </c>
      <c r="D270" s="12"/>
      <c r="E270" s="12">
        <v>14.9</v>
      </c>
      <c r="G270" s="12"/>
    </row>
    <row r="271" spans="2:7" ht="15.6" x14ac:dyDescent="0.3">
      <c r="B271" s="5" t="s">
        <v>530</v>
      </c>
      <c r="C271" s="5" t="s">
        <v>531</v>
      </c>
      <c r="D271" s="12"/>
      <c r="E271" s="12">
        <v>23.9</v>
      </c>
      <c r="G271" s="12"/>
    </row>
    <row r="272" spans="2:7" ht="15.6" x14ac:dyDescent="0.3">
      <c r="B272" s="5" t="s">
        <v>532</v>
      </c>
      <c r="C272" s="5" t="s">
        <v>533</v>
      </c>
      <c r="D272" s="12"/>
      <c r="E272" s="12">
        <v>17.899999999999999</v>
      </c>
      <c r="G272" s="12"/>
    </row>
    <row r="273" spans="2:7" ht="15.6" x14ac:dyDescent="0.3">
      <c r="B273" s="5" t="s">
        <v>534</v>
      </c>
      <c r="C273" s="5" t="s">
        <v>535</v>
      </c>
      <c r="D273" s="12"/>
      <c r="E273" s="12">
        <v>20.9</v>
      </c>
      <c r="G273" s="12"/>
    </row>
    <row r="274" spans="2:7" ht="15.6" x14ac:dyDescent="0.3">
      <c r="B274" s="5" t="s">
        <v>536</v>
      </c>
      <c r="C274" s="5" t="s">
        <v>537</v>
      </c>
      <c r="D274" s="12"/>
      <c r="E274" s="12">
        <v>14.9</v>
      </c>
      <c r="G274" s="12"/>
    </row>
    <row r="275" spans="2:7" ht="15.6" x14ac:dyDescent="0.3">
      <c r="B275" s="5" t="s">
        <v>538</v>
      </c>
      <c r="C275" s="5" t="s">
        <v>539</v>
      </c>
      <c r="D275" s="12"/>
      <c r="E275" s="12">
        <v>19.899999999999999</v>
      </c>
      <c r="G275" s="12"/>
    </row>
    <row r="276" spans="2:7" ht="15.6" x14ac:dyDescent="0.3">
      <c r="B276" s="5" t="s">
        <v>540</v>
      </c>
      <c r="C276" s="5" t="s">
        <v>541</v>
      </c>
      <c r="D276" s="12"/>
      <c r="E276" s="12">
        <v>8.9</v>
      </c>
      <c r="G276" s="12"/>
    </row>
    <row r="277" spans="2:7" ht="15.6" x14ac:dyDescent="0.3">
      <c r="B277" s="5" t="s">
        <v>542</v>
      </c>
      <c r="C277" s="5" t="s">
        <v>543</v>
      </c>
      <c r="D277" s="12"/>
      <c r="E277" s="12">
        <v>19.899999999999999</v>
      </c>
      <c r="G277" s="12"/>
    </row>
    <row r="278" spans="2:7" ht="15.6" x14ac:dyDescent="0.3">
      <c r="B278" s="5" t="s">
        <v>544</v>
      </c>
      <c r="C278" s="5" t="s">
        <v>545</v>
      </c>
      <c r="D278" s="12"/>
      <c r="E278" s="12">
        <v>13.9</v>
      </c>
      <c r="G278" s="12"/>
    </row>
    <row r="279" spans="2:7" ht="15.6" x14ac:dyDescent="0.3">
      <c r="B279" s="5" t="s">
        <v>546</v>
      </c>
      <c r="C279" s="5" t="s">
        <v>547</v>
      </c>
      <c r="D279" s="12"/>
      <c r="E279" s="12">
        <v>10.9</v>
      </c>
      <c r="G279" s="12"/>
    </row>
    <row r="280" spans="2:7" ht="15.6" x14ac:dyDescent="0.3">
      <c r="B280" s="5" t="s">
        <v>548</v>
      </c>
      <c r="C280" s="5" t="s">
        <v>549</v>
      </c>
      <c r="D280" s="12"/>
      <c r="E280" s="12">
        <v>12.9</v>
      </c>
      <c r="G280" s="12"/>
    </row>
    <row r="281" spans="2:7" ht="15.6" x14ac:dyDescent="0.3">
      <c r="B281" s="5" t="s">
        <v>550</v>
      </c>
      <c r="C281" s="5" t="s">
        <v>551</v>
      </c>
      <c r="D281" s="12"/>
      <c r="E281" s="12">
        <v>13.9</v>
      </c>
      <c r="G281" s="12"/>
    </row>
    <row r="282" spans="2:7" ht="15.6" x14ac:dyDescent="0.3">
      <c r="B282" s="5" t="s">
        <v>552</v>
      </c>
      <c r="C282" s="5" t="s">
        <v>553</v>
      </c>
      <c r="D282" s="12"/>
      <c r="E282" s="12">
        <v>24.9</v>
      </c>
      <c r="G282" s="12"/>
    </row>
    <row r="283" spans="2:7" ht="15.6" x14ac:dyDescent="0.3">
      <c r="B283" s="5" t="s">
        <v>554</v>
      </c>
      <c r="C283" s="5" t="s">
        <v>554</v>
      </c>
      <c r="D283" s="12"/>
      <c r="E283" s="12">
        <v>22.416666666666668</v>
      </c>
      <c r="G283" s="12"/>
    </row>
    <row r="284" spans="2:7" ht="15.6" x14ac:dyDescent="0.3">
      <c r="B284" s="5" t="s">
        <v>555</v>
      </c>
      <c r="C284" s="5" t="s">
        <v>556</v>
      </c>
      <c r="D284" s="12"/>
      <c r="E284" s="12">
        <v>36.9</v>
      </c>
      <c r="G284" s="12"/>
    </row>
    <row r="285" spans="2:7" ht="15.6" x14ac:dyDescent="0.3">
      <c r="B285" s="5" t="s">
        <v>557</v>
      </c>
      <c r="C285" s="5" t="s">
        <v>558</v>
      </c>
      <c r="D285" s="12"/>
      <c r="E285" s="12">
        <v>8.9</v>
      </c>
      <c r="G285" s="12"/>
    </row>
    <row r="286" spans="2:7" ht="15.6" x14ac:dyDescent="0.3">
      <c r="B286" s="5" t="s">
        <v>559</v>
      </c>
      <c r="C286" s="5" t="s">
        <v>169</v>
      </c>
      <c r="D286" s="12"/>
      <c r="E286" s="12">
        <v>17.899999999999999</v>
      </c>
      <c r="G286" s="12"/>
    </row>
    <row r="287" spans="2:7" ht="15.6" x14ac:dyDescent="0.3">
      <c r="B287" s="5" t="s">
        <v>560</v>
      </c>
      <c r="C287" s="5" t="s">
        <v>561</v>
      </c>
      <c r="D287" s="12"/>
      <c r="E287" s="12">
        <v>25.9</v>
      </c>
      <c r="G287" s="12"/>
    </row>
    <row r="288" spans="2:7" ht="15.6" x14ac:dyDescent="0.3">
      <c r="B288" s="5" t="s">
        <v>562</v>
      </c>
      <c r="C288" s="5" t="s">
        <v>563</v>
      </c>
      <c r="D288" s="12"/>
      <c r="E288" s="12">
        <v>12.9</v>
      </c>
      <c r="G288" s="12"/>
    </row>
    <row r="289" spans="2:7" ht="15.6" x14ac:dyDescent="0.3">
      <c r="B289" s="5" t="s">
        <v>564</v>
      </c>
      <c r="C289" s="5" t="s">
        <v>565</v>
      </c>
      <c r="D289" s="12"/>
      <c r="E289" s="12">
        <v>13.9</v>
      </c>
      <c r="G289" s="12"/>
    </row>
    <row r="290" spans="2:7" ht="15.6" x14ac:dyDescent="0.3">
      <c r="B290" s="5" t="s">
        <v>566</v>
      </c>
      <c r="C290" s="5" t="s">
        <v>567</v>
      </c>
      <c r="D290" s="12"/>
      <c r="E290" s="12">
        <v>16.899999999999999</v>
      </c>
      <c r="G290" s="12"/>
    </row>
    <row r="291" spans="2:7" ht="15.6" x14ac:dyDescent="0.3">
      <c r="B291" s="5" t="s">
        <v>568</v>
      </c>
      <c r="C291" s="5" t="s">
        <v>569</v>
      </c>
      <c r="D291" s="12"/>
      <c r="E291" s="12">
        <v>33.9</v>
      </c>
      <c r="G291" s="12"/>
    </row>
    <row r="292" spans="2:7" ht="15.6" x14ac:dyDescent="0.3">
      <c r="B292" s="5" t="s">
        <v>570</v>
      </c>
      <c r="C292" s="5" t="s">
        <v>571</v>
      </c>
      <c r="D292" s="12"/>
      <c r="E292" s="12">
        <v>19.899999999999999</v>
      </c>
      <c r="G292" s="12"/>
    </row>
    <row r="293" spans="2:7" ht="15.6" x14ac:dyDescent="0.3">
      <c r="B293" s="5" t="s">
        <v>572</v>
      </c>
      <c r="C293" s="5" t="s">
        <v>169</v>
      </c>
      <c r="D293" s="12"/>
      <c r="E293" s="12">
        <v>25.9</v>
      </c>
      <c r="G293" s="12"/>
    </row>
    <row r="294" spans="2:7" ht="15.6" x14ac:dyDescent="0.3">
      <c r="B294" s="5" t="s">
        <v>573</v>
      </c>
      <c r="C294" s="5" t="s">
        <v>574</v>
      </c>
      <c r="D294" s="12"/>
      <c r="E294" s="12">
        <v>24.9</v>
      </c>
      <c r="G294" s="12"/>
    </row>
    <row r="295" spans="2:7" ht="15.6" x14ac:dyDescent="0.3">
      <c r="B295" s="5" t="s">
        <v>575</v>
      </c>
      <c r="C295" s="5" t="s">
        <v>576</v>
      </c>
      <c r="D295" s="12"/>
      <c r="E295" s="12">
        <v>13.9</v>
      </c>
      <c r="G295" s="12"/>
    </row>
    <row r="296" spans="2:7" ht="15.6" x14ac:dyDescent="0.3">
      <c r="B296" s="5" t="s">
        <v>577</v>
      </c>
      <c r="C296" s="5" t="s">
        <v>578</v>
      </c>
      <c r="D296" s="12"/>
      <c r="E296" s="12">
        <v>20.9</v>
      </c>
      <c r="G296" s="12"/>
    </row>
    <row r="297" spans="2:7" ht="15.6" x14ac:dyDescent="0.3">
      <c r="B297" s="5" t="s">
        <v>579</v>
      </c>
      <c r="C297" s="5" t="s">
        <v>580</v>
      </c>
      <c r="D297" s="12"/>
      <c r="E297" s="12">
        <v>70.900000000000006</v>
      </c>
      <c r="G297" s="12"/>
    </row>
    <row r="298" spans="2:7" ht="15.6" x14ac:dyDescent="0.3">
      <c r="B298" s="5" t="s">
        <v>581</v>
      </c>
      <c r="C298" s="5" t="s">
        <v>523</v>
      </c>
      <c r="D298" s="12"/>
      <c r="E298" s="12">
        <v>7.9</v>
      </c>
      <c r="G298" s="12"/>
    </row>
    <row r="299" spans="2:7" ht="15.6" x14ac:dyDescent="0.3">
      <c r="B299" s="5" t="s">
        <v>582</v>
      </c>
      <c r="C299" s="5" t="s">
        <v>583</v>
      </c>
      <c r="D299" s="12"/>
      <c r="E299" s="12">
        <v>20.9</v>
      </c>
      <c r="G299" s="12"/>
    </row>
    <row r="300" spans="2:7" ht="15.6" x14ac:dyDescent="0.3">
      <c r="B300" s="5" t="s">
        <v>584</v>
      </c>
      <c r="C300" s="5" t="s">
        <v>585</v>
      </c>
      <c r="D300" s="12"/>
      <c r="E300" s="12">
        <v>23.9</v>
      </c>
      <c r="G300" s="12"/>
    </row>
    <row r="301" spans="2:7" ht="15.6" x14ac:dyDescent="0.3">
      <c r="B301" s="5" t="s">
        <v>586</v>
      </c>
      <c r="C301" s="5" t="s">
        <v>587</v>
      </c>
      <c r="D301" s="12"/>
      <c r="E301" s="12">
        <v>20.9</v>
      </c>
      <c r="G301" s="12"/>
    </row>
    <row r="302" spans="2:7" ht="15.6" x14ac:dyDescent="0.3">
      <c r="B302" s="5" t="s">
        <v>588</v>
      </c>
      <c r="C302" s="5" t="s">
        <v>589</v>
      </c>
      <c r="D302" s="12"/>
      <c r="E302" s="12">
        <v>29.9</v>
      </c>
      <c r="G302" s="12"/>
    </row>
    <row r="303" spans="2:7" ht="15.6" x14ac:dyDescent="0.3">
      <c r="B303" s="5" t="s">
        <v>590</v>
      </c>
      <c r="C303" s="5" t="s">
        <v>591</v>
      </c>
      <c r="D303" s="12"/>
      <c r="E303" s="12">
        <v>16.899999999999999</v>
      </c>
      <c r="G303" s="12"/>
    </row>
    <row r="304" spans="2:7" ht="15.6" x14ac:dyDescent="0.3">
      <c r="B304" s="5" t="s">
        <v>592</v>
      </c>
      <c r="C304" s="5" t="s">
        <v>593</v>
      </c>
      <c r="D304" s="12"/>
      <c r="E304" s="12">
        <v>15.9</v>
      </c>
      <c r="G304" s="12"/>
    </row>
    <row r="305" spans="2:7" ht="15.6" x14ac:dyDescent="0.3">
      <c r="B305" s="5" t="s">
        <v>594</v>
      </c>
      <c r="C305" s="5" t="s">
        <v>541</v>
      </c>
      <c r="D305" s="12"/>
      <c r="E305" s="12">
        <v>8.9</v>
      </c>
      <c r="G305" s="12"/>
    </row>
    <row r="306" spans="2:7" ht="15.6" x14ac:dyDescent="0.3">
      <c r="B306" s="5" t="s">
        <v>595</v>
      </c>
      <c r="C306" s="5" t="s">
        <v>596</v>
      </c>
      <c r="D306" s="12"/>
      <c r="E306" s="12">
        <v>36.9</v>
      </c>
      <c r="G306" s="12"/>
    </row>
    <row r="307" spans="2:7" ht="15.6" x14ac:dyDescent="0.3">
      <c r="B307" s="5" t="s">
        <v>597</v>
      </c>
      <c r="C307" s="5" t="s">
        <v>598</v>
      </c>
      <c r="D307" s="12"/>
      <c r="E307" s="12">
        <v>17.899999999999999</v>
      </c>
      <c r="G307" s="12"/>
    </row>
    <row r="308" spans="2:7" ht="15.6" x14ac:dyDescent="0.3">
      <c r="B308" s="5" t="s">
        <v>599</v>
      </c>
      <c r="C308" s="5" t="s">
        <v>600</v>
      </c>
      <c r="D308" s="12"/>
      <c r="E308" s="12">
        <v>7.008</v>
      </c>
      <c r="G308" s="12"/>
    </row>
    <row r="309" spans="2:7" ht="15.6" x14ac:dyDescent="0.3">
      <c r="B309" s="5" t="s">
        <v>601</v>
      </c>
      <c r="C309" s="5" t="s">
        <v>602</v>
      </c>
      <c r="D309" s="12"/>
      <c r="E309" s="12">
        <v>13.9</v>
      </c>
      <c r="G309" s="12"/>
    </row>
    <row r="310" spans="2:7" ht="15.6" x14ac:dyDescent="0.3">
      <c r="B310" s="5" t="s">
        <v>603</v>
      </c>
      <c r="C310" s="5" t="s">
        <v>604</v>
      </c>
      <c r="D310" s="12"/>
      <c r="E310" s="12">
        <v>18.899999999999999</v>
      </c>
      <c r="G310" s="12"/>
    </row>
    <row r="311" spans="2:7" ht="15.6" x14ac:dyDescent="0.3">
      <c r="B311" s="5" t="s">
        <v>605</v>
      </c>
      <c r="C311" s="5" t="s">
        <v>606</v>
      </c>
      <c r="D311" s="12"/>
      <c r="E311" s="12">
        <v>29.9</v>
      </c>
      <c r="G311" s="12"/>
    </row>
    <row r="312" spans="2:7" ht="15.6" x14ac:dyDescent="0.3">
      <c r="B312" s="5" t="s">
        <v>607</v>
      </c>
      <c r="C312" s="5" t="s">
        <v>608</v>
      </c>
      <c r="D312" s="12"/>
      <c r="E312" s="12">
        <v>14.9</v>
      </c>
      <c r="G312" s="12"/>
    </row>
    <row r="313" spans="2:7" ht="15.6" x14ac:dyDescent="0.3">
      <c r="B313" s="5" t="s">
        <v>609</v>
      </c>
      <c r="C313" s="5" t="s">
        <v>610</v>
      </c>
      <c r="D313" s="12"/>
      <c r="E313" s="12">
        <v>29.9</v>
      </c>
      <c r="G313" s="12"/>
    </row>
    <row r="314" spans="2:7" ht="15.6" x14ac:dyDescent="0.3">
      <c r="B314" s="5" t="s">
        <v>611</v>
      </c>
      <c r="C314" s="5" t="s">
        <v>612</v>
      </c>
      <c r="D314" s="12"/>
      <c r="E314" s="12">
        <v>13.9</v>
      </c>
      <c r="G314" s="12"/>
    </row>
    <row r="315" spans="2:7" ht="15.6" x14ac:dyDescent="0.3">
      <c r="B315" s="5" t="s">
        <v>613</v>
      </c>
      <c r="C315" s="5" t="s">
        <v>614</v>
      </c>
      <c r="D315" s="12"/>
      <c r="E315" s="12">
        <v>15.9</v>
      </c>
      <c r="G315" s="12"/>
    </row>
    <row r="316" spans="2:7" ht="15.6" x14ac:dyDescent="0.3">
      <c r="B316" s="5" t="s">
        <v>615</v>
      </c>
      <c r="C316" s="5" t="s">
        <v>616</v>
      </c>
      <c r="D316" s="12"/>
      <c r="E316" s="12">
        <v>12.9</v>
      </c>
      <c r="G316" s="12"/>
    </row>
    <row r="317" spans="2:7" ht="15.6" x14ac:dyDescent="0.3">
      <c r="B317" s="5" t="s">
        <v>617</v>
      </c>
      <c r="C317" s="5" t="s">
        <v>618</v>
      </c>
      <c r="D317" s="12"/>
      <c r="E317" s="12">
        <v>17.899999999999999</v>
      </c>
      <c r="G317" s="12"/>
    </row>
    <row r="318" spans="2:7" ht="15.6" x14ac:dyDescent="0.3">
      <c r="B318" s="5" t="s">
        <v>619</v>
      </c>
      <c r="C318" s="5" t="s">
        <v>41</v>
      </c>
      <c r="D318" s="12"/>
      <c r="E318" s="12">
        <v>25.9</v>
      </c>
      <c r="G318" s="12"/>
    </row>
    <row r="319" spans="2:7" ht="15.6" x14ac:dyDescent="0.3">
      <c r="B319" s="5" t="s">
        <v>620</v>
      </c>
      <c r="C319" s="5" t="s">
        <v>621</v>
      </c>
      <c r="D319" s="12"/>
      <c r="E319" s="12">
        <v>21.9</v>
      </c>
      <c r="G319" s="12"/>
    </row>
    <row r="320" spans="2:7" ht="15.6" x14ac:dyDescent="0.3">
      <c r="B320" s="5" t="s">
        <v>622</v>
      </c>
      <c r="C320" s="5" t="s">
        <v>623</v>
      </c>
      <c r="D320" s="12"/>
      <c r="E320" s="12">
        <v>9.9</v>
      </c>
      <c r="G320" s="12"/>
    </row>
    <row r="321" spans="2:7" ht="15.6" x14ac:dyDescent="0.3">
      <c r="B321" s="5" t="s">
        <v>624</v>
      </c>
      <c r="C321" s="5" t="s">
        <v>625</v>
      </c>
      <c r="D321" s="12"/>
      <c r="E321" s="12">
        <v>19.899999999999999</v>
      </c>
      <c r="G321" s="12"/>
    </row>
    <row r="322" spans="2:7" ht="15.6" x14ac:dyDescent="0.3">
      <c r="B322" s="5" t="s">
        <v>626</v>
      </c>
      <c r="C322" s="5" t="s">
        <v>627</v>
      </c>
      <c r="D322" s="12"/>
      <c r="E322" s="12">
        <v>12.55</v>
      </c>
      <c r="G322" s="12"/>
    </row>
    <row r="323" spans="2:7" ht="15.6" x14ac:dyDescent="0.3">
      <c r="B323" s="5" t="s">
        <v>628</v>
      </c>
      <c r="C323" s="5" t="s">
        <v>629</v>
      </c>
      <c r="D323" s="12"/>
      <c r="E323" s="12">
        <v>15.9</v>
      </c>
      <c r="G323" s="12"/>
    </row>
    <row r="324" spans="2:7" ht="15.6" x14ac:dyDescent="0.3">
      <c r="B324" s="5" t="s">
        <v>630</v>
      </c>
      <c r="C324" s="5" t="s">
        <v>631</v>
      </c>
      <c r="D324" s="12"/>
      <c r="E324" s="12">
        <v>11.8</v>
      </c>
      <c r="G324" s="12"/>
    </row>
    <row r="325" spans="2:7" ht="15.6" x14ac:dyDescent="0.3">
      <c r="B325" s="5" t="s">
        <v>632</v>
      </c>
      <c r="C325" s="5" t="s">
        <v>633</v>
      </c>
      <c r="D325" s="12"/>
      <c r="E325" s="12">
        <v>12.166767371601209</v>
      </c>
      <c r="G325" s="12"/>
    </row>
    <row r="326" spans="2:7" ht="15.6" x14ac:dyDescent="0.3">
      <c r="B326" s="5" t="s">
        <v>634</v>
      </c>
      <c r="C326" s="5" t="s">
        <v>635</v>
      </c>
      <c r="D326" s="12"/>
      <c r="E326" s="12">
        <v>12.9</v>
      </c>
      <c r="G326" s="12"/>
    </row>
    <row r="327" spans="2:7" ht="15.6" x14ac:dyDescent="0.3">
      <c r="B327" s="5" t="s">
        <v>636</v>
      </c>
      <c r="C327" s="5" t="s">
        <v>637</v>
      </c>
      <c r="D327" s="12"/>
      <c r="E327" s="12">
        <v>15.9</v>
      </c>
      <c r="G327" s="12"/>
    </row>
    <row r="328" spans="2:7" ht="15.6" x14ac:dyDescent="0.3">
      <c r="B328" s="5" t="s">
        <v>638</v>
      </c>
      <c r="C328" s="5" t="s">
        <v>639</v>
      </c>
      <c r="D328" s="12"/>
      <c r="E328" s="12">
        <v>22.9</v>
      </c>
      <c r="G328" s="12"/>
    </row>
    <row r="329" spans="2:7" ht="15.6" x14ac:dyDescent="0.3">
      <c r="B329" s="5" t="s">
        <v>640</v>
      </c>
      <c r="C329" s="5" t="s">
        <v>641</v>
      </c>
      <c r="D329" s="12"/>
      <c r="E329" s="12">
        <v>23.9</v>
      </c>
      <c r="G329" s="12"/>
    </row>
    <row r="330" spans="2:7" ht="15.6" x14ac:dyDescent="0.3">
      <c r="B330" s="5" t="s">
        <v>642</v>
      </c>
      <c r="C330" s="5" t="s">
        <v>643</v>
      </c>
      <c r="D330" s="12"/>
      <c r="E330" s="12">
        <v>10.9</v>
      </c>
      <c r="G330" s="12"/>
    </row>
    <row r="331" spans="2:7" ht="15.6" x14ac:dyDescent="0.3">
      <c r="B331" s="5" t="s">
        <v>644</v>
      </c>
      <c r="C331" s="5" t="s">
        <v>645</v>
      </c>
      <c r="D331" s="12"/>
      <c r="E331" s="12">
        <v>17.899999999999999</v>
      </c>
      <c r="G331" s="12"/>
    </row>
    <row r="332" spans="2:7" ht="15.6" x14ac:dyDescent="0.3">
      <c r="B332" s="5" t="s">
        <v>646</v>
      </c>
      <c r="C332" s="5" t="s">
        <v>647</v>
      </c>
      <c r="D332" s="12"/>
      <c r="E332" s="12">
        <v>20.9</v>
      </c>
      <c r="G332" s="12"/>
    </row>
    <row r="333" spans="2:7" ht="15.6" x14ac:dyDescent="0.3">
      <c r="B333" s="5" t="s">
        <v>648</v>
      </c>
      <c r="C333" s="5" t="s">
        <v>521</v>
      </c>
      <c r="D333" s="12"/>
      <c r="E333" s="12">
        <v>21.9</v>
      </c>
      <c r="G333" s="12"/>
    </row>
    <row r="334" spans="2:7" ht="15.6" x14ac:dyDescent="0.3">
      <c r="B334" s="5" t="s">
        <v>649</v>
      </c>
      <c r="C334" s="5" t="s">
        <v>650</v>
      </c>
      <c r="D334" s="12"/>
      <c r="E334" s="12">
        <v>13.14</v>
      </c>
      <c r="G334" s="12"/>
    </row>
    <row r="335" spans="2:7" ht="15.6" x14ac:dyDescent="0.3">
      <c r="B335" s="5" t="s">
        <v>651</v>
      </c>
      <c r="C335" s="5" t="s">
        <v>652</v>
      </c>
      <c r="D335" s="12"/>
      <c r="E335" s="12">
        <v>23.9</v>
      </c>
      <c r="G335" s="12"/>
    </row>
    <row r="336" spans="2:7" ht="15.6" x14ac:dyDescent="0.3">
      <c r="B336" s="5" t="s">
        <v>653</v>
      </c>
      <c r="C336" s="5" t="s">
        <v>654</v>
      </c>
      <c r="D336" s="12"/>
      <c r="E336" s="12">
        <v>14.881190476190476</v>
      </c>
      <c r="G336" s="12"/>
    </row>
    <row r="337" spans="2:7" ht="15.6" x14ac:dyDescent="0.3">
      <c r="B337" s="5" t="s">
        <v>655</v>
      </c>
      <c r="C337" s="5" t="s">
        <v>656</v>
      </c>
      <c r="D337" s="12"/>
      <c r="E337" s="12">
        <v>13.803046757164404</v>
      </c>
      <c r="G337" s="12"/>
    </row>
    <row r="338" spans="2:7" ht="15.6" x14ac:dyDescent="0.3">
      <c r="B338" s="5" t="s">
        <v>657</v>
      </c>
      <c r="C338" s="5" t="s">
        <v>658</v>
      </c>
      <c r="D338" s="12"/>
      <c r="E338" s="12">
        <v>19.899999999999999</v>
      </c>
      <c r="G338" s="12"/>
    </row>
    <row r="339" spans="2:7" ht="15.6" x14ac:dyDescent="0.3">
      <c r="B339" s="5" t="s">
        <v>659</v>
      </c>
      <c r="C339" s="5" t="s">
        <v>660</v>
      </c>
      <c r="D339" s="12"/>
      <c r="E339" s="12">
        <v>27.9</v>
      </c>
      <c r="G339" s="12"/>
    </row>
    <row r="340" spans="2:7" ht="15.6" x14ac:dyDescent="0.3">
      <c r="B340" s="5" t="s">
        <v>661</v>
      </c>
      <c r="C340" s="5" t="s">
        <v>662</v>
      </c>
      <c r="D340" s="12"/>
      <c r="E340" s="12">
        <v>11.9</v>
      </c>
      <c r="G340" s="12"/>
    </row>
    <row r="341" spans="2:7" ht="15.6" x14ac:dyDescent="0.3">
      <c r="B341" s="5" t="s">
        <v>663</v>
      </c>
      <c r="C341" s="5" t="s">
        <v>664</v>
      </c>
      <c r="D341" s="12"/>
      <c r="E341" s="12">
        <v>26.9</v>
      </c>
      <c r="G341" s="12"/>
    </row>
    <row r="342" spans="2:7" ht="15.6" x14ac:dyDescent="0.3">
      <c r="B342" s="5" t="s">
        <v>665</v>
      </c>
      <c r="C342" s="5" t="s">
        <v>666</v>
      </c>
      <c r="D342" s="12"/>
      <c r="E342" s="12">
        <v>19.899999999999999</v>
      </c>
      <c r="G342" s="12"/>
    </row>
    <row r="343" spans="2:7" ht="15.6" x14ac:dyDescent="0.3">
      <c r="B343" s="5" t="s">
        <v>667</v>
      </c>
      <c r="C343" s="5" t="s">
        <v>668</v>
      </c>
      <c r="D343" s="12"/>
      <c r="E343" s="12">
        <v>19.899999999999999</v>
      </c>
      <c r="G343" s="12"/>
    </row>
    <row r="344" spans="2:7" ht="15.6" x14ac:dyDescent="0.3">
      <c r="B344" s="5" t="s">
        <v>669</v>
      </c>
      <c r="C344" s="5" t="s">
        <v>670</v>
      </c>
      <c r="D344" s="12"/>
      <c r="E344" s="12">
        <v>11.9</v>
      </c>
      <c r="G344" s="12"/>
    </row>
    <row r="345" spans="2:7" ht="15.6" x14ac:dyDescent="0.3">
      <c r="B345" s="5" t="s">
        <v>671</v>
      </c>
      <c r="C345" s="5" t="s">
        <v>672</v>
      </c>
      <c r="D345" s="12"/>
      <c r="E345" s="12">
        <v>24.9</v>
      </c>
      <c r="G345" s="12"/>
    </row>
    <row r="346" spans="2:7" ht="15.6" x14ac:dyDescent="0.3">
      <c r="B346" s="5" t="s">
        <v>673</v>
      </c>
      <c r="C346" s="5" t="s">
        <v>674</v>
      </c>
      <c r="D346" s="12"/>
      <c r="E346" s="12">
        <v>10.9</v>
      </c>
      <c r="G346" s="12"/>
    </row>
    <row r="347" spans="2:7" ht="15.6" x14ac:dyDescent="0.3">
      <c r="B347" s="5" t="s">
        <v>675</v>
      </c>
      <c r="C347" s="5" t="s">
        <v>676</v>
      </c>
      <c r="D347" s="12"/>
      <c r="E347" s="12">
        <v>27.9</v>
      </c>
      <c r="G347" s="12"/>
    </row>
    <row r="348" spans="2:7" ht="15.6" x14ac:dyDescent="0.3">
      <c r="B348" s="5" t="s">
        <v>677</v>
      </c>
      <c r="C348" s="5" t="s">
        <v>678</v>
      </c>
      <c r="D348" s="12"/>
      <c r="E348" s="12">
        <v>13.9</v>
      </c>
      <c r="G348" s="12"/>
    </row>
    <row r="349" spans="2:7" ht="15.6" x14ac:dyDescent="0.3">
      <c r="B349" s="5" t="s">
        <v>679</v>
      </c>
      <c r="C349" s="5" t="s">
        <v>680</v>
      </c>
      <c r="D349" s="12"/>
      <c r="E349" s="12">
        <v>25.9</v>
      </c>
      <c r="G349" s="12"/>
    </row>
    <row r="350" spans="2:7" ht="15.6" x14ac:dyDescent="0.3">
      <c r="B350" s="5" t="s">
        <v>681</v>
      </c>
      <c r="C350" s="5" t="s">
        <v>682</v>
      </c>
      <c r="D350" s="12"/>
      <c r="E350" s="12">
        <v>19.899999999999999</v>
      </c>
      <c r="G350" s="12"/>
    </row>
    <row r="351" spans="2:7" ht="15.6" x14ac:dyDescent="0.3">
      <c r="B351" s="5" t="s">
        <v>683</v>
      </c>
      <c r="C351" s="5" t="s">
        <v>684</v>
      </c>
      <c r="D351" s="12"/>
      <c r="E351" s="12">
        <v>13.9</v>
      </c>
      <c r="G351" s="12"/>
    </row>
    <row r="352" spans="2:7" ht="15.6" x14ac:dyDescent="0.3">
      <c r="B352" s="5" t="s">
        <v>685</v>
      </c>
      <c r="C352" s="5" t="s">
        <v>686</v>
      </c>
      <c r="D352" s="12"/>
      <c r="E352" s="12">
        <v>24.9</v>
      </c>
      <c r="G352" s="12"/>
    </row>
    <row r="353" spans="2:7" ht="15.6" x14ac:dyDescent="0.3">
      <c r="B353" s="5" t="s">
        <v>687</v>
      </c>
      <c r="C353" s="5" t="s">
        <v>688</v>
      </c>
      <c r="D353" s="12"/>
      <c r="E353" s="12">
        <v>20.9</v>
      </c>
      <c r="G353" s="12"/>
    </row>
    <row r="354" spans="2:7" ht="15.6" x14ac:dyDescent="0.3">
      <c r="B354" s="5" t="s">
        <v>689</v>
      </c>
      <c r="C354" s="5" t="s">
        <v>690</v>
      </c>
      <c r="D354" s="12"/>
      <c r="E354" s="12">
        <v>12.9</v>
      </c>
      <c r="G354" s="12"/>
    </row>
    <row r="355" spans="2:7" ht="15.6" x14ac:dyDescent="0.3">
      <c r="B355" s="5" t="s">
        <v>691</v>
      </c>
      <c r="C355" s="5" t="s">
        <v>692</v>
      </c>
      <c r="D355" s="12"/>
      <c r="E355" s="12">
        <v>13.9</v>
      </c>
      <c r="G355" s="12"/>
    </row>
    <row r="356" spans="2:7" ht="15.6" x14ac:dyDescent="0.3">
      <c r="B356" s="5" t="s">
        <v>693</v>
      </c>
      <c r="C356" s="5" t="s">
        <v>694</v>
      </c>
      <c r="D356" s="12"/>
      <c r="E356" s="12">
        <v>13.9</v>
      </c>
      <c r="G356" s="12"/>
    </row>
    <row r="357" spans="2:7" ht="15.6" x14ac:dyDescent="0.3">
      <c r="B357" s="5" t="s">
        <v>695</v>
      </c>
      <c r="C357" s="5" t="s">
        <v>696</v>
      </c>
      <c r="D357" s="12"/>
      <c r="E357" s="12">
        <v>29.9</v>
      </c>
      <c r="G357" s="12"/>
    </row>
    <row r="358" spans="2:7" ht="15.6" x14ac:dyDescent="0.3">
      <c r="B358" s="5" t="s">
        <v>697</v>
      </c>
      <c r="C358" s="5" t="s">
        <v>591</v>
      </c>
      <c r="D358" s="12"/>
      <c r="E358" s="12">
        <v>16.899999999999999</v>
      </c>
      <c r="G358" s="12"/>
    </row>
    <row r="359" spans="2:7" ht="15.6" x14ac:dyDescent="0.3">
      <c r="B359" s="5" t="s">
        <v>698</v>
      </c>
      <c r="C359" s="5" t="s">
        <v>699</v>
      </c>
      <c r="D359" s="12"/>
      <c r="E359" s="12">
        <v>27.9</v>
      </c>
      <c r="G359" s="12"/>
    </row>
    <row r="360" spans="2:7" ht="15.6" x14ac:dyDescent="0.3">
      <c r="B360" s="5" t="s">
        <v>700</v>
      </c>
      <c r="C360" s="5" t="s">
        <v>701</v>
      </c>
      <c r="D360" s="12"/>
      <c r="E360" s="12">
        <v>11.9</v>
      </c>
      <c r="G360" s="12"/>
    </row>
    <row r="361" spans="2:7" ht="15.6" x14ac:dyDescent="0.3">
      <c r="B361" s="5" t="s">
        <v>702</v>
      </c>
      <c r="C361" s="5" t="s">
        <v>703</v>
      </c>
      <c r="D361" s="12"/>
      <c r="E361" s="12">
        <v>24.9</v>
      </c>
      <c r="G361" s="12"/>
    </row>
    <row r="362" spans="2:7" ht="15.6" x14ac:dyDescent="0.3">
      <c r="B362" s="5" t="s">
        <v>704</v>
      </c>
      <c r="C362" s="5" t="s">
        <v>705</v>
      </c>
      <c r="D362" s="12"/>
      <c r="E362" s="12">
        <v>13.9</v>
      </c>
      <c r="G362" s="12"/>
    </row>
    <row r="363" spans="2:7" ht="15.6" x14ac:dyDescent="0.3">
      <c r="B363" s="5" t="s">
        <v>706</v>
      </c>
      <c r="C363" s="5" t="s">
        <v>707</v>
      </c>
      <c r="D363" s="12"/>
      <c r="E363" s="12">
        <v>20.9</v>
      </c>
      <c r="G363" s="12"/>
    </row>
    <row r="364" spans="2:7" ht="15.6" x14ac:dyDescent="0.3">
      <c r="B364" s="5" t="s">
        <v>708</v>
      </c>
      <c r="C364" s="5" t="s">
        <v>709</v>
      </c>
      <c r="D364" s="12"/>
      <c r="E364" s="12">
        <v>12.9</v>
      </c>
      <c r="G364" s="12"/>
    </row>
    <row r="365" spans="2:7" ht="15.6" x14ac:dyDescent="0.3">
      <c r="B365" s="5" t="s">
        <v>710</v>
      </c>
      <c r="C365" s="5" t="s">
        <v>711</v>
      </c>
      <c r="D365" s="12"/>
      <c r="E365" s="12">
        <v>13.9</v>
      </c>
      <c r="G365" s="12"/>
    </row>
    <row r="366" spans="2:7" ht="15.6" x14ac:dyDescent="0.3">
      <c r="B366" s="5" t="s">
        <v>712</v>
      </c>
      <c r="C366" s="5" t="s">
        <v>713</v>
      </c>
      <c r="D366" s="12"/>
      <c r="E366" s="12">
        <v>16.899999999999999</v>
      </c>
      <c r="G366" s="12"/>
    </row>
    <row r="367" spans="2:7" ht="15.6" x14ac:dyDescent="0.3">
      <c r="B367" s="5" t="s">
        <v>714</v>
      </c>
      <c r="C367" s="5" t="s">
        <v>715</v>
      </c>
      <c r="D367" s="12"/>
      <c r="E367" s="12">
        <v>19.899999999999999</v>
      </c>
      <c r="G367" s="12"/>
    </row>
    <row r="368" spans="2:7" ht="15.6" x14ac:dyDescent="0.3">
      <c r="B368" s="5" t="s">
        <v>716</v>
      </c>
      <c r="C368" s="5" t="s">
        <v>694</v>
      </c>
      <c r="D368" s="12"/>
      <c r="E368" s="12">
        <v>13.9</v>
      </c>
      <c r="G368" s="12"/>
    </row>
    <row r="369" spans="2:7" ht="15.6" x14ac:dyDescent="0.3">
      <c r="B369" s="5" t="s">
        <v>717</v>
      </c>
      <c r="C369" s="5" t="s">
        <v>718</v>
      </c>
      <c r="D369" s="12"/>
      <c r="E369" s="12">
        <v>18.899999999999999</v>
      </c>
      <c r="G369" s="12"/>
    </row>
    <row r="370" spans="2:7" ht="15.6" x14ac:dyDescent="0.3">
      <c r="B370" s="5" t="s">
        <v>719</v>
      </c>
      <c r="C370" s="5" t="s">
        <v>565</v>
      </c>
      <c r="D370" s="12"/>
      <c r="E370" s="12">
        <v>13.9</v>
      </c>
      <c r="G370" s="12"/>
    </row>
    <row r="371" spans="2:7" ht="15.6" x14ac:dyDescent="0.3">
      <c r="B371" s="5" t="s">
        <v>720</v>
      </c>
      <c r="C371" s="5" t="s">
        <v>621</v>
      </c>
      <c r="D371" s="12"/>
      <c r="E371" s="12">
        <v>12.9</v>
      </c>
      <c r="G371" s="12"/>
    </row>
    <row r="372" spans="2:7" ht="15.6" x14ac:dyDescent="0.3">
      <c r="B372" s="5" t="s">
        <v>721</v>
      </c>
      <c r="C372" s="5" t="s">
        <v>722</v>
      </c>
      <c r="D372" s="12"/>
      <c r="E372" s="12">
        <v>6.9</v>
      </c>
      <c r="G372" s="12"/>
    </row>
    <row r="373" spans="2:7" ht="15.6" x14ac:dyDescent="0.3">
      <c r="B373" s="5" t="s">
        <v>723</v>
      </c>
      <c r="C373" s="5" t="s">
        <v>515</v>
      </c>
      <c r="D373" s="12"/>
      <c r="E373" s="12">
        <v>9.9</v>
      </c>
      <c r="G373" s="12"/>
    </row>
    <row r="374" spans="2:7" ht="15.6" x14ac:dyDescent="0.3">
      <c r="B374" s="5" t="s">
        <v>724</v>
      </c>
      <c r="C374" s="5" t="s">
        <v>725</v>
      </c>
      <c r="D374" s="12"/>
      <c r="E374" s="12">
        <v>20.9</v>
      </c>
      <c r="G374" s="12"/>
    </row>
    <row r="375" spans="2:7" ht="15.6" x14ac:dyDescent="0.3">
      <c r="B375" s="5" t="s">
        <v>726</v>
      </c>
      <c r="C375" s="5" t="s">
        <v>727</v>
      </c>
      <c r="D375" s="12"/>
      <c r="E375" s="12">
        <v>19.899999999999999</v>
      </c>
      <c r="G375" s="12"/>
    </row>
    <row r="376" spans="2:7" ht="15.6" x14ac:dyDescent="0.3">
      <c r="B376" s="5" t="s">
        <v>728</v>
      </c>
      <c r="C376" s="5" t="s">
        <v>729</v>
      </c>
      <c r="D376" s="12"/>
      <c r="E376" s="12">
        <v>33.9</v>
      </c>
      <c r="G376" s="12"/>
    </row>
    <row r="377" spans="2:7" ht="15.6" x14ac:dyDescent="0.3">
      <c r="B377" s="5" t="s">
        <v>730</v>
      </c>
      <c r="C377" s="5" t="s">
        <v>731</v>
      </c>
      <c r="D377" s="12"/>
      <c r="E377" s="12">
        <v>20.9</v>
      </c>
      <c r="G377" s="12"/>
    </row>
    <row r="378" spans="2:7" ht="15.6" x14ac:dyDescent="0.3">
      <c r="B378" s="5" t="s">
        <v>732</v>
      </c>
      <c r="C378" s="5" t="s">
        <v>521</v>
      </c>
      <c r="D378" s="12"/>
      <c r="E378" s="12">
        <v>21.9</v>
      </c>
      <c r="G378" s="12"/>
    </row>
    <row r="379" spans="2:7" ht="15.6" x14ac:dyDescent="0.3">
      <c r="B379" s="5" t="s">
        <v>733</v>
      </c>
      <c r="C379" s="5" t="s">
        <v>734</v>
      </c>
      <c r="D379" s="12"/>
      <c r="E379" s="12">
        <v>18.899999999999999</v>
      </c>
      <c r="G379" s="12"/>
    </row>
    <row r="380" spans="2:7" ht="15.6" x14ac:dyDescent="0.3">
      <c r="B380" s="5" t="s">
        <v>735</v>
      </c>
      <c r="C380" s="5" t="s">
        <v>735</v>
      </c>
      <c r="D380" s="12"/>
      <c r="E380" s="12">
        <v>30.9</v>
      </c>
      <c r="G380" s="12"/>
    </row>
    <row r="381" spans="2:7" ht="15.6" x14ac:dyDescent="0.3">
      <c r="B381" s="5" t="s">
        <v>736</v>
      </c>
      <c r="C381" s="5" t="s">
        <v>736</v>
      </c>
      <c r="D381" s="12"/>
      <c r="E381" s="12">
        <v>18.899999999999999</v>
      </c>
      <c r="G381" s="12"/>
    </row>
    <row r="382" spans="2:7" ht="15.6" x14ac:dyDescent="0.3">
      <c r="B382" s="5" t="s">
        <v>737</v>
      </c>
      <c r="C382" s="5" t="s">
        <v>738</v>
      </c>
      <c r="D382" s="12"/>
      <c r="E382" s="12">
        <v>30.9</v>
      </c>
      <c r="G382" s="12"/>
    </row>
    <row r="383" spans="2:7" ht="15.6" x14ac:dyDescent="0.3">
      <c r="B383" s="5" t="s">
        <v>739</v>
      </c>
      <c r="C383" s="5" t="s">
        <v>740</v>
      </c>
      <c r="D383" s="12"/>
      <c r="E383" s="12">
        <v>18.899999999999999</v>
      </c>
      <c r="G383" s="12"/>
    </row>
    <row r="384" spans="2:7" ht="15.6" x14ac:dyDescent="0.3">
      <c r="B384" s="5" t="s">
        <v>741</v>
      </c>
      <c r="C384" s="5" t="s">
        <v>742</v>
      </c>
      <c r="D384" s="12"/>
      <c r="E384" s="12">
        <v>14.9</v>
      </c>
      <c r="G384" s="12"/>
    </row>
    <row r="385" spans="2:7" ht="15.6" x14ac:dyDescent="0.3">
      <c r="B385" s="5" t="s">
        <v>743</v>
      </c>
      <c r="C385" s="5" t="s">
        <v>484</v>
      </c>
      <c r="D385" s="12"/>
      <c r="E385" s="12">
        <v>30.9</v>
      </c>
      <c r="G385" s="12"/>
    </row>
    <row r="386" spans="2:7" ht="15.6" x14ac:dyDescent="0.3">
      <c r="B386" s="5" t="s">
        <v>744</v>
      </c>
      <c r="C386" s="5" t="s">
        <v>745</v>
      </c>
      <c r="D386" s="12"/>
      <c r="E386" s="12">
        <v>23.9</v>
      </c>
      <c r="G386" s="12"/>
    </row>
    <row r="387" spans="2:7" ht="15.6" x14ac:dyDescent="0.3">
      <c r="B387" s="5" t="s">
        <v>746</v>
      </c>
      <c r="C387" s="5" t="s">
        <v>747</v>
      </c>
      <c r="D387" s="12"/>
      <c r="E387" s="12">
        <v>30.9</v>
      </c>
      <c r="G387" s="12"/>
    </row>
    <row r="388" spans="2:7" ht="15.6" x14ac:dyDescent="0.3">
      <c r="B388" s="5" t="s">
        <v>748</v>
      </c>
      <c r="C388" s="5" t="s">
        <v>749</v>
      </c>
      <c r="D388" s="12"/>
      <c r="E388" s="12">
        <v>20.9</v>
      </c>
      <c r="G388" s="12"/>
    </row>
    <row r="389" spans="2:7" ht="15.6" x14ac:dyDescent="0.3">
      <c r="B389" s="5" t="s">
        <v>750</v>
      </c>
      <c r="C389" s="5" t="s">
        <v>751</v>
      </c>
      <c r="D389" s="12"/>
      <c r="E389" s="12">
        <v>12.9</v>
      </c>
      <c r="G389" s="12"/>
    </row>
    <row r="390" spans="2:7" ht="15.6" x14ac:dyDescent="0.3">
      <c r="B390" s="5" t="s">
        <v>752</v>
      </c>
      <c r="C390" s="5" t="s">
        <v>753</v>
      </c>
      <c r="D390" s="12"/>
      <c r="E390" s="12">
        <v>24.9</v>
      </c>
      <c r="G390" s="12"/>
    </row>
    <row r="391" spans="2:7" ht="15.6" x14ac:dyDescent="0.3">
      <c r="B391" s="5" t="s">
        <v>754</v>
      </c>
      <c r="C391" s="5" t="s">
        <v>755</v>
      </c>
      <c r="D391" s="12"/>
      <c r="E391" s="12">
        <v>14.9</v>
      </c>
      <c r="G391" s="12"/>
    </row>
    <row r="392" spans="2:7" ht="15.6" x14ac:dyDescent="0.3">
      <c r="B392" s="5" t="s">
        <v>756</v>
      </c>
      <c r="C392" s="5" t="s">
        <v>591</v>
      </c>
      <c r="D392" s="12"/>
      <c r="E392" s="12">
        <v>16.899999999999999</v>
      </c>
      <c r="G392" s="12"/>
    </row>
    <row r="393" spans="2:7" ht="15.6" x14ac:dyDescent="0.3">
      <c r="B393" s="5" t="s">
        <v>757</v>
      </c>
      <c r="C393" s="5" t="s">
        <v>758</v>
      </c>
      <c r="D393" s="12"/>
      <c r="E393" s="12">
        <v>27.9</v>
      </c>
      <c r="G393" s="12"/>
    </row>
    <row r="394" spans="2:7" ht="15.6" x14ac:dyDescent="0.3">
      <c r="B394" s="5" t="s">
        <v>759</v>
      </c>
      <c r="C394" s="5" t="s">
        <v>760</v>
      </c>
      <c r="D394" s="12"/>
      <c r="E394" s="12">
        <v>13.9</v>
      </c>
      <c r="G394" s="12"/>
    </row>
    <row r="395" spans="2:7" ht="15.6" x14ac:dyDescent="0.3">
      <c r="B395" s="5" t="s">
        <v>761</v>
      </c>
      <c r="C395" s="5" t="s">
        <v>762</v>
      </c>
      <c r="D395" s="12"/>
      <c r="E395" s="12">
        <v>24.9</v>
      </c>
      <c r="G395" s="12"/>
    </row>
    <row r="396" spans="2:7" ht="15.6" x14ac:dyDescent="0.3">
      <c r="B396" s="5" t="s">
        <v>763</v>
      </c>
      <c r="C396" s="5" t="s">
        <v>764</v>
      </c>
      <c r="D396" s="12"/>
      <c r="E396" s="12">
        <v>18.899999999999999</v>
      </c>
      <c r="G396" s="12"/>
    </row>
    <row r="397" spans="2:7" ht="15.6" x14ac:dyDescent="0.3">
      <c r="B397" s="5" t="s">
        <v>765</v>
      </c>
      <c r="C397" s="5" t="s">
        <v>766</v>
      </c>
      <c r="D397" s="12"/>
      <c r="E397" s="12">
        <v>13.9</v>
      </c>
      <c r="G397" s="12"/>
    </row>
    <row r="398" spans="2:7" ht="15.6" x14ac:dyDescent="0.3">
      <c r="B398" s="5" t="s">
        <v>767</v>
      </c>
      <c r="C398" s="5" t="s">
        <v>768</v>
      </c>
      <c r="D398" s="12"/>
      <c r="E398" s="12">
        <v>30.9</v>
      </c>
      <c r="G398" s="12"/>
    </row>
    <row r="399" spans="2:7" ht="15.6" x14ac:dyDescent="0.3">
      <c r="B399" s="5" t="s">
        <v>769</v>
      </c>
      <c r="C399" s="5" t="s">
        <v>770</v>
      </c>
      <c r="D399" s="12"/>
      <c r="E399" s="12">
        <v>14.9</v>
      </c>
      <c r="G399" s="12"/>
    </row>
    <row r="400" spans="2:7" ht="15.6" x14ac:dyDescent="0.3">
      <c r="B400" s="5" t="s">
        <v>771</v>
      </c>
      <c r="C400" s="5" t="s">
        <v>621</v>
      </c>
      <c r="D400" s="12"/>
      <c r="E400" s="12">
        <v>12.9</v>
      </c>
      <c r="G400" s="12"/>
    </row>
    <row r="401" spans="2:7" ht="15.6" x14ac:dyDescent="0.3">
      <c r="B401" s="5" t="s">
        <v>772</v>
      </c>
      <c r="C401" s="5" t="s">
        <v>773</v>
      </c>
      <c r="D401" s="12"/>
      <c r="E401" s="12">
        <v>13.9</v>
      </c>
      <c r="G401" s="12"/>
    </row>
    <row r="402" spans="2:7" ht="15.6" x14ac:dyDescent="0.3">
      <c r="B402" s="5" t="s">
        <v>774</v>
      </c>
      <c r="C402" s="5" t="s">
        <v>775</v>
      </c>
      <c r="D402" s="12"/>
      <c r="E402" s="12">
        <v>18.899999999999999</v>
      </c>
      <c r="G402" s="12"/>
    </row>
    <row r="403" spans="2:7" ht="15.6" x14ac:dyDescent="0.3">
      <c r="B403" s="5" t="s">
        <v>776</v>
      </c>
      <c r="C403" s="5" t="s">
        <v>777</v>
      </c>
      <c r="D403" s="12"/>
      <c r="E403" s="12">
        <v>9.9</v>
      </c>
      <c r="G403" s="12"/>
    </row>
    <row r="404" spans="2:7" ht="15.6" x14ac:dyDescent="0.3">
      <c r="B404" s="5" t="s">
        <v>778</v>
      </c>
      <c r="C404" s="5" t="s">
        <v>779</v>
      </c>
      <c r="D404" s="12"/>
      <c r="E404" s="12">
        <v>25.9</v>
      </c>
      <c r="G404" s="12"/>
    </row>
    <row r="405" spans="2:7" ht="15.6" x14ac:dyDescent="0.3">
      <c r="B405" s="5" t="s">
        <v>780</v>
      </c>
      <c r="C405" s="5" t="s">
        <v>439</v>
      </c>
      <c r="D405" s="12"/>
      <c r="E405" s="12">
        <v>33.9</v>
      </c>
      <c r="G405" s="12"/>
    </row>
    <row r="406" spans="2:7" ht="15.6" x14ac:dyDescent="0.3">
      <c r="B406" s="5" t="s">
        <v>781</v>
      </c>
      <c r="C406" s="5" t="s">
        <v>782</v>
      </c>
      <c r="D406" s="12"/>
      <c r="E406" s="12">
        <v>27.9</v>
      </c>
      <c r="G406" s="12"/>
    </row>
    <row r="407" spans="2:7" ht="15.6" x14ac:dyDescent="0.3">
      <c r="B407" s="5" t="s">
        <v>783</v>
      </c>
      <c r="C407" s="5" t="s">
        <v>784</v>
      </c>
      <c r="D407" s="12"/>
      <c r="E407" s="12">
        <v>21.9</v>
      </c>
      <c r="G407" s="12"/>
    </row>
    <row r="408" spans="2:7" ht="15.6" x14ac:dyDescent="0.3">
      <c r="B408" s="5" t="s">
        <v>785</v>
      </c>
      <c r="C408" s="5" t="s">
        <v>152</v>
      </c>
      <c r="D408" s="12"/>
      <c r="E408" s="12">
        <v>14.9</v>
      </c>
      <c r="G408" s="12"/>
    </row>
    <row r="409" spans="2:7" ht="15.6" x14ac:dyDescent="0.3">
      <c r="B409" s="5" t="s">
        <v>786</v>
      </c>
      <c r="C409" s="5" t="s">
        <v>787</v>
      </c>
      <c r="D409" s="12"/>
      <c r="E409" s="12">
        <v>28.9</v>
      </c>
      <c r="G409" s="12"/>
    </row>
    <row r="410" spans="2:7" ht="15.6" x14ac:dyDescent="0.3">
      <c r="B410" s="5" t="s">
        <v>788</v>
      </c>
      <c r="C410" s="5" t="s">
        <v>789</v>
      </c>
      <c r="D410" s="12"/>
      <c r="E410" s="12">
        <v>25.9</v>
      </c>
      <c r="G410" s="12"/>
    </row>
    <row r="411" spans="2:7" ht="15.6" x14ac:dyDescent="0.3">
      <c r="B411" s="5" t="s">
        <v>790</v>
      </c>
      <c r="C411" s="5" t="s">
        <v>791</v>
      </c>
      <c r="D411" s="12"/>
      <c r="E411" s="12">
        <v>14.9</v>
      </c>
      <c r="G411" s="12"/>
    </row>
    <row r="412" spans="2:7" ht="15.6" x14ac:dyDescent="0.3">
      <c r="B412" s="5" t="s">
        <v>792</v>
      </c>
      <c r="C412" s="5" t="s">
        <v>793</v>
      </c>
      <c r="D412" s="12"/>
      <c r="E412" s="12">
        <v>21.9</v>
      </c>
      <c r="G412" s="12"/>
    </row>
    <row r="413" spans="2:7" ht="15.6" x14ac:dyDescent="0.3">
      <c r="B413" s="5" t="s">
        <v>794</v>
      </c>
      <c r="C413" s="5" t="s">
        <v>795</v>
      </c>
      <c r="D413" s="12"/>
      <c r="E413" s="12">
        <v>0</v>
      </c>
      <c r="G413" s="12"/>
    </row>
    <row r="414" spans="2:7" ht="15.6" x14ac:dyDescent="0.3">
      <c r="B414" s="5" t="s">
        <v>796</v>
      </c>
      <c r="C414" s="5" t="s">
        <v>797</v>
      </c>
      <c r="D414" s="12"/>
      <c r="E414" s="12">
        <v>20.9</v>
      </c>
      <c r="G414" s="12"/>
    </row>
    <row r="415" spans="2:7" ht="15.6" x14ac:dyDescent="0.3">
      <c r="B415" s="5" t="s">
        <v>798</v>
      </c>
      <c r="C415" s="5" t="s">
        <v>799</v>
      </c>
      <c r="D415" s="12"/>
      <c r="E415" s="12">
        <v>13.9</v>
      </c>
      <c r="G415" s="12"/>
    </row>
    <row r="416" spans="2:7" ht="15.6" x14ac:dyDescent="0.3">
      <c r="B416" s="5" t="s">
        <v>800</v>
      </c>
      <c r="C416" s="5" t="s">
        <v>801</v>
      </c>
      <c r="D416" s="12"/>
      <c r="E416" s="12">
        <v>23.9</v>
      </c>
      <c r="G416" s="12"/>
    </row>
    <row r="417" spans="2:7" ht="15.6" x14ac:dyDescent="0.3">
      <c r="B417" s="5" t="s">
        <v>802</v>
      </c>
      <c r="C417" s="5" t="s">
        <v>803</v>
      </c>
      <c r="D417" s="12"/>
      <c r="E417" s="12">
        <v>23.9</v>
      </c>
      <c r="G417" s="12"/>
    </row>
    <row r="418" spans="2:7" ht="15.6" x14ac:dyDescent="0.3">
      <c r="B418" s="5" t="s">
        <v>804</v>
      </c>
      <c r="C418" s="5" t="s">
        <v>805</v>
      </c>
      <c r="D418" s="12"/>
      <c r="E418" s="12">
        <v>13.9</v>
      </c>
      <c r="G418" s="12"/>
    </row>
    <row r="419" spans="2:7" ht="15.6" x14ac:dyDescent="0.3">
      <c r="B419" s="5" t="s">
        <v>806</v>
      </c>
      <c r="C419" s="5" t="s">
        <v>807</v>
      </c>
      <c r="D419" s="12"/>
      <c r="E419" s="12">
        <v>23.9</v>
      </c>
      <c r="G419" s="12"/>
    </row>
    <row r="420" spans="2:7" ht="15.6" x14ac:dyDescent="0.3">
      <c r="B420" s="5" t="s">
        <v>808</v>
      </c>
      <c r="C420" s="5" t="s">
        <v>809</v>
      </c>
      <c r="D420" s="12"/>
      <c r="E420" s="12">
        <v>19.899999999999999</v>
      </c>
      <c r="G420" s="12"/>
    </row>
    <row r="421" spans="2:7" ht="15.6" x14ac:dyDescent="0.3">
      <c r="B421" s="5" t="s">
        <v>810</v>
      </c>
      <c r="C421" s="5" t="s">
        <v>589</v>
      </c>
      <c r="D421" s="12"/>
      <c r="E421" s="12">
        <v>29.9</v>
      </c>
      <c r="G421" s="12"/>
    </row>
    <row r="422" spans="2:7" ht="15.6" x14ac:dyDescent="0.3">
      <c r="B422" s="5" t="s">
        <v>811</v>
      </c>
      <c r="C422" s="5" t="s">
        <v>699</v>
      </c>
      <c r="D422" s="12"/>
      <c r="E422" s="12">
        <v>27.9</v>
      </c>
      <c r="G422" s="12"/>
    </row>
    <row r="423" spans="2:7" ht="15.6" x14ac:dyDescent="0.3">
      <c r="B423" s="5" t="s">
        <v>812</v>
      </c>
      <c r="C423" s="5" t="s">
        <v>813</v>
      </c>
      <c r="D423" s="12"/>
      <c r="E423" s="12">
        <v>13.9</v>
      </c>
      <c r="G423" s="12"/>
    </row>
    <row r="424" spans="2:7" ht="15.6" x14ac:dyDescent="0.3">
      <c r="B424" s="5" t="s">
        <v>814</v>
      </c>
      <c r="C424" s="5" t="s">
        <v>815</v>
      </c>
      <c r="D424" s="12"/>
      <c r="E424" s="12">
        <v>18.899999999999999</v>
      </c>
      <c r="G424" s="12"/>
    </row>
    <row r="425" spans="2:7" ht="15.6" x14ac:dyDescent="0.3">
      <c r="B425" s="5" t="s">
        <v>816</v>
      </c>
      <c r="C425" s="5" t="s">
        <v>694</v>
      </c>
      <c r="D425" s="12"/>
      <c r="E425" s="12">
        <v>13.9</v>
      </c>
      <c r="G425" s="12"/>
    </row>
    <row r="426" spans="2:7" ht="15.6" x14ac:dyDescent="0.3">
      <c r="B426" s="5" t="s">
        <v>817</v>
      </c>
      <c r="C426" s="5" t="s">
        <v>818</v>
      </c>
      <c r="D426" s="12"/>
      <c r="E426" s="12">
        <v>16.899999999999999</v>
      </c>
      <c r="G426" s="12"/>
    </row>
    <row r="427" spans="2:7" ht="15.6" x14ac:dyDescent="0.3">
      <c r="B427" s="5" t="s">
        <v>819</v>
      </c>
      <c r="C427" s="5" t="s">
        <v>820</v>
      </c>
      <c r="D427" s="12"/>
      <c r="E427" s="12">
        <v>18.899999999999999</v>
      </c>
      <c r="G427" s="12"/>
    </row>
    <row r="428" spans="2:7" ht="15.6" x14ac:dyDescent="0.3">
      <c r="B428" s="5" t="s">
        <v>821</v>
      </c>
      <c r="C428" s="5" t="s">
        <v>822</v>
      </c>
      <c r="D428" s="12"/>
      <c r="E428" s="12">
        <v>23.9</v>
      </c>
      <c r="G428" s="12"/>
    </row>
    <row r="429" spans="2:7" ht="15.6" x14ac:dyDescent="0.3">
      <c r="B429" s="5" t="s">
        <v>823</v>
      </c>
      <c r="C429" s="5" t="s">
        <v>824</v>
      </c>
      <c r="D429" s="12"/>
      <c r="E429" s="12">
        <v>23.9</v>
      </c>
      <c r="G429" s="12"/>
    </row>
    <row r="430" spans="2:7" ht="15.6" x14ac:dyDescent="0.3">
      <c r="B430" s="5" t="s">
        <v>825</v>
      </c>
      <c r="C430" s="5" t="s">
        <v>826</v>
      </c>
      <c r="D430" s="12"/>
      <c r="E430" s="12">
        <v>23.9</v>
      </c>
      <c r="G430" s="12"/>
    </row>
    <row r="431" spans="2:7" ht="15.6" x14ac:dyDescent="0.3">
      <c r="B431" s="5" t="s">
        <v>827</v>
      </c>
      <c r="C431" s="5" t="s">
        <v>828</v>
      </c>
      <c r="D431" s="12"/>
      <c r="E431" s="12">
        <v>24.9</v>
      </c>
      <c r="G431" s="12"/>
    </row>
    <row r="432" spans="2:7" ht="15.6" x14ac:dyDescent="0.3">
      <c r="B432" s="5" t="s">
        <v>829</v>
      </c>
      <c r="C432" s="5" t="s">
        <v>830</v>
      </c>
      <c r="D432" s="12"/>
      <c r="E432" s="12">
        <v>11.9</v>
      </c>
      <c r="G432" s="12"/>
    </row>
    <row r="433" spans="2:7" ht="15.6" x14ac:dyDescent="0.3">
      <c r="B433" s="5" t="s">
        <v>831</v>
      </c>
      <c r="C433" s="5" t="s">
        <v>832</v>
      </c>
      <c r="D433" s="12"/>
      <c r="E433" s="12">
        <v>6.9</v>
      </c>
      <c r="G433" s="12"/>
    </row>
    <row r="434" spans="2:7" ht="15.6" x14ac:dyDescent="0.3">
      <c r="B434" s="5" t="s">
        <v>833</v>
      </c>
      <c r="C434" s="5" t="s">
        <v>621</v>
      </c>
      <c r="D434" s="12"/>
      <c r="E434" s="12">
        <v>12.9</v>
      </c>
      <c r="G434" s="12"/>
    </row>
    <row r="435" spans="2:7" ht="15.6" x14ac:dyDescent="0.3">
      <c r="B435" s="5" t="s">
        <v>834</v>
      </c>
      <c r="C435" s="5" t="s">
        <v>835</v>
      </c>
      <c r="D435" s="12"/>
      <c r="E435" s="12">
        <v>9.9</v>
      </c>
      <c r="G435" s="12"/>
    </row>
    <row r="436" spans="2:7" ht="15.6" x14ac:dyDescent="0.3">
      <c r="B436" s="5" t="s">
        <v>836</v>
      </c>
      <c r="C436" s="5" t="s">
        <v>837</v>
      </c>
      <c r="D436" s="12"/>
      <c r="E436" s="12">
        <v>28.9</v>
      </c>
      <c r="G436" s="12"/>
    </row>
    <row r="437" spans="2:7" ht="15.6" x14ac:dyDescent="0.3">
      <c r="B437" s="5" t="s">
        <v>838</v>
      </c>
      <c r="C437" s="5" t="s">
        <v>839</v>
      </c>
      <c r="D437" s="12"/>
      <c r="E437" s="12">
        <v>11.9</v>
      </c>
      <c r="G437" s="12"/>
    </row>
    <row r="438" spans="2:7" ht="15.6" x14ac:dyDescent="0.3">
      <c r="B438" s="5" t="s">
        <v>840</v>
      </c>
      <c r="C438" s="5" t="s">
        <v>841</v>
      </c>
      <c r="D438" s="12"/>
      <c r="E438" s="12">
        <v>12.9</v>
      </c>
      <c r="G438" s="12"/>
    </row>
    <row r="439" spans="2:7" ht="15.6" x14ac:dyDescent="0.3">
      <c r="B439" s="5" t="s">
        <v>842</v>
      </c>
      <c r="C439" s="5" t="s">
        <v>843</v>
      </c>
      <c r="D439" s="12"/>
      <c r="E439" s="12">
        <v>12.9</v>
      </c>
      <c r="G439" s="12"/>
    </row>
    <row r="440" spans="2:7" ht="15.6" x14ac:dyDescent="0.3">
      <c r="B440" s="5" t="s">
        <v>844</v>
      </c>
      <c r="C440" s="5"/>
      <c r="D440" s="12"/>
      <c r="E440" s="12">
        <v>17.899999999999999</v>
      </c>
      <c r="G440" s="12"/>
    </row>
    <row r="441" spans="2:7" ht="15.6" x14ac:dyDescent="0.3">
      <c r="B441" s="5" t="s">
        <v>845</v>
      </c>
      <c r="C441" s="5"/>
      <c r="D441" s="12"/>
      <c r="E441" s="12">
        <v>12.9</v>
      </c>
      <c r="G441" s="12"/>
    </row>
    <row r="442" spans="2:7" ht="15.6" x14ac:dyDescent="0.3">
      <c r="B442" s="5" t="s">
        <v>846</v>
      </c>
      <c r="C442" s="5"/>
      <c r="D442" s="12"/>
      <c r="E442" s="12">
        <v>23.9</v>
      </c>
      <c r="G442" s="12"/>
    </row>
    <row r="443" spans="2:7" ht="15.6" x14ac:dyDescent="0.3">
      <c r="B443" s="5" t="s">
        <v>847</v>
      </c>
      <c r="C443" s="5"/>
      <c r="D443" s="12"/>
      <c r="E443" s="12">
        <v>20.9</v>
      </c>
      <c r="G443" s="12"/>
    </row>
    <row r="444" spans="2:7" ht="15.6" x14ac:dyDescent="0.3">
      <c r="B444" s="5" t="s">
        <v>848</v>
      </c>
      <c r="C444" s="5"/>
      <c r="D444" s="12"/>
      <c r="E444" s="12">
        <v>24.9</v>
      </c>
      <c r="G444" s="12"/>
    </row>
    <row r="445" spans="2:7" ht="15.6" x14ac:dyDescent="0.3">
      <c r="B445" s="5" t="s">
        <v>849</v>
      </c>
      <c r="C445" s="5"/>
      <c r="D445" s="12"/>
      <c r="E445" s="12">
        <v>20.9</v>
      </c>
      <c r="G445" s="12"/>
    </row>
    <row r="446" spans="2:7" ht="15.6" x14ac:dyDescent="0.3">
      <c r="B446" s="5" t="s">
        <v>850</v>
      </c>
      <c r="C446" s="5"/>
      <c r="D446" s="12"/>
      <c r="E446" s="12">
        <v>9.9</v>
      </c>
      <c r="G446" s="12"/>
    </row>
    <row r="447" spans="2:7" ht="15.6" x14ac:dyDescent="0.3">
      <c r="B447" s="5" t="s">
        <v>851</v>
      </c>
      <c r="C447" s="5"/>
      <c r="D447" s="12"/>
      <c r="E447" s="12">
        <v>20.9</v>
      </c>
      <c r="G447" s="12"/>
    </row>
    <row r="448" spans="2:7" ht="15.6" x14ac:dyDescent="0.3">
      <c r="B448" s="5" t="s">
        <v>852</v>
      </c>
      <c r="C448" s="5"/>
      <c r="D448" s="12"/>
      <c r="E448" s="12">
        <v>14.9</v>
      </c>
      <c r="G448" s="12"/>
    </row>
    <row r="449" spans="2:7" ht="15.6" x14ac:dyDescent="0.3">
      <c r="B449" s="5" t="s">
        <v>853</v>
      </c>
      <c r="C449" s="5"/>
      <c r="D449" s="12"/>
      <c r="E449" s="12">
        <v>11.9</v>
      </c>
      <c r="G449" s="12"/>
    </row>
    <row r="450" spans="2:7" ht="15.6" x14ac:dyDescent="0.3">
      <c r="B450" s="5" t="s">
        <v>854</v>
      </c>
      <c r="C450" s="5"/>
      <c r="D450" s="12"/>
      <c r="E450" s="12">
        <v>19.899999999999999</v>
      </c>
      <c r="G450" s="12"/>
    </row>
    <row r="451" spans="2:7" ht="15.6" x14ac:dyDescent="0.3">
      <c r="B451" s="5" t="s">
        <v>855</v>
      </c>
      <c r="C451" s="5"/>
      <c r="D451" s="12"/>
      <c r="E451" s="12">
        <v>12.9</v>
      </c>
      <c r="G451" s="12"/>
    </row>
    <row r="452" spans="2:7" ht="15.6" x14ac:dyDescent="0.3">
      <c r="B452" s="5" t="s">
        <v>856</v>
      </c>
      <c r="C452" s="5"/>
      <c r="D452" s="12"/>
      <c r="E452" s="12">
        <v>16.899999999999999</v>
      </c>
      <c r="G452" s="12"/>
    </row>
    <row r="453" spans="2:7" ht="15.6" x14ac:dyDescent="0.3">
      <c r="B453" s="5" t="s">
        <v>857</v>
      </c>
      <c r="C453" s="5"/>
      <c r="D453" s="12"/>
      <c r="E453" s="12">
        <v>8.9</v>
      </c>
      <c r="G453" s="12"/>
    </row>
    <row r="454" spans="2:7" ht="15.6" x14ac:dyDescent="0.3">
      <c r="B454" s="5" t="s">
        <v>858</v>
      </c>
      <c r="C454" s="5"/>
      <c r="D454" s="12"/>
      <c r="E454" s="12">
        <v>19.899999999999999</v>
      </c>
      <c r="G454" s="12"/>
    </row>
    <row r="455" spans="2:7" ht="15.6" x14ac:dyDescent="0.3">
      <c r="B455" s="5" t="s">
        <v>859</v>
      </c>
      <c r="C455" s="5"/>
      <c r="D455" s="12"/>
      <c r="E455" s="12">
        <v>16.899999999999999</v>
      </c>
      <c r="G455" s="12"/>
    </row>
    <row r="456" spans="2:7" ht="15.6" x14ac:dyDescent="0.3">
      <c r="B456" s="5" t="s">
        <v>860</v>
      </c>
      <c r="C456" s="5"/>
      <c r="D456" s="12"/>
      <c r="E456" s="12">
        <v>13.9</v>
      </c>
      <c r="G456" s="12"/>
    </row>
    <row r="457" spans="2:7" ht="15.6" x14ac:dyDescent="0.3">
      <c r="B457" s="5" t="s">
        <v>861</v>
      </c>
      <c r="C457" s="5"/>
      <c r="D457" s="12"/>
      <c r="E457" s="12">
        <v>16.899999999999999</v>
      </c>
      <c r="G457" s="12"/>
    </row>
    <row r="458" spans="2:7" ht="15.6" x14ac:dyDescent="0.3">
      <c r="B458" s="5" t="s">
        <v>862</v>
      </c>
      <c r="C458" s="5"/>
      <c r="D458" s="12"/>
      <c r="E458" s="12">
        <v>31.9</v>
      </c>
      <c r="G458" s="12"/>
    </row>
    <row r="459" spans="2:7" ht="15.6" x14ac:dyDescent="0.3">
      <c r="B459" s="5" t="s">
        <v>863</v>
      </c>
      <c r="C459" s="5"/>
      <c r="D459" s="12"/>
      <c r="E459" s="12">
        <v>19.899999999999999</v>
      </c>
      <c r="G459" s="12"/>
    </row>
    <row r="460" spans="2:7" ht="15.6" x14ac:dyDescent="0.3">
      <c r="B460" s="5" t="s">
        <v>864</v>
      </c>
      <c r="C460" s="5"/>
      <c r="D460" s="12"/>
      <c r="E460" s="12">
        <v>16.899999999999999</v>
      </c>
      <c r="G460" s="12"/>
    </row>
    <row r="461" spans="2:7" ht="15.6" x14ac:dyDescent="0.3">
      <c r="B461" s="5" t="s">
        <v>865</v>
      </c>
      <c r="C461" s="5"/>
      <c r="D461" s="12"/>
      <c r="E461" s="12">
        <v>16.899999999999999</v>
      </c>
      <c r="G461" s="12"/>
    </row>
    <row r="462" spans="2:7" ht="15.6" x14ac:dyDescent="0.3">
      <c r="B462" s="5" t="s">
        <v>866</v>
      </c>
      <c r="C462" s="5"/>
      <c r="D462" s="12"/>
      <c r="E462" s="12">
        <v>27.9</v>
      </c>
      <c r="G462" s="12"/>
    </row>
    <row r="463" spans="2:7" ht="15.6" x14ac:dyDescent="0.3">
      <c r="B463" s="5" t="s">
        <v>867</v>
      </c>
      <c r="C463" s="5"/>
      <c r="D463" s="12"/>
      <c r="E463" s="12">
        <v>17.899999999999999</v>
      </c>
      <c r="G463" s="12"/>
    </row>
    <row r="464" spans="2:7" ht="15.6" x14ac:dyDescent="0.3">
      <c r="B464" s="5" t="s">
        <v>868</v>
      </c>
      <c r="C464" s="5"/>
      <c r="D464" s="12"/>
      <c r="E464" s="12">
        <v>16.899999999999999</v>
      </c>
      <c r="G464" s="12"/>
    </row>
    <row r="465" spans="2:7" ht="15.6" x14ac:dyDescent="0.3">
      <c r="B465" s="5" t="s">
        <v>869</v>
      </c>
      <c r="C465" s="5"/>
      <c r="D465" s="12"/>
      <c r="E465" s="12">
        <v>25.9</v>
      </c>
      <c r="G465" s="12"/>
    </row>
    <row r="466" spans="2:7" ht="15.6" x14ac:dyDescent="0.3">
      <c r="B466" s="5" t="s">
        <v>870</v>
      </c>
      <c r="C466" s="5"/>
      <c r="D466" s="12"/>
      <c r="E466" s="12">
        <v>45.9</v>
      </c>
      <c r="G466" s="12"/>
    </row>
    <row r="467" spans="2:7" ht="15.6" x14ac:dyDescent="0.3">
      <c r="B467" s="5" t="s">
        <v>871</v>
      </c>
      <c r="C467" s="5"/>
      <c r="D467" s="12"/>
      <c r="E467" s="12">
        <v>15.9</v>
      </c>
      <c r="G467" s="12"/>
    </row>
    <row r="468" spans="2:7" ht="15.6" x14ac:dyDescent="0.3">
      <c r="B468" s="5" t="s">
        <v>872</v>
      </c>
      <c r="C468" s="5"/>
      <c r="D468" s="12"/>
      <c r="E468" s="12">
        <v>26.9</v>
      </c>
      <c r="G468" s="12"/>
    </row>
    <row r="469" spans="2:7" ht="15.6" x14ac:dyDescent="0.3">
      <c r="B469" s="5" t="s">
        <v>873</v>
      </c>
      <c r="C469" s="5"/>
      <c r="D469" s="12"/>
      <c r="E469" s="12">
        <v>36.9</v>
      </c>
      <c r="G469" s="12"/>
    </row>
    <row r="470" spans="2:7" ht="15.6" x14ac:dyDescent="0.3">
      <c r="B470" s="5" t="s">
        <v>874</v>
      </c>
      <c r="C470" s="5"/>
      <c r="D470" s="12"/>
      <c r="E470" s="12">
        <v>25.9</v>
      </c>
      <c r="G470" s="12"/>
    </row>
    <row r="471" spans="2:7" ht="15.6" x14ac:dyDescent="0.3">
      <c r="B471" s="5" t="s">
        <v>875</v>
      </c>
      <c r="C471" s="5"/>
      <c r="D471" s="12"/>
      <c r="E471" s="12">
        <v>13.9</v>
      </c>
      <c r="G471" s="12"/>
    </row>
    <row r="472" spans="2:7" ht="15.6" x14ac:dyDescent="0.3">
      <c r="B472" s="5" t="s">
        <v>876</v>
      </c>
      <c r="C472" s="5"/>
      <c r="D472" s="12"/>
      <c r="E472" s="12">
        <v>26.9</v>
      </c>
      <c r="G472" s="12"/>
    </row>
    <row r="473" spans="2:7" ht="15.6" x14ac:dyDescent="0.3">
      <c r="B473" s="5" t="s">
        <v>877</v>
      </c>
      <c r="C473" s="5"/>
      <c r="D473" s="12"/>
      <c r="E473" s="12">
        <v>16.899999999999999</v>
      </c>
      <c r="G473" s="12"/>
    </row>
    <row r="474" spans="2:7" ht="15.6" x14ac:dyDescent="0.3">
      <c r="B474" s="5" t="s">
        <v>878</v>
      </c>
      <c r="C474" s="5"/>
      <c r="D474" s="12"/>
      <c r="E474" s="12">
        <v>14.9</v>
      </c>
      <c r="G474" s="12"/>
    </row>
    <row r="475" spans="2:7" ht="15.6" x14ac:dyDescent="0.3">
      <c r="B475" s="5" t="s">
        <v>879</v>
      </c>
      <c r="C475" s="5"/>
      <c r="D475" s="12"/>
      <c r="E475" s="12">
        <v>13.9</v>
      </c>
      <c r="G475" s="12"/>
    </row>
    <row r="476" spans="2:7" ht="15.6" x14ac:dyDescent="0.3">
      <c r="B476" s="5" t="s">
        <v>880</v>
      </c>
      <c r="C476" s="5"/>
      <c r="D476" s="12"/>
      <c r="E476" s="12">
        <v>19.899999999999999</v>
      </c>
      <c r="G476" s="12"/>
    </row>
    <row r="477" spans="2:7" ht="15.6" x14ac:dyDescent="0.3">
      <c r="B477" s="5" t="s">
        <v>881</v>
      </c>
      <c r="C477" s="5"/>
      <c r="D477" s="12"/>
      <c r="E477" s="12">
        <v>23.9</v>
      </c>
      <c r="G477" s="12"/>
    </row>
    <row r="478" spans="2:7" ht="15.6" x14ac:dyDescent="0.3">
      <c r="B478" s="5" t="s">
        <v>882</v>
      </c>
      <c r="C478" s="5"/>
      <c r="D478" s="12"/>
      <c r="E478" s="12">
        <v>14.9</v>
      </c>
      <c r="G478" s="12"/>
    </row>
    <row r="479" spans="2:7" ht="15.6" x14ac:dyDescent="0.3">
      <c r="B479" s="5" t="s">
        <v>883</v>
      </c>
      <c r="C479" s="5"/>
      <c r="D479" s="12"/>
      <c r="E479" s="12">
        <v>16.899999999999999</v>
      </c>
      <c r="G479" s="12"/>
    </row>
    <row r="480" spans="2:7" ht="15.6" x14ac:dyDescent="0.3">
      <c r="B480" s="5" t="s">
        <v>884</v>
      </c>
      <c r="C480" s="5"/>
      <c r="D480" s="12"/>
      <c r="E480" s="12">
        <v>16.899999999999999</v>
      </c>
      <c r="G480" s="12"/>
    </row>
    <row r="481" spans="2:7" ht="15.6" x14ac:dyDescent="0.3">
      <c r="B481" s="5" t="s">
        <v>885</v>
      </c>
      <c r="C481" s="5"/>
      <c r="D481" s="12"/>
      <c r="E481" s="12">
        <v>6.9</v>
      </c>
      <c r="G481" s="12"/>
    </row>
    <row r="482" spans="2:7" ht="15.6" x14ac:dyDescent="0.3">
      <c r="B482" s="5" t="s">
        <v>886</v>
      </c>
      <c r="C482" s="5"/>
      <c r="D482" s="12"/>
      <c r="E482" s="12">
        <v>8.9</v>
      </c>
      <c r="G482" s="12"/>
    </row>
    <row r="483" spans="2:7" ht="15.6" x14ac:dyDescent="0.3">
      <c r="B483" s="5" t="s">
        <v>887</v>
      </c>
      <c r="C483" s="5"/>
      <c r="D483" s="12"/>
      <c r="E483" s="12">
        <v>36.9</v>
      </c>
      <c r="G483" s="12"/>
    </row>
    <row r="484" spans="2:7" ht="15.6" x14ac:dyDescent="0.3">
      <c r="B484" s="5" t="s">
        <v>888</v>
      </c>
      <c r="C484" s="5"/>
      <c r="D484" s="12"/>
      <c r="E484" s="12">
        <v>18.899999999999999</v>
      </c>
      <c r="G484" s="12"/>
    </row>
    <row r="485" spans="2:7" ht="15.6" x14ac:dyDescent="0.3">
      <c r="B485" s="5" t="s">
        <v>889</v>
      </c>
      <c r="C485" s="5"/>
      <c r="D485" s="12"/>
      <c r="E485" s="12">
        <v>16.899999999999999</v>
      </c>
      <c r="G485" s="12"/>
    </row>
    <row r="486" spans="2:7" ht="15.6" x14ac:dyDescent="0.3">
      <c r="B486" s="5" t="s">
        <v>890</v>
      </c>
      <c r="C486" s="5"/>
      <c r="D486" s="12"/>
      <c r="E486" s="12">
        <v>14.9</v>
      </c>
      <c r="G486" s="12"/>
    </row>
    <row r="487" spans="2:7" ht="15.6" x14ac:dyDescent="0.3">
      <c r="B487" s="5" t="s">
        <v>891</v>
      </c>
      <c r="C487" s="5"/>
      <c r="D487" s="12"/>
      <c r="E487" s="12">
        <v>16.899999999999999</v>
      </c>
      <c r="G487" s="12"/>
    </row>
    <row r="488" spans="2:7" ht="15.6" x14ac:dyDescent="0.3">
      <c r="B488" s="5" t="s">
        <v>892</v>
      </c>
      <c r="C488" s="5"/>
      <c r="D488" s="12"/>
      <c r="E488" s="12">
        <v>11.9</v>
      </c>
      <c r="G488" s="12"/>
    </row>
    <row r="489" spans="2:7" ht="15.6" x14ac:dyDescent="0.3">
      <c r="B489" s="5" t="s">
        <v>893</v>
      </c>
      <c r="C489" s="5"/>
      <c r="D489" s="12"/>
      <c r="E489" s="12">
        <v>29.9</v>
      </c>
      <c r="G489" s="12"/>
    </row>
    <row r="490" spans="2:7" ht="15.6" x14ac:dyDescent="0.3">
      <c r="B490" s="5" t="s">
        <v>894</v>
      </c>
      <c r="C490" s="5"/>
      <c r="D490" s="12"/>
      <c r="E490" s="12">
        <v>30.9</v>
      </c>
      <c r="G490" s="12"/>
    </row>
    <row r="491" spans="2:7" ht="15.6" x14ac:dyDescent="0.3">
      <c r="B491" s="5" t="s">
        <v>895</v>
      </c>
      <c r="C491" s="5"/>
      <c r="D491" s="12"/>
      <c r="E491" s="12">
        <v>23.9</v>
      </c>
      <c r="G491" s="12"/>
    </row>
    <row r="492" spans="2:7" ht="15.6" x14ac:dyDescent="0.3">
      <c r="B492" s="5" t="s">
        <v>896</v>
      </c>
      <c r="C492" s="5"/>
      <c r="D492" s="12"/>
      <c r="E492" s="12">
        <v>22.9</v>
      </c>
      <c r="G492" s="12"/>
    </row>
    <row r="493" spans="2:7" ht="15.6" x14ac:dyDescent="0.3">
      <c r="B493" s="5" t="s">
        <v>897</v>
      </c>
      <c r="C493" s="5"/>
      <c r="D493" s="12"/>
      <c r="E493" s="12">
        <v>17.899999999999999</v>
      </c>
      <c r="G493" s="12"/>
    </row>
    <row r="494" spans="2:7" ht="15.6" x14ac:dyDescent="0.3">
      <c r="B494" s="5" t="s">
        <v>898</v>
      </c>
      <c r="C494" s="5"/>
      <c r="D494" s="12"/>
      <c r="E494" s="12">
        <v>11.9</v>
      </c>
      <c r="G494" s="12"/>
    </row>
    <row r="495" spans="2:7" ht="15.6" x14ac:dyDescent="0.3">
      <c r="B495" s="5" t="s">
        <v>899</v>
      </c>
      <c r="C495" s="5"/>
      <c r="D495" s="12"/>
      <c r="E495" s="12">
        <v>14.9</v>
      </c>
      <c r="G495" s="12"/>
    </row>
    <row r="496" spans="2:7" ht="15.6" x14ac:dyDescent="0.3">
      <c r="B496" s="5" t="s">
        <v>900</v>
      </c>
      <c r="C496" s="5"/>
      <c r="D496" s="12"/>
      <c r="E496" s="12">
        <v>11.9</v>
      </c>
      <c r="G496" s="12"/>
    </row>
    <row r="497" spans="2:7" ht="15.6" x14ac:dyDescent="0.3">
      <c r="B497" s="5" t="s">
        <v>901</v>
      </c>
      <c r="C497" s="5"/>
      <c r="D497" s="12"/>
      <c r="E497" s="12">
        <v>16.899999999999999</v>
      </c>
      <c r="G497" s="12"/>
    </row>
    <row r="498" spans="2:7" ht="15.6" x14ac:dyDescent="0.3">
      <c r="B498" s="5" t="s">
        <v>902</v>
      </c>
      <c r="C498" s="5"/>
      <c r="D498" s="12"/>
      <c r="E498" s="12">
        <v>34.9</v>
      </c>
      <c r="G498" s="12"/>
    </row>
    <row r="499" spans="2:7" ht="15.6" x14ac:dyDescent="0.3">
      <c r="B499" s="5" t="s">
        <v>903</v>
      </c>
      <c r="C499" s="5"/>
      <c r="D499" s="12"/>
      <c r="E499" s="12">
        <v>20.9</v>
      </c>
      <c r="G499" s="12"/>
    </row>
    <row r="500" spans="2:7" ht="15.6" x14ac:dyDescent="0.3">
      <c r="B500" s="5" t="s">
        <v>904</v>
      </c>
      <c r="C500" s="5"/>
      <c r="D500" s="12"/>
      <c r="E500" s="12">
        <v>36.9</v>
      </c>
      <c r="G500" s="12"/>
    </row>
    <row r="501" spans="2:7" ht="15.6" x14ac:dyDescent="0.3">
      <c r="B501" s="5" t="s">
        <v>905</v>
      </c>
      <c r="C501" s="5"/>
      <c r="D501" s="12"/>
      <c r="E501" s="12">
        <v>29.9</v>
      </c>
      <c r="G501" s="12"/>
    </row>
    <row r="502" spans="2:7" ht="15.6" x14ac:dyDescent="0.3">
      <c r="B502" s="5" t="s">
        <v>906</v>
      </c>
      <c r="C502" s="5"/>
      <c r="D502" s="12"/>
      <c r="E502" s="12">
        <v>30.9</v>
      </c>
      <c r="G502" s="12"/>
    </row>
    <row r="503" spans="2:7" ht="15.6" x14ac:dyDescent="0.3">
      <c r="B503" s="5" t="s">
        <v>907</v>
      </c>
      <c r="C503" s="5"/>
      <c r="D503" s="12"/>
      <c r="E503" s="12">
        <v>25.9</v>
      </c>
      <c r="G503" s="12"/>
    </row>
    <row r="504" spans="2:7" ht="15.6" x14ac:dyDescent="0.3">
      <c r="B504" s="5" t="s">
        <v>908</v>
      </c>
      <c r="C504" s="5"/>
      <c r="D504" s="12"/>
      <c r="E504" s="12">
        <v>14.9</v>
      </c>
      <c r="G504" s="12"/>
    </row>
    <row r="505" spans="2:7" ht="15.6" x14ac:dyDescent="0.3">
      <c r="B505" s="5" t="s">
        <v>909</v>
      </c>
      <c r="C505" s="5"/>
      <c r="D505" s="12"/>
      <c r="E505" s="12">
        <v>13.9</v>
      </c>
      <c r="G505" s="12"/>
    </row>
    <row r="506" spans="2:7" ht="15.6" x14ac:dyDescent="0.3">
      <c r="B506" s="5" t="s">
        <v>910</v>
      </c>
      <c r="C506" s="5"/>
      <c r="D506" s="12"/>
      <c r="E506" s="12">
        <v>22.9</v>
      </c>
      <c r="G506" s="12"/>
    </row>
    <row r="507" spans="2:7" ht="15.6" x14ac:dyDescent="0.3">
      <c r="B507" s="5" t="s">
        <v>911</v>
      </c>
      <c r="C507" s="5"/>
      <c r="D507" s="12"/>
      <c r="E507" s="12">
        <v>37.9</v>
      </c>
      <c r="G507" s="12"/>
    </row>
    <row r="508" spans="2:7" ht="15.6" x14ac:dyDescent="0.3">
      <c r="B508" s="5" t="s">
        <v>912</v>
      </c>
      <c r="C508" s="5"/>
      <c r="D508" s="12"/>
      <c r="E508" s="12">
        <v>27.9</v>
      </c>
      <c r="G508" s="12"/>
    </row>
    <row r="509" spans="2:7" ht="15.6" x14ac:dyDescent="0.3">
      <c r="B509" s="5" t="s">
        <v>913</v>
      </c>
      <c r="C509" s="5"/>
      <c r="D509" s="12"/>
      <c r="E509" s="12">
        <v>20.9</v>
      </c>
      <c r="G509" s="12"/>
    </row>
    <row r="510" spans="2:7" ht="15.6" x14ac:dyDescent="0.3">
      <c r="B510" s="5" t="s">
        <v>914</v>
      </c>
      <c r="C510" s="5"/>
      <c r="D510" s="12"/>
      <c r="E510" s="12">
        <v>13.9</v>
      </c>
      <c r="G510" s="12"/>
    </row>
    <row r="511" spans="2:7" ht="15.6" x14ac:dyDescent="0.3">
      <c r="B511" s="5" t="s">
        <v>915</v>
      </c>
      <c r="C511" s="5"/>
      <c r="D511" s="12"/>
      <c r="E511" s="12">
        <v>20.9</v>
      </c>
      <c r="G511" s="12"/>
    </row>
    <row r="512" spans="2:7" ht="15.6" x14ac:dyDescent="0.3">
      <c r="B512" s="5" t="s">
        <v>916</v>
      </c>
      <c r="C512" s="5"/>
      <c r="D512" s="12"/>
      <c r="E512" s="12">
        <v>6.9</v>
      </c>
      <c r="G512" s="12"/>
    </row>
    <row r="513" spans="2:7" ht="15.6" x14ac:dyDescent="0.3">
      <c r="B513" s="5" t="s">
        <v>917</v>
      </c>
      <c r="C513" s="5"/>
      <c r="D513" s="12"/>
      <c r="E513" s="12">
        <v>10.9</v>
      </c>
      <c r="G513" s="12"/>
    </row>
    <row r="514" spans="2:7" ht="15.6" x14ac:dyDescent="0.3">
      <c r="B514" s="5" t="s">
        <v>918</v>
      </c>
      <c r="C514" s="5"/>
      <c r="D514" s="12"/>
      <c r="E514" s="12">
        <v>12.9</v>
      </c>
      <c r="G514" s="12"/>
    </row>
    <row r="515" spans="2:7" ht="15.6" x14ac:dyDescent="0.3">
      <c r="B515" s="5" t="s">
        <v>919</v>
      </c>
      <c r="C515" s="5"/>
      <c r="D515" s="12"/>
      <c r="E515" s="12">
        <v>14.9</v>
      </c>
      <c r="G515" s="12"/>
    </row>
    <row r="516" spans="2:7" ht="15.6" x14ac:dyDescent="0.3">
      <c r="B516" s="5" t="s">
        <v>920</v>
      </c>
      <c r="C516" s="5"/>
      <c r="D516" s="12"/>
      <c r="E516" s="12">
        <v>27.9</v>
      </c>
      <c r="G516" s="12"/>
    </row>
    <row r="517" spans="2:7" ht="15.6" x14ac:dyDescent="0.3">
      <c r="B517" s="5" t="s">
        <v>921</v>
      </c>
      <c r="C517" s="5"/>
      <c r="D517" s="12"/>
      <c r="E517" s="12">
        <v>19.899999999999999</v>
      </c>
      <c r="G517" s="12"/>
    </row>
    <row r="518" spans="2:7" ht="15.6" x14ac:dyDescent="0.3">
      <c r="B518" s="5" t="s">
        <v>922</v>
      </c>
      <c r="C518" s="5"/>
      <c r="D518" s="12"/>
      <c r="E518" s="12">
        <v>70.900000000000006</v>
      </c>
      <c r="G518" s="12"/>
    </row>
    <row r="519" spans="2:7" ht="15.6" x14ac:dyDescent="0.3">
      <c r="B519" s="5" t="s">
        <v>923</v>
      </c>
      <c r="C519" s="5"/>
      <c r="D519" s="12"/>
      <c r="E519" s="12">
        <v>22.9</v>
      </c>
      <c r="G519" s="12"/>
    </row>
    <row r="520" spans="2:7" ht="15.6" x14ac:dyDescent="0.3">
      <c r="B520" s="5" t="s">
        <v>924</v>
      </c>
      <c r="C520" s="5"/>
      <c r="D520" s="12"/>
      <c r="E520" s="12">
        <v>13.9</v>
      </c>
      <c r="G520" s="12"/>
    </row>
    <row r="521" spans="2:7" ht="15.6" x14ac:dyDescent="0.3">
      <c r="B521" s="5" t="s">
        <v>925</v>
      </c>
      <c r="C521" s="5"/>
      <c r="D521" s="12"/>
      <c r="E521" s="12">
        <v>29.9</v>
      </c>
      <c r="G521" s="12"/>
    </row>
    <row r="522" spans="2:7" ht="15.6" x14ac:dyDescent="0.3">
      <c r="B522" s="5" t="s">
        <v>926</v>
      </c>
      <c r="C522" s="5"/>
      <c r="D522" s="12"/>
      <c r="E522" s="12">
        <v>14.9</v>
      </c>
      <c r="G522" s="12"/>
    </row>
    <row r="523" spans="2:7" ht="15.6" x14ac:dyDescent="0.3">
      <c r="B523" s="5" t="s">
        <v>927</v>
      </c>
      <c r="C523" s="5"/>
      <c r="D523" s="12"/>
      <c r="E523" s="12">
        <v>20.9</v>
      </c>
      <c r="G523" s="12"/>
    </row>
    <row r="524" spans="2:7" ht="15.6" x14ac:dyDescent="0.3">
      <c r="B524" s="5" t="s">
        <v>928</v>
      </c>
      <c r="C524" s="5"/>
      <c r="D524" s="12"/>
      <c r="E524" s="12">
        <v>19.899999999999999</v>
      </c>
      <c r="G524" s="12"/>
    </row>
    <row r="525" spans="2:7" ht="15.6" x14ac:dyDescent="0.3">
      <c r="B525" s="5" t="s">
        <v>929</v>
      </c>
      <c r="C525" s="5"/>
      <c r="D525" s="12"/>
      <c r="E525" s="12">
        <v>15.9</v>
      </c>
      <c r="G525" s="12"/>
    </row>
    <row r="526" spans="2:7" ht="15.6" x14ac:dyDescent="0.3">
      <c r="B526" s="5" t="s">
        <v>930</v>
      </c>
      <c r="C526" s="5"/>
      <c r="D526" s="12"/>
      <c r="E526" s="12">
        <v>36.9</v>
      </c>
      <c r="G526" s="12"/>
    </row>
    <row r="527" spans="2:7" ht="15.6" x14ac:dyDescent="0.3">
      <c r="B527" s="5" t="s">
        <v>931</v>
      </c>
      <c r="C527" s="5"/>
      <c r="D527" s="12"/>
      <c r="E527" s="12">
        <v>8.9</v>
      </c>
      <c r="G527" s="12"/>
    </row>
    <row r="528" spans="2:7" ht="15.6" x14ac:dyDescent="0.3">
      <c r="B528" s="5" t="s">
        <v>932</v>
      </c>
      <c r="C528" s="5"/>
      <c r="D528" s="12"/>
      <c r="E528" s="12">
        <v>23.9</v>
      </c>
      <c r="G528" s="12"/>
    </row>
    <row r="529" spans="2:7" ht="15.6" x14ac:dyDescent="0.3">
      <c r="B529" s="5" t="s">
        <v>933</v>
      </c>
      <c r="C529" s="5"/>
      <c r="D529" s="12"/>
      <c r="E529" s="12">
        <v>13.9</v>
      </c>
      <c r="G529" s="12"/>
    </row>
    <row r="530" spans="2:7" ht="15.6" x14ac:dyDescent="0.3">
      <c r="B530" s="5" t="s">
        <v>934</v>
      </c>
      <c r="C530" s="5"/>
      <c r="D530" s="12"/>
      <c r="E530" s="12">
        <v>33.9</v>
      </c>
      <c r="G530" s="12"/>
    </row>
    <row r="531" spans="2:7" ht="15.6" x14ac:dyDescent="0.3">
      <c r="B531" s="5" t="s">
        <v>935</v>
      </c>
      <c r="C531" s="5"/>
      <c r="D531" s="12"/>
      <c r="E531" s="12">
        <v>36.9</v>
      </c>
      <c r="G531" s="12"/>
    </row>
    <row r="532" spans="2:7" ht="15.6" x14ac:dyDescent="0.3">
      <c r="B532" s="5" t="s">
        <v>936</v>
      </c>
      <c r="C532" s="5"/>
      <c r="D532" s="12"/>
      <c r="E532" s="12">
        <v>14.9</v>
      </c>
      <c r="G532" s="12"/>
    </row>
    <row r="533" spans="2:7" ht="15.6" x14ac:dyDescent="0.3">
      <c r="B533" s="5" t="s">
        <v>937</v>
      </c>
      <c r="C533" s="5"/>
      <c r="D533" s="12"/>
      <c r="E533" s="12">
        <v>24.9</v>
      </c>
      <c r="G533" s="12"/>
    </row>
    <row r="534" spans="2:7" ht="15.6" x14ac:dyDescent="0.3">
      <c r="B534" s="5" t="s">
        <v>938</v>
      </c>
      <c r="C534" s="5"/>
      <c r="D534" s="12"/>
      <c r="E534" s="12">
        <v>16.899999999999999</v>
      </c>
      <c r="G534" s="12"/>
    </row>
    <row r="535" spans="2:7" ht="15.6" x14ac:dyDescent="0.3">
      <c r="B535" s="5" t="s">
        <v>939</v>
      </c>
      <c r="C535" s="5"/>
      <c r="D535" s="12"/>
      <c r="E535" s="12">
        <v>12.9</v>
      </c>
      <c r="G535" s="12"/>
    </row>
    <row r="536" spans="2:7" ht="15.6" x14ac:dyDescent="0.3">
      <c r="B536" s="5" t="s">
        <v>940</v>
      </c>
      <c r="C536" s="5"/>
      <c r="D536" s="12"/>
      <c r="E536" s="12">
        <v>9.9</v>
      </c>
      <c r="G536" s="12"/>
    </row>
    <row r="537" spans="2:7" ht="15.6" x14ac:dyDescent="0.3">
      <c r="B537" s="5" t="s">
        <v>941</v>
      </c>
      <c r="C537" s="5"/>
      <c r="D537" s="12"/>
      <c r="E537" s="12">
        <v>11.9</v>
      </c>
      <c r="G537" s="12"/>
    </row>
    <row r="538" spans="2:7" ht="15.6" x14ac:dyDescent="0.3">
      <c r="B538" s="5" t="s">
        <v>942</v>
      </c>
      <c r="C538" s="5"/>
      <c r="D538" s="12"/>
      <c r="E538" s="12">
        <v>7.9</v>
      </c>
      <c r="G538" s="12"/>
    </row>
    <row r="539" spans="2:7" ht="15.6" x14ac:dyDescent="0.3">
      <c r="B539" s="5" t="s">
        <v>943</v>
      </c>
      <c r="C539" s="5"/>
      <c r="D539" s="12"/>
      <c r="E539" s="12">
        <v>13.9</v>
      </c>
      <c r="G539" s="12"/>
    </row>
    <row r="540" spans="2:7" ht="15.6" x14ac:dyDescent="0.3">
      <c r="B540" s="5" t="s">
        <v>944</v>
      </c>
      <c r="C540" s="5"/>
      <c r="D540" s="12"/>
      <c r="E540" s="12">
        <v>11.9</v>
      </c>
      <c r="G540" s="12"/>
    </row>
    <row r="541" spans="2:7" ht="15.6" x14ac:dyDescent="0.3">
      <c r="B541" s="5" t="s">
        <v>945</v>
      </c>
      <c r="C541" s="5"/>
      <c r="D541" s="12"/>
      <c r="E541" s="12">
        <v>11.9</v>
      </c>
      <c r="G541" s="12"/>
    </row>
    <row r="542" spans="2:7" ht="15.6" x14ac:dyDescent="0.3">
      <c r="B542" s="5" t="s">
        <v>946</v>
      </c>
      <c r="C542" s="5"/>
      <c r="D542" s="12"/>
      <c r="E542" s="12">
        <v>7.9</v>
      </c>
      <c r="G542" s="12"/>
    </row>
    <row r="543" spans="2:7" ht="15.6" x14ac:dyDescent="0.3">
      <c r="B543" s="5" t="s">
        <v>947</v>
      </c>
      <c r="C543" s="5"/>
      <c r="D543" s="12"/>
      <c r="E543" s="12">
        <v>13.9</v>
      </c>
      <c r="G543" s="12"/>
    </row>
    <row r="545" spans="2:9" ht="15.6" x14ac:dyDescent="0.3">
      <c r="B545" s="1" t="s">
        <v>955</v>
      </c>
      <c r="C545" s="1" t="s">
        <v>1730</v>
      </c>
      <c r="D545" s="12">
        <v>96.95</v>
      </c>
      <c r="E545" s="12">
        <v>57.95</v>
      </c>
      <c r="G545" s="12">
        <v>57.2</v>
      </c>
      <c r="I545" s="27"/>
    </row>
    <row r="546" spans="2:9" ht="15.6" x14ac:dyDescent="0.3">
      <c r="B546" s="1" t="s">
        <v>956</v>
      </c>
      <c r="C546" s="1" t="s">
        <v>1731</v>
      </c>
      <c r="D546" s="12">
        <v>82.95</v>
      </c>
      <c r="E546" s="12">
        <v>49.95</v>
      </c>
      <c r="G546" s="12">
        <v>48.94</v>
      </c>
      <c r="I546" s="27"/>
    </row>
    <row r="547" spans="2:9" ht="15.6" x14ac:dyDescent="0.3">
      <c r="B547" s="1" t="s">
        <v>957</v>
      </c>
      <c r="C547" s="1" t="s">
        <v>1732</v>
      </c>
      <c r="D547" s="12">
        <v>81.95</v>
      </c>
      <c r="E547" s="12">
        <v>48.95</v>
      </c>
      <c r="G547" s="12">
        <v>48.35</v>
      </c>
      <c r="I547" s="27"/>
    </row>
    <row r="548" spans="2:9" ht="15.6" x14ac:dyDescent="0.3">
      <c r="B548" s="1" t="s">
        <v>958</v>
      </c>
      <c r="C548" s="1" t="s">
        <v>959</v>
      </c>
      <c r="D548" s="12">
        <v>34.950000000000003</v>
      </c>
      <c r="E548" s="12">
        <v>20.95</v>
      </c>
      <c r="G548" s="12">
        <v>20.62</v>
      </c>
      <c r="I548" s="27"/>
    </row>
    <row r="549" spans="2:9" ht="15.6" x14ac:dyDescent="0.3">
      <c r="B549" s="1" t="s">
        <v>1050</v>
      </c>
      <c r="C549" s="1" t="s">
        <v>959</v>
      </c>
      <c r="D549" s="12">
        <v>34.950000000000003</v>
      </c>
      <c r="E549" s="12">
        <v>20.95</v>
      </c>
      <c r="G549" s="12">
        <v>20.62</v>
      </c>
      <c r="I549" s="27"/>
    </row>
    <row r="550" spans="2:9" ht="15.6" x14ac:dyDescent="0.3">
      <c r="B550" s="1" t="s">
        <v>960</v>
      </c>
      <c r="C550" s="1" t="s">
        <v>959</v>
      </c>
      <c r="D550" s="12">
        <v>34.950000000000003</v>
      </c>
      <c r="E550" s="12">
        <v>20.95</v>
      </c>
      <c r="G550" s="12">
        <v>20.62</v>
      </c>
      <c r="I550" s="27"/>
    </row>
    <row r="551" spans="2:9" ht="15.6" x14ac:dyDescent="0.3">
      <c r="B551" s="1" t="s">
        <v>961</v>
      </c>
      <c r="C551" s="1" t="s">
        <v>959</v>
      </c>
      <c r="D551" s="12">
        <v>34.950000000000003</v>
      </c>
      <c r="E551" s="12">
        <v>20.95</v>
      </c>
      <c r="G551" s="12">
        <v>20.62</v>
      </c>
      <c r="I551" s="27"/>
    </row>
    <row r="552" spans="2:9" ht="15.6" x14ac:dyDescent="0.3">
      <c r="B552" s="1" t="s">
        <v>962</v>
      </c>
      <c r="C552" s="1" t="s">
        <v>963</v>
      </c>
      <c r="D552" s="12">
        <v>34.950000000000003</v>
      </c>
      <c r="E552" s="12">
        <v>20.95</v>
      </c>
      <c r="G552" s="12">
        <v>20.62</v>
      </c>
      <c r="I552" s="27"/>
    </row>
    <row r="553" spans="2:9" ht="15.6" x14ac:dyDescent="0.3">
      <c r="B553" s="1" t="s">
        <v>964</v>
      </c>
      <c r="C553" s="1" t="s">
        <v>963</v>
      </c>
      <c r="D553" s="12">
        <v>34.950000000000003</v>
      </c>
      <c r="E553" s="12">
        <v>20.95</v>
      </c>
      <c r="G553" s="12">
        <v>20.62</v>
      </c>
      <c r="I553" s="27"/>
    </row>
    <row r="554" spans="2:9" ht="15.6" x14ac:dyDescent="0.3">
      <c r="B554" s="1" t="s">
        <v>965</v>
      </c>
      <c r="C554" s="1" t="s">
        <v>963</v>
      </c>
      <c r="D554" s="12">
        <v>34.950000000000003</v>
      </c>
      <c r="E554" s="12">
        <v>20.95</v>
      </c>
      <c r="G554" s="12">
        <v>20.62</v>
      </c>
      <c r="I554" s="27"/>
    </row>
    <row r="555" spans="2:9" ht="15.6" x14ac:dyDescent="0.3">
      <c r="B555" s="1" t="s">
        <v>966</v>
      </c>
      <c r="C555" s="1" t="s">
        <v>967</v>
      </c>
      <c r="D555" s="12">
        <v>34.950000000000003</v>
      </c>
      <c r="E555" s="12">
        <v>20.95</v>
      </c>
      <c r="G555" s="12">
        <v>20.62</v>
      </c>
      <c r="I555" s="27"/>
    </row>
    <row r="556" spans="2:9" ht="15.6" x14ac:dyDescent="0.3">
      <c r="B556" s="1" t="s">
        <v>968</v>
      </c>
      <c r="C556" s="1" t="s">
        <v>969</v>
      </c>
      <c r="D556" s="12">
        <v>34.950000000000003</v>
      </c>
      <c r="E556" s="12">
        <v>20.95</v>
      </c>
      <c r="G556" s="12">
        <v>20.62</v>
      </c>
      <c r="I556" s="27"/>
    </row>
    <row r="557" spans="2:9" ht="15.6" x14ac:dyDescent="0.3">
      <c r="B557" s="1" t="s">
        <v>970</v>
      </c>
      <c r="C557" s="1" t="s">
        <v>1733</v>
      </c>
      <c r="D557" s="12">
        <v>34.950000000000003</v>
      </c>
      <c r="E557" s="12">
        <v>20.95</v>
      </c>
      <c r="G557" s="12">
        <v>20.62</v>
      </c>
      <c r="I557" s="27"/>
    </row>
    <row r="558" spans="2:9" ht="15.6" x14ac:dyDescent="0.3">
      <c r="B558" s="1" t="s">
        <v>1051</v>
      </c>
      <c r="C558" s="1" t="s">
        <v>1052</v>
      </c>
      <c r="D558" s="12">
        <v>32.950000000000003</v>
      </c>
      <c r="E558" s="12">
        <v>19.95</v>
      </c>
      <c r="G558" s="12">
        <v>19.440000000000001</v>
      </c>
      <c r="I558" s="27"/>
    </row>
    <row r="559" spans="2:9" ht="15.6" x14ac:dyDescent="0.3">
      <c r="B559" s="1" t="s">
        <v>971</v>
      </c>
      <c r="C559" s="1" t="s">
        <v>971</v>
      </c>
      <c r="D559" s="12">
        <v>32</v>
      </c>
      <c r="E559" s="12">
        <v>18.95</v>
      </c>
      <c r="G559" s="12">
        <v>18.88</v>
      </c>
      <c r="I559" s="27"/>
    </row>
    <row r="560" spans="2:9" ht="15.6" x14ac:dyDescent="0.3">
      <c r="B560" s="1" t="s">
        <v>972</v>
      </c>
      <c r="C560" s="1" t="s">
        <v>973</v>
      </c>
      <c r="D560" s="12">
        <v>29.95</v>
      </c>
      <c r="E560" s="12">
        <v>17.95</v>
      </c>
      <c r="G560" s="12">
        <v>17.670000000000002</v>
      </c>
      <c r="I560" s="27"/>
    </row>
    <row r="561" spans="2:9" ht="15.6" x14ac:dyDescent="0.3">
      <c r="B561" s="1" t="s">
        <v>1102</v>
      </c>
      <c r="C561" s="1" t="s">
        <v>1103</v>
      </c>
      <c r="D561" s="12">
        <v>29.95</v>
      </c>
      <c r="E561" s="12">
        <v>17.95</v>
      </c>
      <c r="G561" s="12">
        <v>17.670000000000002</v>
      </c>
      <c r="I561" s="27"/>
    </row>
    <row r="562" spans="2:9" ht="15.6" x14ac:dyDescent="0.3">
      <c r="B562" s="1" t="s">
        <v>1102</v>
      </c>
      <c r="C562" s="1" t="s">
        <v>1734</v>
      </c>
      <c r="D562" s="12">
        <v>29.95</v>
      </c>
      <c r="E562" s="12">
        <v>17.95</v>
      </c>
      <c r="G562" s="12">
        <v>17.670000000000002</v>
      </c>
      <c r="I562" s="27"/>
    </row>
    <row r="563" spans="2:9" ht="15.6" x14ac:dyDescent="0.3">
      <c r="B563" s="1" t="s">
        <v>1104</v>
      </c>
      <c r="C563" s="1" t="s">
        <v>1105</v>
      </c>
      <c r="D563" s="12">
        <v>29.95</v>
      </c>
      <c r="E563" s="12">
        <v>17.95</v>
      </c>
      <c r="G563" s="12">
        <v>17.670000000000002</v>
      </c>
      <c r="I563" s="27"/>
    </row>
    <row r="564" spans="2:9" ht="15.6" x14ac:dyDescent="0.3">
      <c r="B564" s="1" t="s">
        <v>1106</v>
      </c>
      <c r="C564" s="1" t="s">
        <v>1107</v>
      </c>
      <c r="D564" s="12">
        <v>29.95</v>
      </c>
      <c r="E564" s="12">
        <v>17.95</v>
      </c>
      <c r="G564" s="12">
        <v>17.670000000000002</v>
      </c>
      <c r="I564" s="27"/>
    </row>
    <row r="565" spans="2:9" ht="15.6" x14ac:dyDescent="0.3">
      <c r="B565" s="1" t="s">
        <v>974</v>
      </c>
      <c r="C565" s="1" t="s">
        <v>1735</v>
      </c>
      <c r="D565" s="12">
        <v>24.95</v>
      </c>
      <c r="E565" s="12">
        <v>14.95</v>
      </c>
      <c r="G565" s="12">
        <v>14.72</v>
      </c>
      <c r="I565" s="27"/>
    </row>
    <row r="566" spans="2:9" ht="15.6" x14ac:dyDescent="0.3">
      <c r="B566" s="1" t="s">
        <v>976</v>
      </c>
      <c r="C566" s="1" t="s">
        <v>976</v>
      </c>
      <c r="D566" s="12">
        <v>43.95</v>
      </c>
      <c r="E566" s="12">
        <v>25.95</v>
      </c>
      <c r="G566" s="12">
        <v>25.93</v>
      </c>
      <c r="I566" s="27"/>
    </row>
    <row r="567" spans="2:9" ht="15.6" x14ac:dyDescent="0.3">
      <c r="B567" s="1" t="s">
        <v>978</v>
      </c>
      <c r="C567" s="1" t="s">
        <v>1736</v>
      </c>
      <c r="D567" s="12">
        <v>23.95</v>
      </c>
      <c r="E567" s="12">
        <v>13.95</v>
      </c>
      <c r="G567" s="12">
        <v>14.13</v>
      </c>
      <c r="I567" s="27"/>
    </row>
    <row r="568" spans="2:9" ht="15.6" x14ac:dyDescent="0.3">
      <c r="B568" s="1" t="s">
        <v>980</v>
      </c>
      <c r="C568" s="1" t="s">
        <v>1737</v>
      </c>
      <c r="D568" s="12">
        <v>23.95</v>
      </c>
      <c r="E568" s="12">
        <v>13.95</v>
      </c>
      <c r="G568" s="12">
        <v>14.13</v>
      </c>
      <c r="I568" s="27"/>
    </row>
    <row r="569" spans="2:9" ht="15.6" x14ac:dyDescent="0.3">
      <c r="B569" s="1" t="s">
        <v>982</v>
      </c>
      <c r="C569" s="1" t="s">
        <v>983</v>
      </c>
      <c r="D569" s="12">
        <v>22.95</v>
      </c>
      <c r="E569" s="12">
        <v>13.95</v>
      </c>
      <c r="G569" s="12">
        <v>13.54</v>
      </c>
      <c r="I569" s="27"/>
    </row>
    <row r="570" spans="2:9" ht="15.6" x14ac:dyDescent="0.3">
      <c r="B570" s="1" t="s">
        <v>984</v>
      </c>
      <c r="C570" s="1" t="s">
        <v>1738</v>
      </c>
      <c r="D570" s="12">
        <v>22.95</v>
      </c>
      <c r="E570" s="12">
        <v>13.95</v>
      </c>
      <c r="G570" s="12">
        <v>13.54</v>
      </c>
      <c r="I570" s="27"/>
    </row>
    <row r="571" spans="2:9" ht="15.6" x14ac:dyDescent="0.3">
      <c r="B571" s="1" t="s">
        <v>986</v>
      </c>
      <c r="C571" s="1" t="s">
        <v>987</v>
      </c>
      <c r="D571" s="12">
        <v>22.95</v>
      </c>
      <c r="E571" s="12">
        <v>13.95</v>
      </c>
      <c r="G571" s="12">
        <v>13.54</v>
      </c>
      <c r="I571" s="27"/>
    </row>
    <row r="572" spans="2:9" ht="15.6" x14ac:dyDescent="0.3">
      <c r="B572" s="1" t="s">
        <v>988</v>
      </c>
      <c r="C572" s="1" t="s">
        <v>1739</v>
      </c>
      <c r="D572" s="12">
        <v>22.95</v>
      </c>
      <c r="E572" s="12">
        <v>13.95</v>
      </c>
      <c r="G572" s="12">
        <v>13.54</v>
      </c>
      <c r="I572" s="27"/>
    </row>
    <row r="573" spans="2:9" ht="15.6" x14ac:dyDescent="0.3">
      <c r="B573" s="1" t="s">
        <v>990</v>
      </c>
      <c r="C573" s="1" t="s">
        <v>1740</v>
      </c>
      <c r="D573" s="12">
        <v>22.95</v>
      </c>
      <c r="E573" s="12">
        <v>13.95</v>
      </c>
      <c r="G573" s="12">
        <v>13.54</v>
      </c>
      <c r="I573" s="27"/>
    </row>
    <row r="574" spans="2:9" ht="15.6" x14ac:dyDescent="0.3">
      <c r="B574" s="1" t="s">
        <v>992</v>
      </c>
      <c r="C574" s="1" t="s">
        <v>1741</v>
      </c>
      <c r="D574" s="12">
        <v>41.95</v>
      </c>
      <c r="E574" s="12">
        <v>20.95</v>
      </c>
      <c r="G574" s="12">
        <v>24.75</v>
      </c>
      <c r="I574" s="27"/>
    </row>
    <row r="575" spans="2:9" ht="15.6" x14ac:dyDescent="0.3">
      <c r="B575" s="1" t="s">
        <v>1053</v>
      </c>
      <c r="C575" s="1" t="s">
        <v>1077</v>
      </c>
      <c r="D575" s="12">
        <v>21.95</v>
      </c>
      <c r="E575" s="12">
        <v>12.95</v>
      </c>
      <c r="G575" s="12">
        <v>12.95</v>
      </c>
      <c r="I575" s="27"/>
    </row>
    <row r="576" spans="2:9" ht="15.6" x14ac:dyDescent="0.3">
      <c r="B576" s="1" t="s">
        <v>1055</v>
      </c>
      <c r="C576" s="1" t="s">
        <v>1054</v>
      </c>
      <c r="D576" s="12">
        <v>21.95</v>
      </c>
      <c r="E576" s="12">
        <v>12.95</v>
      </c>
      <c r="G576" s="12">
        <v>12.95</v>
      </c>
      <c r="I576" s="27"/>
    </row>
    <row r="577" spans="2:9" ht="15.6" x14ac:dyDescent="0.3">
      <c r="B577" s="1" t="s">
        <v>1108</v>
      </c>
      <c r="C577" s="1" t="s">
        <v>1109</v>
      </c>
      <c r="D577" s="12">
        <v>19.95</v>
      </c>
      <c r="E577" s="12">
        <v>11.95</v>
      </c>
      <c r="G577" s="12">
        <v>11.77</v>
      </c>
      <c r="I577" s="27"/>
    </row>
    <row r="578" spans="2:9" ht="15.6" x14ac:dyDescent="0.3">
      <c r="B578" s="1" t="s">
        <v>994</v>
      </c>
      <c r="C578" s="1" t="s">
        <v>1742</v>
      </c>
      <c r="D578" s="12">
        <v>19.95</v>
      </c>
      <c r="E578" s="12">
        <v>11.95</v>
      </c>
      <c r="G578" s="12">
        <v>11.77</v>
      </c>
      <c r="I578" s="27"/>
    </row>
    <row r="579" spans="2:9" ht="15.6" x14ac:dyDescent="0.3">
      <c r="B579" s="1" t="s">
        <v>1056</v>
      </c>
      <c r="C579" s="1" t="s">
        <v>1057</v>
      </c>
      <c r="D579" s="12">
        <v>19.95</v>
      </c>
      <c r="E579" s="12">
        <v>11.95</v>
      </c>
      <c r="G579" s="12">
        <v>11.77</v>
      </c>
      <c r="I579" s="27"/>
    </row>
    <row r="580" spans="2:9" ht="15.6" x14ac:dyDescent="0.3">
      <c r="B580" s="1" t="s">
        <v>1058</v>
      </c>
      <c r="C580" s="1" t="s">
        <v>1059</v>
      </c>
      <c r="D580" s="12">
        <v>19.95</v>
      </c>
      <c r="E580" s="12">
        <v>11.95</v>
      </c>
      <c r="G580" s="12">
        <v>11.77</v>
      </c>
      <c r="I580" s="27"/>
    </row>
    <row r="581" spans="2:9" ht="15.6" x14ac:dyDescent="0.3">
      <c r="B581" s="1" t="s">
        <v>996</v>
      </c>
      <c r="C581" s="1" t="s">
        <v>1743</v>
      </c>
      <c r="D581" s="12">
        <v>19.95</v>
      </c>
      <c r="E581" s="12">
        <v>11.95</v>
      </c>
      <c r="G581" s="12">
        <v>11.77</v>
      </c>
      <c r="I581" s="27"/>
    </row>
    <row r="582" spans="2:9" ht="15.6" x14ac:dyDescent="0.3">
      <c r="B582" s="1" t="s">
        <v>1110</v>
      </c>
      <c r="C582" s="1" t="s">
        <v>1111</v>
      </c>
      <c r="D582" s="12">
        <v>19.95</v>
      </c>
      <c r="E582" s="12">
        <v>11.95</v>
      </c>
      <c r="G582" s="12">
        <v>11.77</v>
      </c>
      <c r="I582" s="27"/>
    </row>
    <row r="583" spans="2:9" ht="15.6" x14ac:dyDescent="0.3">
      <c r="B583" s="1" t="s">
        <v>998</v>
      </c>
      <c r="C583" s="1" t="s">
        <v>1744</v>
      </c>
      <c r="D583" s="12">
        <v>19.95</v>
      </c>
      <c r="E583" s="12">
        <v>11.95</v>
      </c>
      <c r="G583" s="12">
        <v>11.77</v>
      </c>
      <c r="I583" s="27"/>
    </row>
    <row r="584" spans="2:9" ht="15.6" x14ac:dyDescent="0.3">
      <c r="B584" s="1" t="s">
        <v>1060</v>
      </c>
      <c r="C584" s="1" t="s">
        <v>1061</v>
      </c>
      <c r="D584" s="12">
        <v>19.95</v>
      </c>
      <c r="E584" s="12">
        <v>11.95</v>
      </c>
      <c r="G584" s="12">
        <v>11.77</v>
      </c>
      <c r="I584" s="27"/>
    </row>
    <row r="585" spans="2:9" ht="15.6" x14ac:dyDescent="0.3">
      <c r="B585" s="1" t="s">
        <v>1112</v>
      </c>
      <c r="C585" s="1" t="s">
        <v>1113</v>
      </c>
      <c r="D585" s="12">
        <v>19.95</v>
      </c>
      <c r="E585" s="12">
        <v>11.95</v>
      </c>
      <c r="G585" s="12">
        <v>11.77</v>
      </c>
      <c r="I585" s="27"/>
    </row>
    <row r="586" spans="2:9" ht="15.6" x14ac:dyDescent="0.3">
      <c r="B586" s="1" t="s">
        <v>1114</v>
      </c>
      <c r="C586" s="1" t="s">
        <v>1115</v>
      </c>
      <c r="D586" s="12">
        <v>19.95</v>
      </c>
      <c r="E586" s="12">
        <v>11.95</v>
      </c>
      <c r="G586" s="12">
        <v>11.77</v>
      </c>
      <c r="I586" s="27"/>
    </row>
    <row r="587" spans="2:9" ht="15.6" x14ac:dyDescent="0.3">
      <c r="B587" s="1" t="s">
        <v>1000</v>
      </c>
      <c r="C587" s="1" t="s">
        <v>1001</v>
      </c>
      <c r="D587" s="12">
        <v>19.95</v>
      </c>
      <c r="E587" s="12">
        <v>11.95</v>
      </c>
      <c r="G587" s="12">
        <v>11.77</v>
      </c>
      <c r="I587" s="27"/>
    </row>
    <row r="588" spans="2:9" ht="15.6" x14ac:dyDescent="0.3">
      <c r="B588" s="1" t="s">
        <v>1002</v>
      </c>
      <c r="C588" s="1" t="s">
        <v>1003</v>
      </c>
      <c r="D588" s="12">
        <v>19.95</v>
      </c>
      <c r="E588" s="12">
        <v>11.95</v>
      </c>
      <c r="G588" s="12">
        <v>11.77</v>
      </c>
      <c r="I588" s="27"/>
    </row>
    <row r="589" spans="2:9" ht="15.6" x14ac:dyDescent="0.3">
      <c r="B589" s="1" t="s">
        <v>1062</v>
      </c>
      <c r="C589" s="1" t="s">
        <v>1063</v>
      </c>
      <c r="D589" s="12">
        <v>19.95</v>
      </c>
      <c r="E589" s="12">
        <v>11.95</v>
      </c>
      <c r="G589" s="12">
        <v>11.77</v>
      </c>
      <c r="I589" s="27"/>
    </row>
    <row r="590" spans="2:9" ht="15.6" x14ac:dyDescent="0.3">
      <c r="B590" s="1" t="s">
        <v>1004</v>
      </c>
      <c r="C590" s="1" t="s">
        <v>1745</v>
      </c>
      <c r="D590" s="12">
        <v>19.95</v>
      </c>
      <c r="E590" s="12">
        <v>11.95</v>
      </c>
      <c r="G590" s="12">
        <v>11.77</v>
      </c>
      <c r="I590" s="27"/>
    </row>
    <row r="591" spans="2:9" ht="15.6" x14ac:dyDescent="0.3">
      <c r="B591" s="1" t="s">
        <v>1116</v>
      </c>
      <c r="C591" s="1" t="s">
        <v>1746</v>
      </c>
      <c r="D591" s="12">
        <v>19.95</v>
      </c>
      <c r="E591" s="12">
        <v>11.95</v>
      </c>
      <c r="G591" s="12">
        <v>11.77</v>
      </c>
      <c r="I591" s="27"/>
    </row>
    <row r="592" spans="2:9" ht="15.6" x14ac:dyDescent="0.3">
      <c r="B592" s="1" t="s">
        <v>1064</v>
      </c>
      <c r="C592" s="1" t="s">
        <v>1065</v>
      </c>
      <c r="D592" s="12">
        <v>19.95</v>
      </c>
      <c r="E592" s="12">
        <v>11.95</v>
      </c>
      <c r="G592" s="12">
        <v>11.77</v>
      </c>
      <c r="I592" s="27"/>
    </row>
    <row r="593" spans="2:9" ht="15.6" x14ac:dyDescent="0.3">
      <c r="B593" s="1" t="s">
        <v>1117</v>
      </c>
      <c r="C593" s="1" t="s">
        <v>1118</v>
      </c>
      <c r="D593" s="12">
        <v>18.95</v>
      </c>
      <c r="E593" s="12">
        <v>10.95</v>
      </c>
      <c r="G593" s="12">
        <v>11.18</v>
      </c>
      <c r="I593" s="27"/>
    </row>
    <row r="594" spans="2:9" ht="15.6" x14ac:dyDescent="0.3">
      <c r="B594" s="1" t="s">
        <v>1005</v>
      </c>
      <c r="C594" s="1" t="s">
        <v>1747</v>
      </c>
      <c r="D594" s="12">
        <v>17.95</v>
      </c>
      <c r="E594" s="12">
        <v>10.95</v>
      </c>
      <c r="G594" s="12">
        <v>10.59</v>
      </c>
      <c r="I594" s="27"/>
    </row>
    <row r="595" spans="2:9" ht="15.6" x14ac:dyDescent="0.3">
      <c r="B595" s="1" t="s">
        <v>1007</v>
      </c>
      <c r="C595" s="1" t="s">
        <v>1748</v>
      </c>
      <c r="D595" s="12">
        <v>17.95</v>
      </c>
      <c r="E595" s="12">
        <v>10.95</v>
      </c>
      <c r="G595" s="12">
        <v>10.59</v>
      </c>
      <c r="I595" s="27"/>
    </row>
    <row r="596" spans="2:9" ht="15.6" x14ac:dyDescent="0.3">
      <c r="B596" s="1" t="s">
        <v>1119</v>
      </c>
      <c r="C596" s="1" t="s">
        <v>1120</v>
      </c>
      <c r="D596" s="12">
        <v>17.95</v>
      </c>
      <c r="E596" s="12">
        <v>10.95</v>
      </c>
      <c r="G596" s="12">
        <v>10.59</v>
      </c>
      <c r="I596" s="27"/>
    </row>
    <row r="597" spans="2:9" ht="15.6" x14ac:dyDescent="0.3">
      <c r="B597" s="1" t="s">
        <v>1066</v>
      </c>
      <c r="C597" s="1" t="s">
        <v>1067</v>
      </c>
      <c r="D597" s="12">
        <v>17.95</v>
      </c>
      <c r="E597" s="12">
        <v>10.95</v>
      </c>
      <c r="G597" s="12">
        <v>10.59</v>
      </c>
      <c r="I597" s="27"/>
    </row>
    <row r="598" spans="2:9" ht="15.6" x14ac:dyDescent="0.3">
      <c r="B598" s="1" t="s">
        <v>1068</v>
      </c>
      <c r="C598" s="1" t="s">
        <v>1069</v>
      </c>
      <c r="D598" s="12">
        <v>16.95</v>
      </c>
      <c r="E598" s="12">
        <v>9.9499999999999993</v>
      </c>
      <c r="G598" s="12">
        <v>10</v>
      </c>
      <c r="I598" s="27"/>
    </row>
    <row r="599" spans="2:9" ht="15.6" x14ac:dyDescent="0.3">
      <c r="B599" s="1" t="s">
        <v>1009</v>
      </c>
      <c r="C599" s="1" t="s">
        <v>1749</v>
      </c>
      <c r="D599" s="12">
        <v>16.95</v>
      </c>
      <c r="E599" s="12">
        <v>9.9499999999999993</v>
      </c>
      <c r="G599" s="12">
        <v>10</v>
      </c>
      <c r="I599" s="27"/>
    </row>
    <row r="600" spans="2:9" ht="15.6" x14ac:dyDescent="0.3">
      <c r="B600" s="1" t="s">
        <v>1070</v>
      </c>
      <c r="C600" s="1" t="s">
        <v>1071</v>
      </c>
      <c r="D600" s="12">
        <v>16.95</v>
      </c>
      <c r="E600" s="12">
        <v>9.9499999999999993</v>
      </c>
      <c r="G600" s="12">
        <v>10</v>
      </c>
      <c r="I600" s="27"/>
    </row>
    <row r="601" spans="2:9" ht="15.6" x14ac:dyDescent="0.3">
      <c r="B601" s="1" t="s">
        <v>1121</v>
      </c>
      <c r="C601" s="1" t="s">
        <v>1122</v>
      </c>
      <c r="D601" s="12">
        <v>15.95</v>
      </c>
      <c r="E601" s="12">
        <v>9.9499999999999993</v>
      </c>
      <c r="G601" s="12">
        <v>9.41</v>
      </c>
      <c r="I601" s="27"/>
    </row>
    <row r="602" spans="2:9" ht="15.6" x14ac:dyDescent="0.3">
      <c r="B602" s="1" t="s">
        <v>1011</v>
      </c>
      <c r="C602" s="1" t="s">
        <v>1012</v>
      </c>
      <c r="D602" s="12">
        <v>14.95</v>
      </c>
      <c r="E602" s="12">
        <v>8.9499999999999993</v>
      </c>
      <c r="G602" s="12">
        <v>8.82</v>
      </c>
      <c r="I602" s="27"/>
    </row>
    <row r="603" spans="2:9" ht="15.6" x14ac:dyDescent="0.3">
      <c r="B603" s="1" t="s">
        <v>1123</v>
      </c>
      <c r="C603" s="1" t="s">
        <v>1124</v>
      </c>
      <c r="D603" s="12">
        <v>14.95</v>
      </c>
      <c r="E603" s="12">
        <v>8.9499999999999993</v>
      </c>
      <c r="G603" s="12">
        <v>8.82</v>
      </c>
      <c r="I603" s="27"/>
    </row>
    <row r="604" spans="2:9" ht="15.6" x14ac:dyDescent="0.3">
      <c r="B604" s="1" t="s">
        <v>1072</v>
      </c>
      <c r="C604" s="1" t="s">
        <v>1073</v>
      </c>
      <c r="D604" s="12">
        <v>12.95</v>
      </c>
      <c r="E604" s="12">
        <v>7.95</v>
      </c>
      <c r="G604" s="12">
        <v>7.64</v>
      </c>
      <c r="I604" s="27"/>
    </row>
    <row r="605" spans="2:9" ht="15.6" x14ac:dyDescent="0.3">
      <c r="B605" s="1" t="s">
        <v>1125</v>
      </c>
      <c r="C605" s="1" t="s">
        <v>1126</v>
      </c>
      <c r="D605" s="12">
        <v>11.95</v>
      </c>
      <c r="E605" s="12">
        <v>6.95</v>
      </c>
      <c r="G605" s="12">
        <v>7.05</v>
      </c>
      <c r="I605" s="27"/>
    </row>
    <row r="606" spans="2:9" ht="15.6" x14ac:dyDescent="0.3">
      <c r="B606" s="1" t="s">
        <v>1074</v>
      </c>
      <c r="C606" s="1" t="s">
        <v>1075</v>
      </c>
      <c r="D606" s="12">
        <v>11.95</v>
      </c>
      <c r="E606" s="12">
        <v>6.95</v>
      </c>
      <c r="G606" s="12">
        <v>7.05</v>
      </c>
      <c r="I606" s="27"/>
    </row>
    <row r="607" spans="2:9" ht="15.6" x14ac:dyDescent="0.3">
      <c r="B607" s="1" t="s">
        <v>1076</v>
      </c>
      <c r="C607" s="1" t="s">
        <v>1077</v>
      </c>
      <c r="D607" s="12">
        <v>6.95</v>
      </c>
      <c r="E607" s="12">
        <v>3.95</v>
      </c>
      <c r="G607" s="12">
        <v>4.0999999999999996</v>
      </c>
      <c r="I607" s="27"/>
    </row>
    <row r="608" spans="2:9" ht="15.6" x14ac:dyDescent="0.3">
      <c r="B608" s="1" t="s">
        <v>1078</v>
      </c>
      <c r="C608" s="1" t="s">
        <v>1079</v>
      </c>
      <c r="D608" s="12">
        <v>1.95</v>
      </c>
      <c r="E608" s="12">
        <v>0.95</v>
      </c>
      <c r="G608" s="12">
        <v>1.1499999999999999</v>
      </c>
      <c r="I608" s="27"/>
    </row>
    <row r="609" spans="2:9" ht="15.6" x14ac:dyDescent="0.3">
      <c r="B609" s="1" t="s">
        <v>1127</v>
      </c>
      <c r="C609" s="1" t="s">
        <v>1128</v>
      </c>
      <c r="D609" s="12">
        <v>1.9</v>
      </c>
      <c r="E609" s="12">
        <v>0.95</v>
      </c>
      <c r="G609" s="12">
        <v>1.1200000000000001</v>
      </c>
      <c r="I609" s="27"/>
    </row>
    <row r="610" spans="2:9" ht="15.6" x14ac:dyDescent="0.3">
      <c r="B610" s="1" t="s">
        <v>1129</v>
      </c>
      <c r="C610" s="1" t="s">
        <v>1130</v>
      </c>
      <c r="D610" s="12">
        <v>1.8</v>
      </c>
      <c r="E610" s="12">
        <v>0.95</v>
      </c>
      <c r="G610" s="12">
        <v>1.06</v>
      </c>
      <c r="I610" s="27"/>
    </row>
    <row r="611" spans="2:9" ht="15.6" x14ac:dyDescent="0.3">
      <c r="B611" s="1" t="s">
        <v>1013</v>
      </c>
      <c r="C611" s="1" t="s">
        <v>1014</v>
      </c>
      <c r="D611" s="12">
        <v>0.8</v>
      </c>
      <c r="E611" s="12">
        <v>0.48</v>
      </c>
      <c r="G611" s="12">
        <v>0.47</v>
      </c>
      <c r="I611" s="27"/>
    </row>
    <row r="612" spans="2:9" ht="15.6" x14ac:dyDescent="0.3">
      <c r="B612" s="1" t="s">
        <v>1015</v>
      </c>
      <c r="C612" s="1" t="s">
        <v>1016</v>
      </c>
      <c r="D612" s="12">
        <v>0.8</v>
      </c>
      <c r="E612" s="12">
        <v>0.48</v>
      </c>
      <c r="G612" s="12">
        <v>0.47</v>
      </c>
      <c r="I612" s="27"/>
    </row>
    <row r="613" spans="2:9" ht="15.6" x14ac:dyDescent="0.3">
      <c r="B613" s="1" t="s">
        <v>1131</v>
      </c>
      <c r="C613" s="1" t="s">
        <v>1132</v>
      </c>
      <c r="D613" s="12">
        <v>26</v>
      </c>
      <c r="E613" s="12">
        <v>15.95</v>
      </c>
      <c r="G613" s="12">
        <v>15.34</v>
      </c>
      <c r="I613" s="27"/>
    </row>
    <row r="614" spans="2:9" ht="15.6" x14ac:dyDescent="0.3">
      <c r="B614" s="1" t="s">
        <v>1133</v>
      </c>
      <c r="C614" s="1" t="s">
        <v>1134</v>
      </c>
      <c r="D614" s="12">
        <v>14</v>
      </c>
      <c r="E614" s="12">
        <v>7.95</v>
      </c>
      <c r="G614" s="12">
        <v>8.26</v>
      </c>
      <c r="I614" s="27"/>
    </row>
    <row r="615" spans="2:9" ht="15.6" x14ac:dyDescent="0.3">
      <c r="B615" s="1" t="s">
        <v>1135</v>
      </c>
      <c r="C615" s="1" t="s">
        <v>1136</v>
      </c>
      <c r="D615" s="12">
        <v>197.82</v>
      </c>
      <c r="E615" s="12">
        <v>118.95</v>
      </c>
      <c r="G615" s="12">
        <v>116.71</v>
      </c>
      <c r="I615" s="27"/>
    </row>
    <row r="616" spans="2:9" ht="15.6" x14ac:dyDescent="0.3">
      <c r="B616" s="1" t="s">
        <v>1017</v>
      </c>
      <c r="C616" s="1" t="s">
        <v>1018</v>
      </c>
      <c r="D616" s="12">
        <v>170.91029429075925</v>
      </c>
      <c r="E616" s="12">
        <v>102.95</v>
      </c>
      <c r="G616" s="12">
        <v>100.84</v>
      </c>
      <c r="I616" s="27"/>
    </row>
    <row r="617" spans="2:9" ht="15.6" x14ac:dyDescent="0.3">
      <c r="B617" s="1" t="s">
        <v>1080</v>
      </c>
      <c r="C617" s="1" t="s">
        <v>1081</v>
      </c>
      <c r="D617" s="12">
        <v>150.03</v>
      </c>
      <c r="E617" s="12">
        <v>89.95</v>
      </c>
      <c r="G617" s="12">
        <v>88.52</v>
      </c>
      <c r="I617" s="27"/>
    </row>
    <row r="618" spans="2:9" ht="15.6" x14ac:dyDescent="0.3">
      <c r="B618" s="1" t="s">
        <v>1082</v>
      </c>
      <c r="C618" s="1" t="s">
        <v>1083</v>
      </c>
      <c r="D618" s="12">
        <v>150</v>
      </c>
      <c r="E618" s="12">
        <v>89.95</v>
      </c>
      <c r="G618" s="12">
        <v>88.5</v>
      </c>
      <c r="I618" s="27"/>
    </row>
    <row r="619" spans="2:9" ht="15.6" x14ac:dyDescent="0.3">
      <c r="B619" s="1" t="s">
        <v>1084</v>
      </c>
      <c r="C619" s="1" t="s">
        <v>1085</v>
      </c>
      <c r="D619" s="12">
        <v>75</v>
      </c>
      <c r="E619" s="12">
        <v>44.95</v>
      </c>
      <c r="G619" s="12">
        <v>44.25</v>
      </c>
      <c r="I619" s="27"/>
    </row>
    <row r="620" spans="2:9" ht="15.6" x14ac:dyDescent="0.3">
      <c r="B620" s="1" t="s">
        <v>1086</v>
      </c>
      <c r="C620" s="1" t="s">
        <v>1087</v>
      </c>
      <c r="D620" s="12">
        <v>137.43</v>
      </c>
      <c r="E620" s="12">
        <v>81.95</v>
      </c>
      <c r="G620" s="12">
        <v>81.08</v>
      </c>
      <c r="I620" s="27"/>
    </row>
    <row r="621" spans="2:9" ht="15.6" x14ac:dyDescent="0.3">
      <c r="B621" s="1" t="s">
        <v>1088</v>
      </c>
      <c r="C621" s="1" t="s">
        <v>1089</v>
      </c>
      <c r="D621" s="12">
        <v>123.15984945427174</v>
      </c>
      <c r="E621" s="12">
        <v>73.95</v>
      </c>
      <c r="G621" s="12">
        <v>72.66</v>
      </c>
      <c r="I621" s="27"/>
    </row>
    <row r="622" spans="2:9" ht="15.6" x14ac:dyDescent="0.3">
      <c r="B622" s="1" t="s">
        <v>1090</v>
      </c>
      <c r="C622" s="1" t="s">
        <v>1091</v>
      </c>
      <c r="D622" s="12">
        <v>105.75</v>
      </c>
      <c r="E622" s="12">
        <v>62.95</v>
      </c>
      <c r="G622" s="12">
        <v>62.39</v>
      </c>
      <c r="I622" s="27"/>
    </row>
    <row r="623" spans="2:9" ht="15.6" x14ac:dyDescent="0.3">
      <c r="B623" s="1" t="s">
        <v>1092</v>
      </c>
      <c r="C623" s="1" t="s">
        <v>1093</v>
      </c>
      <c r="D623" s="12">
        <v>96.75</v>
      </c>
      <c r="E623" s="12">
        <v>58.95</v>
      </c>
      <c r="G623" s="12">
        <v>57.08</v>
      </c>
      <c r="I623" s="27"/>
    </row>
    <row r="624" spans="2:9" ht="15.6" x14ac:dyDescent="0.3">
      <c r="B624" s="1" t="s">
        <v>1019</v>
      </c>
      <c r="C624" s="1" t="s">
        <v>1020</v>
      </c>
      <c r="D624" s="12">
        <v>94.349089529590287</v>
      </c>
      <c r="E624" s="12">
        <v>56.95</v>
      </c>
      <c r="G624" s="12">
        <v>55.67</v>
      </c>
      <c r="I624" s="27"/>
    </row>
    <row r="625" spans="2:9" ht="15.6" x14ac:dyDescent="0.3">
      <c r="B625" s="1" t="s">
        <v>1021</v>
      </c>
      <c r="C625" s="1" t="s">
        <v>1022</v>
      </c>
      <c r="D625" s="12">
        <v>84.45965850882186</v>
      </c>
      <c r="E625" s="12">
        <v>50.95</v>
      </c>
      <c r="G625" s="12">
        <v>49.83</v>
      </c>
      <c r="I625" s="27"/>
    </row>
    <row r="626" spans="2:9" ht="15.6" x14ac:dyDescent="0.3">
      <c r="B626" s="1" t="s">
        <v>1094</v>
      </c>
      <c r="C626" s="1" t="s">
        <v>1095</v>
      </c>
      <c r="D626" s="12">
        <v>84.380597014925371</v>
      </c>
      <c r="E626" s="12">
        <v>50.95</v>
      </c>
      <c r="G626" s="12">
        <v>49.78</v>
      </c>
      <c r="I626" s="27"/>
    </row>
    <row r="627" spans="2:9" ht="15.6" x14ac:dyDescent="0.3">
      <c r="B627" s="1" t="s">
        <v>1137</v>
      </c>
      <c r="C627" s="1" t="s">
        <v>1138</v>
      </c>
      <c r="D627" s="12">
        <v>83.559715424018208</v>
      </c>
      <c r="E627" s="12">
        <v>49.95</v>
      </c>
      <c r="G627" s="12">
        <v>49.3</v>
      </c>
      <c r="I627" s="27"/>
    </row>
    <row r="628" spans="2:9" ht="15.6" x14ac:dyDescent="0.3">
      <c r="B628" s="1" t="s">
        <v>1023</v>
      </c>
      <c r="C628" s="1" t="s">
        <v>1024</v>
      </c>
      <c r="D628" s="12">
        <v>72.770260247234873</v>
      </c>
      <c r="E628" s="12">
        <v>43.95</v>
      </c>
      <c r="G628" s="12">
        <v>42.93</v>
      </c>
      <c r="I628" s="27"/>
    </row>
    <row r="629" spans="2:9" ht="15.6" x14ac:dyDescent="0.3">
      <c r="B629" s="1" t="s">
        <v>1025</v>
      </c>
      <c r="C629" s="1" t="s">
        <v>1026</v>
      </c>
      <c r="D629" s="12">
        <v>72.770260247234873</v>
      </c>
      <c r="E629" s="12">
        <v>43.95</v>
      </c>
      <c r="G629" s="12">
        <v>42.93</v>
      </c>
      <c r="I629" s="27"/>
    </row>
    <row r="630" spans="2:9" ht="15.6" x14ac:dyDescent="0.3">
      <c r="B630" s="1" t="s">
        <v>1027</v>
      </c>
      <c r="C630" s="1" t="s">
        <v>1028</v>
      </c>
      <c r="D630" s="12">
        <v>66.770940819423373</v>
      </c>
      <c r="E630" s="12">
        <v>39.950000000000003</v>
      </c>
      <c r="G630" s="12">
        <v>39.39</v>
      </c>
      <c r="I630" s="27"/>
    </row>
    <row r="631" spans="2:9" ht="15.6" x14ac:dyDescent="0.3">
      <c r="B631" s="1" t="s">
        <v>1029</v>
      </c>
      <c r="C631" s="1" t="s">
        <v>1030</v>
      </c>
      <c r="D631" s="12">
        <v>65.710242792109256</v>
      </c>
      <c r="E631" s="12">
        <v>38.950000000000003</v>
      </c>
      <c r="G631" s="12">
        <v>38.770000000000003</v>
      </c>
      <c r="I631" s="27"/>
    </row>
    <row r="632" spans="2:9" ht="15.6" x14ac:dyDescent="0.3">
      <c r="B632" s="1" t="s">
        <v>1031</v>
      </c>
      <c r="C632" s="1" t="s">
        <v>1032</v>
      </c>
      <c r="D632" s="12">
        <v>65.710242792109256</v>
      </c>
      <c r="E632" s="12">
        <v>38.950000000000003</v>
      </c>
      <c r="G632" s="12">
        <v>38.770000000000003</v>
      </c>
      <c r="I632" s="27"/>
    </row>
    <row r="633" spans="2:9" ht="15.6" x14ac:dyDescent="0.3">
      <c r="B633" s="1" t="s">
        <v>1139</v>
      </c>
      <c r="C633" s="1" t="s">
        <v>1140</v>
      </c>
      <c r="D633" s="12">
        <v>62.006666666666668</v>
      </c>
      <c r="E633" s="12">
        <v>36.950000000000003</v>
      </c>
      <c r="G633" s="12">
        <v>36.58</v>
      </c>
      <c r="I633" s="27"/>
    </row>
    <row r="634" spans="2:9" ht="15.6" x14ac:dyDescent="0.3">
      <c r="B634" s="1" t="s">
        <v>1141</v>
      </c>
      <c r="C634" s="1" t="s">
        <v>1142</v>
      </c>
      <c r="D634" s="12">
        <v>55.960364298724947</v>
      </c>
      <c r="E634" s="12">
        <v>33.950000000000003</v>
      </c>
      <c r="G634" s="12">
        <v>33.020000000000003</v>
      </c>
      <c r="I634" s="27"/>
    </row>
    <row r="635" spans="2:9" ht="15.6" x14ac:dyDescent="0.3">
      <c r="B635" s="1" t="s">
        <v>1033</v>
      </c>
      <c r="C635" s="1" t="s">
        <v>1034</v>
      </c>
      <c r="D635" s="12">
        <v>55.843442622950825</v>
      </c>
      <c r="E635" s="12">
        <v>33.950000000000003</v>
      </c>
      <c r="G635" s="12">
        <v>32.950000000000003</v>
      </c>
      <c r="I635" s="27"/>
    </row>
    <row r="636" spans="2:9" ht="15.6" x14ac:dyDescent="0.3">
      <c r="B636" s="1" t="s">
        <v>1143</v>
      </c>
      <c r="C636" s="1" t="s">
        <v>1144</v>
      </c>
      <c r="D636" s="12">
        <v>55.010273224043708</v>
      </c>
      <c r="E636" s="12">
        <v>32.950000000000003</v>
      </c>
      <c r="G636" s="12">
        <v>32.46</v>
      </c>
      <c r="I636" s="27"/>
    </row>
    <row r="637" spans="2:9" ht="15.6" x14ac:dyDescent="0.3">
      <c r="B637" s="1" t="s">
        <v>1035</v>
      </c>
      <c r="C637" s="1" t="s">
        <v>1036</v>
      </c>
      <c r="D637" s="12">
        <v>54.787898969200192</v>
      </c>
      <c r="E637" s="12">
        <v>32.950000000000003</v>
      </c>
      <c r="G637" s="12">
        <v>32.32</v>
      </c>
      <c r="I637" s="27"/>
    </row>
    <row r="638" spans="2:9" ht="15.6" x14ac:dyDescent="0.3">
      <c r="B638" s="1" t="s">
        <v>1096</v>
      </c>
      <c r="C638" s="1" t="s">
        <v>1097</v>
      </c>
      <c r="D638" s="12">
        <v>53.870557103064066</v>
      </c>
      <c r="E638" s="12">
        <v>31.95</v>
      </c>
      <c r="G638" s="12">
        <v>31.78</v>
      </c>
      <c r="I638" s="27"/>
    </row>
    <row r="639" spans="2:9" ht="15.6" x14ac:dyDescent="0.3">
      <c r="B639" s="1" t="s">
        <v>1145</v>
      </c>
      <c r="C639" s="1" t="s">
        <v>1146</v>
      </c>
      <c r="D639" s="12">
        <v>53.1</v>
      </c>
      <c r="E639" s="12">
        <v>31.95</v>
      </c>
      <c r="G639" s="12">
        <v>31.33</v>
      </c>
      <c r="I639" s="27"/>
    </row>
    <row r="640" spans="2:9" ht="15.6" x14ac:dyDescent="0.3">
      <c r="B640" s="1" t="s">
        <v>1098</v>
      </c>
      <c r="C640" s="1" t="s">
        <v>1099</v>
      </c>
      <c r="D640" s="12">
        <v>48.459373040752354</v>
      </c>
      <c r="E640" s="12">
        <v>28.95</v>
      </c>
      <c r="G640" s="12">
        <v>28.59</v>
      </c>
      <c r="I640" s="27"/>
    </row>
    <row r="641" spans="2:9" ht="15.6" x14ac:dyDescent="0.3">
      <c r="B641" s="1" t="s">
        <v>1147</v>
      </c>
      <c r="C641" s="1" t="s">
        <v>1148</v>
      </c>
      <c r="D641" s="12">
        <v>45.51</v>
      </c>
      <c r="E641" s="12">
        <v>27.95</v>
      </c>
      <c r="G641" s="12">
        <v>26.85</v>
      </c>
      <c r="I641" s="27"/>
    </row>
    <row r="642" spans="2:9" ht="15.6" x14ac:dyDescent="0.3">
      <c r="B642" s="1" t="s">
        <v>1037</v>
      </c>
      <c r="C642" s="1" t="s">
        <v>1038</v>
      </c>
      <c r="D642" s="12">
        <v>39</v>
      </c>
      <c r="E642" s="12">
        <v>22.95</v>
      </c>
      <c r="G642" s="12">
        <v>23.01</v>
      </c>
      <c r="I642" s="27"/>
    </row>
    <row r="643" spans="2:9" ht="15.6" x14ac:dyDescent="0.3">
      <c r="B643" s="1" t="s">
        <v>1149</v>
      </c>
      <c r="C643" s="1" t="s">
        <v>1150</v>
      </c>
      <c r="D643" s="12">
        <v>37.909999999999997</v>
      </c>
      <c r="E643" s="12">
        <v>22.95</v>
      </c>
      <c r="G643" s="12">
        <v>22.37</v>
      </c>
      <c r="I643" s="27"/>
    </row>
    <row r="644" spans="2:9" ht="15.6" x14ac:dyDescent="0.3">
      <c r="B644" s="1" t="s">
        <v>1100</v>
      </c>
      <c r="C644" s="1" t="s">
        <v>1101</v>
      </c>
      <c r="D644" s="12">
        <v>36.01</v>
      </c>
      <c r="E644" s="12">
        <v>21.95</v>
      </c>
      <c r="G644" s="12">
        <v>21.25</v>
      </c>
      <c r="I644" s="27"/>
    </row>
    <row r="645" spans="2:9" ht="15.6" x14ac:dyDescent="0.3">
      <c r="B645" s="1" t="s">
        <v>1151</v>
      </c>
      <c r="C645" s="1" t="s">
        <v>1152</v>
      </c>
      <c r="D645" s="12">
        <v>35.5</v>
      </c>
      <c r="E645" s="12">
        <v>20.95</v>
      </c>
      <c r="G645" s="12">
        <v>20.95</v>
      </c>
      <c r="I645" s="27"/>
    </row>
    <row r="646" spans="2:9" ht="15.6" x14ac:dyDescent="0.3">
      <c r="B646" s="1"/>
      <c r="C646" s="1"/>
      <c r="D646" s="12"/>
      <c r="E646" s="12"/>
      <c r="G646" s="12"/>
    </row>
    <row r="647" spans="2:9" ht="15.6" x14ac:dyDescent="0.3">
      <c r="B647" s="4" t="s">
        <v>1153</v>
      </c>
      <c r="C647" s="4" t="s">
        <v>1750</v>
      </c>
      <c r="D647" s="12">
        <v>19.989999999999998</v>
      </c>
      <c r="E647" s="12">
        <v>13.99</v>
      </c>
      <c r="G647" s="12">
        <v>10</v>
      </c>
      <c r="I647" s="27"/>
    </row>
    <row r="648" spans="2:9" ht="15.6" x14ac:dyDescent="0.3">
      <c r="B648" s="4" t="s">
        <v>1154</v>
      </c>
      <c r="C648" s="4" t="s">
        <v>1751</v>
      </c>
      <c r="D648" s="12">
        <v>31.99</v>
      </c>
      <c r="E648" s="12">
        <v>21.99</v>
      </c>
      <c r="G648" s="12">
        <v>16</v>
      </c>
      <c r="I648" s="27"/>
    </row>
    <row r="649" spans="2:9" ht="15.6" x14ac:dyDescent="0.3">
      <c r="B649" s="4" t="s">
        <v>1155</v>
      </c>
      <c r="C649" s="4" t="s">
        <v>1752</v>
      </c>
      <c r="D649" s="12">
        <v>34.99</v>
      </c>
      <c r="E649" s="12">
        <v>25.99</v>
      </c>
      <c r="G649" s="12">
        <v>17.5</v>
      </c>
      <c r="I649" s="27"/>
    </row>
    <row r="650" spans="2:9" ht="15.6" x14ac:dyDescent="0.3">
      <c r="B650" s="4" t="s">
        <v>1156</v>
      </c>
      <c r="C650" s="4" t="s">
        <v>1753</v>
      </c>
      <c r="D650" s="12">
        <v>59.99</v>
      </c>
      <c r="E650" s="12">
        <v>39.99</v>
      </c>
      <c r="G650" s="12">
        <v>30</v>
      </c>
      <c r="I650" s="27"/>
    </row>
    <row r="651" spans="2:9" ht="15.6" x14ac:dyDescent="0.3">
      <c r="B651" s="4" t="s">
        <v>1157</v>
      </c>
      <c r="C651" s="4" t="s">
        <v>1754</v>
      </c>
      <c r="D651" s="12">
        <v>19.989999999999998</v>
      </c>
      <c r="E651" s="12">
        <v>13.99</v>
      </c>
      <c r="G651" s="12">
        <v>10</v>
      </c>
      <c r="I651" s="27"/>
    </row>
    <row r="652" spans="2:9" ht="15.6" x14ac:dyDescent="0.3">
      <c r="B652" s="4" t="s">
        <v>1158</v>
      </c>
      <c r="C652" s="4" t="s">
        <v>1755</v>
      </c>
      <c r="D652" s="12">
        <v>31.99</v>
      </c>
      <c r="E652" s="12">
        <v>21.99</v>
      </c>
      <c r="G652" s="12">
        <v>16</v>
      </c>
      <c r="I652" s="27"/>
    </row>
    <row r="653" spans="2:9" ht="15.6" x14ac:dyDescent="0.3">
      <c r="B653" s="4" t="s">
        <v>1159</v>
      </c>
      <c r="C653" s="4" t="s">
        <v>1756</v>
      </c>
      <c r="D653" s="12">
        <v>31.99</v>
      </c>
      <c r="E653" s="12">
        <v>21.99</v>
      </c>
      <c r="G653" s="12">
        <v>16</v>
      </c>
      <c r="I653" s="27"/>
    </row>
    <row r="654" spans="2:9" ht="15.6" x14ac:dyDescent="0.3">
      <c r="B654" s="4" t="s">
        <v>1160</v>
      </c>
      <c r="C654" s="4" t="s">
        <v>1757</v>
      </c>
      <c r="D654" s="12">
        <v>28.99</v>
      </c>
      <c r="E654" s="12">
        <v>19.989999999999998</v>
      </c>
      <c r="G654" s="12">
        <v>14.5</v>
      </c>
      <c r="I654" s="27"/>
    </row>
    <row r="655" spans="2:9" ht="15.6" x14ac:dyDescent="0.3">
      <c r="B655" s="4" t="s">
        <v>1161</v>
      </c>
      <c r="C655" s="4" t="s">
        <v>1758</v>
      </c>
      <c r="D655" s="12">
        <v>47.99</v>
      </c>
      <c r="E655" s="12">
        <v>30.99</v>
      </c>
      <c r="G655" s="12">
        <v>24</v>
      </c>
      <c r="I655" s="27"/>
    </row>
    <row r="656" spans="2:9" ht="15.6" x14ac:dyDescent="0.3">
      <c r="B656" s="4" t="s">
        <v>1162</v>
      </c>
      <c r="C656" s="4" t="s">
        <v>1759</v>
      </c>
      <c r="D656" s="12">
        <v>23.99</v>
      </c>
      <c r="E656" s="12">
        <v>16.989999999999998</v>
      </c>
      <c r="G656" s="12">
        <v>12</v>
      </c>
      <c r="I656" s="27"/>
    </row>
    <row r="657" spans="2:9" ht="15.6" x14ac:dyDescent="0.3">
      <c r="B657" s="4" t="s">
        <v>1163</v>
      </c>
      <c r="C657" s="4" t="s">
        <v>1760</v>
      </c>
      <c r="D657" s="12">
        <v>31.99</v>
      </c>
      <c r="E657" s="12">
        <v>22.99</v>
      </c>
      <c r="G657" s="12">
        <v>16</v>
      </c>
      <c r="I657" s="27"/>
    </row>
    <row r="658" spans="2:9" ht="15.6" x14ac:dyDescent="0.3">
      <c r="B658" s="4" t="s">
        <v>1164</v>
      </c>
      <c r="C658" s="4" t="s">
        <v>1761</v>
      </c>
      <c r="D658" s="12">
        <v>28.99</v>
      </c>
      <c r="E658" s="12">
        <v>19.989999999999998</v>
      </c>
      <c r="G658" s="12">
        <v>14.5</v>
      </c>
      <c r="I658" s="27"/>
    </row>
    <row r="659" spans="2:9" ht="15.6" x14ac:dyDescent="0.3">
      <c r="B659" s="4" t="s">
        <v>1165</v>
      </c>
      <c r="C659" s="4" t="s">
        <v>1762</v>
      </c>
      <c r="D659" s="12">
        <v>47.99</v>
      </c>
      <c r="E659" s="12">
        <v>30.99</v>
      </c>
      <c r="G659" s="12">
        <v>24</v>
      </c>
      <c r="I659" s="27"/>
    </row>
    <row r="660" spans="2:9" ht="15.6" x14ac:dyDescent="0.3">
      <c r="B660" s="4" t="s">
        <v>1166</v>
      </c>
      <c r="C660" s="4" t="s">
        <v>1763</v>
      </c>
      <c r="D660" s="12">
        <v>26.99</v>
      </c>
      <c r="E660" s="12">
        <v>18.989999999999998</v>
      </c>
      <c r="G660" s="12">
        <v>13.5</v>
      </c>
      <c r="I660" s="27"/>
    </row>
    <row r="661" spans="2:9" ht="15.6" x14ac:dyDescent="0.3">
      <c r="B661" s="4" t="s">
        <v>1167</v>
      </c>
      <c r="C661" s="4" t="s">
        <v>1764</v>
      </c>
      <c r="D661" s="12">
        <v>26.99</v>
      </c>
      <c r="E661" s="12">
        <v>18.989999999999998</v>
      </c>
      <c r="G661" s="12">
        <v>13.5</v>
      </c>
      <c r="I661" s="27"/>
    </row>
    <row r="662" spans="2:9" ht="15.6" x14ac:dyDescent="0.3">
      <c r="B662" s="4" t="s">
        <v>1168</v>
      </c>
      <c r="C662" s="4" t="s">
        <v>1765</v>
      </c>
      <c r="D662" s="12">
        <v>32.99</v>
      </c>
      <c r="E662" s="12">
        <v>23.99</v>
      </c>
      <c r="G662" s="12">
        <v>16.5</v>
      </c>
      <c r="I662" s="27"/>
    </row>
    <row r="663" spans="2:9" ht="15.6" x14ac:dyDescent="0.3">
      <c r="B663" s="4" t="s">
        <v>1169</v>
      </c>
      <c r="C663" s="4" t="s">
        <v>1766</v>
      </c>
      <c r="D663" s="12">
        <v>29.99</v>
      </c>
      <c r="E663" s="12">
        <v>20.99</v>
      </c>
      <c r="G663" s="12">
        <v>15</v>
      </c>
      <c r="I663" s="27"/>
    </row>
    <row r="664" spans="2:9" ht="15.6" x14ac:dyDescent="0.3">
      <c r="B664" s="4" t="s">
        <v>1170</v>
      </c>
      <c r="C664" s="4" t="s">
        <v>1767</v>
      </c>
      <c r="D664" s="12">
        <v>54.99</v>
      </c>
      <c r="E664" s="12">
        <v>35.99</v>
      </c>
      <c r="G664" s="12">
        <v>27.5</v>
      </c>
      <c r="I664" s="27"/>
    </row>
    <row r="665" spans="2:9" ht="15.6" x14ac:dyDescent="0.3">
      <c r="B665" s="4" t="s">
        <v>1171</v>
      </c>
      <c r="C665" s="4" t="s">
        <v>1768</v>
      </c>
      <c r="D665" s="12">
        <v>31.99</v>
      </c>
      <c r="E665" s="12">
        <v>21.99</v>
      </c>
      <c r="G665" s="12">
        <v>16</v>
      </c>
      <c r="I665" s="27"/>
    </row>
    <row r="666" spans="2:9" ht="15.6" x14ac:dyDescent="0.3">
      <c r="B666" s="4" t="s">
        <v>1172</v>
      </c>
      <c r="C666" s="4" t="s">
        <v>1769</v>
      </c>
      <c r="D666" s="12">
        <v>31.99</v>
      </c>
      <c r="E666" s="12">
        <v>22.99</v>
      </c>
      <c r="G666" s="12">
        <v>16</v>
      </c>
      <c r="I666" s="27"/>
    </row>
    <row r="667" spans="2:9" ht="15.6" x14ac:dyDescent="0.3">
      <c r="B667" s="4" t="s">
        <v>1173</v>
      </c>
      <c r="C667" s="4" t="s">
        <v>1770</v>
      </c>
      <c r="D667" s="12">
        <v>27.99</v>
      </c>
      <c r="E667" s="12">
        <v>18.989999999999998</v>
      </c>
      <c r="G667" s="12">
        <v>14</v>
      </c>
      <c r="I667" s="27"/>
    </row>
    <row r="668" spans="2:9" ht="15.6" x14ac:dyDescent="0.3">
      <c r="B668" s="4" t="s">
        <v>1174</v>
      </c>
      <c r="C668" s="4" t="s">
        <v>1771</v>
      </c>
      <c r="D668" s="12">
        <v>31.99</v>
      </c>
      <c r="E668" s="12">
        <v>21.99</v>
      </c>
      <c r="G668" s="12">
        <v>16</v>
      </c>
      <c r="I668" s="27"/>
    </row>
    <row r="669" spans="2:9" ht="15.6" x14ac:dyDescent="0.3">
      <c r="B669" s="4" t="s">
        <v>1175</v>
      </c>
      <c r="C669" s="4" t="s">
        <v>1772</v>
      </c>
      <c r="D669" s="12">
        <v>33.99</v>
      </c>
      <c r="E669" s="12">
        <v>22.99</v>
      </c>
      <c r="G669" s="12">
        <v>17</v>
      </c>
      <c r="I669" s="27"/>
    </row>
    <row r="670" spans="2:9" ht="15.6" x14ac:dyDescent="0.3">
      <c r="B670" s="5" t="s">
        <v>1176</v>
      </c>
      <c r="C670" s="4" t="s">
        <v>1773</v>
      </c>
      <c r="D670" s="12">
        <v>18.989999999999998</v>
      </c>
      <c r="E670" s="12">
        <v>12.99</v>
      </c>
      <c r="G670" s="12">
        <v>9.5</v>
      </c>
      <c r="I670" s="27"/>
    </row>
    <row r="672" spans="2:9" ht="15.6" x14ac:dyDescent="0.3">
      <c r="B672" s="1" t="s">
        <v>1177</v>
      </c>
      <c r="C672" s="1" t="s">
        <v>1774</v>
      </c>
      <c r="D672" s="2">
        <v>22.99</v>
      </c>
      <c r="E672" s="2">
        <v>13.99</v>
      </c>
      <c r="F672" s="2"/>
      <c r="G672" s="2"/>
    </row>
    <row r="673" spans="2:7" ht="15.6" x14ac:dyDescent="0.3">
      <c r="B673" s="1" t="s">
        <v>1178</v>
      </c>
      <c r="C673" s="1" t="s">
        <v>1178</v>
      </c>
      <c r="D673" s="2">
        <v>56.99</v>
      </c>
      <c r="E673" s="2">
        <v>34.99</v>
      </c>
      <c r="F673" s="2"/>
      <c r="G673" s="2"/>
    </row>
    <row r="674" spans="2:7" ht="15.6" x14ac:dyDescent="0.3">
      <c r="B674" s="1" t="s">
        <v>1179</v>
      </c>
      <c r="C674" s="1" t="s">
        <v>1280</v>
      </c>
      <c r="D674" s="2">
        <v>56.99</v>
      </c>
      <c r="E674" s="2">
        <v>34.99</v>
      </c>
      <c r="F674" s="2"/>
      <c r="G674" s="2"/>
    </row>
    <row r="675" spans="2:7" ht="15.6" x14ac:dyDescent="0.3">
      <c r="B675" s="1" t="s">
        <v>1180</v>
      </c>
      <c r="C675" s="1" t="s">
        <v>1280</v>
      </c>
      <c r="D675" s="2">
        <v>56.99</v>
      </c>
      <c r="E675" s="2">
        <v>34.99</v>
      </c>
      <c r="F675" s="2"/>
      <c r="G675" s="2"/>
    </row>
    <row r="676" spans="2:7" ht="15.6" x14ac:dyDescent="0.3">
      <c r="B676" s="1" t="s">
        <v>1181</v>
      </c>
      <c r="C676" s="1" t="s">
        <v>1280</v>
      </c>
      <c r="D676" s="2">
        <v>22.99</v>
      </c>
      <c r="E676" s="2">
        <v>13.99</v>
      </c>
      <c r="F676" s="2"/>
      <c r="G676" s="2"/>
    </row>
    <row r="677" spans="2:7" ht="15.6" x14ac:dyDescent="0.3">
      <c r="B677" s="1" t="s">
        <v>1182</v>
      </c>
      <c r="C677" s="1" t="s">
        <v>1280</v>
      </c>
      <c r="D677" s="2">
        <v>22.99</v>
      </c>
      <c r="E677" s="2">
        <v>13.99</v>
      </c>
      <c r="F677" s="2"/>
      <c r="G677" s="2"/>
    </row>
    <row r="678" spans="2:7" ht="15.6" x14ac:dyDescent="0.3">
      <c r="B678" s="19" t="s">
        <v>1183</v>
      </c>
      <c r="C678" s="19" t="s">
        <v>1775</v>
      </c>
      <c r="D678" s="20">
        <v>13.99</v>
      </c>
      <c r="E678" s="20">
        <v>7.99</v>
      </c>
      <c r="F678" s="2"/>
      <c r="G678" s="20"/>
    </row>
    <row r="679" spans="2:7" ht="15.6" x14ac:dyDescent="0.3">
      <c r="B679" s="19" t="s">
        <v>1184</v>
      </c>
      <c r="C679" s="19" t="s">
        <v>1280</v>
      </c>
      <c r="D679" s="20">
        <v>13.99</v>
      </c>
      <c r="E679" s="20">
        <v>7.99</v>
      </c>
      <c r="F679" s="2"/>
      <c r="G679" s="20"/>
    </row>
    <row r="680" spans="2:7" ht="15.6" x14ac:dyDescent="0.3">
      <c r="B680" s="1" t="s">
        <v>1185</v>
      </c>
      <c r="C680" s="1" t="s">
        <v>1776</v>
      </c>
      <c r="D680" s="2">
        <v>12.99</v>
      </c>
      <c r="E680" s="2">
        <v>7.99</v>
      </c>
      <c r="F680" s="2"/>
      <c r="G680" s="2"/>
    </row>
    <row r="681" spans="2:7" ht="15.6" x14ac:dyDescent="0.3">
      <c r="B681" s="1" t="s">
        <v>1186</v>
      </c>
      <c r="C681" s="1" t="s">
        <v>1280</v>
      </c>
      <c r="D681" s="2">
        <v>12.99</v>
      </c>
      <c r="E681" s="2">
        <v>7.99</v>
      </c>
      <c r="F681" s="2"/>
      <c r="G681" s="2"/>
    </row>
    <row r="682" spans="2:7" ht="15.6" x14ac:dyDescent="0.3">
      <c r="B682" s="1" t="s">
        <v>1187</v>
      </c>
      <c r="C682" s="1" t="s">
        <v>1777</v>
      </c>
      <c r="D682" s="2">
        <v>14.99</v>
      </c>
      <c r="E682" s="2">
        <v>9.99</v>
      </c>
      <c r="F682" s="2"/>
      <c r="G682" s="2"/>
    </row>
    <row r="683" spans="2:7" ht="15.6" x14ac:dyDescent="0.3">
      <c r="B683" s="19" t="s">
        <v>1188</v>
      </c>
      <c r="C683" s="19" t="s">
        <v>1778</v>
      </c>
      <c r="D683" s="20">
        <v>26.99</v>
      </c>
      <c r="E683" s="20">
        <v>14.99</v>
      </c>
      <c r="F683" s="2"/>
      <c r="G683" s="20"/>
    </row>
    <row r="684" spans="2:7" ht="15.6" x14ac:dyDescent="0.3">
      <c r="B684" s="19" t="s">
        <v>1189</v>
      </c>
      <c r="C684" s="19" t="s">
        <v>1280</v>
      </c>
      <c r="D684" s="20">
        <v>26.99</v>
      </c>
      <c r="E684" s="20">
        <v>14.99</v>
      </c>
      <c r="F684" s="2"/>
      <c r="G684" s="20"/>
    </row>
    <row r="685" spans="2:7" ht="15.6" x14ac:dyDescent="0.3">
      <c r="B685" s="19" t="s">
        <v>1190</v>
      </c>
      <c r="C685" s="19" t="s">
        <v>1280</v>
      </c>
      <c r="D685" s="20">
        <v>26.99</v>
      </c>
      <c r="E685" s="20">
        <v>14.99</v>
      </c>
      <c r="F685" s="2"/>
      <c r="G685" s="20"/>
    </row>
    <row r="686" spans="2:7" ht="15.6" x14ac:dyDescent="0.3">
      <c r="B686" s="19" t="s">
        <v>1191</v>
      </c>
      <c r="C686" s="19" t="s">
        <v>1779</v>
      </c>
      <c r="D686" s="20">
        <v>14.99</v>
      </c>
      <c r="E686" s="20">
        <v>8.99</v>
      </c>
      <c r="F686" s="2"/>
      <c r="G686" s="20"/>
    </row>
    <row r="687" spans="2:7" ht="15.6" x14ac:dyDescent="0.3">
      <c r="B687" s="1" t="s">
        <v>1192</v>
      </c>
      <c r="C687" s="1" t="s">
        <v>1780</v>
      </c>
      <c r="D687" s="2">
        <v>19.989999999999998</v>
      </c>
      <c r="E687" s="2">
        <v>12.99</v>
      </c>
      <c r="F687" s="2"/>
      <c r="G687" s="2"/>
    </row>
    <row r="688" spans="2:7" ht="15.6" x14ac:dyDescent="0.3">
      <c r="B688" s="1" t="s">
        <v>1193</v>
      </c>
      <c r="C688" s="1" t="s">
        <v>1194</v>
      </c>
      <c r="D688" s="2">
        <v>19.989999999999998</v>
      </c>
      <c r="E688" s="2">
        <v>12.99</v>
      </c>
      <c r="F688" s="2"/>
      <c r="G688" s="2"/>
    </row>
    <row r="689" spans="2:7" ht="15.6" x14ac:dyDescent="0.3">
      <c r="B689" s="1" t="s">
        <v>1195</v>
      </c>
      <c r="C689" s="1" t="s">
        <v>1781</v>
      </c>
      <c r="D689" s="2">
        <v>19.989999999999998</v>
      </c>
      <c r="E689" s="2">
        <v>12.99</v>
      </c>
      <c r="F689" s="2"/>
      <c r="G689" s="2"/>
    </row>
    <row r="690" spans="2:7" ht="15.6" x14ac:dyDescent="0.3">
      <c r="B690" s="1" t="s">
        <v>1196</v>
      </c>
      <c r="C690" s="1" t="s">
        <v>1782</v>
      </c>
      <c r="D690" s="2">
        <v>36.99</v>
      </c>
      <c r="E690" s="2">
        <v>24.99</v>
      </c>
      <c r="F690" s="2"/>
      <c r="G690" s="2"/>
    </row>
    <row r="691" spans="2:7" ht="15.6" x14ac:dyDescent="0.3">
      <c r="B691" s="1" t="s">
        <v>1197</v>
      </c>
      <c r="C691" s="1" t="s">
        <v>1280</v>
      </c>
      <c r="D691" s="2">
        <v>19.989999999999998</v>
      </c>
      <c r="E691" s="2">
        <v>12.99</v>
      </c>
      <c r="F691" s="2"/>
      <c r="G691" s="2"/>
    </row>
    <row r="692" spans="2:7" ht="15.6" x14ac:dyDescent="0.3">
      <c r="B692" s="1" t="s">
        <v>1198</v>
      </c>
      <c r="C692" s="1" t="s">
        <v>1280</v>
      </c>
      <c r="D692" s="2">
        <v>19.989999999999998</v>
      </c>
      <c r="E692" s="2">
        <v>12.99</v>
      </c>
      <c r="F692" s="2"/>
      <c r="G692" s="2"/>
    </row>
    <row r="693" spans="2:7" ht="15.6" x14ac:dyDescent="0.3">
      <c r="B693" s="5" t="s">
        <v>1199</v>
      </c>
      <c r="C693" s="1" t="s">
        <v>1280</v>
      </c>
      <c r="D693" s="2">
        <v>19.989999999999998</v>
      </c>
      <c r="E693" s="2">
        <v>12.99</v>
      </c>
      <c r="F693" s="2"/>
      <c r="G693" s="2"/>
    </row>
    <row r="694" spans="2:7" ht="15.6" x14ac:dyDescent="0.3">
      <c r="B694" s="1" t="s">
        <v>1200</v>
      </c>
      <c r="C694" s="1" t="s">
        <v>1280</v>
      </c>
      <c r="D694" s="2">
        <v>19.989999999999998</v>
      </c>
      <c r="E694" s="2">
        <v>12.99</v>
      </c>
      <c r="F694" s="2"/>
      <c r="G694" s="2"/>
    </row>
    <row r="695" spans="2:7" ht="15.6" x14ac:dyDescent="0.3">
      <c r="B695" s="1" t="s">
        <v>1201</v>
      </c>
      <c r="C695" s="1" t="s">
        <v>1783</v>
      </c>
      <c r="D695" s="2">
        <v>19.989999999999998</v>
      </c>
      <c r="E695" s="2">
        <v>13.99</v>
      </c>
      <c r="F695" s="2"/>
      <c r="G695" s="2"/>
    </row>
    <row r="696" spans="2:7" ht="15.6" x14ac:dyDescent="0.3">
      <c r="B696" s="1" t="s">
        <v>1202</v>
      </c>
      <c r="C696" s="1" t="s">
        <v>1280</v>
      </c>
      <c r="D696" s="2">
        <v>19.989999999999998</v>
      </c>
      <c r="E696" s="2">
        <v>13.99</v>
      </c>
      <c r="F696" s="2"/>
      <c r="G696" s="2"/>
    </row>
    <row r="697" spans="2:7" ht="15.6" x14ac:dyDescent="0.3">
      <c r="B697" s="1" t="s">
        <v>1203</v>
      </c>
      <c r="C697" s="1" t="s">
        <v>1280</v>
      </c>
      <c r="D697" s="2">
        <v>19.989999999999998</v>
      </c>
      <c r="E697" s="2">
        <v>13.99</v>
      </c>
      <c r="F697" s="2"/>
      <c r="G697" s="2"/>
    </row>
    <row r="698" spans="2:7" ht="15.6" x14ac:dyDescent="0.3">
      <c r="B698" s="1" t="s">
        <v>1204</v>
      </c>
      <c r="C698" s="1" t="s">
        <v>1280</v>
      </c>
      <c r="D698" s="2">
        <v>19.989999999999998</v>
      </c>
      <c r="E698" s="2">
        <v>13.99</v>
      </c>
      <c r="F698" s="2"/>
      <c r="G698" s="2"/>
    </row>
    <row r="699" spans="2:7" ht="15.6" x14ac:dyDescent="0.3">
      <c r="B699" s="1" t="s">
        <v>1205</v>
      </c>
      <c r="C699" s="1" t="s">
        <v>1280</v>
      </c>
      <c r="D699" s="2">
        <v>19.989999999999998</v>
      </c>
      <c r="E699" s="2">
        <v>13.99</v>
      </c>
      <c r="F699" s="2"/>
      <c r="G699" s="2"/>
    </row>
    <row r="700" spans="2:7" ht="15.6" x14ac:dyDescent="0.3">
      <c r="B700" s="1" t="s">
        <v>1206</v>
      </c>
      <c r="C700" s="1" t="s">
        <v>1784</v>
      </c>
      <c r="D700" s="2">
        <v>47.99</v>
      </c>
      <c r="E700" s="2">
        <v>32.99</v>
      </c>
      <c r="F700" s="2"/>
      <c r="G700" s="2"/>
    </row>
    <row r="701" spans="2:7" ht="15.6" x14ac:dyDescent="0.3">
      <c r="B701" s="1" t="s">
        <v>1207</v>
      </c>
      <c r="C701" s="1" t="s">
        <v>1280</v>
      </c>
      <c r="D701" s="2">
        <v>47.99</v>
      </c>
      <c r="E701" s="2">
        <v>32.99</v>
      </c>
      <c r="F701" s="2"/>
      <c r="G701" s="2"/>
    </row>
    <row r="702" spans="2:7" ht="15.6" x14ac:dyDescent="0.3">
      <c r="B702" s="1" t="s">
        <v>1208</v>
      </c>
      <c r="C702" s="1" t="s">
        <v>1280</v>
      </c>
      <c r="D702" s="2">
        <v>47.99</v>
      </c>
      <c r="E702" s="2">
        <v>32.99</v>
      </c>
      <c r="F702" s="2"/>
      <c r="G702" s="2"/>
    </row>
    <row r="703" spans="2:7" ht="15.6" x14ac:dyDescent="0.3">
      <c r="B703" s="1" t="s">
        <v>1209</v>
      </c>
      <c r="C703" s="1" t="s">
        <v>1280</v>
      </c>
      <c r="D703" s="2">
        <v>47.99</v>
      </c>
      <c r="E703" s="2">
        <v>32.99</v>
      </c>
      <c r="F703" s="2"/>
      <c r="G703" s="2"/>
    </row>
    <row r="704" spans="2:7" ht="15.6" x14ac:dyDescent="0.3">
      <c r="B704" s="1" t="s">
        <v>1210</v>
      </c>
      <c r="C704" s="1" t="s">
        <v>1280</v>
      </c>
      <c r="D704" s="2">
        <v>47.99</v>
      </c>
      <c r="E704" s="2">
        <v>32.99</v>
      </c>
      <c r="F704" s="2"/>
      <c r="G704" s="2"/>
    </row>
    <row r="705" spans="2:7" ht="15.6" x14ac:dyDescent="0.3">
      <c r="B705" s="1" t="s">
        <v>1211</v>
      </c>
      <c r="C705" s="1" t="s">
        <v>1280</v>
      </c>
      <c r="D705" s="2">
        <v>47.99</v>
      </c>
      <c r="E705" s="2">
        <v>32.99</v>
      </c>
      <c r="F705" s="2"/>
      <c r="G705" s="2"/>
    </row>
    <row r="706" spans="2:7" ht="15.6" x14ac:dyDescent="0.3">
      <c r="B706" s="1" t="s">
        <v>1212</v>
      </c>
      <c r="C706" s="1" t="s">
        <v>1212</v>
      </c>
      <c r="D706" s="2">
        <v>13.99</v>
      </c>
      <c r="E706" s="2">
        <v>7.99</v>
      </c>
      <c r="F706" s="2"/>
      <c r="G706" s="2"/>
    </row>
    <row r="707" spans="2:7" ht="15.6" x14ac:dyDescent="0.3">
      <c r="B707" s="1" t="s">
        <v>1213</v>
      </c>
      <c r="C707" s="1" t="s">
        <v>1213</v>
      </c>
      <c r="D707" s="2">
        <v>14.99</v>
      </c>
      <c r="E707" s="2">
        <v>8.99</v>
      </c>
      <c r="F707" s="2"/>
      <c r="G707" s="2"/>
    </row>
    <row r="708" spans="2:7" ht="15.6" x14ac:dyDescent="0.3">
      <c r="B708" s="1" t="s">
        <v>1214</v>
      </c>
      <c r="C708" s="1" t="s">
        <v>1785</v>
      </c>
      <c r="D708" s="2">
        <v>47.99</v>
      </c>
      <c r="E708" s="2">
        <v>32.99</v>
      </c>
      <c r="F708" s="2"/>
      <c r="G708" s="2"/>
    </row>
    <row r="709" spans="2:7" ht="15.6" x14ac:dyDescent="0.3">
      <c r="B709" s="1" t="s">
        <v>1215</v>
      </c>
      <c r="C709" s="1" t="s">
        <v>1280</v>
      </c>
      <c r="D709" s="2">
        <v>47.99</v>
      </c>
      <c r="E709" s="2">
        <v>32.99</v>
      </c>
      <c r="F709" s="2"/>
      <c r="G709" s="2"/>
    </row>
    <row r="710" spans="2:7" ht="15.6" x14ac:dyDescent="0.3">
      <c r="B710" s="1" t="s">
        <v>1216</v>
      </c>
      <c r="C710" s="1" t="s">
        <v>1786</v>
      </c>
      <c r="D710" s="2">
        <v>19.989999999999998</v>
      </c>
      <c r="E710" s="2">
        <v>13.99</v>
      </c>
      <c r="F710" s="2"/>
      <c r="G710" s="2"/>
    </row>
    <row r="711" spans="2:7" ht="15.6" x14ac:dyDescent="0.3">
      <c r="B711" s="1" t="s">
        <v>1217</v>
      </c>
      <c r="C711" s="1" t="s">
        <v>1280</v>
      </c>
      <c r="D711" s="2">
        <v>19.989999999999998</v>
      </c>
      <c r="E711" s="2">
        <v>13.99</v>
      </c>
      <c r="F711" s="2"/>
      <c r="G711" s="2"/>
    </row>
    <row r="712" spans="2:7" ht="15.6" x14ac:dyDescent="0.3">
      <c r="B712" s="1" t="s">
        <v>1218</v>
      </c>
      <c r="C712" s="1" t="s">
        <v>1280</v>
      </c>
      <c r="D712" s="2">
        <v>19.989999999999998</v>
      </c>
      <c r="E712" s="2">
        <v>13.99</v>
      </c>
      <c r="F712" s="2"/>
      <c r="G712" s="2"/>
    </row>
    <row r="713" spans="2:7" ht="15.6" x14ac:dyDescent="0.3">
      <c r="B713" s="1" t="s">
        <v>1219</v>
      </c>
      <c r="C713" s="1" t="s">
        <v>1787</v>
      </c>
      <c r="D713" s="2">
        <v>19.989999999999998</v>
      </c>
      <c r="E713" s="2">
        <v>13.99</v>
      </c>
      <c r="F713" s="2"/>
      <c r="G713" s="2"/>
    </row>
    <row r="714" spans="2:7" ht="15.6" x14ac:dyDescent="0.3">
      <c r="B714" s="1" t="s">
        <v>1220</v>
      </c>
      <c r="C714" s="1" t="s">
        <v>1788</v>
      </c>
      <c r="D714" s="2">
        <v>19.989999999999998</v>
      </c>
      <c r="E714" s="2">
        <v>13.99</v>
      </c>
      <c r="F714" s="2"/>
      <c r="G714" s="2"/>
    </row>
    <row r="715" spans="2:7" ht="15.6" x14ac:dyDescent="0.3">
      <c r="B715" s="1" t="s">
        <v>1221</v>
      </c>
      <c r="C715" s="1" t="s">
        <v>1789</v>
      </c>
      <c r="D715" s="2">
        <v>47.99</v>
      </c>
      <c r="E715" s="2">
        <v>32.99</v>
      </c>
      <c r="F715" s="2"/>
      <c r="G715" s="2"/>
    </row>
    <row r="716" spans="2:7" ht="15.6" x14ac:dyDescent="0.3">
      <c r="B716" s="1" t="s">
        <v>1222</v>
      </c>
      <c r="C716" s="1" t="s">
        <v>1790</v>
      </c>
      <c r="D716" s="2">
        <v>19.989999999999998</v>
      </c>
      <c r="E716" s="2">
        <v>13.99</v>
      </c>
      <c r="F716" s="2"/>
      <c r="G716" s="2"/>
    </row>
    <row r="717" spans="2:7" ht="15.6" x14ac:dyDescent="0.3">
      <c r="B717" s="1" t="s">
        <v>1223</v>
      </c>
      <c r="C717" s="1" t="s">
        <v>1791</v>
      </c>
      <c r="D717" s="2">
        <v>47.99</v>
      </c>
      <c r="E717" s="2">
        <v>32.99</v>
      </c>
      <c r="F717" s="2"/>
      <c r="G717" s="2"/>
    </row>
    <row r="718" spans="2:7" ht="15.6" x14ac:dyDescent="0.3">
      <c r="B718" s="19" t="s">
        <v>1224</v>
      </c>
      <c r="C718" s="19" t="s">
        <v>1792</v>
      </c>
      <c r="D718" s="20">
        <v>26.99</v>
      </c>
      <c r="E718" s="20">
        <v>14.99</v>
      </c>
      <c r="F718" s="2"/>
      <c r="G718" s="20"/>
    </row>
    <row r="719" spans="2:7" ht="15.6" x14ac:dyDescent="0.3">
      <c r="B719" s="1" t="s">
        <v>1225</v>
      </c>
      <c r="C719" s="1" t="s">
        <v>1793</v>
      </c>
      <c r="D719" s="2">
        <v>15.99</v>
      </c>
      <c r="E719" s="2">
        <v>8.99</v>
      </c>
      <c r="F719" s="2"/>
      <c r="G719" s="2"/>
    </row>
    <row r="720" spans="2:7" ht="15.6" x14ac:dyDescent="0.3">
      <c r="B720" s="1" t="s">
        <v>1226</v>
      </c>
      <c r="C720" s="1" t="s">
        <v>1227</v>
      </c>
      <c r="D720" s="2">
        <v>7.99</v>
      </c>
      <c r="E720" s="2">
        <v>4.49</v>
      </c>
      <c r="F720" s="2"/>
      <c r="G720" s="2"/>
    </row>
    <row r="721" spans="2:7" ht="15.6" x14ac:dyDescent="0.3">
      <c r="B721" s="1" t="s">
        <v>1228</v>
      </c>
      <c r="C721" s="1" t="s">
        <v>1280</v>
      </c>
      <c r="D721" s="2">
        <v>7.99</v>
      </c>
      <c r="E721" s="2">
        <v>4.49</v>
      </c>
      <c r="F721" s="2"/>
      <c r="G721" s="2"/>
    </row>
    <row r="722" spans="2:7" ht="15.6" x14ac:dyDescent="0.3">
      <c r="B722" s="5" t="s">
        <v>1229</v>
      </c>
      <c r="C722" s="1" t="s">
        <v>1794</v>
      </c>
      <c r="D722" s="2">
        <v>9.99</v>
      </c>
      <c r="E722" s="2">
        <v>5.99</v>
      </c>
      <c r="F722" s="2"/>
      <c r="G722" s="2"/>
    </row>
    <row r="723" spans="2:7" ht="15.6" x14ac:dyDescent="0.3">
      <c r="B723" s="5" t="s">
        <v>1230</v>
      </c>
      <c r="C723" s="1" t="s">
        <v>1280</v>
      </c>
      <c r="D723" s="2">
        <v>9.99</v>
      </c>
      <c r="E723" s="2">
        <v>5.99</v>
      </c>
      <c r="F723" s="2"/>
      <c r="G723" s="2"/>
    </row>
    <row r="724" spans="2:7" ht="15.6" x14ac:dyDescent="0.3">
      <c r="B724" s="5" t="s">
        <v>1231</v>
      </c>
      <c r="C724" s="1" t="s">
        <v>1795</v>
      </c>
      <c r="D724" s="2">
        <v>9.99</v>
      </c>
      <c r="E724" s="2">
        <v>5.99</v>
      </c>
      <c r="F724" s="2"/>
      <c r="G724" s="2"/>
    </row>
    <row r="725" spans="2:7" ht="15.6" x14ac:dyDescent="0.3">
      <c r="B725" s="5" t="s">
        <v>1232</v>
      </c>
      <c r="C725" s="1" t="s">
        <v>1280</v>
      </c>
      <c r="D725" s="2">
        <v>9.99</v>
      </c>
      <c r="E725" s="2">
        <v>5.99</v>
      </c>
      <c r="F725" s="2"/>
      <c r="G725" s="2"/>
    </row>
    <row r="726" spans="2:7" ht="15.6" x14ac:dyDescent="0.3">
      <c r="B726" s="5" t="s">
        <v>1233</v>
      </c>
      <c r="C726" s="1" t="s">
        <v>1280</v>
      </c>
      <c r="D726" s="2">
        <v>9.99</v>
      </c>
      <c r="E726" s="2">
        <v>5.99</v>
      </c>
      <c r="F726" s="2"/>
      <c r="G726" s="2"/>
    </row>
    <row r="727" spans="2:7" ht="15.6" x14ac:dyDescent="0.3">
      <c r="B727" s="5" t="s">
        <v>1234</v>
      </c>
      <c r="C727" s="1" t="s">
        <v>1280</v>
      </c>
      <c r="D727" s="2">
        <v>9.99</v>
      </c>
      <c r="E727" s="2">
        <v>5.99</v>
      </c>
      <c r="F727" s="2"/>
      <c r="G727" s="2"/>
    </row>
    <row r="728" spans="2:7" ht="15.6" x14ac:dyDescent="0.3">
      <c r="B728" s="5" t="s">
        <v>1235</v>
      </c>
      <c r="C728" s="1" t="s">
        <v>1280</v>
      </c>
      <c r="D728" s="2">
        <v>9.99</v>
      </c>
      <c r="E728" s="2">
        <v>5.99</v>
      </c>
      <c r="F728" s="2"/>
      <c r="G728" s="2"/>
    </row>
    <row r="729" spans="2:7" ht="15.6" x14ac:dyDescent="0.3">
      <c r="B729" s="6" t="s">
        <v>1236</v>
      </c>
      <c r="C729" s="1" t="s">
        <v>1796</v>
      </c>
      <c r="D729" s="2">
        <v>8.99</v>
      </c>
      <c r="E729" s="2">
        <v>4.99</v>
      </c>
      <c r="F729" s="2"/>
      <c r="G729" s="2"/>
    </row>
    <row r="730" spans="2:7" ht="15.6" x14ac:dyDescent="0.3">
      <c r="B730" s="5" t="s">
        <v>1237</v>
      </c>
      <c r="C730" s="1" t="s">
        <v>1280</v>
      </c>
      <c r="D730" s="2">
        <v>8.99</v>
      </c>
      <c r="E730" s="2">
        <v>4.99</v>
      </c>
      <c r="F730" s="2"/>
      <c r="G730" s="2"/>
    </row>
    <row r="731" spans="2:7" ht="15.6" x14ac:dyDescent="0.3">
      <c r="B731" s="5" t="s">
        <v>1238</v>
      </c>
      <c r="C731" s="1" t="s">
        <v>1797</v>
      </c>
      <c r="D731" s="2">
        <v>35.99</v>
      </c>
      <c r="E731" s="2">
        <v>24.99</v>
      </c>
      <c r="F731" s="2"/>
      <c r="G731" s="2"/>
    </row>
    <row r="732" spans="2:7" ht="15.6" x14ac:dyDescent="0.3">
      <c r="B732" s="5" t="s">
        <v>1239</v>
      </c>
      <c r="C732" s="1" t="s">
        <v>1240</v>
      </c>
      <c r="D732" s="2">
        <v>35.99</v>
      </c>
      <c r="E732" s="2">
        <v>24.99</v>
      </c>
      <c r="F732" s="2"/>
      <c r="G732" s="2"/>
    </row>
    <row r="733" spans="2:7" ht="15.6" x14ac:dyDescent="0.3">
      <c r="B733" s="5" t="s">
        <v>1241</v>
      </c>
      <c r="C733" s="1" t="s">
        <v>1280</v>
      </c>
      <c r="D733" s="2">
        <v>35.99</v>
      </c>
      <c r="E733" s="2">
        <v>24.99</v>
      </c>
      <c r="F733" s="2"/>
      <c r="G733" s="2"/>
    </row>
    <row r="734" spans="2:7" ht="15.6" x14ac:dyDescent="0.3">
      <c r="B734" s="5" t="s">
        <v>1242</v>
      </c>
      <c r="C734" s="1" t="s">
        <v>1280</v>
      </c>
      <c r="D734" s="2">
        <v>35.99</v>
      </c>
      <c r="E734" s="2">
        <v>24.99</v>
      </c>
      <c r="F734" s="2"/>
      <c r="G734" s="2"/>
    </row>
    <row r="735" spans="2:7" ht="15.6" x14ac:dyDescent="0.3">
      <c r="B735" s="5" t="s">
        <v>1243</v>
      </c>
      <c r="C735" s="1" t="s">
        <v>1280</v>
      </c>
      <c r="D735" s="2">
        <v>35.99</v>
      </c>
      <c r="E735" s="2">
        <v>24.99</v>
      </c>
      <c r="F735" s="2"/>
      <c r="G735" s="2"/>
    </row>
    <row r="736" spans="2:7" ht="15.6" x14ac:dyDescent="0.3">
      <c r="B736" s="5" t="s">
        <v>1244</v>
      </c>
      <c r="C736" s="1" t="s">
        <v>1798</v>
      </c>
      <c r="D736" s="2">
        <v>29.99</v>
      </c>
      <c r="E736" s="2">
        <v>19.989999999999998</v>
      </c>
      <c r="F736" s="2"/>
      <c r="G736" s="2"/>
    </row>
    <row r="737" spans="2:7" ht="15.6" x14ac:dyDescent="0.3">
      <c r="B737" s="5" t="s">
        <v>1245</v>
      </c>
      <c r="C737" s="1" t="s">
        <v>1246</v>
      </c>
      <c r="D737" s="2">
        <v>29.99</v>
      </c>
      <c r="E737" s="2">
        <v>19.989999999999998</v>
      </c>
      <c r="F737" s="2"/>
      <c r="G737" s="2"/>
    </row>
    <row r="738" spans="2:7" ht="15.6" x14ac:dyDescent="0.3">
      <c r="B738" s="5" t="s">
        <v>1247</v>
      </c>
      <c r="C738" s="1" t="s">
        <v>1280</v>
      </c>
      <c r="D738" s="2">
        <v>29.99</v>
      </c>
      <c r="E738" s="2">
        <v>19.989999999999998</v>
      </c>
      <c r="F738" s="2"/>
      <c r="G738" s="2"/>
    </row>
    <row r="739" spans="2:7" ht="15.6" x14ac:dyDescent="0.3">
      <c r="B739" s="5" t="s">
        <v>1248</v>
      </c>
      <c r="C739" s="1" t="s">
        <v>1248</v>
      </c>
      <c r="D739" s="2">
        <v>29.99</v>
      </c>
      <c r="E739" s="2">
        <v>19.989999999999998</v>
      </c>
      <c r="F739" s="2"/>
      <c r="G739" s="2"/>
    </row>
    <row r="740" spans="2:7" ht="15.6" x14ac:dyDescent="0.3">
      <c r="B740" s="5" t="s">
        <v>1249</v>
      </c>
      <c r="C740" s="1" t="s">
        <v>1249</v>
      </c>
      <c r="D740" s="2">
        <v>29.99</v>
      </c>
      <c r="E740" s="2">
        <v>19.989999999999998</v>
      </c>
      <c r="F740" s="2"/>
      <c r="G740" s="2"/>
    </row>
    <row r="741" spans="2:7" ht="15.6" x14ac:dyDescent="0.3">
      <c r="B741" s="5" t="s">
        <v>1250</v>
      </c>
      <c r="C741" s="1" t="s">
        <v>1280</v>
      </c>
      <c r="D741" s="2">
        <v>29.99</v>
      </c>
      <c r="E741" s="2">
        <v>19.989999999999998</v>
      </c>
      <c r="F741" s="2"/>
      <c r="G741" s="2"/>
    </row>
    <row r="742" spans="2:7" ht="15.6" x14ac:dyDescent="0.3">
      <c r="B742" s="5" t="s">
        <v>1251</v>
      </c>
      <c r="C742" s="1" t="s">
        <v>1799</v>
      </c>
      <c r="D742" s="2">
        <v>29.99</v>
      </c>
      <c r="E742" s="2">
        <v>19.989999999999998</v>
      </c>
      <c r="F742" s="2"/>
      <c r="G742" s="2"/>
    </row>
    <row r="743" spans="2:7" ht="15.6" x14ac:dyDescent="0.3">
      <c r="B743" s="5" t="s">
        <v>1252</v>
      </c>
      <c r="C743" s="1" t="s">
        <v>1280</v>
      </c>
      <c r="D743" s="2">
        <v>29.99</v>
      </c>
      <c r="E743" s="2">
        <v>19.989999999999998</v>
      </c>
      <c r="F743" s="2"/>
      <c r="G743" s="2"/>
    </row>
    <row r="744" spans="2:7" ht="15.6" x14ac:dyDescent="0.3">
      <c r="B744" s="5" t="s">
        <v>1253</v>
      </c>
      <c r="C744" s="1" t="s">
        <v>1254</v>
      </c>
      <c r="D744" s="2">
        <v>29.99</v>
      </c>
      <c r="E744" s="2">
        <v>19.989999999999998</v>
      </c>
      <c r="F744" s="2"/>
      <c r="G744" s="2"/>
    </row>
    <row r="745" spans="2:7" ht="15.6" x14ac:dyDescent="0.3">
      <c r="B745" s="4" t="s">
        <v>1255</v>
      </c>
      <c r="C745" s="4" t="s">
        <v>1280</v>
      </c>
      <c r="D745" s="2">
        <v>29.99</v>
      </c>
      <c r="E745" s="2">
        <v>19.989999999999998</v>
      </c>
      <c r="F745" s="2"/>
      <c r="G745" s="2"/>
    </row>
    <row r="746" spans="2:7" ht="15.6" x14ac:dyDescent="0.3">
      <c r="B746" s="4" t="s">
        <v>1256</v>
      </c>
      <c r="C746" s="4" t="s">
        <v>1280</v>
      </c>
      <c r="D746" s="2">
        <v>29.99</v>
      </c>
      <c r="E746" s="2">
        <v>19.989999999999998</v>
      </c>
      <c r="F746" s="2"/>
      <c r="G746" s="2"/>
    </row>
    <row r="747" spans="2:7" ht="15.6" x14ac:dyDescent="0.3">
      <c r="B747" s="4" t="s">
        <v>1257</v>
      </c>
      <c r="C747" s="4" t="s">
        <v>1800</v>
      </c>
      <c r="D747" s="2">
        <v>29.99</v>
      </c>
      <c r="E747" s="2">
        <v>19.989999999999998</v>
      </c>
      <c r="F747" s="2"/>
      <c r="G747" s="2"/>
    </row>
    <row r="748" spans="2:7" ht="15.6" x14ac:dyDescent="0.3">
      <c r="B748" s="4" t="s">
        <v>1258</v>
      </c>
      <c r="C748" s="4" t="s">
        <v>1280</v>
      </c>
      <c r="D748" s="2">
        <v>29.99</v>
      </c>
      <c r="E748" s="2">
        <v>19.989999999999998</v>
      </c>
      <c r="F748" s="2"/>
      <c r="G748" s="2"/>
    </row>
    <row r="749" spans="2:7" ht="15.6" x14ac:dyDescent="0.3">
      <c r="B749" s="4" t="s">
        <v>1259</v>
      </c>
      <c r="C749" s="4" t="s">
        <v>1260</v>
      </c>
      <c r="D749" s="2">
        <v>29.99</v>
      </c>
      <c r="E749" s="2">
        <v>19.989999999999998</v>
      </c>
      <c r="F749" s="2"/>
      <c r="G749" s="2"/>
    </row>
    <row r="750" spans="2:7" ht="15.6" x14ac:dyDescent="0.3">
      <c r="B750" s="4" t="s">
        <v>1261</v>
      </c>
      <c r="C750" s="4" t="s">
        <v>1280</v>
      </c>
      <c r="D750" s="2">
        <v>29.99</v>
      </c>
      <c r="E750" s="2">
        <v>19.989999999999998</v>
      </c>
      <c r="F750" s="2"/>
      <c r="G750" s="2"/>
    </row>
    <row r="751" spans="2:7" ht="15.6" x14ac:dyDescent="0.3">
      <c r="B751" s="4" t="s">
        <v>1262</v>
      </c>
      <c r="C751" s="4" t="s">
        <v>1280</v>
      </c>
      <c r="D751" s="2">
        <v>29.99</v>
      </c>
      <c r="E751" s="2">
        <v>19.989999999999998</v>
      </c>
      <c r="F751" s="2"/>
      <c r="G751" s="2"/>
    </row>
    <row r="752" spans="2:7" ht="15.6" x14ac:dyDescent="0.3">
      <c r="B752" s="4" t="s">
        <v>1263</v>
      </c>
      <c r="C752" s="4" t="s">
        <v>1801</v>
      </c>
      <c r="D752" s="2">
        <v>29.99</v>
      </c>
      <c r="E752" s="2">
        <v>19.989999999999998</v>
      </c>
      <c r="F752" s="2"/>
      <c r="G752" s="2"/>
    </row>
    <row r="753" spans="2:7" ht="15.6" x14ac:dyDescent="0.3">
      <c r="B753" s="4" t="s">
        <v>1264</v>
      </c>
      <c r="C753" s="4" t="s">
        <v>1280</v>
      </c>
      <c r="D753" s="2">
        <v>29.99</v>
      </c>
      <c r="E753" s="2">
        <v>19.989999999999998</v>
      </c>
      <c r="F753" s="2"/>
      <c r="G753" s="2"/>
    </row>
    <row r="754" spans="2:7" ht="15.6" x14ac:dyDescent="0.3">
      <c r="B754" s="4" t="s">
        <v>1265</v>
      </c>
      <c r="C754" s="4" t="s">
        <v>1266</v>
      </c>
      <c r="D754" s="2">
        <v>29.99</v>
      </c>
      <c r="E754" s="2">
        <v>19.989999999999998</v>
      </c>
      <c r="F754" s="2"/>
      <c r="G754" s="2"/>
    </row>
    <row r="755" spans="2:7" ht="15.6" x14ac:dyDescent="0.3">
      <c r="B755" s="4" t="s">
        <v>1267</v>
      </c>
      <c r="C755" s="4" t="s">
        <v>1280</v>
      </c>
      <c r="D755" s="2">
        <v>29.99</v>
      </c>
      <c r="E755" s="2">
        <v>19.989999999999998</v>
      </c>
      <c r="F755" s="2"/>
      <c r="G755" s="2"/>
    </row>
    <row r="756" spans="2:7" ht="15.6" x14ac:dyDescent="0.3">
      <c r="B756" s="4" t="s">
        <v>1268</v>
      </c>
      <c r="C756" s="4" t="s">
        <v>1280</v>
      </c>
      <c r="D756" s="2">
        <v>29.99</v>
      </c>
      <c r="E756" s="2">
        <v>19.989999999999998</v>
      </c>
      <c r="F756" s="2"/>
      <c r="G756" s="2"/>
    </row>
    <row r="757" spans="2:7" ht="15.6" x14ac:dyDescent="0.3">
      <c r="B757" s="4" t="s">
        <v>1269</v>
      </c>
      <c r="C757" s="4" t="s">
        <v>1280</v>
      </c>
      <c r="D757" s="2">
        <v>29.99</v>
      </c>
      <c r="E757" s="2">
        <v>19.989999999999998</v>
      </c>
      <c r="F757" s="2"/>
      <c r="G757" s="2"/>
    </row>
    <row r="758" spans="2:7" ht="15.6" x14ac:dyDescent="0.3">
      <c r="B758" s="4" t="s">
        <v>1270</v>
      </c>
      <c r="C758" s="4" t="s">
        <v>1280</v>
      </c>
      <c r="D758" s="2">
        <v>29.99</v>
      </c>
      <c r="E758" s="2">
        <v>19.989999999999998</v>
      </c>
      <c r="F758" s="2"/>
      <c r="G758" s="2"/>
    </row>
    <row r="759" spans="2:7" ht="15.6" x14ac:dyDescent="0.3">
      <c r="B759" s="4" t="s">
        <v>1271</v>
      </c>
      <c r="C759" s="4" t="s">
        <v>1802</v>
      </c>
      <c r="D759" s="2">
        <v>29.99</v>
      </c>
      <c r="E759" s="2">
        <v>19.989999999999998</v>
      </c>
      <c r="F759" s="2"/>
      <c r="G759" s="2"/>
    </row>
    <row r="760" spans="2:7" ht="15.6" x14ac:dyDescent="0.3">
      <c r="B760" s="4" t="s">
        <v>1272</v>
      </c>
      <c r="C760" s="4" t="s">
        <v>1280</v>
      </c>
      <c r="D760" s="2">
        <v>29.99</v>
      </c>
      <c r="E760" s="2">
        <v>19.989999999999998</v>
      </c>
      <c r="F760" s="2"/>
      <c r="G760" s="2"/>
    </row>
    <row r="761" spans="2:7" ht="15.6" x14ac:dyDescent="0.3">
      <c r="B761" s="4" t="s">
        <v>1273</v>
      </c>
      <c r="C761" s="4" t="s">
        <v>1274</v>
      </c>
      <c r="D761" s="2">
        <v>29.99</v>
      </c>
      <c r="E761" s="2">
        <v>19.989999999999998</v>
      </c>
      <c r="F761" s="2"/>
      <c r="G761" s="2"/>
    </row>
    <row r="762" spans="2:7" ht="15.6" x14ac:dyDescent="0.3">
      <c r="B762" s="4" t="s">
        <v>1275</v>
      </c>
      <c r="C762" s="4" t="s">
        <v>1280</v>
      </c>
      <c r="D762" s="2">
        <v>29.99</v>
      </c>
      <c r="E762" s="2">
        <v>19.989999999999998</v>
      </c>
      <c r="F762" s="2"/>
      <c r="G762" s="2"/>
    </row>
    <row r="763" spans="2:7" ht="15.6" x14ac:dyDescent="0.3">
      <c r="B763" s="4" t="s">
        <v>1276</v>
      </c>
      <c r="C763" s="4" t="s">
        <v>1280</v>
      </c>
      <c r="D763" s="2">
        <v>29.99</v>
      </c>
      <c r="E763" s="2">
        <v>19.989999999999998</v>
      </c>
      <c r="F763" s="2"/>
      <c r="G763" s="2"/>
    </row>
    <row r="764" spans="2:7" ht="15.6" x14ac:dyDescent="0.3">
      <c r="B764" s="4" t="s">
        <v>1277</v>
      </c>
      <c r="C764" s="4" t="s">
        <v>1280</v>
      </c>
      <c r="D764" s="2">
        <v>29.99</v>
      </c>
      <c r="E764" s="2">
        <v>19.989999999999998</v>
      </c>
      <c r="F764" s="2"/>
      <c r="G764" s="2"/>
    </row>
    <row r="765" spans="2:7" ht="15.6" x14ac:dyDescent="0.3">
      <c r="B765" s="4" t="s">
        <v>1278</v>
      </c>
      <c r="C765" s="4" t="s">
        <v>1280</v>
      </c>
      <c r="D765" s="2">
        <v>97.990000000000009</v>
      </c>
      <c r="E765" s="2">
        <v>97.990000000000009</v>
      </c>
      <c r="F765" s="2"/>
      <c r="G765" s="2"/>
    </row>
    <row r="766" spans="2:7" ht="15.6" x14ac:dyDescent="0.3">
      <c r="B766" s="4" t="s">
        <v>1279</v>
      </c>
      <c r="C766" s="4" t="s">
        <v>1280</v>
      </c>
      <c r="D766" s="2">
        <v>44.99</v>
      </c>
      <c r="E766" s="2">
        <v>29.99</v>
      </c>
      <c r="F766" s="2"/>
      <c r="G766" s="2"/>
    </row>
    <row r="767" spans="2:7" ht="15.6" x14ac:dyDescent="0.3">
      <c r="B767" s="4" t="s">
        <v>1281</v>
      </c>
      <c r="C767" s="4" t="s">
        <v>1280</v>
      </c>
      <c r="D767" s="2">
        <v>44.99</v>
      </c>
      <c r="E767" s="2">
        <v>29.99</v>
      </c>
      <c r="F767" s="2"/>
      <c r="G767" s="2"/>
    </row>
    <row r="768" spans="2:7" ht="15.6" x14ac:dyDescent="0.3">
      <c r="B768" s="4" t="s">
        <v>1282</v>
      </c>
      <c r="C768" s="4" t="s">
        <v>1803</v>
      </c>
      <c r="D768" s="2">
        <v>44.99</v>
      </c>
      <c r="E768" s="2">
        <v>29.99</v>
      </c>
      <c r="F768" s="2"/>
      <c r="G768" s="2"/>
    </row>
    <row r="769" spans="2:7" ht="15.6" x14ac:dyDescent="0.3">
      <c r="B769" s="4" t="s">
        <v>1283</v>
      </c>
      <c r="C769" s="4" t="s">
        <v>1284</v>
      </c>
      <c r="D769" s="2">
        <v>44.99</v>
      </c>
      <c r="E769" s="2">
        <v>29.99</v>
      </c>
      <c r="F769" s="2"/>
      <c r="G769" s="2"/>
    </row>
    <row r="770" spans="2:7" ht="15.6" x14ac:dyDescent="0.3">
      <c r="B770" s="4" t="s">
        <v>1285</v>
      </c>
      <c r="C770" s="4" t="s">
        <v>1280</v>
      </c>
      <c r="D770" s="2">
        <v>44.99</v>
      </c>
      <c r="E770" s="2">
        <v>29.99</v>
      </c>
      <c r="F770" s="2"/>
      <c r="G770" s="2"/>
    </row>
    <row r="771" spans="2:7" ht="15.6" x14ac:dyDescent="0.3">
      <c r="B771" s="4" t="s">
        <v>1286</v>
      </c>
      <c r="C771" s="4" t="s">
        <v>1280</v>
      </c>
      <c r="D771" s="2">
        <v>44.99</v>
      </c>
      <c r="E771" s="2">
        <v>29.99</v>
      </c>
      <c r="F771" s="2"/>
      <c r="G771" s="2"/>
    </row>
    <row r="772" spans="2:7" ht="15.6" x14ac:dyDescent="0.3">
      <c r="B772" s="4" t="s">
        <v>1287</v>
      </c>
      <c r="C772" s="4" t="s">
        <v>1280</v>
      </c>
      <c r="D772" s="2">
        <v>44.99</v>
      </c>
      <c r="E772" s="2">
        <v>29.99</v>
      </c>
      <c r="F772" s="2"/>
      <c r="G772" s="2"/>
    </row>
    <row r="773" spans="2:7" ht="15.6" x14ac:dyDescent="0.3">
      <c r="B773" s="4" t="s">
        <v>1288</v>
      </c>
      <c r="C773" s="4" t="s">
        <v>1280</v>
      </c>
      <c r="D773" s="2">
        <v>44.99</v>
      </c>
      <c r="E773" s="2">
        <v>29.99</v>
      </c>
      <c r="F773" s="2"/>
      <c r="G773" s="2"/>
    </row>
    <row r="774" spans="2:7" ht="15.6" x14ac:dyDescent="0.3">
      <c r="B774" s="4" t="s">
        <v>1289</v>
      </c>
      <c r="C774" s="4" t="s">
        <v>1280</v>
      </c>
      <c r="D774" s="2">
        <v>44.99</v>
      </c>
      <c r="E774" s="2">
        <v>29.99</v>
      </c>
      <c r="F774" s="2"/>
      <c r="G774" s="2"/>
    </row>
    <row r="775" spans="2:7" ht="15.6" x14ac:dyDescent="0.3">
      <c r="B775" s="4" t="s">
        <v>1290</v>
      </c>
      <c r="C775" s="4" t="s">
        <v>1280</v>
      </c>
      <c r="D775" s="2">
        <v>44.99</v>
      </c>
      <c r="E775" s="2">
        <v>29.99</v>
      </c>
      <c r="F775" s="2"/>
      <c r="G775" s="2"/>
    </row>
    <row r="776" spans="2:7" ht="15.6" x14ac:dyDescent="0.3">
      <c r="B776" s="4" t="s">
        <v>1291</v>
      </c>
      <c r="C776" s="4" t="s">
        <v>1280</v>
      </c>
      <c r="D776" s="2">
        <v>44.99</v>
      </c>
      <c r="E776" s="2">
        <v>29.99</v>
      </c>
      <c r="F776" s="2"/>
      <c r="G776" s="2"/>
    </row>
    <row r="777" spans="2:7" ht="15.6" x14ac:dyDescent="0.3">
      <c r="B777" s="4" t="s">
        <v>1292</v>
      </c>
      <c r="C777" s="4" t="s">
        <v>1280</v>
      </c>
      <c r="D777" s="2">
        <v>44.99</v>
      </c>
      <c r="E777" s="2">
        <v>29.99</v>
      </c>
      <c r="F777" s="2"/>
      <c r="G777" s="2"/>
    </row>
    <row r="778" spans="2:7" ht="15.6" x14ac:dyDescent="0.3">
      <c r="B778" s="4" t="s">
        <v>1293</v>
      </c>
      <c r="C778" s="4" t="s">
        <v>1804</v>
      </c>
      <c r="D778" s="2">
        <v>44.99</v>
      </c>
      <c r="E778" s="2">
        <v>29.99</v>
      </c>
      <c r="F778" s="2"/>
      <c r="G778" s="2"/>
    </row>
    <row r="779" spans="2:7" ht="15.6" x14ac:dyDescent="0.3">
      <c r="B779" s="4" t="s">
        <v>1294</v>
      </c>
      <c r="C779" s="4" t="s">
        <v>1295</v>
      </c>
      <c r="D779" s="2">
        <v>44.99</v>
      </c>
      <c r="E779" s="2">
        <v>29.99</v>
      </c>
      <c r="F779" s="2"/>
      <c r="G779" s="2"/>
    </row>
    <row r="780" spans="2:7" ht="15.6" x14ac:dyDescent="0.3">
      <c r="B780" s="4" t="s">
        <v>1296</v>
      </c>
      <c r="C780" s="4" t="s">
        <v>1280</v>
      </c>
      <c r="D780" s="2">
        <v>44.99</v>
      </c>
      <c r="E780" s="2">
        <v>29.99</v>
      </c>
      <c r="F780" s="2"/>
      <c r="G780" s="2"/>
    </row>
    <row r="781" spans="2:7" ht="15.6" x14ac:dyDescent="0.3">
      <c r="B781" s="4" t="s">
        <v>1297</v>
      </c>
      <c r="C781" s="4" t="s">
        <v>1805</v>
      </c>
      <c r="D781" s="2">
        <v>44.99</v>
      </c>
      <c r="E781" s="2">
        <v>29.99</v>
      </c>
      <c r="F781" s="2"/>
      <c r="G781" s="2"/>
    </row>
    <row r="782" spans="2:7" ht="15.6" x14ac:dyDescent="0.3">
      <c r="B782" s="4" t="s">
        <v>1298</v>
      </c>
      <c r="C782" s="4" t="s">
        <v>1299</v>
      </c>
      <c r="D782" s="2">
        <v>44.99</v>
      </c>
      <c r="E782" s="2">
        <v>29.99</v>
      </c>
      <c r="F782" s="2"/>
      <c r="G782" s="2"/>
    </row>
    <row r="783" spans="2:7" ht="15.6" x14ac:dyDescent="0.3">
      <c r="B783" s="4" t="s">
        <v>1300</v>
      </c>
      <c r="C783" s="4" t="s">
        <v>1280</v>
      </c>
      <c r="D783" s="2">
        <v>44.99</v>
      </c>
      <c r="E783" s="2">
        <v>29.99</v>
      </c>
      <c r="F783" s="2"/>
      <c r="G783" s="2"/>
    </row>
    <row r="784" spans="2:7" ht="15.6" x14ac:dyDescent="0.3">
      <c r="B784" s="4" t="s">
        <v>1301</v>
      </c>
      <c r="C784" s="4" t="s">
        <v>1280</v>
      </c>
      <c r="D784" s="2">
        <v>44.99</v>
      </c>
      <c r="E784" s="2">
        <v>29.99</v>
      </c>
      <c r="F784" s="2"/>
      <c r="G784" s="2"/>
    </row>
    <row r="785" spans="2:7" ht="15.6" x14ac:dyDescent="0.3">
      <c r="B785" s="4" t="s">
        <v>1302</v>
      </c>
      <c r="C785" s="4" t="s">
        <v>1280</v>
      </c>
      <c r="D785" s="2">
        <v>44.99</v>
      </c>
      <c r="E785" s="2">
        <v>29.99</v>
      </c>
      <c r="F785" s="2"/>
      <c r="G785" s="2"/>
    </row>
    <row r="786" spans="2:7" ht="15.6" x14ac:dyDescent="0.3">
      <c r="B786" s="4" t="s">
        <v>1303</v>
      </c>
      <c r="C786" s="4" t="s">
        <v>1280</v>
      </c>
      <c r="D786" s="2">
        <v>44.99</v>
      </c>
      <c r="E786" s="2">
        <v>29.99</v>
      </c>
      <c r="F786" s="2"/>
      <c r="G786" s="2"/>
    </row>
    <row r="787" spans="2:7" ht="15.6" x14ac:dyDescent="0.3">
      <c r="B787" s="4" t="s">
        <v>1304</v>
      </c>
      <c r="C787" s="4" t="s">
        <v>1280</v>
      </c>
      <c r="D787" s="2">
        <v>44.99</v>
      </c>
      <c r="E787" s="2">
        <v>29.99</v>
      </c>
      <c r="F787" s="2"/>
      <c r="G787" s="2"/>
    </row>
    <row r="788" spans="2:7" ht="15.6" x14ac:dyDescent="0.3">
      <c r="B788" s="4" t="s">
        <v>1304</v>
      </c>
      <c r="C788" s="4" t="s">
        <v>1280</v>
      </c>
      <c r="D788" s="2">
        <v>44.99</v>
      </c>
      <c r="E788" s="2">
        <v>29.99</v>
      </c>
      <c r="F788" s="2"/>
      <c r="G788" s="2"/>
    </row>
    <row r="789" spans="2:7" ht="15.6" x14ac:dyDescent="0.3">
      <c r="B789" s="4" t="s">
        <v>1305</v>
      </c>
      <c r="C789" s="4" t="s">
        <v>1806</v>
      </c>
      <c r="D789" s="2">
        <v>44.99</v>
      </c>
      <c r="E789" s="2">
        <v>29.99</v>
      </c>
      <c r="F789" s="2"/>
      <c r="G789" s="2"/>
    </row>
    <row r="790" spans="2:7" ht="15.6" x14ac:dyDescent="0.3">
      <c r="B790" s="4" t="s">
        <v>1306</v>
      </c>
      <c r="C790" s="4" t="s">
        <v>1307</v>
      </c>
      <c r="D790" s="2">
        <v>44.99</v>
      </c>
      <c r="E790" s="2">
        <v>29.99</v>
      </c>
      <c r="F790" s="2"/>
      <c r="G790" s="2"/>
    </row>
    <row r="791" spans="2:7" ht="15.6" x14ac:dyDescent="0.3">
      <c r="B791" s="4" t="s">
        <v>1308</v>
      </c>
      <c r="C791" s="4" t="s">
        <v>1280</v>
      </c>
      <c r="D791" s="2">
        <v>44.99</v>
      </c>
      <c r="E791" s="2">
        <v>29.99</v>
      </c>
      <c r="F791" s="2"/>
      <c r="G791" s="2"/>
    </row>
    <row r="792" spans="2:7" ht="15.6" x14ac:dyDescent="0.3">
      <c r="B792" s="4" t="s">
        <v>1309</v>
      </c>
      <c r="C792" s="4" t="s">
        <v>1280</v>
      </c>
      <c r="D792" s="2">
        <v>44.99</v>
      </c>
      <c r="E792" s="2">
        <v>29.99</v>
      </c>
      <c r="F792" s="2"/>
      <c r="G792" s="2"/>
    </row>
    <row r="793" spans="2:7" ht="15.6" x14ac:dyDescent="0.3">
      <c r="B793" s="21" t="s">
        <v>1310</v>
      </c>
      <c r="C793" s="21" t="s">
        <v>1310</v>
      </c>
      <c r="D793" s="20">
        <v>31.99</v>
      </c>
      <c r="E793" s="20">
        <v>19.989999999999998</v>
      </c>
      <c r="F793" s="2"/>
      <c r="G793" s="20"/>
    </row>
    <row r="794" spans="2:7" ht="15.6" x14ac:dyDescent="0.3">
      <c r="B794" s="21" t="s">
        <v>1311</v>
      </c>
      <c r="C794" s="21" t="s">
        <v>1280</v>
      </c>
      <c r="D794" s="20">
        <v>31.99</v>
      </c>
      <c r="E794" s="20">
        <v>19.989999999999998</v>
      </c>
      <c r="F794" s="2"/>
      <c r="G794" s="20"/>
    </row>
    <row r="795" spans="2:7" ht="15.6" x14ac:dyDescent="0.3">
      <c r="B795" s="21" t="s">
        <v>1312</v>
      </c>
      <c r="C795" s="21" t="s">
        <v>1280</v>
      </c>
      <c r="D795" s="20">
        <v>31.99</v>
      </c>
      <c r="E795" s="20">
        <v>19.989999999999998</v>
      </c>
      <c r="F795" s="2"/>
      <c r="G795" s="20"/>
    </row>
    <row r="796" spans="2:7" ht="15.6" x14ac:dyDescent="0.3">
      <c r="B796" s="21" t="s">
        <v>1313</v>
      </c>
      <c r="C796" s="21" t="s">
        <v>1280</v>
      </c>
      <c r="D796" s="20">
        <v>31.99</v>
      </c>
      <c r="E796" s="20">
        <v>19.989999999999998</v>
      </c>
      <c r="F796" s="2"/>
      <c r="G796" s="20"/>
    </row>
    <row r="797" spans="2:7" ht="15.6" x14ac:dyDescent="0.3">
      <c r="B797" s="21" t="s">
        <v>1314</v>
      </c>
      <c r="C797" s="21" t="s">
        <v>1280</v>
      </c>
      <c r="D797" s="20">
        <v>31.99</v>
      </c>
      <c r="E797" s="20">
        <v>19.989999999999998</v>
      </c>
      <c r="F797" s="2"/>
      <c r="G797" s="20"/>
    </row>
    <row r="798" spans="2:7" ht="15.6" x14ac:dyDescent="0.3">
      <c r="B798" s="21" t="s">
        <v>1315</v>
      </c>
      <c r="C798" s="21" t="s">
        <v>1280</v>
      </c>
      <c r="D798" s="20">
        <v>31.99</v>
      </c>
      <c r="E798" s="20">
        <v>19.989999999999998</v>
      </c>
      <c r="F798" s="2"/>
      <c r="G798" s="20"/>
    </row>
    <row r="799" spans="2:7" ht="15.6" x14ac:dyDescent="0.3">
      <c r="B799" s="21" t="s">
        <v>1316</v>
      </c>
      <c r="C799" s="21" t="s">
        <v>1280</v>
      </c>
      <c r="D799" s="20">
        <v>31.99</v>
      </c>
      <c r="E799" s="20">
        <v>19.989999999999998</v>
      </c>
      <c r="F799" s="2"/>
      <c r="G799" s="20"/>
    </row>
    <row r="800" spans="2:7" ht="15.6" x14ac:dyDescent="0.3">
      <c r="B800" s="4" t="s">
        <v>1317</v>
      </c>
      <c r="C800" s="4" t="s">
        <v>1318</v>
      </c>
      <c r="D800" s="2">
        <v>44.99</v>
      </c>
      <c r="E800" s="2">
        <v>29.99</v>
      </c>
      <c r="F800" s="2"/>
      <c r="G800" s="2"/>
    </row>
    <row r="801" spans="2:7" ht="15.6" x14ac:dyDescent="0.3">
      <c r="B801" s="4" t="s">
        <v>1319</v>
      </c>
      <c r="C801" s="4" t="s">
        <v>1320</v>
      </c>
      <c r="D801" s="2">
        <v>44.99</v>
      </c>
      <c r="E801" s="2">
        <v>29.99</v>
      </c>
      <c r="F801" s="2"/>
      <c r="G801" s="2"/>
    </row>
    <row r="802" spans="2:7" ht="15.6" x14ac:dyDescent="0.3">
      <c r="B802" s="4" t="s">
        <v>1321</v>
      </c>
      <c r="C802" s="4" t="s">
        <v>1280</v>
      </c>
      <c r="D802" s="2">
        <v>44.99</v>
      </c>
      <c r="E802" s="2">
        <v>29.99</v>
      </c>
      <c r="F802" s="2"/>
      <c r="G802" s="2"/>
    </row>
    <row r="803" spans="2:7" ht="15.6" x14ac:dyDescent="0.3">
      <c r="B803" s="4" t="s">
        <v>1322</v>
      </c>
      <c r="C803" s="4" t="s">
        <v>1280</v>
      </c>
      <c r="D803" s="2">
        <v>44.99</v>
      </c>
      <c r="E803" s="2">
        <v>29.99</v>
      </c>
      <c r="F803" s="2"/>
      <c r="G803" s="2"/>
    </row>
    <row r="804" spans="2:7" ht="15.6" x14ac:dyDescent="0.3">
      <c r="B804" s="4" t="s">
        <v>1323</v>
      </c>
      <c r="C804" s="4" t="s">
        <v>1280</v>
      </c>
      <c r="D804" s="2">
        <v>44.99</v>
      </c>
      <c r="E804" s="2">
        <v>29.99</v>
      </c>
      <c r="F804" s="2"/>
      <c r="G804" s="2"/>
    </row>
    <row r="805" spans="2:7" ht="15.6" x14ac:dyDescent="0.3">
      <c r="B805" s="4" t="s">
        <v>1324</v>
      </c>
      <c r="C805" s="4" t="s">
        <v>1280</v>
      </c>
      <c r="D805" s="2">
        <v>44.99</v>
      </c>
      <c r="E805" s="2">
        <v>29.99</v>
      </c>
      <c r="F805" s="2"/>
      <c r="G805" s="2"/>
    </row>
    <row r="806" spans="2:7" ht="15.6" x14ac:dyDescent="0.3">
      <c r="B806" s="4" t="s">
        <v>1325</v>
      </c>
      <c r="C806" s="4" t="s">
        <v>1807</v>
      </c>
      <c r="D806" s="2">
        <v>44.99</v>
      </c>
      <c r="E806" s="2">
        <v>29.99</v>
      </c>
      <c r="F806" s="2"/>
      <c r="G806" s="2"/>
    </row>
    <row r="807" spans="2:7" ht="15.6" x14ac:dyDescent="0.3">
      <c r="B807" s="4" t="s">
        <v>1326</v>
      </c>
      <c r="C807" s="4" t="s">
        <v>1327</v>
      </c>
      <c r="D807" s="2">
        <v>44.99</v>
      </c>
      <c r="E807" s="2">
        <v>29.99</v>
      </c>
      <c r="F807" s="2"/>
      <c r="G807" s="2"/>
    </row>
    <row r="808" spans="2:7" ht="15.6" x14ac:dyDescent="0.3">
      <c r="B808" s="4" t="s">
        <v>1328</v>
      </c>
      <c r="C808" s="4" t="s">
        <v>1280</v>
      </c>
      <c r="D808" s="2">
        <v>44.99</v>
      </c>
      <c r="E808" s="2">
        <v>29.99</v>
      </c>
      <c r="F808" s="2"/>
      <c r="G808" s="2"/>
    </row>
    <row r="809" spans="2:7" ht="15.6" x14ac:dyDescent="0.3">
      <c r="B809" s="4" t="s">
        <v>1329</v>
      </c>
      <c r="C809" s="4" t="s">
        <v>1808</v>
      </c>
      <c r="D809" s="2">
        <v>44.99</v>
      </c>
      <c r="E809" s="2">
        <v>29.99</v>
      </c>
      <c r="F809" s="2"/>
      <c r="G809" s="2"/>
    </row>
    <row r="810" spans="2:7" ht="15.6" x14ac:dyDescent="0.3">
      <c r="B810" s="4" t="s">
        <v>1330</v>
      </c>
      <c r="C810" s="4" t="s">
        <v>1331</v>
      </c>
      <c r="D810" s="2">
        <v>44.99</v>
      </c>
      <c r="E810" s="2">
        <v>29.99</v>
      </c>
      <c r="F810" s="2"/>
      <c r="G810" s="2"/>
    </row>
    <row r="811" spans="2:7" ht="15.6" x14ac:dyDescent="0.3">
      <c r="B811" s="4" t="s">
        <v>1332</v>
      </c>
      <c r="C811" s="4" t="s">
        <v>1280</v>
      </c>
      <c r="D811" s="2">
        <v>44.99</v>
      </c>
      <c r="E811" s="2">
        <v>29.99</v>
      </c>
      <c r="F811" s="2"/>
      <c r="G811" s="2"/>
    </row>
    <row r="812" spans="2:7" ht="15.6" x14ac:dyDescent="0.3">
      <c r="B812" s="4" t="s">
        <v>1333</v>
      </c>
      <c r="C812" s="4" t="s">
        <v>1280</v>
      </c>
      <c r="D812" s="2">
        <v>44.99</v>
      </c>
      <c r="E812" s="2">
        <v>29.99</v>
      </c>
      <c r="F812" s="2"/>
      <c r="G812" s="2"/>
    </row>
    <row r="813" spans="2:7" ht="15.6" x14ac:dyDescent="0.3">
      <c r="B813" s="4" t="s">
        <v>1334</v>
      </c>
      <c r="C813" s="4" t="s">
        <v>1280</v>
      </c>
      <c r="D813" s="2">
        <v>44.99</v>
      </c>
      <c r="E813" s="2">
        <v>29.99</v>
      </c>
      <c r="F813" s="2"/>
      <c r="G813" s="2"/>
    </row>
    <row r="814" spans="2:7" ht="15.6" x14ac:dyDescent="0.3">
      <c r="B814" s="4" t="s">
        <v>1335</v>
      </c>
      <c r="C814" s="4" t="s">
        <v>1280</v>
      </c>
      <c r="D814" s="2">
        <v>44.99</v>
      </c>
      <c r="E814" s="2">
        <v>29.99</v>
      </c>
      <c r="F814" s="2"/>
      <c r="G814" s="2"/>
    </row>
    <row r="815" spans="2:7" ht="15.6" x14ac:dyDescent="0.3">
      <c r="B815" s="4" t="s">
        <v>1336</v>
      </c>
      <c r="C815" s="4" t="s">
        <v>1809</v>
      </c>
      <c r="D815" s="2">
        <v>44.99</v>
      </c>
      <c r="E815" s="2">
        <v>29.99</v>
      </c>
      <c r="F815" s="2"/>
      <c r="G815" s="2"/>
    </row>
    <row r="816" spans="2:7" ht="15.6" x14ac:dyDescent="0.3">
      <c r="B816" s="4" t="s">
        <v>1337</v>
      </c>
      <c r="C816" s="4" t="s">
        <v>1338</v>
      </c>
      <c r="D816" s="2">
        <v>44.99</v>
      </c>
      <c r="E816" s="2">
        <v>29.99</v>
      </c>
      <c r="F816" s="2"/>
      <c r="G816" s="2"/>
    </row>
    <row r="817" spans="2:7" ht="15.6" x14ac:dyDescent="0.3">
      <c r="B817" s="4" t="s">
        <v>1339</v>
      </c>
      <c r="C817" s="4" t="s">
        <v>1280</v>
      </c>
      <c r="D817" s="2">
        <v>44.99</v>
      </c>
      <c r="E817" s="2">
        <v>29.99</v>
      </c>
      <c r="F817" s="2"/>
      <c r="G817" s="2"/>
    </row>
    <row r="818" spans="2:7" ht="15.6" x14ac:dyDescent="0.3">
      <c r="B818" s="4" t="s">
        <v>1340</v>
      </c>
      <c r="C818" s="4" t="s">
        <v>1280</v>
      </c>
      <c r="D818" s="2">
        <v>44.99</v>
      </c>
      <c r="E818" s="2">
        <v>29.99</v>
      </c>
      <c r="F818" s="2"/>
      <c r="G818" s="2"/>
    </row>
    <row r="819" spans="2:7" ht="15.6" x14ac:dyDescent="0.3">
      <c r="B819" s="4" t="s">
        <v>1341</v>
      </c>
      <c r="C819" s="4" t="s">
        <v>1810</v>
      </c>
      <c r="D819" s="2">
        <v>44.99</v>
      </c>
      <c r="E819" s="2">
        <v>29.99</v>
      </c>
      <c r="F819" s="2"/>
      <c r="G819" s="2"/>
    </row>
    <row r="820" spans="2:7" ht="15.6" x14ac:dyDescent="0.3">
      <c r="B820" s="4" t="s">
        <v>1342</v>
      </c>
      <c r="C820" s="4" t="s">
        <v>1343</v>
      </c>
      <c r="D820" s="2">
        <v>44.99</v>
      </c>
      <c r="E820" s="2">
        <v>29.99</v>
      </c>
      <c r="F820" s="2"/>
      <c r="G820" s="2"/>
    </row>
    <row r="821" spans="2:7" ht="15.6" x14ac:dyDescent="0.3">
      <c r="B821" s="4" t="s">
        <v>1344</v>
      </c>
      <c r="C821" s="4" t="s">
        <v>1280</v>
      </c>
      <c r="D821" s="2">
        <v>44.99</v>
      </c>
      <c r="E821" s="2">
        <v>29.99</v>
      </c>
      <c r="F821" s="2"/>
      <c r="G821" s="2"/>
    </row>
    <row r="822" spans="2:7" ht="15.6" x14ac:dyDescent="0.3">
      <c r="B822" s="4" t="s">
        <v>1345</v>
      </c>
      <c r="C822" s="4" t="s">
        <v>1280</v>
      </c>
      <c r="D822" s="2">
        <v>44.99</v>
      </c>
      <c r="E822" s="2">
        <v>29.99</v>
      </c>
      <c r="F822" s="2"/>
      <c r="G822" s="2"/>
    </row>
    <row r="823" spans="2:7" ht="15.6" x14ac:dyDescent="0.3">
      <c r="B823" s="4" t="s">
        <v>1346</v>
      </c>
      <c r="C823" s="4" t="s">
        <v>1280</v>
      </c>
      <c r="D823" s="2">
        <v>44.99</v>
      </c>
      <c r="E823" s="2">
        <v>29.99</v>
      </c>
      <c r="F823" s="2"/>
      <c r="G823" s="2"/>
    </row>
    <row r="824" spans="2:7" ht="15.6" x14ac:dyDescent="0.3">
      <c r="B824" s="4" t="s">
        <v>1347</v>
      </c>
      <c r="C824" s="4" t="s">
        <v>1280</v>
      </c>
      <c r="D824" s="2">
        <v>44.99</v>
      </c>
      <c r="E824" s="2">
        <v>29.99</v>
      </c>
      <c r="F824" s="2"/>
      <c r="G824" s="2"/>
    </row>
    <row r="825" spans="2:7" ht="15.6" x14ac:dyDescent="0.3">
      <c r="B825" s="4" t="s">
        <v>1348</v>
      </c>
      <c r="C825" s="4" t="s">
        <v>1280</v>
      </c>
      <c r="D825" s="2">
        <v>44.99</v>
      </c>
      <c r="E825" s="2">
        <v>29.99</v>
      </c>
      <c r="F825" s="2"/>
      <c r="G825" s="2"/>
    </row>
    <row r="826" spans="2:7" ht="15.6" x14ac:dyDescent="0.3">
      <c r="B826" s="4" t="s">
        <v>1349</v>
      </c>
      <c r="C826" s="4" t="s">
        <v>1811</v>
      </c>
      <c r="D826" s="2">
        <v>24.99</v>
      </c>
      <c r="E826" s="2">
        <v>16.989999999999998</v>
      </c>
      <c r="F826" s="2"/>
      <c r="G826" s="2"/>
    </row>
    <row r="827" spans="2:7" ht="15.6" x14ac:dyDescent="0.3">
      <c r="B827" s="4" t="s">
        <v>1350</v>
      </c>
      <c r="C827" s="4" t="s">
        <v>1812</v>
      </c>
      <c r="D827" s="2">
        <v>24.99</v>
      </c>
      <c r="E827" s="2">
        <v>16.989999999999998</v>
      </c>
      <c r="F827" s="2"/>
      <c r="G827" s="2"/>
    </row>
    <row r="828" spans="2:7" ht="15.6" x14ac:dyDescent="0.3">
      <c r="B828" s="4" t="s">
        <v>1351</v>
      </c>
      <c r="C828" s="4" t="s">
        <v>1813</v>
      </c>
      <c r="D828" s="2">
        <v>24.99</v>
      </c>
      <c r="E828" s="2">
        <v>16.989999999999998</v>
      </c>
      <c r="F828" s="2"/>
      <c r="G828" s="2"/>
    </row>
    <row r="829" spans="2:7" ht="15.6" x14ac:dyDescent="0.3">
      <c r="B829" s="4" t="s">
        <v>1352</v>
      </c>
      <c r="C829" s="4" t="s">
        <v>1814</v>
      </c>
      <c r="D829" s="2">
        <v>24.99</v>
      </c>
      <c r="E829" s="2">
        <v>16.989999999999998</v>
      </c>
      <c r="F829" s="2"/>
      <c r="G829" s="2"/>
    </row>
    <row r="830" spans="2:7" ht="15.6" x14ac:dyDescent="0.3">
      <c r="B830" s="4" t="s">
        <v>1353</v>
      </c>
      <c r="C830" s="4" t="s">
        <v>1815</v>
      </c>
      <c r="D830" s="2">
        <v>24.99</v>
      </c>
      <c r="E830" s="2">
        <v>16.989999999999998</v>
      </c>
      <c r="F830" s="2"/>
      <c r="G830" s="2"/>
    </row>
    <row r="831" spans="2:7" ht="15.6" x14ac:dyDescent="0.3">
      <c r="B831" s="4" t="s">
        <v>1354</v>
      </c>
      <c r="C831" s="4" t="s">
        <v>1816</v>
      </c>
      <c r="D831" s="2">
        <v>29.99</v>
      </c>
      <c r="E831" s="2">
        <v>16.989999999999998</v>
      </c>
      <c r="F831" s="2"/>
      <c r="G831" s="2"/>
    </row>
    <row r="832" spans="2:7" ht="15.6" x14ac:dyDescent="0.3">
      <c r="B832" s="4" t="s">
        <v>1355</v>
      </c>
      <c r="C832" s="4" t="s">
        <v>1280</v>
      </c>
      <c r="D832" s="2">
        <v>29.99</v>
      </c>
      <c r="E832" s="2">
        <v>16.989999999999998</v>
      </c>
      <c r="F832" s="2"/>
      <c r="G832" s="2"/>
    </row>
    <row r="833" spans="2:7" ht="15.6" x14ac:dyDescent="0.3">
      <c r="B833" s="4" t="s">
        <v>1356</v>
      </c>
      <c r="C833" s="4" t="s">
        <v>1280</v>
      </c>
      <c r="D833" s="2">
        <v>29.99</v>
      </c>
      <c r="E833" s="2">
        <v>16.989999999999998</v>
      </c>
      <c r="F833" s="2"/>
      <c r="G833" s="2"/>
    </row>
    <row r="834" spans="2:7" ht="15.6" x14ac:dyDescent="0.3">
      <c r="B834" s="4" t="s">
        <v>1357</v>
      </c>
      <c r="C834" s="4" t="s">
        <v>1280</v>
      </c>
      <c r="D834" s="2">
        <v>29.99</v>
      </c>
      <c r="E834" s="2">
        <v>16.989999999999998</v>
      </c>
      <c r="F834" s="2"/>
      <c r="G834" s="2"/>
    </row>
    <row r="835" spans="2:7" ht="15.6" x14ac:dyDescent="0.3">
      <c r="B835" s="4" t="s">
        <v>1358</v>
      </c>
      <c r="C835" s="4" t="s">
        <v>1817</v>
      </c>
      <c r="D835" s="2">
        <v>29.99</v>
      </c>
      <c r="E835" s="2">
        <v>16.989999999999998</v>
      </c>
      <c r="F835" s="2"/>
      <c r="G835" s="2"/>
    </row>
    <row r="836" spans="2:7" ht="15.6" x14ac:dyDescent="0.3">
      <c r="B836" s="4" t="s">
        <v>1359</v>
      </c>
      <c r="C836" s="4" t="s">
        <v>1280</v>
      </c>
      <c r="D836" s="2">
        <v>29.99</v>
      </c>
      <c r="E836" s="2">
        <v>16.989999999999998</v>
      </c>
      <c r="F836" s="2"/>
      <c r="G836" s="2"/>
    </row>
    <row r="837" spans="2:7" ht="15.6" x14ac:dyDescent="0.3">
      <c r="B837" s="4" t="s">
        <v>1360</v>
      </c>
      <c r="C837" s="4" t="s">
        <v>1818</v>
      </c>
      <c r="D837" s="2">
        <v>29.99</v>
      </c>
      <c r="E837" s="2">
        <v>16.989999999999998</v>
      </c>
      <c r="F837" s="2"/>
      <c r="G837" s="2"/>
    </row>
    <row r="838" spans="2:7" ht="15.6" x14ac:dyDescent="0.3">
      <c r="B838" s="4" t="s">
        <v>1361</v>
      </c>
      <c r="C838" s="4" t="s">
        <v>1819</v>
      </c>
      <c r="D838" s="2">
        <v>32.99</v>
      </c>
      <c r="E838" s="2">
        <v>21.99</v>
      </c>
      <c r="F838" s="2"/>
      <c r="G838" s="2"/>
    </row>
    <row r="839" spans="2:7" ht="15.6" x14ac:dyDescent="0.3">
      <c r="B839" s="4" t="s">
        <v>1362</v>
      </c>
      <c r="C839" s="4" t="s">
        <v>1820</v>
      </c>
      <c r="D839" s="2">
        <v>32.99</v>
      </c>
      <c r="E839" s="2">
        <v>21.99</v>
      </c>
      <c r="F839" s="2"/>
      <c r="G839" s="2"/>
    </row>
    <row r="840" spans="2:7" ht="15.6" x14ac:dyDescent="0.3">
      <c r="B840" s="4" t="s">
        <v>1363</v>
      </c>
      <c r="C840" s="4" t="s">
        <v>1821</v>
      </c>
      <c r="D840" s="2">
        <v>32.99</v>
      </c>
      <c r="E840" s="2">
        <v>21.99</v>
      </c>
      <c r="F840" s="2"/>
      <c r="G840" s="2"/>
    </row>
    <row r="841" spans="2:7" ht="15.6" x14ac:dyDescent="0.3">
      <c r="B841" s="4" t="s">
        <v>1364</v>
      </c>
      <c r="C841" s="4" t="s">
        <v>1822</v>
      </c>
      <c r="D841" s="2">
        <v>32.99</v>
      </c>
      <c r="E841" s="2">
        <v>21.99</v>
      </c>
      <c r="F841" s="2"/>
      <c r="G841" s="2"/>
    </row>
    <row r="842" spans="2:7" ht="15.6" x14ac:dyDescent="0.3">
      <c r="B842" s="21" t="s">
        <v>1365</v>
      </c>
      <c r="C842" s="21" t="s">
        <v>1823</v>
      </c>
      <c r="D842" s="20">
        <v>37.99</v>
      </c>
      <c r="E842" s="20">
        <v>26.99</v>
      </c>
      <c r="F842" s="2"/>
      <c r="G842" s="20"/>
    </row>
    <row r="843" spans="2:7" ht="15.6" x14ac:dyDescent="0.3">
      <c r="B843" s="21" t="s">
        <v>1366</v>
      </c>
      <c r="C843" s="21" t="s">
        <v>1824</v>
      </c>
      <c r="D843" s="20">
        <v>37.99</v>
      </c>
      <c r="E843" s="20">
        <v>26.99</v>
      </c>
      <c r="F843" s="2"/>
      <c r="G843" s="20"/>
    </row>
    <row r="844" spans="2:7" ht="15.6" x14ac:dyDescent="0.3">
      <c r="B844" s="21" t="s">
        <v>1367</v>
      </c>
      <c r="C844" s="21" t="s">
        <v>1280</v>
      </c>
      <c r="D844" s="20">
        <v>18.989999999999998</v>
      </c>
      <c r="E844" s="20">
        <v>9.99</v>
      </c>
      <c r="F844" s="2"/>
      <c r="G844" s="20"/>
    </row>
    <row r="845" spans="2:7" ht="15.6" x14ac:dyDescent="0.3">
      <c r="B845" s="21" t="s">
        <v>1368</v>
      </c>
      <c r="C845" s="21" t="s">
        <v>1825</v>
      </c>
      <c r="D845" s="20">
        <v>18.989999999999998</v>
      </c>
      <c r="E845" s="20">
        <v>9.99</v>
      </c>
      <c r="F845" s="2"/>
      <c r="G845" s="20"/>
    </row>
    <row r="846" spans="2:7" ht="15.6" x14ac:dyDescent="0.3">
      <c r="B846" s="21" t="s">
        <v>1369</v>
      </c>
      <c r="C846" s="21" t="s">
        <v>1280</v>
      </c>
      <c r="D846" s="20">
        <v>18.989999999999998</v>
      </c>
      <c r="E846" s="20">
        <v>9.99</v>
      </c>
      <c r="F846" s="2"/>
      <c r="G846" s="20"/>
    </row>
    <row r="847" spans="2:7" ht="15.6" x14ac:dyDescent="0.3">
      <c r="B847" s="21" t="s">
        <v>1370</v>
      </c>
      <c r="C847" s="21" t="s">
        <v>1280</v>
      </c>
      <c r="D847" s="20">
        <v>18.989999999999998</v>
      </c>
      <c r="E847" s="20">
        <v>9.99</v>
      </c>
      <c r="F847" s="2"/>
      <c r="G847" s="20"/>
    </row>
    <row r="848" spans="2:7" ht="15.6" x14ac:dyDescent="0.3">
      <c r="B848" s="21" t="s">
        <v>1371</v>
      </c>
      <c r="C848" s="21" t="s">
        <v>1826</v>
      </c>
      <c r="D848" s="20">
        <v>18.989999999999998</v>
      </c>
      <c r="E848" s="20">
        <v>9.99</v>
      </c>
      <c r="F848" s="2"/>
      <c r="G848" s="20"/>
    </row>
    <row r="849" spans="2:7" ht="15.6" x14ac:dyDescent="0.3">
      <c r="B849" s="4" t="s">
        <v>1372</v>
      </c>
      <c r="C849" s="4" t="s">
        <v>1373</v>
      </c>
      <c r="D849" s="2">
        <v>0</v>
      </c>
      <c r="E849" s="2">
        <v>0</v>
      </c>
      <c r="F849" s="2"/>
      <c r="G849" s="2"/>
    </row>
    <row r="850" spans="2:7" ht="15.6" x14ac:dyDescent="0.3">
      <c r="B850" s="4" t="s">
        <v>1374</v>
      </c>
      <c r="C850" s="4" t="s">
        <v>1375</v>
      </c>
      <c r="D850" s="2">
        <v>0</v>
      </c>
      <c r="E850" s="2">
        <v>0</v>
      </c>
      <c r="F850" s="2"/>
      <c r="G850" s="2"/>
    </row>
    <row r="851" spans="2:7" ht="15.6" x14ac:dyDescent="0.3">
      <c r="B851" s="4" t="s">
        <v>1376</v>
      </c>
      <c r="C851" s="4" t="s">
        <v>1280</v>
      </c>
      <c r="D851" s="2">
        <v>0</v>
      </c>
      <c r="E851" s="2">
        <v>0</v>
      </c>
      <c r="F851" s="2"/>
      <c r="G851" s="2"/>
    </row>
    <row r="852" spans="2:7" ht="15.6" x14ac:dyDescent="0.3">
      <c r="B852" s="4" t="s">
        <v>1377</v>
      </c>
      <c r="C852" s="4" t="s">
        <v>1280</v>
      </c>
      <c r="D852" s="2">
        <v>220.99</v>
      </c>
      <c r="E852" s="2">
        <v>0</v>
      </c>
      <c r="F852" s="2"/>
      <c r="G852" s="2"/>
    </row>
    <row r="853" spans="2:7" ht="15.6" x14ac:dyDescent="0.3">
      <c r="B853" s="4" t="s">
        <v>1378</v>
      </c>
      <c r="C853" s="4" t="s">
        <v>1280</v>
      </c>
      <c r="D853" s="2">
        <v>216.99</v>
      </c>
      <c r="E853" s="2">
        <v>0</v>
      </c>
      <c r="F853" s="2"/>
      <c r="G853" s="2"/>
    </row>
    <row r="854" spans="2:7" ht="15.6" x14ac:dyDescent="0.3">
      <c r="B854" s="4" t="s">
        <v>1379</v>
      </c>
      <c r="C854" s="4" t="s">
        <v>1280</v>
      </c>
      <c r="D854" s="2">
        <v>116.99</v>
      </c>
      <c r="E854" s="2">
        <v>0</v>
      </c>
      <c r="F854" s="2"/>
      <c r="G854" s="2"/>
    </row>
    <row r="855" spans="2:7" ht="15.6" x14ac:dyDescent="0.3">
      <c r="B855" s="4" t="s">
        <v>1380</v>
      </c>
      <c r="C855" s="4" t="s">
        <v>1280</v>
      </c>
      <c r="D855" s="2">
        <v>36.99</v>
      </c>
      <c r="E855" s="2">
        <v>0</v>
      </c>
      <c r="F855" s="2"/>
      <c r="G855" s="2"/>
    </row>
    <row r="856" spans="2:7" ht="15.6" x14ac:dyDescent="0.3">
      <c r="B856" s="4" t="s">
        <v>1381</v>
      </c>
      <c r="C856" s="4" t="s">
        <v>1280</v>
      </c>
      <c r="D856" s="2">
        <v>181.99</v>
      </c>
      <c r="E856" s="2">
        <v>0</v>
      </c>
      <c r="F856" s="2"/>
      <c r="G856" s="2"/>
    </row>
    <row r="857" spans="2:7" ht="15.6" x14ac:dyDescent="0.3">
      <c r="B857" s="4" t="s">
        <v>1382</v>
      </c>
      <c r="C857" s="4" t="s">
        <v>1280</v>
      </c>
      <c r="D857" s="2">
        <v>181.99</v>
      </c>
      <c r="E857" s="2">
        <v>0</v>
      </c>
      <c r="F857" s="2"/>
      <c r="G857" s="2"/>
    </row>
    <row r="858" spans="2:7" ht="15.6" x14ac:dyDescent="0.3">
      <c r="B858" s="4" t="s">
        <v>1383</v>
      </c>
      <c r="C858" s="4" t="s">
        <v>1280</v>
      </c>
      <c r="D858" s="2">
        <v>181.99</v>
      </c>
      <c r="E858" s="2">
        <v>0</v>
      </c>
      <c r="F858" s="2"/>
      <c r="G858" s="2"/>
    </row>
    <row r="859" spans="2:7" ht="15.6" x14ac:dyDescent="0.3">
      <c r="B859" s="4" t="s">
        <v>1384</v>
      </c>
      <c r="C859" s="4" t="s">
        <v>1280</v>
      </c>
      <c r="D859" s="2">
        <v>181.99</v>
      </c>
      <c r="E859" s="2">
        <v>0</v>
      </c>
      <c r="F859" s="2"/>
      <c r="G859" s="2"/>
    </row>
    <row r="860" spans="2:7" ht="15.6" x14ac:dyDescent="0.3">
      <c r="B860" s="4" t="s">
        <v>1385</v>
      </c>
      <c r="C860" s="4" t="s">
        <v>1280</v>
      </c>
      <c r="D860" s="2">
        <v>76.989999999999995</v>
      </c>
      <c r="E860" s="2">
        <v>0</v>
      </c>
      <c r="F860" s="2"/>
      <c r="G860" s="2"/>
    </row>
    <row r="861" spans="2:7" ht="15.6" x14ac:dyDescent="0.3">
      <c r="B861" s="4" t="s">
        <v>1386</v>
      </c>
      <c r="C861" s="4" t="s">
        <v>1280</v>
      </c>
      <c r="D861" s="2">
        <v>25.99</v>
      </c>
      <c r="E861" s="2">
        <v>0</v>
      </c>
      <c r="F861" s="2"/>
      <c r="G861" s="2"/>
    </row>
    <row r="862" spans="2:7" ht="15.6" x14ac:dyDescent="0.3">
      <c r="B862" s="4" t="s">
        <v>1387</v>
      </c>
      <c r="C862" s="4" t="s">
        <v>1280</v>
      </c>
      <c r="D862" s="2">
        <v>220.99</v>
      </c>
      <c r="E862" s="2">
        <v>0</v>
      </c>
      <c r="F862" s="2"/>
      <c r="G862" s="2"/>
    </row>
    <row r="863" spans="2:7" ht="15.6" x14ac:dyDescent="0.3">
      <c r="B863" s="4" t="s">
        <v>1388</v>
      </c>
      <c r="C863" s="4" t="s">
        <v>1280</v>
      </c>
      <c r="D863" s="2">
        <v>220.99</v>
      </c>
      <c r="E863" s="2">
        <v>0</v>
      </c>
      <c r="F863" s="2"/>
      <c r="G863" s="2"/>
    </row>
    <row r="864" spans="2:7" ht="15.6" x14ac:dyDescent="0.3">
      <c r="B864" s="4" t="s">
        <v>1389</v>
      </c>
      <c r="C864" s="4" t="s">
        <v>1280</v>
      </c>
      <c r="D864" s="2">
        <v>116.99</v>
      </c>
      <c r="E864" s="2">
        <v>0</v>
      </c>
      <c r="F864" s="2"/>
      <c r="G864" s="2"/>
    </row>
    <row r="865" spans="2:7" ht="15.6" x14ac:dyDescent="0.3">
      <c r="B865" s="4" t="s">
        <v>1390</v>
      </c>
      <c r="C865" s="4" t="s">
        <v>1280</v>
      </c>
      <c r="D865" s="2">
        <v>116.99</v>
      </c>
      <c r="E865" s="2">
        <v>0</v>
      </c>
      <c r="F865" s="2"/>
      <c r="G865" s="2"/>
    </row>
    <row r="866" spans="2:7" ht="15.6" x14ac:dyDescent="0.3">
      <c r="B866" s="4" t="s">
        <v>1391</v>
      </c>
      <c r="C866" s="4" t="s">
        <v>1280</v>
      </c>
      <c r="D866" s="2">
        <v>287.99</v>
      </c>
      <c r="E866" s="2">
        <v>0</v>
      </c>
      <c r="F866" s="2"/>
      <c r="G866" s="2"/>
    </row>
    <row r="867" spans="2:7" ht="15.6" x14ac:dyDescent="0.3">
      <c r="B867" s="4" t="s">
        <v>1391</v>
      </c>
      <c r="C867" s="4" t="s">
        <v>1280</v>
      </c>
      <c r="D867" s="2">
        <v>287.99</v>
      </c>
      <c r="E867" s="2">
        <v>0</v>
      </c>
      <c r="F867" s="2"/>
      <c r="G867" s="2"/>
    </row>
    <row r="868" spans="2:7" ht="15.6" x14ac:dyDescent="0.3">
      <c r="B868" s="4" t="s">
        <v>1392</v>
      </c>
      <c r="C868" s="4" t="s">
        <v>1280</v>
      </c>
      <c r="D868" s="2">
        <v>152.99</v>
      </c>
      <c r="E868" s="2">
        <v>0</v>
      </c>
      <c r="F868" s="2"/>
      <c r="G868" s="2"/>
    </row>
    <row r="869" spans="2:7" ht="15.6" x14ac:dyDescent="0.3">
      <c r="B869" s="4" t="s">
        <v>1393</v>
      </c>
      <c r="C869" s="4" t="s">
        <v>1280</v>
      </c>
      <c r="D869" s="2">
        <v>152.99</v>
      </c>
      <c r="E869" s="2">
        <v>0</v>
      </c>
      <c r="F869" s="2"/>
      <c r="G869" s="2"/>
    </row>
    <row r="870" spans="2:7" ht="15.6" x14ac:dyDescent="0.3">
      <c r="B870" s="4" t="s">
        <v>1394</v>
      </c>
      <c r="C870" s="4" t="s">
        <v>1280</v>
      </c>
      <c r="D870" s="2">
        <v>287.99</v>
      </c>
      <c r="E870" s="2">
        <v>0</v>
      </c>
      <c r="F870" s="2"/>
      <c r="G870" s="2"/>
    </row>
    <row r="871" spans="2:7" ht="15.6" x14ac:dyDescent="0.3">
      <c r="B871" s="4" t="s">
        <v>1395</v>
      </c>
      <c r="C871" s="4" t="s">
        <v>1280</v>
      </c>
      <c r="D871" s="2">
        <v>287.99</v>
      </c>
      <c r="E871" s="2">
        <v>0</v>
      </c>
      <c r="F871" s="2"/>
      <c r="G871" s="2"/>
    </row>
    <row r="872" spans="2:7" ht="15.6" x14ac:dyDescent="0.3">
      <c r="B872" s="4" t="s">
        <v>1396</v>
      </c>
      <c r="C872" s="4" t="s">
        <v>1280</v>
      </c>
      <c r="D872" s="2">
        <v>152.99</v>
      </c>
      <c r="E872" s="2">
        <v>0</v>
      </c>
      <c r="F872" s="2"/>
      <c r="G872" s="2"/>
    </row>
    <row r="873" spans="2:7" ht="15.6" x14ac:dyDescent="0.3">
      <c r="B873" s="4" t="s">
        <v>1397</v>
      </c>
      <c r="C873" s="4" t="s">
        <v>1280</v>
      </c>
      <c r="D873" s="2">
        <v>152.99</v>
      </c>
      <c r="E873" s="2">
        <v>0</v>
      </c>
      <c r="F873" s="2"/>
      <c r="G873" s="2"/>
    </row>
    <row r="874" spans="2:7" ht="15.6" x14ac:dyDescent="0.3">
      <c r="B874" s="4" t="s">
        <v>1398</v>
      </c>
      <c r="C874" s="4" t="s">
        <v>1280</v>
      </c>
      <c r="D874" s="2">
        <v>287.99</v>
      </c>
      <c r="E874" s="2">
        <v>0</v>
      </c>
      <c r="F874" s="2"/>
      <c r="G874" s="2"/>
    </row>
    <row r="875" spans="2:7" ht="15.6" x14ac:dyDescent="0.3">
      <c r="B875" s="4" t="s">
        <v>1399</v>
      </c>
      <c r="C875" s="4" t="s">
        <v>1280</v>
      </c>
      <c r="D875" s="2">
        <v>287.99</v>
      </c>
      <c r="E875" s="2">
        <v>0</v>
      </c>
      <c r="F875" s="2"/>
      <c r="G875" s="2"/>
    </row>
    <row r="876" spans="2:7" ht="15.6" x14ac:dyDescent="0.3">
      <c r="B876" s="4" t="s">
        <v>1400</v>
      </c>
      <c r="C876" s="4" t="s">
        <v>1280</v>
      </c>
      <c r="D876" s="2">
        <v>152.99</v>
      </c>
      <c r="E876" s="2">
        <v>0</v>
      </c>
      <c r="F876" s="2"/>
      <c r="G876" s="2"/>
    </row>
    <row r="877" spans="2:7" ht="15.6" x14ac:dyDescent="0.3">
      <c r="B877" s="4" t="s">
        <v>1401</v>
      </c>
      <c r="C877" s="4" t="s">
        <v>1280</v>
      </c>
      <c r="D877" s="2">
        <v>152.99</v>
      </c>
      <c r="E877" s="2">
        <v>0</v>
      </c>
      <c r="F877" s="2"/>
      <c r="G877" s="2"/>
    </row>
    <row r="878" spans="2:7" ht="15.6" x14ac:dyDescent="0.3">
      <c r="B878" s="4" t="s">
        <v>1402</v>
      </c>
      <c r="C878" s="4" t="s">
        <v>1280</v>
      </c>
      <c r="D878" s="2">
        <v>287.99</v>
      </c>
      <c r="E878" s="2">
        <v>0</v>
      </c>
      <c r="F878" s="2"/>
      <c r="G878" s="2"/>
    </row>
    <row r="879" spans="2:7" ht="15.6" x14ac:dyDescent="0.3">
      <c r="B879" s="4" t="s">
        <v>1402</v>
      </c>
      <c r="C879" s="4" t="s">
        <v>1280</v>
      </c>
      <c r="D879" s="2">
        <v>287.99</v>
      </c>
      <c r="E879" s="2">
        <v>0</v>
      </c>
      <c r="F879" s="2"/>
      <c r="G879" s="2"/>
    </row>
    <row r="880" spans="2:7" ht="15.6" x14ac:dyDescent="0.3">
      <c r="B880" s="4" t="s">
        <v>1403</v>
      </c>
      <c r="C880" s="4" t="s">
        <v>1280</v>
      </c>
      <c r="D880" s="2">
        <v>152.99</v>
      </c>
      <c r="E880" s="2">
        <v>0</v>
      </c>
      <c r="F880" s="2"/>
      <c r="G880" s="2"/>
    </row>
    <row r="881" spans="2:7" ht="15.6" x14ac:dyDescent="0.3">
      <c r="B881" s="4" t="s">
        <v>1404</v>
      </c>
      <c r="C881" s="4" t="s">
        <v>1280</v>
      </c>
      <c r="D881" s="2">
        <v>152.99</v>
      </c>
      <c r="E881" s="2">
        <v>0</v>
      </c>
      <c r="F881" s="2"/>
      <c r="G881" s="2"/>
    </row>
    <row r="882" spans="2:7" ht="15.6" x14ac:dyDescent="0.3">
      <c r="B882" s="4" t="s">
        <v>1405</v>
      </c>
      <c r="C882" s="4" t="s">
        <v>1280</v>
      </c>
      <c r="D882" s="2">
        <v>287.99</v>
      </c>
      <c r="E882" s="2">
        <v>0</v>
      </c>
      <c r="F882" s="2"/>
      <c r="G882" s="2"/>
    </row>
    <row r="883" spans="2:7" ht="15.6" x14ac:dyDescent="0.3">
      <c r="B883" s="4" t="s">
        <v>1406</v>
      </c>
      <c r="C883" s="4" t="s">
        <v>1280</v>
      </c>
      <c r="D883" s="2">
        <v>287.99</v>
      </c>
      <c r="E883" s="2">
        <v>0</v>
      </c>
      <c r="F883" s="2"/>
      <c r="G883" s="2"/>
    </row>
    <row r="884" spans="2:7" ht="15.6" x14ac:dyDescent="0.3">
      <c r="B884" s="4" t="s">
        <v>1407</v>
      </c>
      <c r="C884" s="4" t="s">
        <v>1280</v>
      </c>
      <c r="D884" s="2">
        <v>152.99</v>
      </c>
      <c r="E884" s="2">
        <v>0</v>
      </c>
      <c r="F884" s="2"/>
      <c r="G884" s="2"/>
    </row>
    <row r="885" spans="2:7" ht="15.6" x14ac:dyDescent="0.3">
      <c r="B885" s="4" t="s">
        <v>1408</v>
      </c>
      <c r="C885" s="4" t="s">
        <v>1280</v>
      </c>
      <c r="D885" s="2">
        <v>152.99</v>
      </c>
      <c r="E885" s="2">
        <v>0</v>
      </c>
      <c r="F885" s="2"/>
      <c r="G885" s="2"/>
    </row>
    <row r="886" spans="2:7" ht="15.6" x14ac:dyDescent="0.3">
      <c r="B886" s="4" t="s">
        <v>1409</v>
      </c>
      <c r="C886" s="4" t="s">
        <v>1280</v>
      </c>
      <c r="D886" s="2">
        <v>287.99</v>
      </c>
      <c r="E886" s="2">
        <v>0</v>
      </c>
      <c r="F886" s="2"/>
      <c r="G886" s="2"/>
    </row>
    <row r="887" spans="2:7" ht="15.6" x14ac:dyDescent="0.3">
      <c r="B887" s="4" t="s">
        <v>1410</v>
      </c>
      <c r="C887" s="4" t="s">
        <v>1280</v>
      </c>
      <c r="D887" s="2">
        <v>287.99</v>
      </c>
      <c r="E887" s="2">
        <v>0</v>
      </c>
      <c r="F887" s="2"/>
      <c r="G887" s="2"/>
    </row>
    <row r="888" spans="2:7" ht="15.6" x14ac:dyDescent="0.3">
      <c r="B888" s="4" t="s">
        <v>1411</v>
      </c>
      <c r="C888" s="4" t="s">
        <v>1280</v>
      </c>
      <c r="D888" s="2">
        <v>152.99</v>
      </c>
      <c r="E888" s="2">
        <v>0</v>
      </c>
      <c r="F888" s="2"/>
      <c r="G888" s="2"/>
    </row>
    <row r="889" spans="2:7" ht="15.6" x14ac:dyDescent="0.3">
      <c r="B889" s="4" t="s">
        <v>1411</v>
      </c>
      <c r="C889" s="4" t="s">
        <v>1280</v>
      </c>
      <c r="D889" s="2">
        <v>152.99</v>
      </c>
      <c r="E889" s="2">
        <v>0</v>
      </c>
      <c r="F889" s="2"/>
      <c r="G889" s="2"/>
    </row>
    <row r="890" spans="2:7" ht="15.6" x14ac:dyDescent="0.3">
      <c r="B890" s="4" t="s">
        <v>1412</v>
      </c>
      <c r="C890" s="4" t="s">
        <v>1280</v>
      </c>
      <c r="D890" s="2">
        <v>75.989999999999995</v>
      </c>
      <c r="E890" s="2">
        <v>0</v>
      </c>
      <c r="F890" s="2"/>
      <c r="G890" s="2"/>
    </row>
    <row r="891" spans="2:7" ht="15.6" x14ac:dyDescent="0.3">
      <c r="B891" s="4" t="s">
        <v>1413</v>
      </c>
      <c r="C891" s="4" t="s">
        <v>1280</v>
      </c>
      <c r="D891" s="2">
        <v>173.99</v>
      </c>
      <c r="E891" s="2">
        <v>0</v>
      </c>
      <c r="F891" s="2"/>
      <c r="G891" s="2"/>
    </row>
    <row r="892" spans="2:7" ht="15.6" x14ac:dyDescent="0.3">
      <c r="B892" s="4" t="s">
        <v>1414</v>
      </c>
      <c r="C892" s="4" t="s">
        <v>1280</v>
      </c>
      <c r="D892" s="2">
        <v>226.99</v>
      </c>
      <c r="E892" s="2">
        <v>0</v>
      </c>
      <c r="F892" s="2"/>
      <c r="G892" s="2"/>
    </row>
    <row r="893" spans="2:7" ht="15.6" x14ac:dyDescent="0.3">
      <c r="B893" s="4" t="s">
        <v>1415</v>
      </c>
      <c r="C893" s="4" t="s">
        <v>1280</v>
      </c>
      <c r="D893" s="2">
        <v>106.99</v>
      </c>
      <c r="E893" s="2">
        <v>0</v>
      </c>
      <c r="F893" s="2"/>
      <c r="G893" s="2"/>
    </row>
    <row r="894" spans="2:7" ht="15.6" x14ac:dyDescent="0.3">
      <c r="B894" s="4" t="s">
        <v>1416</v>
      </c>
      <c r="C894" s="4" t="s">
        <v>1280</v>
      </c>
      <c r="D894" s="2">
        <v>178.99</v>
      </c>
      <c r="E894" s="2">
        <v>0</v>
      </c>
      <c r="F894" s="2"/>
      <c r="G894" s="2"/>
    </row>
    <row r="895" spans="2:7" ht="15.6" x14ac:dyDescent="0.3">
      <c r="B895" s="4" t="s">
        <v>1417</v>
      </c>
      <c r="C895" s="4" t="s">
        <v>1280</v>
      </c>
      <c r="D895" s="2">
        <v>173.99</v>
      </c>
      <c r="E895" s="2">
        <v>0</v>
      </c>
      <c r="F895" s="2"/>
      <c r="G895" s="2"/>
    </row>
    <row r="896" spans="2:7" ht="15.6" x14ac:dyDescent="0.3">
      <c r="B896" s="4" t="s">
        <v>1418</v>
      </c>
      <c r="C896" s="4" t="s">
        <v>1280</v>
      </c>
      <c r="D896" s="2">
        <v>173.99</v>
      </c>
      <c r="E896" s="2">
        <v>0</v>
      </c>
      <c r="F896" s="2"/>
      <c r="G896" s="2"/>
    </row>
    <row r="897" spans="2:7" ht="15.6" x14ac:dyDescent="0.3">
      <c r="B897" s="4" t="s">
        <v>1419</v>
      </c>
      <c r="C897" s="4" t="s">
        <v>1280</v>
      </c>
      <c r="D897" s="2">
        <v>173.99</v>
      </c>
      <c r="E897" s="2">
        <v>0</v>
      </c>
      <c r="F897" s="2"/>
      <c r="G897" s="2"/>
    </row>
    <row r="898" spans="2:7" ht="15.6" x14ac:dyDescent="0.3">
      <c r="B898" s="4" t="s">
        <v>1420</v>
      </c>
      <c r="C898" s="4" t="s">
        <v>1280</v>
      </c>
      <c r="D898" s="2">
        <v>29.99</v>
      </c>
      <c r="E898" s="2">
        <v>0</v>
      </c>
      <c r="F898" s="2"/>
      <c r="G898" s="2"/>
    </row>
    <row r="899" spans="2:7" ht="15.6" x14ac:dyDescent="0.3">
      <c r="B899" s="4" t="s">
        <v>1421</v>
      </c>
      <c r="C899" s="4" t="s">
        <v>1280</v>
      </c>
      <c r="D899" s="2">
        <v>29.99</v>
      </c>
      <c r="E899" s="2">
        <v>0</v>
      </c>
      <c r="F899" s="2"/>
      <c r="G899" s="2"/>
    </row>
    <row r="900" spans="2:7" ht="15.6" x14ac:dyDescent="0.3">
      <c r="B900" s="4" t="s">
        <v>1422</v>
      </c>
      <c r="C900" s="4" t="s">
        <v>1280</v>
      </c>
      <c r="D900" s="2">
        <v>70.989999999999995</v>
      </c>
      <c r="E900" s="2">
        <v>0</v>
      </c>
      <c r="F900" s="2"/>
      <c r="G900" s="2"/>
    </row>
    <row r="901" spans="2:7" ht="15.6" x14ac:dyDescent="0.3">
      <c r="B901" s="4" t="s">
        <v>1423</v>
      </c>
      <c r="C901" s="4" t="s">
        <v>1280</v>
      </c>
      <c r="D901" s="2">
        <v>70.989999999999995</v>
      </c>
      <c r="E901" s="2">
        <v>0</v>
      </c>
      <c r="F901" s="2"/>
      <c r="G901" s="2"/>
    </row>
    <row r="902" spans="2:7" ht="15.6" x14ac:dyDescent="0.3">
      <c r="B902" s="4" t="s">
        <v>1424</v>
      </c>
      <c r="C902" s="4" t="s">
        <v>1280</v>
      </c>
      <c r="D902" s="2">
        <v>70.989999999999995</v>
      </c>
      <c r="E902" s="2">
        <v>0</v>
      </c>
      <c r="F902" s="2"/>
      <c r="G902" s="2"/>
    </row>
    <row r="903" spans="2:7" ht="15.6" x14ac:dyDescent="0.3">
      <c r="B903" s="4" t="s">
        <v>1425</v>
      </c>
      <c r="C903" s="4" t="s">
        <v>1280</v>
      </c>
      <c r="D903" s="2">
        <v>46.99</v>
      </c>
      <c r="E903" s="2">
        <v>0</v>
      </c>
      <c r="F903" s="2"/>
      <c r="G903" s="2"/>
    </row>
    <row r="904" spans="2:7" ht="15.6" x14ac:dyDescent="0.3">
      <c r="B904" s="4" t="s">
        <v>1426</v>
      </c>
      <c r="C904" s="4" t="s">
        <v>1280</v>
      </c>
      <c r="D904" s="2">
        <v>70.989999999999995</v>
      </c>
      <c r="E904" s="2">
        <v>0</v>
      </c>
      <c r="F904" s="2"/>
      <c r="G904" s="2"/>
    </row>
    <row r="905" spans="2:7" ht="15.6" x14ac:dyDescent="0.3">
      <c r="B905" s="4" t="s">
        <v>1427</v>
      </c>
      <c r="C905" s="4" t="s">
        <v>1280</v>
      </c>
      <c r="D905" s="2">
        <v>94.99</v>
      </c>
      <c r="E905" s="2">
        <v>0</v>
      </c>
      <c r="F905" s="2"/>
      <c r="G905" s="2"/>
    </row>
    <row r="906" spans="2:7" ht="15.6" x14ac:dyDescent="0.3">
      <c r="B906" s="4" t="s">
        <v>1428</v>
      </c>
      <c r="C906" s="4" t="s">
        <v>1280</v>
      </c>
      <c r="D906" s="2">
        <v>56.99</v>
      </c>
      <c r="E906" s="2">
        <v>0</v>
      </c>
      <c r="F906" s="2"/>
      <c r="G906" s="2"/>
    </row>
    <row r="907" spans="2:7" ht="15.6" x14ac:dyDescent="0.3">
      <c r="B907" s="4" t="s">
        <v>1429</v>
      </c>
      <c r="C907" s="4" t="s">
        <v>1280</v>
      </c>
      <c r="D907" s="2">
        <v>316.99</v>
      </c>
      <c r="E907" s="2">
        <v>0</v>
      </c>
      <c r="F907" s="2"/>
      <c r="G907" s="2"/>
    </row>
    <row r="908" spans="2:7" ht="15.6" x14ac:dyDescent="0.3">
      <c r="B908" s="4" t="s">
        <v>1430</v>
      </c>
      <c r="C908" s="4" t="s">
        <v>1280</v>
      </c>
      <c r="D908" s="2">
        <v>167.99</v>
      </c>
      <c r="E908" s="2">
        <v>0</v>
      </c>
      <c r="F908" s="2"/>
      <c r="G908" s="2"/>
    </row>
    <row r="909" spans="2:7" ht="15.6" x14ac:dyDescent="0.3">
      <c r="B909" s="4" t="s">
        <v>1431</v>
      </c>
      <c r="C909" s="4" t="s">
        <v>1280</v>
      </c>
      <c r="D909" s="2">
        <v>316.99</v>
      </c>
      <c r="E909" s="2">
        <v>0</v>
      </c>
      <c r="F909" s="2"/>
      <c r="G909" s="2"/>
    </row>
    <row r="910" spans="2:7" ht="15.6" x14ac:dyDescent="0.3">
      <c r="B910" s="4" t="s">
        <v>1432</v>
      </c>
      <c r="C910" s="4" t="s">
        <v>1280</v>
      </c>
      <c r="D910" s="2">
        <v>167.99</v>
      </c>
      <c r="E910" s="2">
        <v>0</v>
      </c>
      <c r="F910" s="2"/>
      <c r="G910" s="2"/>
    </row>
    <row r="911" spans="2:7" ht="15.6" x14ac:dyDescent="0.3">
      <c r="B911" s="4" t="s">
        <v>1433</v>
      </c>
      <c r="C911" s="4" t="s">
        <v>1280</v>
      </c>
      <c r="D911" s="2">
        <v>316.99</v>
      </c>
      <c r="E911" s="2">
        <v>0</v>
      </c>
      <c r="F911" s="2"/>
      <c r="G911" s="2"/>
    </row>
    <row r="912" spans="2:7" ht="15.6" x14ac:dyDescent="0.3">
      <c r="B912" s="4" t="s">
        <v>1434</v>
      </c>
      <c r="C912" s="4" t="s">
        <v>1280</v>
      </c>
      <c r="D912" s="2">
        <v>167.99</v>
      </c>
      <c r="E912" s="2">
        <v>0</v>
      </c>
      <c r="F912" s="2"/>
      <c r="G912" s="2"/>
    </row>
    <row r="913" spans="2:7" ht="15.6" x14ac:dyDescent="0.3">
      <c r="B913" s="4" t="s">
        <v>1435</v>
      </c>
      <c r="C913" s="4" t="s">
        <v>1280</v>
      </c>
      <c r="D913" s="2">
        <v>124.99</v>
      </c>
      <c r="E913" s="2">
        <v>0</v>
      </c>
      <c r="F913" s="2"/>
      <c r="G913" s="2"/>
    </row>
    <row r="914" spans="2:7" ht="15.6" x14ac:dyDescent="0.3">
      <c r="B914" s="4" t="s">
        <v>1436</v>
      </c>
      <c r="C914" s="4" t="s">
        <v>1280</v>
      </c>
      <c r="D914" s="2">
        <v>316.99</v>
      </c>
      <c r="E914" s="2">
        <v>0</v>
      </c>
      <c r="F914" s="2"/>
      <c r="G914" s="2"/>
    </row>
    <row r="915" spans="2:7" ht="15.6" x14ac:dyDescent="0.3">
      <c r="B915" s="4" t="s">
        <v>1437</v>
      </c>
      <c r="C915" s="4" t="s">
        <v>1280</v>
      </c>
      <c r="D915" s="2">
        <v>93.99</v>
      </c>
      <c r="E915" s="2">
        <v>0</v>
      </c>
      <c r="F915" s="2"/>
      <c r="G915" s="2"/>
    </row>
    <row r="916" spans="2:7" ht="15.6" x14ac:dyDescent="0.3">
      <c r="B916" s="4" t="s">
        <v>1438</v>
      </c>
      <c r="C916" s="4" t="s">
        <v>1280</v>
      </c>
      <c r="D916" s="2">
        <v>167.99</v>
      </c>
      <c r="E916" s="2">
        <v>0</v>
      </c>
      <c r="F916" s="2"/>
      <c r="G916" s="2"/>
    </row>
    <row r="917" spans="2:7" ht="15.6" x14ac:dyDescent="0.3">
      <c r="B917" s="4" t="s">
        <v>1439</v>
      </c>
      <c r="C917" s="4" t="s">
        <v>1827</v>
      </c>
      <c r="D917" s="2">
        <v>3.49</v>
      </c>
      <c r="E917" s="2">
        <v>2.4900000000000002</v>
      </c>
      <c r="F917" s="2"/>
      <c r="G917" s="2"/>
    </row>
    <row r="918" spans="2:7" ht="15.6" x14ac:dyDescent="0.3">
      <c r="B918" s="4" t="s">
        <v>1440</v>
      </c>
      <c r="C918" s="4" t="s">
        <v>1441</v>
      </c>
      <c r="D918" s="2">
        <v>3.49</v>
      </c>
      <c r="E918" s="2">
        <v>2.4900000000000002</v>
      </c>
      <c r="F918" s="2"/>
      <c r="G918" s="2"/>
    </row>
    <row r="919" spans="2:7" ht="15.6" x14ac:dyDescent="0.3">
      <c r="B919" s="4" t="s">
        <v>1442</v>
      </c>
      <c r="C919" s="4" t="s">
        <v>1828</v>
      </c>
      <c r="D919" s="2">
        <v>3.49</v>
      </c>
      <c r="E919" s="2">
        <v>2.4900000000000002</v>
      </c>
      <c r="F919" s="2"/>
      <c r="G919" s="2"/>
    </row>
    <row r="920" spans="2:7" ht="15.6" x14ac:dyDescent="0.3">
      <c r="B920" s="4" t="s">
        <v>1443</v>
      </c>
      <c r="C920" s="4" t="s">
        <v>1444</v>
      </c>
      <c r="D920" s="2">
        <v>3.49</v>
      </c>
      <c r="E920" s="2">
        <v>2.4900000000000002</v>
      </c>
      <c r="F920" s="2"/>
      <c r="G920" s="2"/>
    </row>
    <row r="921" spans="2:7" ht="15.6" x14ac:dyDescent="0.3">
      <c r="B921" s="4" t="s">
        <v>1445</v>
      </c>
      <c r="C921" s="4" t="s">
        <v>1829</v>
      </c>
      <c r="D921" s="2">
        <v>3.49</v>
      </c>
      <c r="E921" s="2">
        <v>2.4900000000000002</v>
      </c>
      <c r="F921" s="2"/>
      <c r="G921" s="2"/>
    </row>
    <row r="922" spans="2:7" ht="15.6" x14ac:dyDescent="0.3">
      <c r="B922" s="4" t="s">
        <v>1446</v>
      </c>
      <c r="C922" s="4" t="s">
        <v>1447</v>
      </c>
      <c r="D922" s="2">
        <v>3.49</v>
      </c>
      <c r="E922" s="2">
        <v>2.4900000000000002</v>
      </c>
      <c r="F922" s="2"/>
      <c r="G922" s="2"/>
    </row>
    <row r="923" spans="2:7" ht="15.6" x14ac:dyDescent="0.3">
      <c r="B923" s="4" t="s">
        <v>1448</v>
      </c>
      <c r="C923" s="4" t="s">
        <v>1830</v>
      </c>
      <c r="D923" s="2">
        <v>3.49</v>
      </c>
      <c r="E923" s="2">
        <v>2.4900000000000002</v>
      </c>
      <c r="F923" s="2"/>
      <c r="G923" s="2"/>
    </row>
    <row r="924" spans="2:7" ht="15.6" x14ac:dyDescent="0.3">
      <c r="B924" s="4" t="s">
        <v>1449</v>
      </c>
      <c r="C924" s="4" t="s">
        <v>1450</v>
      </c>
      <c r="D924" s="2">
        <v>3.49</v>
      </c>
      <c r="E924" s="2">
        <v>2.4900000000000002</v>
      </c>
      <c r="F924" s="2"/>
      <c r="G924" s="2"/>
    </row>
    <row r="925" spans="2:7" ht="15.6" x14ac:dyDescent="0.3">
      <c r="B925" s="4" t="s">
        <v>1451</v>
      </c>
      <c r="C925" s="4" t="s">
        <v>1831</v>
      </c>
      <c r="D925" s="2">
        <v>3.49</v>
      </c>
      <c r="E925" s="2">
        <v>2.4900000000000002</v>
      </c>
      <c r="F925" s="2"/>
      <c r="G925" s="2"/>
    </row>
    <row r="926" spans="2:7" ht="15.6" x14ac:dyDescent="0.3">
      <c r="B926" s="4" t="s">
        <v>1452</v>
      </c>
      <c r="C926" s="4" t="s">
        <v>1453</v>
      </c>
      <c r="D926" s="2">
        <v>3.49</v>
      </c>
      <c r="E926" s="2">
        <v>2.4900000000000002</v>
      </c>
      <c r="F926" s="2"/>
      <c r="G926" s="2"/>
    </row>
    <row r="927" spans="2:7" ht="15.6" x14ac:dyDescent="0.3">
      <c r="B927" s="4" t="s">
        <v>1454</v>
      </c>
      <c r="C927" s="4" t="s">
        <v>1280</v>
      </c>
      <c r="D927" s="2">
        <v>3.49</v>
      </c>
      <c r="E927" s="2">
        <v>2.4900000000000002</v>
      </c>
      <c r="F927" s="2"/>
      <c r="G927" s="2"/>
    </row>
    <row r="928" spans="2:7" ht="15.6" x14ac:dyDescent="0.3">
      <c r="B928" s="4" t="s">
        <v>1455</v>
      </c>
      <c r="C928" s="4" t="s">
        <v>1456</v>
      </c>
      <c r="D928" s="2">
        <v>3.49</v>
      </c>
      <c r="E928" s="2">
        <v>2.4900000000000002</v>
      </c>
      <c r="F928" s="2"/>
      <c r="G928" s="2"/>
    </row>
    <row r="929" spans="2:7" ht="15.6" x14ac:dyDescent="0.3">
      <c r="B929" s="4" t="s">
        <v>1457</v>
      </c>
      <c r="C929" s="4" t="s">
        <v>1832</v>
      </c>
      <c r="D929" s="2">
        <v>3.49</v>
      </c>
      <c r="E929" s="2">
        <v>2.4900000000000002</v>
      </c>
      <c r="F929" s="2"/>
      <c r="G929" s="2"/>
    </row>
    <row r="930" spans="2:7" ht="15.6" x14ac:dyDescent="0.3">
      <c r="B930" s="4" t="s">
        <v>1458</v>
      </c>
      <c r="C930" s="4" t="s">
        <v>1459</v>
      </c>
      <c r="D930" s="2">
        <v>3.49</v>
      </c>
      <c r="E930" s="2">
        <v>2.4900000000000002</v>
      </c>
      <c r="F930" s="2"/>
      <c r="G930" s="2"/>
    </row>
    <row r="931" spans="2:7" ht="15.6" x14ac:dyDescent="0.3">
      <c r="B931" s="4" t="s">
        <v>1460</v>
      </c>
      <c r="C931" s="4" t="s">
        <v>1833</v>
      </c>
      <c r="D931" s="2">
        <v>3.49</v>
      </c>
      <c r="E931" s="2">
        <v>2.4900000000000002</v>
      </c>
      <c r="F931" s="2"/>
      <c r="G931" s="2"/>
    </row>
    <row r="932" spans="2:7" ht="15.6" x14ac:dyDescent="0.3">
      <c r="B932" s="4" t="s">
        <v>1461</v>
      </c>
      <c r="C932" s="4" t="s">
        <v>1462</v>
      </c>
      <c r="D932" s="2">
        <v>3.49</v>
      </c>
      <c r="E932" s="2">
        <v>2.4900000000000002</v>
      </c>
      <c r="F932" s="2"/>
      <c r="G932" s="2"/>
    </row>
    <row r="933" spans="2:7" ht="15.6" x14ac:dyDescent="0.3">
      <c r="B933" s="4" t="s">
        <v>1463</v>
      </c>
      <c r="C933" s="4" t="s">
        <v>1834</v>
      </c>
      <c r="D933" s="2">
        <v>3.49</v>
      </c>
      <c r="E933" s="2">
        <v>2.4900000000000002</v>
      </c>
      <c r="F933" s="2"/>
      <c r="G933" s="2"/>
    </row>
    <row r="934" spans="2:7" ht="15.6" x14ac:dyDescent="0.3">
      <c r="B934" s="4" t="s">
        <v>1464</v>
      </c>
      <c r="C934" s="4" t="s">
        <v>1465</v>
      </c>
      <c r="D934" s="2">
        <v>3.49</v>
      </c>
      <c r="E934" s="2">
        <v>2.4900000000000002</v>
      </c>
      <c r="F934" s="2"/>
      <c r="G934" s="2"/>
    </row>
    <row r="935" spans="2:7" ht="15.6" x14ac:dyDescent="0.3">
      <c r="B935" s="4" t="s">
        <v>1466</v>
      </c>
      <c r="C935" s="4" t="s">
        <v>1835</v>
      </c>
      <c r="D935" s="2">
        <v>3.49</v>
      </c>
      <c r="E935" s="2">
        <v>2.4900000000000002</v>
      </c>
      <c r="F935" s="2"/>
      <c r="G935" s="2"/>
    </row>
    <row r="936" spans="2:7" ht="15.6" x14ac:dyDescent="0.3">
      <c r="B936" s="4" t="s">
        <v>1467</v>
      </c>
      <c r="C936" s="4" t="s">
        <v>1468</v>
      </c>
      <c r="D936" s="2">
        <v>3.49</v>
      </c>
      <c r="E936" s="2">
        <v>2.4900000000000002</v>
      </c>
      <c r="F936" s="2"/>
      <c r="G936" s="2"/>
    </row>
    <row r="937" spans="2:7" ht="15.6" x14ac:dyDescent="0.3">
      <c r="B937" s="4" t="s">
        <v>1469</v>
      </c>
      <c r="C937" s="4"/>
      <c r="D937" s="2">
        <v>18.989999999999998</v>
      </c>
      <c r="E937" s="2">
        <v>9.99</v>
      </c>
      <c r="F937" s="2"/>
      <c r="G937" s="2"/>
    </row>
    <row r="939" spans="2:7" ht="15.6" x14ac:dyDescent="0.3">
      <c r="B939" s="1" t="s">
        <v>1470</v>
      </c>
      <c r="C939" s="1" t="s">
        <v>1836</v>
      </c>
      <c r="D939" s="2">
        <v>29.95</v>
      </c>
      <c r="E939" s="2">
        <v>23.95</v>
      </c>
      <c r="G939" s="2"/>
    </row>
    <row r="940" spans="2:7" ht="15.6" x14ac:dyDescent="0.3">
      <c r="B940" s="1" t="s">
        <v>1471</v>
      </c>
      <c r="C940" s="1" t="s">
        <v>1837</v>
      </c>
      <c r="D940" s="2">
        <v>24.95</v>
      </c>
      <c r="E940" s="2">
        <v>19.95</v>
      </c>
      <c r="G940" s="2"/>
    </row>
    <row r="941" spans="2:7" ht="15.6" x14ac:dyDescent="0.3">
      <c r="B941" s="1" t="s">
        <v>1472</v>
      </c>
      <c r="C941" s="1" t="s">
        <v>1838</v>
      </c>
      <c r="D941" s="2">
        <v>1.75</v>
      </c>
      <c r="E941" s="2">
        <v>0.95</v>
      </c>
      <c r="G941" s="2"/>
    </row>
    <row r="942" spans="2:7" ht="15.6" x14ac:dyDescent="0.3">
      <c r="B942" s="1" t="s">
        <v>1513</v>
      </c>
      <c r="C942" s="1" t="s">
        <v>1839</v>
      </c>
      <c r="D942" s="2">
        <v>1.75</v>
      </c>
      <c r="E942" s="2">
        <v>0.95</v>
      </c>
      <c r="G942" s="2"/>
    </row>
    <row r="943" spans="2:7" ht="15.6" x14ac:dyDescent="0.3">
      <c r="B943" s="1" t="s">
        <v>1473</v>
      </c>
      <c r="C943" s="1" t="s">
        <v>1840</v>
      </c>
      <c r="D943" s="2">
        <v>27.95</v>
      </c>
      <c r="E943" s="2">
        <v>22.95</v>
      </c>
      <c r="G943" s="2"/>
    </row>
    <row r="944" spans="2:7" ht="15.6" x14ac:dyDescent="0.3">
      <c r="B944" s="1" t="s">
        <v>1474</v>
      </c>
      <c r="C944" s="1" t="s">
        <v>1841</v>
      </c>
      <c r="D944" s="2">
        <v>1.75</v>
      </c>
      <c r="E944" s="2">
        <v>0.95</v>
      </c>
      <c r="G944" s="2"/>
    </row>
    <row r="945" spans="2:7" ht="15.6" x14ac:dyDescent="0.3">
      <c r="B945" s="1" t="s">
        <v>1475</v>
      </c>
      <c r="C945" s="1" t="s">
        <v>1842</v>
      </c>
      <c r="D945" s="2">
        <v>24.95</v>
      </c>
      <c r="E945" s="2">
        <v>19.95</v>
      </c>
      <c r="G945" s="2"/>
    </row>
    <row r="946" spans="2:7" ht="15.6" x14ac:dyDescent="0.3">
      <c r="B946" s="1" t="s">
        <v>1476</v>
      </c>
      <c r="C946" s="1" t="s">
        <v>1843</v>
      </c>
      <c r="D946" s="2">
        <v>1.75</v>
      </c>
      <c r="E946" s="2">
        <v>0.95</v>
      </c>
      <c r="G946" s="2"/>
    </row>
    <row r="947" spans="2:7" ht="15.6" x14ac:dyDescent="0.3">
      <c r="B947" s="1" t="s">
        <v>1477</v>
      </c>
      <c r="C947" s="1" t="s">
        <v>1844</v>
      </c>
      <c r="D947" s="2">
        <v>24.95</v>
      </c>
      <c r="E947" s="2">
        <v>19.95</v>
      </c>
      <c r="G947" s="2"/>
    </row>
    <row r="948" spans="2:7" ht="15.6" x14ac:dyDescent="0.3">
      <c r="B948" s="1" t="s">
        <v>1478</v>
      </c>
      <c r="C948" s="1" t="s">
        <v>1845</v>
      </c>
      <c r="D948" s="2">
        <v>1.75</v>
      </c>
      <c r="E948" s="2">
        <v>0.95</v>
      </c>
      <c r="G948" s="2"/>
    </row>
    <row r="949" spans="2:7" ht="15.6" x14ac:dyDescent="0.3">
      <c r="B949" s="1" t="s">
        <v>1479</v>
      </c>
      <c r="C949" s="1" t="s">
        <v>1480</v>
      </c>
      <c r="D949" s="2">
        <v>5</v>
      </c>
      <c r="E949" s="2"/>
      <c r="G949" s="2"/>
    </row>
    <row r="950" spans="2:7" ht="15.6" x14ac:dyDescent="0.3">
      <c r="B950" s="1" t="s">
        <v>1846</v>
      </c>
      <c r="C950" s="1" t="s">
        <v>1847</v>
      </c>
      <c r="D950" s="2">
        <v>27.95</v>
      </c>
      <c r="E950" s="2">
        <v>22.95</v>
      </c>
      <c r="G950" s="2"/>
    </row>
    <row r="951" spans="2:7" ht="15.6" x14ac:dyDescent="0.3">
      <c r="B951" s="1" t="s">
        <v>1848</v>
      </c>
      <c r="C951" s="1" t="s">
        <v>1849</v>
      </c>
      <c r="D951" s="2">
        <v>1.75</v>
      </c>
      <c r="E951" s="2">
        <v>0.95</v>
      </c>
      <c r="G951" s="2"/>
    </row>
    <row r="952" spans="2:7" ht="15.6" x14ac:dyDescent="0.3">
      <c r="B952" s="1" t="s">
        <v>1481</v>
      </c>
      <c r="C952" s="1" t="s">
        <v>1850</v>
      </c>
      <c r="D952" s="2">
        <v>0</v>
      </c>
      <c r="E952" s="2">
        <v>0</v>
      </c>
      <c r="G952" s="2"/>
    </row>
    <row r="953" spans="2:7" ht="15.6" x14ac:dyDescent="0.3">
      <c r="B953" s="1" t="s">
        <v>1514</v>
      </c>
      <c r="C953" s="1" t="s">
        <v>1851</v>
      </c>
      <c r="D953" s="2">
        <v>0</v>
      </c>
      <c r="E953" s="2">
        <v>0</v>
      </c>
      <c r="G953" s="2"/>
    </row>
    <row r="954" spans="2:7" ht="15.6" x14ac:dyDescent="0.3">
      <c r="B954" s="1" t="s">
        <v>1482</v>
      </c>
      <c r="C954" s="1" t="s">
        <v>1852</v>
      </c>
      <c r="D954" s="2">
        <v>9.9499999999999993</v>
      </c>
      <c r="E954" s="2"/>
      <c r="G954" s="2"/>
    </row>
    <row r="955" spans="2:7" ht="15.6" x14ac:dyDescent="0.3">
      <c r="B955" s="1" t="s">
        <v>1853</v>
      </c>
      <c r="C955" s="1" t="s">
        <v>1854</v>
      </c>
      <c r="D955" s="2">
        <v>1.75</v>
      </c>
      <c r="E955" s="2">
        <v>0.95</v>
      </c>
      <c r="G955" s="2"/>
    </row>
    <row r="956" spans="2:7" ht="15.6" x14ac:dyDescent="0.3">
      <c r="B956" s="1" t="s">
        <v>1483</v>
      </c>
      <c r="C956" s="1" t="s">
        <v>1484</v>
      </c>
      <c r="D956" s="2">
        <v>4.95</v>
      </c>
      <c r="E956" s="2"/>
      <c r="G956" s="2"/>
    </row>
    <row r="957" spans="2:7" ht="15.6" x14ac:dyDescent="0.3">
      <c r="B957" s="1" t="s">
        <v>1485</v>
      </c>
      <c r="C957" s="1" t="s">
        <v>1855</v>
      </c>
      <c r="D957" s="2">
        <v>6.95</v>
      </c>
      <c r="E957" s="2"/>
      <c r="G957" s="2"/>
    </row>
    <row r="958" spans="2:7" ht="15.6" x14ac:dyDescent="0.3">
      <c r="B958" s="1" t="s">
        <v>1486</v>
      </c>
      <c r="C958" s="1" t="s">
        <v>1856</v>
      </c>
      <c r="D958" s="2">
        <v>24.95</v>
      </c>
      <c r="E958" s="2">
        <v>19.95</v>
      </c>
      <c r="G958" s="2"/>
    </row>
    <row r="959" spans="2:7" ht="15.6" x14ac:dyDescent="0.3">
      <c r="B959" s="1" t="s">
        <v>1487</v>
      </c>
      <c r="C959" s="1" t="s">
        <v>1857</v>
      </c>
      <c r="D959" s="2">
        <v>1.75</v>
      </c>
      <c r="E959" s="2">
        <v>0.95</v>
      </c>
      <c r="G959" s="2"/>
    </row>
    <row r="960" spans="2:7" ht="15.6" x14ac:dyDescent="0.3">
      <c r="B960" s="1" t="s">
        <v>1488</v>
      </c>
      <c r="C960" s="1" t="s">
        <v>1858</v>
      </c>
      <c r="D960" s="2">
        <v>24.95</v>
      </c>
      <c r="E960" s="2">
        <v>19.95</v>
      </c>
      <c r="G960" s="2"/>
    </row>
    <row r="961" spans="2:7" ht="15.6" x14ac:dyDescent="0.3">
      <c r="B961" s="1" t="s">
        <v>1489</v>
      </c>
      <c r="C961" s="1" t="s">
        <v>1859</v>
      </c>
      <c r="D961" s="2">
        <v>1.75</v>
      </c>
      <c r="E961" s="2">
        <v>0.95</v>
      </c>
      <c r="G961" s="2"/>
    </row>
    <row r="962" spans="2:7" ht="15.6" x14ac:dyDescent="0.3">
      <c r="B962" s="1" t="s">
        <v>1490</v>
      </c>
      <c r="C962" s="1" t="s">
        <v>1860</v>
      </c>
      <c r="D962" s="2">
        <v>24.95</v>
      </c>
      <c r="E962" s="2">
        <v>19.95</v>
      </c>
      <c r="G962" s="2"/>
    </row>
    <row r="963" spans="2:7" ht="15.6" x14ac:dyDescent="0.3">
      <c r="B963" s="1" t="s">
        <v>1491</v>
      </c>
      <c r="C963" s="1" t="s">
        <v>1861</v>
      </c>
      <c r="D963" s="2">
        <v>1.75</v>
      </c>
      <c r="E963" s="2">
        <v>0.95</v>
      </c>
      <c r="G963" s="2"/>
    </row>
    <row r="964" spans="2:7" ht="15.6" x14ac:dyDescent="0.3">
      <c r="B964" s="1" t="s">
        <v>1492</v>
      </c>
      <c r="C964" s="1" t="s">
        <v>1862</v>
      </c>
      <c r="D964" s="2">
        <v>36.950000000000003</v>
      </c>
      <c r="E964" s="2">
        <v>25.95</v>
      </c>
      <c r="G964" s="2"/>
    </row>
    <row r="965" spans="2:7" ht="15.6" x14ac:dyDescent="0.3">
      <c r="B965" s="1" t="s">
        <v>1493</v>
      </c>
      <c r="C965" s="1" t="s">
        <v>1863</v>
      </c>
      <c r="D965" s="2">
        <v>36.950000000000003</v>
      </c>
      <c r="E965" s="2">
        <v>25.95</v>
      </c>
      <c r="G965" s="2"/>
    </row>
    <row r="966" spans="2:7" ht="15.6" x14ac:dyDescent="0.3">
      <c r="B966" s="1" t="s">
        <v>1494</v>
      </c>
      <c r="C966" s="1" t="s">
        <v>1864</v>
      </c>
      <c r="D966" s="2">
        <v>36.950000000000003</v>
      </c>
      <c r="E966" s="2">
        <v>25.95</v>
      </c>
      <c r="G966" s="2"/>
    </row>
    <row r="967" spans="2:7" ht="15.6" x14ac:dyDescent="0.3">
      <c r="B967" s="1" t="s">
        <v>1510</v>
      </c>
      <c r="C967" s="1" t="s">
        <v>1865</v>
      </c>
      <c r="D967" s="2">
        <v>19.95</v>
      </c>
      <c r="E967" s="2">
        <v>14.95</v>
      </c>
      <c r="G967" s="2"/>
    </row>
    <row r="968" spans="2:7" ht="15.6" x14ac:dyDescent="0.3">
      <c r="B968" s="1" t="s">
        <v>1495</v>
      </c>
      <c r="C968" s="1" t="s">
        <v>1496</v>
      </c>
      <c r="D968" s="2">
        <v>57.95</v>
      </c>
      <c r="E968" s="2"/>
      <c r="G968" s="2"/>
    </row>
    <row r="969" spans="2:7" ht="15.6" x14ac:dyDescent="0.3">
      <c r="B969" s="1" t="s">
        <v>1497</v>
      </c>
      <c r="C969" s="1" t="s">
        <v>1866</v>
      </c>
      <c r="D969" s="2">
        <v>16.95</v>
      </c>
      <c r="E969" s="2">
        <v>12.95</v>
      </c>
      <c r="G969" s="2"/>
    </row>
    <row r="970" spans="2:7" ht="15.6" x14ac:dyDescent="0.3">
      <c r="B970" s="1" t="s">
        <v>1515</v>
      </c>
      <c r="C970" s="1" t="s">
        <v>1867</v>
      </c>
      <c r="D970" s="2">
        <v>18.95</v>
      </c>
      <c r="E970" s="2">
        <v>13.95</v>
      </c>
      <c r="G970" s="2"/>
    </row>
    <row r="971" spans="2:7" ht="15.6" x14ac:dyDescent="0.3">
      <c r="B971" s="1" t="s">
        <v>1516</v>
      </c>
      <c r="C971" s="1" t="s">
        <v>1868</v>
      </c>
      <c r="D971" s="2">
        <v>39.950000000000003</v>
      </c>
      <c r="E971" s="2">
        <v>27.95</v>
      </c>
      <c r="G971" s="2"/>
    </row>
    <row r="972" spans="2:7" ht="15.6" x14ac:dyDescent="0.3">
      <c r="B972" s="1" t="s">
        <v>1498</v>
      </c>
      <c r="C972" s="1" t="s">
        <v>1499</v>
      </c>
      <c r="D972" s="2">
        <v>39.950000000000003</v>
      </c>
      <c r="E972" s="2"/>
      <c r="G972" s="2"/>
    </row>
    <row r="973" spans="2:7" ht="15.6" x14ac:dyDescent="0.3">
      <c r="B973" s="1" t="s">
        <v>1511</v>
      </c>
      <c r="C973" s="1" t="s">
        <v>1869</v>
      </c>
      <c r="D973" s="2">
        <v>13.95</v>
      </c>
      <c r="E973" s="2">
        <v>9.9499999999999993</v>
      </c>
      <c r="G973" s="2"/>
    </row>
    <row r="974" spans="2:7" ht="15.6" x14ac:dyDescent="0.3">
      <c r="B974" s="1" t="s">
        <v>1512</v>
      </c>
      <c r="C974" s="1" t="s">
        <v>1870</v>
      </c>
      <c r="D974" s="2">
        <v>13.95</v>
      </c>
      <c r="E974" s="2">
        <v>9.9499999999999993</v>
      </c>
      <c r="G974" s="2"/>
    </row>
    <row r="975" spans="2:7" ht="15.6" x14ac:dyDescent="0.3">
      <c r="B975" s="1" t="s">
        <v>1871</v>
      </c>
      <c r="C975" s="1" t="s">
        <v>1872</v>
      </c>
      <c r="D975" s="2">
        <v>29.95</v>
      </c>
      <c r="E975" s="2">
        <v>23.95</v>
      </c>
      <c r="G975" s="2"/>
    </row>
    <row r="976" spans="2:7" ht="15.6" x14ac:dyDescent="0.3">
      <c r="B976" s="1" t="s">
        <v>1500</v>
      </c>
      <c r="C976" s="1" t="s">
        <v>1873</v>
      </c>
      <c r="D976" s="2">
        <v>29.95</v>
      </c>
      <c r="E976" s="2">
        <v>23.95</v>
      </c>
      <c r="G976" s="2"/>
    </row>
    <row r="977" spans="2:7" ht="15.6" x14ac:dyDescent="0.3">
      <c r="B977" s="1" t="s">
        <v>1874</v>
      </c>
      <c r="C977" s="1" t="s">
        <v>1875</v>
      </c>
      <c r="D977" s="2">
        <v>29.95</v>
      </c>
      <c r="E977" s="2">
        <v>23.95</v>
      </c>
      <c r="G977" s="2"/>
    </row>
    <row r="978" spans="2:7" ht="15.6" x14ac:dyDescent="0.3">
      <c r="B978" s="1" t="s">
        <v>1501</v>
      </c>
      <c r="C978" s="1" t="s">
        <v>1876</v>
      </c>
      <c r="D978" s="2">
        <v>24.95</v>
      </c>
      <c r="E978" s="2">
        <v>19.95</v>
      </c>
      <c r="G978" s="2"/>
    </row>
    <row r="979" spans="2:7" ht="15.6" x14ac:dyDescent="0.3">
      <c r="B979" s="1" t="s">
        <v>1502</v>
      </c>
      <c r="C979" s="1" t="s">
        <v>1877</v>
      </c>
      <c r="D979" s="2">
        <v>2.95</v>
      </c>
      <c r="E979" s="2"/>
      <c r="G979" s="2"/>
    </row>
    <row r="980" spans="2:7" ht="15.6" x14ac:dyDescent="0.3">
      <c r="B980" s="1" t="s">
        <v>1503</v>
      </c>
      <c r="C980" s="1" t="s">
        <v>1878</v>
      </c>
      <c r="D980" s="2">
        <v>27.95</v>
      </c>
      <c r="E980" s="2">
        <v>19.95</v>
      </c>
      <c r="G980" s="2"/>
    </row>
    <row r="981" spans="2:7" ht="15.6" x14ac:dyDescent="0.3">
      <c r="B981" s="1" t="s">
        <v>1504</v>
      </c>
      <c r="C981" s="1" t="s">
        <v>1505</v>
      </c>
      <c r="D981" s="2">
        <v>4.95</v>
      </c>
      <c r="E981" s="2"/>
      <c r="G981" s="2"/>
    </row>
    <row r="982" spans="2:7" ht="15.6" x14ac:dyDescent="0.3">
      <c r="B982" s="1" t="s">
        <v>1506</v>
      </c>
      <c r="C982" s="1" t="s">
        <v>1879</v>
      </c>
      <c r="D982" s="2">
        <v>2.95</v>
      </c>
      <c r="E982" s="2"/>
      <c r="G982" s="2"/>
    </row>
    <row r="983" spans="2:7" ht="15.6" x14ac:dyDescent="0.3">
      <c r="B983" s="1" t="s">
        <v>1507</v>
      </c>
      <c r="C983" s="1" t="s">
        <v>1880</v>
      </c>
      <c r="D983" s="2">
        <v>27.95</v>
      </c>
      <c r="E983" s="2">
        <v>19.95</v>
      </c>
      <c r="G983" s="2"/>
    </row>
    <row r="984" spans="2:7" ht="15.6" x14ac:dyDescent="0.3">
      <c r="B984" s="1" t="s">
        <v>1508</v>
      </c>
      <c r="C984" s="1" t="s">
        <v>1881</v>
      </c>
      <c r="D984" s="2">
        <v>149.94999999999999</v>
      </c>
      <c r="E984" s="2"/>
      <c r="G984" s="2"/>
    </row>
    <row r="985" spans="2:7" ht="15.6" x14ac:dyDescent="0.3">
      <c r="B985" s="1" t="s">
        <v>1509</v>
      </c>
      <c r="C985" s="1" t="s">
        <v>1882</v>
      </c>
      <c r="D985" s="2">
        <v>149.94999999999999</v>
      </c>
      <c r="E985" s="2"/>
      <c r="G98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853697B4E845AE9472042ACC3C23" ma:contentTypeVersion="11" ma:contentTypeDescription="Create a new document." ma:contentTypeScope="" ma:versionID="02a89c4fd6a714f510591246b92b924b">
  <xsd:schema xmlns:xsd="http://www.w3.org/2001/XMLSchema" xmlns:xs="http://www.w3.org/2001/XMLSchema" xmlns:p="http://schemas.microsoft.com/office/2006/metadata/properties" xmlns:ns2="b9c637d2-e59b-4fe2-8d6b-73f921f1c1b0" xmlns:ns3="5723f230-d5e0-464c-ab95-37d35e0ae481" targetNamespace="http://schemas.microsoft.com/office/2006/metadata/properties" ma:root="true" ma:fieldsID="de9e056c1ab8a04bfe847485967bc9c9" ns2:_="" ns3:_="">
    <xsd:import namespace="b9c637d2-e59b-4fe2-8d6b-73f921f1c1b0"/>
    <xsd:import namespace="5723f230-d5e0-464c-ab95-37d35e0ae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637d2-e59b-4fe2-8d6b-73f921f1c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3f230-d5e0-464c-ab95-37d35e0ae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C3FC21-DB04-426C-B9C8-4E8B87422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B744F8-0727-4485-8EDD-6690D6BB1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c637d2-e59b-4fe2-8d6b-73f921f1c1b0"/>
    <ds:schemaRef ds:uri="5723f230-d5e0-464c-ab95-37d35e0ae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E3C0A3-29EE-4C11-89E6-76130D62B98F}">
  <ds:schemaRefs>
    <ds:schemaRef ds:uri="http://schemas.microsoft.com/office/2006/metadata/properties"/>
    <ds:schemaRef ds:uri="b9c637d2-e59b-4fe2-8d6b-73f921f1c1b0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5723f230-d5e0-464c-ab95-37d35e0ae48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Vital Nutrients (2)</vt:lpstr>
      <vt:lpstr>DSN (Fairhaven)</vt:lpstr>
      <vt:lpstr>Check Tabs &gt;&gt;</vt:lpstr>
      <vt:lpstr>EE FS</vt:lpstr>
      <vt:lpstr>MSRP WSP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 PC</dc:creator>
  <cp:keywords/>
  <dc:description/>
  <cp:lastModifiedBy>Денис Хомик</cp:lastModifiedBy>
  <cp:revision/>
  <dcterms:created xsi:type="dcterms:W3CDTF">2024-01-23T21:21:38Z</dcterms:created>
  <dcterms:modified xsi:type="dcterms:W3CDTF">2026-02-12T13:12:56Z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0x0101005242853697B4E845AE9472042ACC3C23</vt:lpwstr>
  </property>
</Properties>
</file>